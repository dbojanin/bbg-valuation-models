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ojanib\Downloads\"/>
    </mc:Choice>
  </mc:AlternateContent>
  <bookViews>
    <workbookView xWindow="765" yWindow="600" windowWidth="27540" windowHeight="16155" tabRatio="935" firstSheet="11" activeTab="11"/>
  </bookViews>
  <sheets>
    <sheet name="Key Stats" sheetId="23" r:id="rId1"/>
    <sheet name="Income Statement" sheetId="2" r:id="rId2"/>
    <sheet name="Balance Sheet" sheetId="3" r:id="rId3"/>
    <sheet name="Cash Flow" sheetId="4" r:id="rId4"/>
    <sheet name="Multiples" sheetId="16" r:id="rId5"/>
    <sheet name="Ratios" sheetId="8" r:id="rId6"/>
    <sheet name="Capital Structure Summary" sheetId="21" r:id="rId7"/>
    <sheet name="Segments" sheetId="17" r:id="rId8"/>
    <sheet name="Supplemental" sheetId="19" r:id="rId9"/>
    <sheet name="Public Comparables" sheetId="24" r:id="rId10"/>
    <sheet name="Precedent Transactions" sheetId="25" r:id="rId11"/>
    <sheet name="Leveraged Buyout" sheetId="26" r:id="rId12"/>
    <sheet name="Discounted Cash Flow Valuation" sheetId="27" r:id="rId13"/>
    <sheet name="Multi-Stage GGM" sheetId="29" r:id="rId14"/>
    <sheet name="Football Field Analysis" sheetId="28" r:id="rId15"/>
    <sheet name="Technical Analysis Dashboard" sheetId="32" r:id="rId16"/>
    <sheet name="Technical Analysis Data" sheetId="31" r:id="rId17"/>
    <sheet name="Help" sheetId="22" r:id="rId18"/>
  </sheets>
  <definedNames>
    <definedName name="_xlnm._FilterDatabase" localSheetId="12" hidden="1">'Discounted Cash Flow Valuation'!$N$21:$O$27</definedName>
    <definedName name="_xlnm._FilterDatabase" localSheetId="11" hidden="1">'Leveraged Buyout'!$U$26:$V$29</definedName>
    <definedName name="_xlnm.Print_Area" localSheetId="2">'Balance Sheet'!$A$7:$N$77</definedName>
    <definedName name="_xlnm.Print_Area" localSheetId="6">'Capital Structure Summary'!$A$7:$L$121</definedName>
    <definedName name="_xlnm.Print_Area" localSheetId="3">'Cash Flow'!$A$7:$N$52</definedName>
    <definedName name="_xlnm.Print_Area" localSheetId="1">'Income Statement'!$A$7:$N$89</definedName>
    <definedName name="_xlnm.Print_Area" localSheetId="0">'Key Stats'!$A$7:$N$66</definedName>
    <definedName name="_xlnm.Print_Area" localSheetId="4">Multiples!$A$7:$M$66</definedName>
    <definedName name="_xlnm.Print_Area" localSheetId="5">Ratios!$A$7:$N$59</definedName>
    <definedName name="_xlnm.Print_Area" localSheetId="7">Segments!$A$7:$N$98</definedName>
    <definedName name="_xlnm.Print_Area" localSheetId="8">Supplemental!$A$7:$M$34</definedName>
    <definedName name="SpreadsheetBuilder_1" hidden="1">'Multi-Stage GGM'!$F$7</definedName>
    <definedName name="SpreadsheetBuilder_2" hidden="1">'Multi-Stage GGM'!$E$6</definedName>
    <definedName name="SpreadsheetBuilder_3" hidden="1">'Multi-Stage GGM'!$E$8</definedName>
    <definedName name="SpreadsheetBuilder_4" hidden="1">'Multi-Stage GGM'!$E$9</definedName>
    <definedName name="SpreadsheetBuilder_5" hidden="1">#REF!</definedName>
    <definedName name="SpreadsheetBuilder_6" hidden="1">'Technical Analysis Data'!$C$5:$G$89</definedName>
    <definedName name="SpreadsheetBuilder_7" hidden="1">'Technical Analysis Data'!$C$5:$G$82</definedName>
    <definedName name="SpreadsheetBuilder_8" hidden="1">'Technical Analysis Data'!$F$84:$G$85</definedName>
    <definedName name="SpreadsheetBuilder_9" hidden="1">'Technical Analysis Data'!$F$87:$H$88</definedName>
    <definedName name="Tick">'Key Stats'!$D$7</definedName>
    <definedName name="Ticker">'Key Stats'!$D$7&amp;" Equity"</definedName>
  </definedNames>
  <calcPr calcId="162913" iterate="1" calcOnSave="0" concurrentCalc="0"/>
  <fileRecoveryPr autoRecover="0"/>
</workbook>
</file>

<file path=xl/calcChain.xml><?xml version="1.0" encoding="utf-8"?>
<calcChain xmlns="http://schemas.openxmlformats.org/spreadsheetml/2006/main">
  <c r="G24" i="31" l="1"/>
  <c r="G27" i="31"/>
  <c r="G31" i="31"/>
  <c r="G18" i="31"/>
  <c r="G21" i="31"/>
  <c r="G8" i="31"/>
  <c r="G15" i="31"/>
  <c r="G5" i="31"/>
  <c r="G61" i="31"/>
  <c r="G46" i="31"/>
  <c r="G52" i="31"/>
  <c r="G34" i="31"/>
  <c r="G43" i="31"/>
  <c r="G37" i="31"/>
  <c r="G49" i="31"/>
  <c r="G76" i="31"/>
  <c r="G58" i="31"/>
  <c r="G71" i="31"/>
  <c r="G79" i="31"/>
  <c r="G66" i="31"/>
  <c r="G87" i="31"/>
  <c r="G84" i="31"/>
  <c r="D6" i="31"/>
  <c r="E14" i="29"/>
  <c r="D5" i="31"/>
  <c r="E8" i="29"/>
  <c r="E9" i="29"/>
  <c r="E6" i="29"/>
  <c r="G63" i="28"/>
  <c r="E63" i="28"/>
  <c r="F63" i="28"/>
  <c r="I8" i="24"/>
  <c r="K8" i="24"/>
  <c r="P8" i="24"/>
  <c r="I9" i="24"/>
  <c r="K9" i="24"/>
  <c r="P9" i="24"/>
  <c r="I10" i="24"/>
  <c r="K10" i="24"/>
  <c r="P10" i="24"/>
  <c r="I11" i="24"/>
  <c r="K11" i="24"/>
  <c r="P11" i="24"/>
  <c r="I12" i="24"/>
  <c r="K12" i="24"/>
  <c r="P12" i="24"/>
  <c r="I13" i="24"/>
  <c r="K13" i="24"/>
  <c r="P13" i="24"/>
  <c r="I14" i="24"/>
  <c r="K14" i="24"/>
  <c r="P14" i="24"/>
  <c r="P17" i="24"/>
  <c r="I24" i="24"/>
  <c r="F32" i="24"/>
  <c r="K7" i="24"/>
  <c r="F28" i="24"/>
  <c r="F33" i="24"/>
  <c r="L7" i="23"/>
  <c r="D39" i="23"/>
  <c r="L23" i="24"/>
  <c r="L7" i="2"/>
  <c r="N50" i="2"/>
  <c r="M23" i="24"/>
  <c r="L7" i="3"/>
  <c r="N17" i="3"/>
  <c r="N18" i="3"/>
  <c r="N19" i="3"/>
  <c r="N23" i="24"/>
  <c r="D36" i="23"/>
  <c r="F29" i="24"/>
  <c r="F34" i="24"/>
  <c r="G59" i="28"/>
  <c r="G21" i="25"/>
  <c r="H21" i="25"/>
  <c r="I21" i="25"/>
  <c r="N7" i="25"/>
  <c r="N8" i="25"/>
  <c r="N9" i="25"/>
  <c r="N10" i="25"/>
  <c r="N11" i="25"/>
  <c r="N12" i="25"/>
  <c r="N15" i="25"/>
  <c r="F30" i="25"/>
  <c r="F31" i="25"/>
  <c r="F32" i="25"/>
  <c r="G60" i="28"/>
  <c r="G61" i="28"/>
  <c r="G62" i="28"/>
  <c r="L62" i="28"/>
  <c r="E62" i="28"/>
  <c r="F62" i="28"/>
  <c r="E32" i="24"/>
  <c r="E33" i="24"/>
  <c r="E34" i="24"/>
  <c r="E59" i="28"/>
  <c r="E30" i="25"/>
  <c r="E31" i="25"/>
  <c r="E32" i="25"/>
  <c r="E60" i="28"/>
  <c r="E61" i="28"/>
  <c r="L61" i="28"/>
  <c r="F61" i="28"/>
  <c r="H60" i="28"/>
  <c r="F60" i="28"/>
  <c r="L59" i="28"/>
  <c r="F59" i="28"/>
  <c r="B11" i="17"/>
  <c r="L7" i="17"/>
  <c r="E12" i="17"/>
  <c r="F12" i="17"/>
  <c r="G12" i="17"/>
  <c r="H12" i="17"/>
  <c r="I12" i="17"/>
  <c r="J12" i="17"/>
  <c r="K12" i="17"/>
  <c r="L12" i="17"/>
  <c r="M12" i="17"/>
  <c r="N12" i="17"/>
  <c r="N185" i="17"/>
  <c r="M185" i="17"/>
  <c r="L185" i="17"/>
  <c r="K185" i="17"/>
  <c r="J185" i="17"/>
  <c r="I185" i="17"/>
  <c r="H185" i="17"/>
  <c r="G185" i="17"/>
  <c r="F185" i="17"/>
  <c r="E185" i="17"/>
  <c r="D185" i="17"/>
  <c r="C185" i="17"/>
  <c r="N184" i="17"/>
  <c r="M184" i="17"/>
  <c r="L184" i="17"/>
  <c r="K184" i="17"/>
  <c r="J184" i="17"/>
  <c r="I184" i="17"/>
  <c r="H184" i="17"/>
  <c r="G184" i="17"/>
  <c r="F184" i="17"/>
  <c r="E184" i="17"/>
  <c r="D184" i="17"/>
  <c r="C184" i="17"/>
  <c r="N183" i="17"/>
  <c r="M183" i="17"/>
  <c r="L183" i="17"/>
  <c r="K183" i="17"/>
  <c r="J183" i="17"/>
  <c r="I183" i="17"/>
  <c r="H183" i="17"/>
  <c r="G183" i="17"/>
  <c r="F183" i="17"/>
  <c r="E183" i="17"/>
  <c r="D183" i="17"/>
  <c r="C183" i="17"/>
  <c r="N182" i="17"/>
  <c r="M182" i="17"/>
  <c r="L182" i="17"/>
  <c r="K182" i="17"/>
  <c r="J182" i="17"/>
  <c r="I182" i="17"/>
  <c r="H182" i="17"/>
  <c r="G182" i="17"/>
  <c r="F182" i="17"/>
  <c r="E182" i="17"/>
  <c r="D182" i="17"/>
  <c r="C182" i="17"/>
  <c r="N181" i="17"/>
  <c r="M181" i="17"/>
  <c r="L181" i="17"/>
  <c r="K181" i="17"/>
  <c r="J181" i="17"/>
  <c r="I181" i="17"/>
  <c r="H181" i="17"/>
  <c r="G181" i="17"/>
  <c r="F181" i="17"/>
  <c r="E181" i="17"/>
  <c r="D181" i="17"/>
  <c r="C181" i="17"/>
  <c r="N180" i="17"/>
  <c r="M180" i="17"/>
  <c r="L180" i="17"/>
  <c r="K180" i="17"/>
  <c r="J180" i="17"/>
  <c r="I180" i="17"/>
  <c r="H180" i="17"/>
  <c r="G180" i="17"/>
  <c r="F180" i="17"/>
  <c r="E180" i="17"/>
  <c r="D180" i="17"/>
  <c r="C180" i="17"/>
  <c r="N179" i="17"/>
  <c r="M179" i="17"/>
  <c r="L179" i="17"/>
  <c r="K179" i="17"/>
  <c r="J179" i="17"/>
  <c r="I179" i="17"/>
  <c r="H179" i="17"/>
  <c r="G179" i="17"/>
  <c r="F179" i="17"/>
  <c r="E179" i="17"/>
  <c r="D179" i="17"/>
  <c r="C179" i="17"/>
  <c r="N178" i="17"/>
  <c r="M178" i="17"/>
  <c r="L178" i="17"/>
  <c r="K178" i="17"/>
  <c r="J178" i="17"/>
  <c r="I178" i="17"/>
  <c r="H178" i="17"/>
  <c r="G178" i="17"/>
  <c r="F178" i="17"/>
  <c r="E178" i="17"/>
  <c r="D178" i="17"/>
  <c r="C178" i="17"/>
  <c r="N177" i="17"/>
  <c r="M177" i="17"/>
  <c r="L177" i="17"/>
  <c r="K177" i="17"/>
  <c r="J177" i="17"/>
  <c r="I177" i="17"/>
  <c r="H177" i="17"/>
  <c r="G177" i="17"/>
  <c r="F177" i="17"/>
  <c r="E177" i="17"/>
  <c r="D177" i="17"/>
  <c r="C177" i="17"/>
  <c r="N176" i="17"/>
  <c r="M176" i="17"/>
  <c r="L176" i="17"/>
  <c r="K176" i="17"/>
  <c r="J176" i="17"/>
  <c r="I176" i="17"/>
  <c r="H176" i="17"/>
  <c r="G176" i="17"/>
  <c r="F176" i="17"/>
  <c r="E176" i="17"/>
  <c r="D176" i="17"/>
  <c r="C176" i="17"/>
  <c r="N175" i="17"/>
  <c r="M175" i="17"/>
  <c r="L175" i="17"/>
  <c r="K175" i="17"/>
  <c r="J175" i="17"/>
  <c r="I175" i="17"/>
  <c r="H175" i="17"/>
  <c r="G175" i="17"/>
  <c r="F175" i="17"/>
  <c r="E175" i="17"/>
  <c r="D175" i="17"/>
  <c r="N11" i="17"/>
  <c r="N174" i="17"/>
  <c r="M11" i="17"/>
  <c r="M174" i="17"/>
  <c r="L11" i="17"/>
  <c r="L174" i="17"/>
  <c r="K11" i="17"/>
  <c r="K174" i="17"/>
  <c r="J11" i="17"/>
  <c r="J174" i="17"/>
  <c r="I11" i="17"/>
  <c r="I174" i="17"/>
  <c r="H11" i="17"/>
  <c r="H174" i="17"/>
  <c r="G11" i="17"/>
  <c r="G174" i="17"/>
  <c r="F11" i="17"/>
  <c r="F174" i="17"/>
  <c r="E11" i="17"/>
  <c r="E174" i="17"/>
  <c r="D11" i="17"/>
  <c r="D174" i="17"/>
  <c r="N173" i="17"/>
  <c r="M173" i="17"/>
  <c r="L173" i="17"/>
  <c r="K173" i="17"/>
  <c r="J173" i="17"/>
  <c r="I173" i="17"/>
  <c r="H173" i="17"/>
  <c r="G173" i="17"/>
  <c r="F173" i="17"/>
  <c r="E173" i="17"/>
  <c r="D173" i="17"/>
  <c r="N171" i="17"/>
  <c r="M171" i="17"/>
  <c r="L171" i="17"/>
  <c r="K171" i="17"/>
  <c r="J171" i="17"/>
  <c r="I171" i="17"/>
  <c r="H171" i="17"/>
  <c r="G171" i="17"/>
  <c r="F171" i="17"/>
  <c r="E171" i="17"/>
  <c r="D171" i="17"/>
  <c r="C171" i="17"/>
  <c r="N170" i="17"/>
  <c r="M170" i="17"/>
  <c r="L170" i="17"/>
  <c r="K170" i="17"/>
  <c r="J170" i="17"/>
  <c r="I170" i="17"/>
  <c r="H170" i="17"/>
  <c r="G170" i="17"/>
  <c r="F170" i="17"/>
  <c r="E170" i="17"/>
  <c r="D170" i="17"/>
  <c r="C170" i="17"/>
  <c r="N169" i="17"/>
  <c r="M169" i="17"/>
  <c r="L169" i="17"/>
  <c r="K169" i="17"/>
  <c r="J169" i="17"/>
  <c r="I169" i="17"/>
  <c r="H169" i="17"/>
  <c r="G169" i="17"/>
  <c r="F169" i="17"/>
  <c r="E169" i="17"/>
  <c r="D169" i="17"/>
  <c r="C169" i="17"/>
  <c r="N168" i="17"/>
  <c r="M168" i="17"/>
  <c r="L168" i="17"/>
  <c r="K168" i="17"/>
  <c r="J168" i="17"/>
  <c r="I168" i="17"/>
  <c r="H168" i="17"/>
  <c r="G168" i="17"/>
  <c r="F168" i="17"/>
  <c r="E168" i="17"/>
  <c r="D168" i="17"/>
  <c r="C168" i="17"/>
  <c r="N167" i="17"/>
  <c r="M167" i="17"/>
  <c r="L167" i="17"/>
  <c r="K167" i="17"/>
  <c r="J167" i="17"/>
  <c r="I167" i="17"/>
  <c r="H167" i="17"/>
  <c r="G167" i="17"/>
  <c r="F167" i="17"/>
  <c r="E167" i="17"/>
  <c r="D167" i="17"/>
  <c r="C167" i="17"/>
  <c r="N166" i="17"/>
  <c r="M166" i="17"/>
  <c r="L166" i="17"/>
  <c r="K166" i="17"/>
  <c r="J166" i="17"/>
  <c r="I166" i="17"/>
  <c r="H166" i="17"/>
  <c r="G166" i="17"/>
  <c r="F166" i="17"/>
  <c r="E166" i="17"/>
  <c r="D166" i="17"/>
  <c r="C166" i="17"/>
  <c r="N165" i="17"/>
  <c r="M165" i="17"/>
  <c r="L165" i="17"/>
  <c r="K165" i="17"/>
  <c r="J165" i="17"/>
  <c r="I165" i="17"/>
  <c r="H165" i="17"/>
  <c r="G165" i="17"/>
  <c r="F165" i="17"/>
  <c r="E165" i="17"/>
  <c r="D165" i="17"/>
  <c r="C165" i="17"/>
  <c r="N164" i="17"/>
  <c r="M164" i="17"/>
  <c r="L164" i="17"/>
  <c r="K164" i="17"/>
  <c r="J164" i="17"/>
  <c r="I164" i="17"/>
  <c r="H164" i="17"/>
  <c r="G164" i="17"/>
  <c r="F164" i="17"/>
  <c r="E164" i="17"/>
  <c r="D164" i="17"/>
  <c r="C164" i="17"/>
  <c r="N163" i="17"/>
  <c r="M163" i="17"/>
  <c r="L163" i="17"/>
  <c r="K163" i="17"/>
  <c r="J163" i="17"/>
  <c r="I163" i="17"/>
  <c r="H163" i="17"/>
  <c r="G163" i="17"/>
  <c r="F163" i="17"/>
  <c r="E163" i="17"/>
  <c r="D163" i="17"/>
  <c r="C163" i="17"/>
  <c r="N162" i="17"/>
  <c r="M162" i="17"/>
  <c r="L162" i="17"/>
  <c r="K162" i="17"/>
  <c r="J162" i="17"/>
  <c r="I162" i="17"/>
  <c r="H162" i="17"/>
  <c r="G162" i="17"/>
  <c r="F162" i="17"/>
  <c r="E162" i="17"/>
  <c r="D162" i="17"/>
  <c r="C162" i="17"/>
  <c r="N161" i="17"/>
  <c r="M161" i="17"/>
  <c r="L161" i="17"/>
  <c r="K161" i="17"/>
  <c r="J161" i="17"/>
  <c r="I161" i="17"/>
  <c r="H161" i="17"/>
  <c r="G161" i="17"/>
  <c r="F161" i="17"/>
  <c r="E161" i="17"/>
  <c r="D161" i="17"/>
  <c r="N160" i="17"/>
  <c r="M160" i="17"/>
  <c r="L160" i="17"/>
  <c r="K160" i="17"/>
  <c r="J160" i="17"/>
  <c r="I160" i="17"/>
  <c r="H160" i="17"/>
  <c r="G160" i="17"/>
  <c r="F160" i="17"/>
  <c r="E160" i="17"/>
  <c r="D160" i="17"/>
  <c r="N159" i="17"/>
  <c r="M159" i="17"/>
  <c r="L159" i="17"/>
  <c r="K159" i="17"/>
  <c r="J159" i="17"/>
  <c r="I159" i="17"/>
  <c r="H159" i="17"/>
  <c r="G159" i="17"/>
  <c r="F159" i="17"/>
  <c r="E159" i="17"/>
  <c r="D159" i="17"/>
  <c r="N156" i="17"/>
  <c r="M156" i="17"/>
  <c r="L156" i="17"/>
  <c r="K156" i="17"/>
  <c r="J156" i="17"/>
  <c r="I156" i="17"/>
  <c r="H156" i="17"/>
  <c r="G156" i="17"/>
  <c r="F156" i="17"/>
  <c r="E156" i="17"/>
  <c r="D156" i="17"/>
  <c r="C156" i="17"/>
  <c r="N155" i="17"/>
  <c r="M155" i="17"/>
  <c r="L155" i="17"/>
  <c r="K155" i="17"/>
  <c r="J155" i="17"/>
  <c r="I155" i="17"/>
  <c r="H155" i="17"/>
  <c r="G155" i="17"/>
  <c r="F155" i="17"/>
  <c r="E155" i="17"/>
  <c r="D155" i="17"/>
  <c r="C155" i="17"/>
  <c r="N154" i="17"/>
  <c r="M154" i="17"/>
  <c r="L154" i="17"/>
  <c r="K154" i="17"/>
  <c r="J154" i="17"/>
  <c r="I154" i="17"/>
  <c r="H154" i="17"/>
  <c r="G154" i="17"/>
  <c r="F154" i="17"/>
  <c r="E154" i="17"/>
  <c r="D154" i="17"/>
  <c r="C154" i="17"/>
  <c r="N153" i="17"/>
  <c r="M153" i="17"/>
  <c r="L153" i="17"/>
  <c r="K153" i="17"/>
  <c r="J153" i="17"/>
  <c r="I153" i="17"/>
  <c r="H153" i="17"/>
  <c r="G153" i="17"/>
  <c r="F153" i="17"/>
  <c r="E153" i="17"/>
  <c r="D153" i="17"/>
  <c r="C153" i="17"/>
  <c r="N152" i="17"/>
  <c r="M152" i="17"/>
  <c r="L152" i="17"/>
  <c r="K152" i="17"/>
  <c r="J152" i="17"/>
  <c r="I152" i="17"/>
  <c r="H152" i="17"/>
  <c r="G152" i="17"/>
  <c r="F152" i="17"/>
  <c r="E152" i="17"/>
  <c r="D152" i="17"/>
  <c r="C152" i="17"/>
  <c r="N151" i="17"/>
  <c r="M151" i="17"/>
  <c r="L151" i="17"/>
  <c r="K151" i="17"/>
  <c r="J151" i="17"/>
  <c r="I151" i="17"/>
  <c r="H151" i="17"/>
  <c r="G151" i="17"/>
  <c r="F151" i="17"/>
  <c r="E151" i="17"/>
  <c r="D151" i="17"/>
  <c r="C151" i="17"/>
  <c r="N150" i="17"/>
  <c r="M150" i="17"/>
  <c r="L150" i="17"/>
  <c r="K150" i="17"/>
  <c r="J150" i="17"/>
  <c r="I150" i="17"/>
  <c r="H150" i="17"/>
  <c r="G150" i="17"/>
  <c r="F150" i="17"/>
  <c r="E150" i="17"/>
  <c r="D150" i="17"/>
  <c r="C150" i="17"/>
  <c r="N149" i="17"/>
  <c r="M149" i="17"/>
  <c r="L149" i="17"/>
  <c r="K149" i="17"/>
  <c r="J149" i="17"/>
  <c r="I149" i="17"/>
  <c r="H149" i="17"/>
  <c r="G149" i="17"/>
  <c r="F149" i="17"/>
  <c r="E149" i="17"/>
  <c r="D149" i="17"/>
  <c r="C149" i="17"/>
  <c r="N148" i="17"/>
  <c r="M148" i="17"/>
  <c r="L148" i="17"/>
  <c r="K148" i="17"/>
  <c r="J148" i="17"/>
  <c r="I148" i="17"/>
  <c r="H148" i="17"/>
  <c r="G148" i="17"/>
  <c r="F148" i="17"/>
  <c r="E148" i="17"/>
  <c r="D148" i="17"/>
  <c r="C148" i="17"/>
  <c r="N147" i="17"/>
  <c r="M147" i="17"/>
  <c r="L147" i="17"/>
  <c r="K147" i="17"/>
  <c r="J147" i="17"/>
  <c r="I147" i="17"/>
  <c r="H147" i="17"/>
  <c r="G147" i="17"/>
  <c r="F147" i="17"/>
  <c r="E147" i="17"/>
  <c r="D147" i="17"/>
  <c r="C147" i="17"/>
  <c r="N146" i="17"/>
  <c r="M146" i="17"/>
  <c r="L146" i="17"/>
  <c r="K146" i="17"/>
  <c r="J146" i="17"/>
  <c r="I146" i="17"/>
  <c r="H146" i="17"/>
  <c r="G146" i="17"/>
  <c r="F146" i="17"/>
  <c r="E146" i="17"/>
  <c r="D146" i="17"/>
  <c r="N145" i="17"/>
  <c r="M145" i="17"/>
  <c r="L145" i="17"/>
  <c r="K145" i="17"/>
  <c r="J145" i="17"/>
  <c r="I145" i="17"/>
  <c r="H145" i="17"/>
  <c r="G145" i="17"/>
  <c r="F145" i="17"/>
  <c r="E145" i="17"/>
  <c r="D145" i="17"/>
  <c r="N144" i="17"/>
  <c r="M144" i="17"/>
  <c r="L144" i="17"/>
  <c r="K144" i="17"/>
  <c r="J144" i="17"/>
  <c r="I144" i="17"/>
  <c r="H144" i="17"/>
  <c r="G144" i="17"/>
  <c r="F144" i="17"/>
  <c r="E144" i="17"/>
  <c r="D144" i="17"/>
  <c r="N142" i="17"/>
  <c r="M142" i="17"/>
  <c r="L142" i="17"/>
  <c r="K142" i="17"/>
  <c r="J142" i="17"/>
  <c r="I142" i="17"/>
  <c r="H142" i="17"/>
  <c r="G142" i="17"/>
  <c r="F142" i="17"/>
  <c r="E142" i="17"/>
  <c r="D142" i="17"/>
  <c r="C142" i="17"/>
  <c r="N141" i="17"/>
  <c r="M141" i="17"/>
  <c r="L141" i="17"/>
  <c r="K141" i="17"/>
  <c r="J141" i="17"/>
  <c r="I141" i="17"/>
  <c r="H141" i="17"/>
  <c r="G141" i="17"/>
  <c r="F141" i="17"/>
  <c r="E141" i="17"/>
  <c r="D141" i="17"/>
  <c r="C141" i="17"/>
  <c r="N140" i="17"/>
  <c r="M140" i="17"/>
  <c r="L140" i="17"/>
  <c r="K140" i="17"/>
  <c r="J140" i="17"/>
  <c r="I140" i="17"/>
  <c r="H140" i="17"/>
  <c r="G140" i="17"/>
  <c r="F140" i="17"/>
  <c r="E140" i="17"/>
  <c r="D140" i="17"/>
  <c r="C140" i="17"/>
  <c r="N139" i="17"/>
  <c r="M139" i="17"/>
  <c r="L139" i="17"/>
  <c r="K139" i="17"/>
  <c r="J139" i="17"/>
  <c r="I139" i="17"/>
  <c r="H139" i="17"/>
  <c r="G139" i="17"/>
  <c r="F139" i="17"/>
  <c r="E139" i="17"/>
  <c r="D139" i="17"/>
  <c r="C139" i="17"/>
  <c r="N138" i="17"/>
  <c r="M138" i="17"/>
  <c r="L138" i="17"/>
  <c r="K138" i="17"/>
  <c r="J138" i="17"/>
  <c r="I138" i="17"/>
  <c r="H138" i="17"/>
  <c r="G138" i="17"/>
  <c r="F138" i="17"/>
  <c r="E138" i="17"/>
  <c r="D138" i="17"/>
  <c r="C138" i="17"/>
  <c r="N137" i="17"/>
  <c r="M137" i="17"/>
  <c r="L137" i="17"/>
  <c r="K137" i="17"/>
  <c r="J137" i="17"/>
  <c r="I137" i="17"/>
  <c r="H137" i="17"/>
  <c r="G137" i="17"/>
  <c r="F137" i="17"/>
  <c r="E137" i="17"/>
  <c r="D137" i="17"/>
  <c r="C137" i="17"/>
  <c r="N136" i="17"/>
  <c r="M136" i="17"/>
  <c r="L136" i="17"/>
  <c r="K136" i="17"/>
  <c r="J136" i="17"/>
  <c r="I136" i="17"/>
  <c r="H136" i="17"/>
  <c r="G136" i="17"/>
  <c r="F136" i="17"/>
  <c r="E136" i="17"/>
  <c r="D136" i="17"/>
  <c r="C136" i="17"/>
  <c r="N135" i="17"/>
  <c r="M135" i="17"/>
  <c r="L135" i="17"/>
  <c r="K135" i="17"/>
  <c r="J135" i="17"/>
  <c r="I135" i="17"/>
  <c r="H135" i="17"/>
  <c r="G135" i="17"/>
  <c r="F135" i="17"/>
  <c r="E135" i="17"/>
  <c r="D135" i="17"/>
  <c r="C135" i="17"/>
  <c r="N134" i="17"/>
  <c r="M134" i="17"/>
  <c r="L134" i="17"/>
  <c r="K134" i="17"/>
  <c r="J134" i="17"/>
  <c r="I134" i="17"/>
  <c r="H134" i="17"/>
  <c r="G134" i="17"/>
  <c r="F134" i="17"/>
  <c r="E134" i="17"/>
  <c r="D134" i="17"/>
  <c r="C134" i="17"/>
  <c r="N133" i="17"/>
  <c r="M133" i="17"/>
  <c r="L133" i="17"/>
  <c r="K133" i="17"/>
  <c r="J133" i="17"/>
  <c r="I133" i="17"/>
  <c r="H133" i="17"/>
  <c r="G133" i="17"/>
  <c r="F133" i="17"/>
  <c r="E133" i="17"/>
  <c r="D133" i="17"/>
  <c r="C133" i="17"/>
  <c r="N132" i="17"/>
  <c r="M132" i="17"/>
  <c r="L132" i="17"/>
  <c r="K132" i="17"/>
  <c r="J132" i="17"/>
  <c r="I132" i="17"/>
  <c r="H132" i="17"/>
  <c r="G132" i="17"/>
  <c r="F132" i="17"/>
  <c r="E132" i="17"/>
  <c r="D132" i="17"/>
  <c r="N131" i="17"/>
  <c r="M131" i="17"/>
  <c r="L131" i="17"/>
  <c r="K131" i="17"/>
  <c r="J131" i="17"/>
  <c r="I131" i="17"/>
  <c r="H131" i="17"/>
  <c r="G131" i="17"/>
  <c r="F131" i="17"/>
  <c r="E131" i="17"/>
  <c r="D131" i="17"/>
  <c r="N130" i="17"/>
  <c r="M130" i="17"/>
  <c r="L130" i="17"/>
  <c r="K130" i="17"/>
  <c r="J130" i="17"/>
  <c r="I130" i="17"/>
  <c r="H130" i="17"/>
  <c r="G130" i="17"/>
  <c r="F130" i="17"/>
  <c r="E130" i="17"/>
  <c r="D130" i="17"/>
  <c r="N127" i="17"/>
  <c r="M127" i="17"/>
  <c r="L127" i="17"/>
  <c r="K127" i="17"/>
  <c r="J127" i="17"/>
  <c r="I127" i="17"/>
  <c r="H127" i="17"/>
  <c r="G127" i="17"/>
  <c r="F127" i="17"/>
  <c r="E127" i="17"/>
  <c r="D127" i="17"/>
  <c r="C127" i="17"/>
  <c r="N126" i="17"/>
  <c r="M126" i="17"/>
  <c r="L126" i="17"/>
  <c r="K126" i="17"/>
  <c r="J126" i="17"/>
  <c r="I126" i="17"/>
  <c r="H126" i="17"/>
  <c r="G126" i="17"/>
  <c r="F126" i="17"/>
  <c r="E126" i="17"/>
  <c r="D126" i="17"/>
  <c r="C126" i="17"/>
  <c r="N125" i="17"/>
  <c r="M125" i="17"/>
  <c r="L125" i="17"/>
  <c r="K125" i="17"/>
  <c r="J125" i="17"/>
  <c r="I125" i="17"/>
  <c r="H125" i="17"/>
  <c r="G125" i="17"/>
  <c r="F125" i="17"/>
  <c r="E125" i="17"/>
  <c r="D125" i="17"/>
  <c r="C125" i="17"/>
  <c r="N124" i="17"/>
  <c r="M124" i="17"/>
  <c r="L124" i="17"/>
  <c r="K124" i="17"/>
  <c r="J124" i="17"/>
  <c r="I124" i="17"/>
  <c r="H124" i="17"/>
  <c r="G124" i="17"/>
  <c r="F124" i="17"/>
  <c r="E124" i="17"/>
  <c r="D124" i="17"/>
  <c r="C124" i="17"/>
  <c r="N123" i="17"/>
  <c r="M123" i="17"/>
  <c r="L123" i="17"/>
  <c r="K123" i="17"/>
  <c r="J123" i="17"/>
  <c r="I123" i="17"/>
  <c r="H123" i="17"/>
  <c r="G123" i="17"/>
  <c r="F123" i="17"/>
  <c r="E123" i="17"/>
  <c r="D123" i="17"/>
  <c r="C123" i="17"/>
  <c r="N122" i="17"/>
  <c r="M122" i="17"/>
  <c r="L122" i="17"/>
  <c r="K122" i="17"/>
  <c r="J122" i="17"/>
  <c r="I122" i="17"/>
  <c r="H122" i="17"/>
  <c r="G122" i="17"/>
  <c r="F122" i="17"/>
  <c r="E122" i="17"/>
  <c r="D122" i="17"/>
  <c r="C122" i="17"/>
  <c r="N121" i="17"/>
  <c r="M121" i="17"/>
  <c r="L121" i="17"/>
  <c r="K121" i="17"/>
  <c r="J121" i="17"/>
  <c r="I121" i="17"/>
  <c r="H121" i="17"/>
  <c r="G121" i="17"/>
  <c r="F121" i="17"/>
  <c r="E121" i="17"/>
  <c r="D121" i="17"/>
  <c r="C121" i="17"/>
  <c r="N120" i="17"/>
  <c r="M120" i="17"/>
  <c r="L120" i="17"/>
  <c r="K120" i="17"/>
  <c r="J120" i="17"/>
  <c r="I120" i="17"/>
  <c r="H120" i="17"/>
  <c r="G120" i="17"/>
  <c r="F120" i="17"/>
  <c r="E120" i="17"/>
  <c r="D120" i="17"/>
  <c r="C120" i="17"/>
  <c r="N119" i="17"/>
  <c r="M119" i="17"/>
  <c r="L119" i="17"/>
  <c r="K119" i="17"/>
  <c r="J119" i="17"/>
  <c r="I119" i="17"/>
  <c r="H119" i="17"/>
  <c r="G119" i="17"/>
  <c r="F119" i="17"/>
  <c r="E119" i="17"/>
  <c r="D119" i="17"/>
  <c r="C119" i="17"/>
  <c r="N118" i="17"/>
  <c r="M118" i="17"/>
  <c r="L118" i="17"/>
  <c r="K118" i="17"/>
  <c r="J118" i="17"/>
  <c r="I118" i="17"/>
  <c r="H118" i="17"/>
  <c r="G118" i="17"/>
  <c r="F118" i="17"/>
  <c r="E118" i="17"/>
  <c r="D118" i="17"/>
  <c r="C118" i="17"/>
  <c r="N117" i="17"/>
  <c r="M117" i="17"/>
  <c r="L117" i="17"/>
  <c r="K117" i="17"/>
  <c r="J117" i="17"/>
  <c r="I117" i="17"/>
  <c r="H117" i="17"/>
  <c r="G117" i="17"/>
  <c r="F117" i="17"/>
  <c r="E117" i="17"/>
  <c r="D117" i="17"/>
  <c r="N116" i="17"/>
  <c r="M116" i="17"/>
  <c r="L116" i="17"/>
  <c r="K116" i="17"/>
  <c r="J116" i="17"/>
  <c r="I116" i="17"/>
  <c r="H116" i="17"/>
  <c r="G116" i="17"/>
  <c r="F116" i="17"/>
  <c r="E116" i="17"/>
  <c r="D116" i="17"/>
  <c r="N115" i="17"/>
  <c r="M115" i="17"/>
  <c r="L115" i="17"/>
  <c r="K115" i="17"/>
  <c r="J115" i="17"/>
  <c r="I115" i="17"/>
  <c r="H115" i="17"/>
  <c r="G115" i="17"/>
  <c r="F115" i="17"/>
  <c r="E115" i="17"/>
  <c r="D115" i="17"/>
  <c r="N113" i="17"/>
  <c r="M113" i="17"/>
  <c r="L113" i="17"/>
  <c r="K113" i="17"/>
  <c r="J113" i="17"/>
  <c r="I113" i="17"/>
  <c r="H113" i="17"/>
  <c r="G113" i="17"/>
  <c r="F113" i="17"/>
  <c r="E113" i="17"/>
  <c r="D113" i="17"/>
  <c r="C113" i="17"/>
  <c r="N112" i="17"/>
  <c r="M112" i="17"/>
  <c r="L112" i="17"/>
  <c r="K112" i="17"/>
  <c r="J112" i="17"/>
  <c r="I112" i="17"/>
  <c r="H112" i="17"/>
  <c r="G112" i="17"/>
  <c r="F112" i="17"/>
  <c r="E112" i="17"/>
  <c r="D112" i="17"/>
  <c r="C112" i="17"/>
  <c r="N111" i="17"/>
  <c r="M111" i="17"/>
  <c r="L111" i="17"/>
  <c r="K111" i="17"/>
  <c r="J111" i="17"/>
  <c r="I111" i="17"/>
  <c r="H111" i="17"/>
  <c r="G111" i="17"/>
  <c r="F111" i="17"/>
  <c r="E111" i="17"/>
  <c r="D111" i="17"/>
  <c r="C111" i="17"/>
  <c r="N110" i="17"/>
  <c r="M110" i="17"/>
  <c r="L110" i="17"/>
  <c r="K110" i="17"/>
  <c r="J110" i="17"/>
  <c r="I110" i="17"/>
  <c r="H110" i="17"/>
  <c r="G110" i="17"/>
  <c r="F110" i="17"/>
  <c r="E110" i="17"/>
  <c r="D110" i="17"/>
  <c r="C110" i="17"/>
  <c r="N109" i="17"/>
  <c r="M109" i="17"/>
  <c r="L109" i="17"/>
  <c r="K109" i="17"/>
  <c r="J109" i="17"/>
  <c r="I109" i="17"/>
  <c r="H109" i="17"/>
  <c r="G109" i="17"/>
  <c r="F109" i="17"/>
  <c r="E109" i="17"/>
  <c r="D109" i="17"/>
  <c r="C109" i="17"/>
  <c r="N108" i="17"/>
  <c r="M108" i="17"/>
  <c r="L108" i="17"/>
  <c r="K108" i="17"/>
  <c r="J108" i="17"/>
  <c r="I108" i="17"/>
  <c r="H108" i="17"/>
  <c r="G108" i="17"/>
  <c r="F108" i="17"/>
  <c r="E108" i="17"/>
  <c r="D108" i="17"/>
  <c r="C108" i="17"/>
  <c r="N107" i="17"/>
  <c r="M107" i="17"/>
  <c r="L107" i="17"/>
  <c r="K107" i="17"/>
  <c r="J107" i="17"/>
  <c r="I107" i="17"/>
  <c r="H107" i="17"/>
  <c r="G107" i="17"/>
  <c r="F107" i="17"/>
  <c r="E107" i="17"/>
  <c r="D107" i="17"/>
  <c r="C107" i="17"/>
  <c r="N106" i="17"/>
  <c r="M106" i="17"/>
  <c r="L106" i="17"/>
  <c r="K106" i="17"/>
  <c r="J106" i="17"/>
  <c r="I106" i="17"/>
  <c r="H106" i="17"/>
  <c r="G106" i="17"/>
  <c r="F106" i="17"/>
  <c r="E106" i="17"/>
  <c r="D106" i="17"/>
  <c r="C106" i="17"/>
  <c r="N105" i="17"/>
  <c r="M105" i="17"/>
  <c r="L105" i="17"/>
  <c r="K105" i="17"/>
  <c r="J105" i="17"/>
  <c r="I105" i="17"/>
  <c r="H105" i="17"/>
  <c r="G105" i="17"/>
  <c r="F105" i="17"/>
  <c r="E105" i="17"/>
  <c r="D105" i="17"/>
  <c r="C105" i="17"/>
  <c r="N104" i="17"/>
  <c r="M104" i="17"/>
  <c r="L104" i="17"/>
  <c r="K104" i="17"/>
  <c r="J104" i="17"/>
  <c r="I104" i="17"/>
  <c r="H104" i="17"/>
  <c r="G104" i="17"/>
  <c r="F104" i="17"/>
  <c r="E104" i="17"/>
  <c r="D104" i="17"/>
  <c r="C104" i="17"/>
  <c r="N103" i="17"/>
  <c r="M103" i="17"/>
  <c r="L103" i="17"/>
  <c r="K103" i="17"/>
  <c r="J103" i="17"/>
  <c r="I103" i="17"/>
  <c r="H103" i="17"/>
  <c r="G103" i="17"/>
  <c r="F103" i="17"/>
  <c r="E103" i="17"/>
  <c r="D103" i="17"/>
  <c r="N102" i="17"/>
  <c r="M102" i="17"/>
  <c r="L102" i="17"/>
  <c r="K102" i="17"/>
  <c r="J102" i="17"/>
  <c r="I102" i="17"/>
  <c r="H102" i="17"/>
  <c r="G102" i="17"/>
  <c r="F102" i="17"/>
  <c r="E102" i="17"/>
  <c r="D102" i="17"/>
  <c r="N101" i="17"/>
  <c r="M101" i="17"/>
  <c r="L101" i="17"/>
  <c r="K101" i="17"/>
  <c r="J101" i="17"/>
  <c r="I101" i="17"/>
  <c r="H101" i="17"/>
  <c r="G101" i="17"/>
  <c r="F101" i="17"/>
  <c r="E101" i="17"/>
  <c r="D101" i="17"/>
  <c r="N98" i="17"/>
  <c r="M98" i="17"/>
  <c r="L98" i="17"/>
  <c r="K98" i="17"/>
  <c r="J98" i="17"/>
  <c r="I98" i="17"/>
  <c r="H98" i="17"/>
  <c r="G98" i="17"/>
  <c r="F98" i="17"/>
  <c r="E98" i="17"/>
  <c r="D98" i="17"/>
  <c r="C98" i="17"/>
  <c r="N97" i="17"/>
  <c r="M97" i="17"/>
  <c r="L97" i="17"/>
  <c r="K97" i="17"/>
  <c r="J97" i="17"/>
  <c r="I97" i="17"/>
  <c r="H97" i="17"/>
  <c r="G97" i="17"/>
  <c r="F97" i="17"/>
  <c r="E97" i="17"/>
  <c r="D97" i="17"/>
  <c r="C97" i="17"/>
  <c r="N96" i="17"/>
  <c r="M96" i="17"/>
  <c r="L96" i="17"/>
  <c r="K96" i="17"/>
  <c r="J96" i="17"/>
  <c r="I96" i="17"/>
  <c r="H96" i="17"/>
  <c r="G96" i="17"/>
  <c r="F96" i="17"/>
  <c r="E96" i="17"/>
  <c r="D96" i="17"/>
  <c r="C96" i="17"/>
  <c r="N95" i="17"/>
  <c r="M95" i="17"/>
  <c r="L95" i="17"/>
  <c r="K95" i="17"/>
  <c r="J95" i="17"/>
  <c r="I95" i="17"/>
  <c r="H95" i="17"/>
  <c r="G95" i="17"/>
  <c r="F95" i="17"/>
  <c r="E95" i="17"/>
  <c r="D95" i="17"/>
  <c r="C95" i="17"/>
  <c r="N94" i="17"/>
  <c r="M94" i="17"/>
  <c r="L94" i="17"/>
  <c r="K94" i="17"/>
  <c r="J94" i="17"/>
  <c r="I94" i="17"/>
  <c r="H94" i="17"/>
  <c r="G94" i="17"/>
  <c r="F94" i="17"/>
  <c r="E94" i="17"/>
  <c r="D94" i="17"/>
  <c r="C94" i="17"/>
  <c r="N93" i="17"/>
  <c r="M93" i="17"/>
  <c r="L93" i="17"/>
  <c r="K93" i="17"/>
  <c r="J93" i="17"/>
  <c r="I93" i="17"/>
  <c r="H93" i="17"/>
  <c r="G93" i="17"/>
  <c r="F93" i="17"/>
  <c r="E93" i="17"/>
  <c r="D93" i="17"/>
  <c r="C93" i="17"/>
  <c r="N92" i="17"/>
  <c r="M92" i="17"/>
  <c r="L92" i="17"/>
  <c r="K92" i="17"/>
  <c r="J92" i="17"/>
  <c r="I92" i="17"/>
  <c r="H92" i="17"/>
  <c r="G92" i="17"/>
  <c r="F92" i="17"/>
  <c r="E92" i="17"/>
  <c r="D92" i="17"/>
  <c r="C92" i="17"/>
  <c r="N91" i="17"/>
  <c r="M91" i="17"/>
  <c r="L91" i="17"/>
  <c r="K91" i="17"/>
  <c r="J91" i="17"/>
  <c r="I91" i="17"/>
  <c r="H91" i="17"/>
  <c r="G91" i="17"/>
  <c r="F91" i="17"/>
  <c r="E91" i="17"/>
  <c r="D91" i="17"/>
  <c r="C91" i="17"/>
  <c r="N90" i="17"/>
  <c r="M90" i="17"/>
  <c r="L90" i="17"/>
  <c r="K90" i="17"/>
  <c r="J90" i="17"/>
  <c r="I90" i="17"/>
  <c r="H90" i="17"/>
  <c r="G90" i="17"/>
  <c r="F90" i="17"/>
  <c r="E90" i="17"/>
  <c r="D90" i="17"/>
  <c r="C90" i="17"/>
  <c r="N89" i="17"/>
  <c r="M89" i="17"/>
  <c r="L89" i="17"/>
  <c r="K89" i="17"/>
  <c r="J89" i="17"/>
  <c r="I89" i="17"/>
  <c r="H89" i="17"/>
  <c r="G89" i="17"/>
  <c r="F89" i="17"/>
  <c r="E89" i="17"/>
  <c r="D89" i="17"/>
  <c r="C89" i="17"/>
  <c r="N88" i="17"/>
  <c r="M88" i="17"/>
  <c r="L88" i="17"/>
  <c r="K88" i="17"/>
  <c r="J88" i="17"/>
  <c r="I88" i="17"/>
  <c r="H88" i="17"/>
  <c r="G88" i="17"/>
  <c r="F88" i="17"/>
  <c r="E88" i="17"/>
  <c r="D88" i="17"/>
  <c r="N87" i="17"/>
  <c r="M87" i="17"/>
  <c r="L87" i="17"/>
  <c r="K87" i="17"/>
  <c r="J87" i="17"/>
  <c r="I87" i="17"/>
  <c r="H87" i="17"/>
  <c r="G87" i="17"/>
  <c r="F87" i="17"/>
  <c r="E87" i="17"/>
  <c r="D87" i="17"/>
  <c r="N86" i="17"/>
  <c r="M86" i="17"/>
  <c r="L86" i="17"/>
  <c r="K86" i="17"/>
  <c r="J86" i="17"/>
  <c r="I86" i="17"/>
  <c r="H86" i="17"/>
  <c r="G86" i="17"/>
  <c r="F86" i="17"/>
  <c r="E86" i="17"/>
  <c r="D86" i="17"/>
  <c r="N84" i="17"/>
  <c r="M84" i="17"/>
  <c r="L84" i="17"/>
  <c r="K84" i="17"/>
  <c r="J84" i="17"/>
  <c r="I84" i="17"/>
  <c r="H84" i="17"/>
  <c r="G84" i="17"/>
  <c r="F84" i="17"/>
  <c r="E84" i="17"/>
  <c r="D84" i="17"/>
  <c r="C84" i="17"/>
  <c r="N83" i="17"/>
  <c r="M83" i="17"/>
  <c r="L83" i="17"/>
  <c r="K83" i="17"/>
  <c r="J83" i="17"/>
  <c r="I83" i="17"/>
  <c r="H83" i="17"/>
  <c r="G83" i="17"/>
  <c r="F83" i="17"/>
  <c r="E83" i="17"/>
  <c r="D83" i="17"/>
  <c r="C83" i="17"/>
  <c r="N82" i="17"/>
  <c r="M82" i="17"/>
  <c r="L82" i="17"/>
  <c r="K82" i="17"/>
  <c r="J82" i="17"/>
  <c r="I82" i="17"/>
  <c r="H82" i="17"/>
  <c r="G82" i="17"/>
  <c r="F82" i="17"/>
  <c r="E82" i="17"/>
  <c r="D82" i="17"/>
  <c r="C82" i="17"/>
  <c r="N81" i="17"/>
  <c r="M81" i="17"/>
  <c r="L81" i="17"/>
  <c r="K81" i="17"/>
  <c r="J81" i="17"/>
  <c r="I81" i="17"/>
  <c r="H81" i="17"/>
  <c r="G81" i="17"/>
  <c r="F81" i="17"/>
  <c r="E81" i="17"/>
  <c r="D81" i="17"/>
  <c r="C81" i="17"/>
  <c r="N80" i="17"/>
  <c r="M80" i="17"/>
  <c r="L80" i="17"/>
  <c r="K80" i="17"/>
  <c r="J80" i="17"/>
  <c r="I80" i="17"/>
  <c r="H80" i="17"/>
  <c r="G80" i="17"/>
  <c r="F80" i="17"/>
  <c r="E80" i="17"/>
  <c r="D80" i="17"/>
  <c r="C80" i="17"/>
  <c r="N79" i="17"/>
  <c r="M79" i="17"/>
  <c r="L79" i="17"/>
  <c r="K79" i="17"/>
  <c r="J79" i="17"/>
  <c r="I79" i="17"/>
  <c r="H79" i="17"/>
  <c r="G79" i="17"/>
  <c r="F79" i="17"/>
  <c r="E79" i="17"/>
  <c r="D79" i="17"/>
  <c r="C79" i="17"/>
  <c r="N78" i="17"/>
  <c r="M78" i="17"/>
  <c r="L78" i="17"/>
  <c r="K78" i="17"/>
  <c r="J78" i="17"/>
  <c r="I78" i="17"/>
  <c r="H78" i="17"/>
  <c r="G78" i="17"/>
  <c r="F78" i="17"/>
  <c r="E78" i="17"/>
  <c r="D78" i="17"/>
  <c r="C78" i="17"/>
  <c r="N77" i="17"/>
  <c r="M77" i="17"/>
  <c r="L77" i="17"/>
  <c r="K77" i="17"/>
  <c r="J77" i="17"/>
  <c r="I77" i="17"/>
  <c r="H77" i="17"/>
  <c r="G77" i="17"/>
  <c r="F77" i="17"/>
  <c r="E77" i="17"/>
  <c r="D77" i="17"/>
  <c r="C77" i="17"/>
  <c r="N76" i="17"/>
  <c r="M76" i="17"/>
  <c r="L76" i="17"/>
  <c r="K76" i="17"/>
  <c r="J76" i="17"/>
  <c r="I76" i="17"/>
  <c r="H76" i="17"/>
  <c r="G76" i="17"/>
  <c r="F76" i="17"/>
  <c r="E76" i="17"/>
  <c r="D76" i="17"/>
  <c r="C76" i="17"/>
  <c r="N75" i="17"/>
  <c r="M75" i="17"/>
  <c r="L75" i="17"/>
  <c r="K75" i="17"/>
  <c r="J75" i="17"/>
  <c r="I75" i="17"/>
  <c r="H75" i="17"/>
  <c r="G75" i="17"/>
  <c r="F75" i="17"/>
  <c r="E75" i="17"/>
  <c r="D75" i="17"/>
  <c r="C75" i="17"/>
  <c r="N74" i="17"/>
  <c r="M74" i="17"/>
  <c r="L74" i="17"/>
  <c r="K74" i="17"/>
  <c r="J74" i="17"/>
  <c r="I74" i="17"/>
  <c r="H74" i="17"/>
  <c r="G74" i="17"/>
  <c r="F74" i="17"/>
  <c r="E74" i="17"/>
  <c r="D74" i="17"/>
  <c r="N73" i="17"/>
  <c r="M73" i="17"/>
  <c r="L73" i="17"/>
  <c r="K73" i="17"/>
  <c r="J73" i="17"/>
  <c r="I73" i="17"/>
  <c r="H73" i="17"/>
  <c r="G73" i="17"/>
  <c r="F73" i="17"/>
  <c r="E73" i="17"/>
  <c r="D73" i="17"/>
  <c r="N72" i="17"/>
  <c r="M72" i="17"/>
  <c r="L72" i="17"/>
  <c r="K72" i="17"/>
  <c r="J72" i="17"/>
  <c r="I72" i="17"/>
  <c r="H72" i="17"/>
  <c r="G72" i="17"/>
  <c r="F72" i="17"/>
  <c r="E72" i="17"/>
  <c r="D72" i="17"/>
  <c r="N69" i="17"/>
  <c r="M69" i="17"/>
  <c r="L69" i="17"/>
  <c r="K69" i="17"/>
  <c r="J69" i="17"/>
  <c r="I69" i="17"/>
  <c r="H69" i="17"/>
  <c r="G69" i="17"/>
  <c r="F69" i="17"/>
  <c r="E69" i="17"/>
  <c r="D69" i="17"/>
  <c r="C69" i="17"/>
  <c r="N68" i="17"/>
  <c r="M68" i="17"/>
  <c r="L68" i="17"/>
  <c r="K68" i="17"/>
  <c r="J68" i="17"/>
  <c r="I68" i="17"/>
  <c r="H68" i="17"/>
  <c r="G68" i="17"/>
  <c r="F68" i="17"/>
  <c r="E68" i="17"/>
  <c r="D68" i="17"/>
  <c r="C68" i="17"/>
  <c r="N67" i="17"/>
  <c r="M67" i="17"/>
  <c r="L67" i="17"/>
  <c r="K67" i="17"/>
  <c r="J67" i="17"/>
  <c r="I67" i="17"/>
  <c r="H67" i="17"/>
  <c r="G67" i="17"/>
  <c r="F67" i="17"/>
  <c r="E67" i="17"/>
  <c r="D67" i="17"/>
  <c r="C67" i="17"/>
  <c r="N66" i="17"/>
  <c r="M66" i="17"/>
  <c r="L66" i="17"/>
  <c r="K66" i="17"/>
  <c r="J66" i="17"/>
  <c r="I66" i="17"/>
  <c r="H66" i="17"/>
  <c r="G66" i="17"/>
  <c r="F66" i="17"/>
  <c r="E66" i="17"/>
  <c r="D66" i="17"/>
  <c r="C66" i="17"/>
  <c r="N65" i="17"/>
  <c r="M65" i="17"/>
  <c r="L65" i="17"/>
  <c r="K65" i="17"/>
  <c r="J65" i="17"/>
  <c r="I65" i="17"/>
  <c r="H65" i="17"/>
  <c r="G65" i="17"/>
  <c r="F65" i="17"/>
  <c r="E65" i="17"/>
  <c r="D65" i="17"/>
  <c r="C65" i="17"/>
  <c r="N64" i="17"/>
  <c r="M64" i="17"/>
  <c r="L64" i="17"/>
  <c r="K64" i="17"/>
  <c r="J64" i="17"/>
  <c r="I64" i="17"/>
  <c r="H64" i="17"/>
  <c r="G64" i="17"/>
  <c r="F64" i="17"/>
  <c r="E64" i="17"/>
  <c r="D64" i="17"/>
  <c r="C64" i="17"/>
  <c r="N63" i="17"/>
  <c r="M63" i="17"/>
  <c r="L63" i="17"/>
  <c r="K63" i="17"/>
  <c r="J63" i="17"/>
  <c r="I63" i="17"/>
  <c r="H63" i="17"/>
  <c r="G63" i="17"/>
  <c r="F63" i="17"/>
  <c r="E63" i="17"/>
  <c r="D63" i="17"/>
  <c r="C63" i="17"/>
  <c r="N62" i="17"/>
  <c r="M62" i="17"/>
  <c r="L62" i="17"/>
  <c r="K62" i="17"/>
  <c r="J62" i="17"/>
  <c r="I62" i="17"/>
  <c r="H62" i="17"/>
  <c r="G62" i="17"/>
  <c r="F62" i="17"/>
  <c r="E62" i="17"/>
  <c r="D62" i="17"/>
  <c r="C62" i="17"/>
  <c r="N61" i="17"/>
  <c r="M61" i="17"/>
  <c r="L61" i="17"/>
  <c r="K61" i="17"/>
  <c r="J61" i="17"/>
  <c r="I61" i="17"/>
  <c r="H61" i="17"/>
  <c r="G61" i="17"/>
  <c r="F61" i="17"/>
  <c r="E61" i="17"/>
  <c r="D61" i="17"/>
  <c r="C61" i="17"/>
  <c r="N60" i="17"/>
  <c r="M60" i="17"/>
  <c r="L60" i="17"/>
  <c r="K60" i="17"/>
  <c r="J60" i="17"/>
  <c r="I60" i="17"/>
  <c r="H60" i="17"/>
  <c r="G60" i="17"/>
  <c r="F60" i="17"/>
  <c r="E60" i="17"/>
  <c r="D60" i="17"/>
  <c r="C60" i="17"/>
  <c r="N59" i="17"/>
  <c r="M59" i="17"/>
  <c r="L59" i="17"/>
  <c r="K59" i="17"/>
  <c r="J59" i="17"/>
  <c r="I59" i="17"/>
  <c r="H59" i="17"/>
  <c r="G59" i="17"/>
  <c r="F59" i="17"/>
  <c r="E59" i="17"/>
  <c r="D59" i="17"/>
  <c r="N58" i="17"/>
  <c r="M58" i="17"/>
  <c r="L58" i="17"/>
  <c r="K58" i="17"/>
  <c r="J58" i="17"/>
  <c r="I58" i="17"/>
  <c r="H58" i="17"/>
  <c r="G58" i="17"/>
  <c r="F58" i="17"/>
  <c r="E58" i="17"/>
  <c r="D58" i="17"/>
  <c r="N57" i="17"/>
  <c r="M57" i="17"/>
  <c r="L57" i="17"/>
  <c r="K57" i="17"/>
  <c r="J57" i="17"/>
  <c r="I57" i="17"/>
  <c r="H57" i="17"/>
  <c r="G57" i="17"/>
  <c r="F57" i="17"/>
  <c r="E57" i="17"/>
  <c r="D57" i="17"/>
  <c r="N55" i="17"/>
  <c r="M55" i="17"/>
  <c r="L55" i="17"/>
  <c r="K55" i="17"/>
  <c r="J55" i="17"/>
  <c r="I55" i="17"/>
  <c r="H55" i="17"/>
  <c r="G55" i="17"/>
  <c r="F55" i="17"/>
  <c r="E55" i="17"/>
  <c r="D55" i="17"/>
  <c r="C55" i="17"/>
  <c r="N54" i="17"/>
  <c r="M54" i="17"/>
  <c r="L54" i="17"/>
  <c r="K54" i="17"/>
  <c r="J54" i="17"/>
  <c r="I54" i="17"/>
  <c r="H54" i="17"/>
  <c r="G54" i="17"/>
  <c r="F54" i="17"/>
  <c r="E54" i="17"/>
  <c r="D54" i="17"/>
  <c r="C54" i="17"/>
  <c r="N53" i="17"/>
  <c r="M53" i="17"/>
  <c r="L53" i="17"/>
  <c r="K53" i="17"/>
  <c r="J53" i="17"/>
  <c r="I53" i="17"/>
  <c r="H53" i="17"/>
  <c r="G53" i="17"/>
  <c r="F53" i="17"/>
  <c r="E53" i="17"/>
  <c r="D53" i="17"/>
  <c r="C53" i="17"/>
  <c r="N52" i="17"/>
  <c r="M52" i="17"/>
  <c r="L52" i="17"/>
  <c r="K52" i="17"/>
  <c r="J52" i="17"/>
  <c r="I52" i="17"/>
  <c r="H52" i="17"/>
  <c r="G52" i="17"/>
  <c r="F52" i="17"/>
  <c r="E52" i="17"/>
  <c r="D52" i="17"/>
  <c r="C52" i="17"/>
  <c r="N51" i="17"/>
  <c r="M51" i="17"/>
  <c r="L51" i="17"/>
  <c r="K51" i="17"/>
  <c r="J51" i="17"/>
  <c r="I51" i="17"/>
  <c r="H51" i="17"/>
  <c r="G51" i="17"/>
  <c r="F51" i="17"/>
  <c r="E51" i="17"/>
  <c r="D51" i="17"/>
  <c r="C51" i="17"/>
  <c r="N50" i="17"/>
  <c r="M50" i="17"/>
  <c r="L50" i="17"/>
  <c r="K50" i="17"/>
  <c r="J50" i="17"/>
  <c r="I50" i="17"/>
  <c r="H50" i="17"/>
  <c r="G50" i="17"/>
  <c r="F50" i="17"/>
  <c r="E50" i="17"/>
  <c r="D50" i="17"/>
  <c r="C50" i="17"/>
  <c r="N49" i="17"/>
  <c r="M49" i="17"/>
  <c r="L49" i="17"/>
  <c r="K49" i="17"/>
  <c r="J49" i="17"/>
  <c r="I49" i="17"/>
  <c r="H49" i="17"/>
  <c r="G49" i="17"/>
  <c r="F49" i="17"/>
  <c r="E49" i="17"/>
  <c r="D49" i="17"/>
  <c r="C49" i="17"/>
  <c r="N48" i="17"/>
  <c r="M48" i="17"/>
  <c r="L48" i="17"/>
  <c r="K48" i="17"/>
  <c r="J48" i="17"/>
  <c r="I48" i="17"/>
  <c r="H48" i="17"/>
  <c r="G48" i="17"/>
  <c r="F48" i="17"/>
  <c r="E48" i="17"/>
  <c r="D48" i="17"/>
  <c r="C48" i="17"/>
  <c r="N47" i="17"/>
  <c r="M47" i="17"/>
  <c r="L47" i="17"/>
  <c r="K47" i="17"/>
  <c r="J47" i="17"/>
  <c r="I47" i="17"/>
  <c r="H47" i="17"/>
  <c r="G47" i="17"/>
  <c r="F47" i="17"/>
  <c r="E47" i="17"/>
  <c r="D47" i="17"/>
  <c r="C47" i="17"/>
  <c r="N46" i="17"/>
  <c r="M46" i="17"/>
  <c r="L46" i="17"/>
  <c r="K46" i="17"/>
  <c r="J46" i="17"/>
  <c r="I46" i="17"/>
  <c r="H46" i="17"/>
  <c r="G46" i="17"/>
  <c r="F46" i="17"/>
  <c r="E46" i="17"/>
  <c r="D46" i="17"/>
  <c r="C46" i="17"/>
  <c r="N45" i="17"/>
  <c r="M45" i="17"/>
  <c r="L45" i="17"/>
  <c r="K45" i="17"/>
  <c r="J45" i="17"/>
  <c r="I45" i="17"/>
  <c r="H45" i="17"/>
  <c r="G45" i="17"/>
  <c r="F45" i="17"/>
  <c r="E45" i="17"/>
  <c r="D45" i="17"/>
  <c r="N44" i="17"/>
  <c r="M44" i="17"/>
  <c r="L44" i="17"/>
  <c r="K44" i="17"/>
  <c r="J44" i="17"/>
  <c r="I44" i="17"/>
  <c r="H44" i="17"/>
  <c r="G44" i="17"/>
  <c r="F44" i="17"/>
  <c r="E44" i="17"/>
  <c r="D44" i="17"/>
  <c r="N43" i="17"/>
  <c r="M43" i="17"/>
  <c r="L43" i="17"/>
  <c r="K43" i="17"/>
  <c r="J43" i="17"/>
  <c r="I43" i="17"/>
  <c r="H43" i="17"/>
  <c r="G43" i="17"/>
  <c r="F43" i="17"/>
  <c r="E43" i="17"/>
  <c r="D43" i="17"/>
  <c r="N40" i="17"/>
  <c r="M40" i="17"/>
  <c r="L40" i="17"/>
  <c r="K40" i="17"/>
  <c r="J40" i="17"/>
  <c r="I40" i="17"/>
  <c r="H40" i="17"/>
  <c r="G40" i="17"/>
  <c r="F40" i="17"/>
  <c r="E40" i="17"/>
  <c r="D40" i="17"/>
  <c r="C40" i="17"/>
  <c r="N39" i="17"/>
  <c r="M39" i="17"/>
  <c r="L39" i="17"/>
  <c r="K39" i="17"/>
  <c r="J39" i="17"/>
  <c r="I39" i="17"/>
  <c r="H39" i="17"/>
  <c r="G39" i="17"/>
  <c r="F39" i="17"/>
  <c r="E39" i="17"/>
  <c r="D39" i="17"/>
  <c r="C39" i="17"/>
  <c r="N38" i="17"/>
  <c r="M38" i="17"/>
  <c r="L38" i="17"/>
  <c r="K38" i="17"/>
  <c r="J38" i="17"/>
  <c r="I38" i="17"/>
  <c r="H38" i="17"/>
  <c r="G38" i="17"/>
  <c r="F38" i="17"/>
  <c r="E38" i="17"/>
  <c r="D38" i="17"/>
  <c r="C38" i="17"/>
  <c r="N37" i="17"/>
  <c r="M37" i="17"/>
  <c r="L37" i="17"/>
  <c r="K37" i="17"/>
  <c r="J37" i="17"/>
  <c r="I37" i="17"/>
  <c r="H37" i="17"/>
  <c r="G37" i="17"/>
  <c r="F37" i="17"/>
  <c r="E37" i="17"/>
  <c r="D37" i="17"/>
  <c r="C37" i="17"/>
  <c r="N36" i="17"/>
  <c r="M36" i="17"/>
  <c r="L36" i="17"/>
  <c r="K36" i="17"/>
  <c r="J36" i="17"/>
  <c r="I36" i="17"/>
  <c r="H36" i="17"/>
  <c r="G36" i="17"/>
  <c r="F36" i="17"/>
  <c r="E36" i="17"/>
  <c r="D36" i="17"/>
  <c r="C36" i="17"/>
  <c r="N35" i="17"/>
  <c r="M35" i="17"/>
  <c r="L35" i="17"/>
  <c r="K35" i="17"/>
  <c r="J35" i="17"/>
  <c r="I35" i="17"/>
  <c r="H35" i="17"/>
  <c r="G35" i="17"/>
  <c r="F35" i="17"/>
  <c r="E35" i="17"/>
  <c r="D35" i="17"/>
  <c r="C35" i="17"/>
  <c r="N34" i="17"/>
  <c r="M34" i="17"/>
  <c r="L34" i="17"/>
  <c r="K34" i="17"/>
  <c r="J34" i="17"/>
  <c r="I34" i="17"/>
  <c r="H34" i="17"/>
  <c r="G34" i="17"/>
  <c r="F34" i="17"/>
  <c r="E34" i="17"/>
  <c r="D34" i="17"/>
  <c r="C34" i="17"/>
  <c r="N33" i="17"/>
  <c r="M33" i="17"/>
  <c r="L33" i="17"/>
  <c r="K33" i="17"/>
  <c r="J33" i="17"/>
  <c r="I33" i="17"/>
  <c r="H33" i="17"/>
  <c r="G33" i="17"/>
  <c r="F33" i="17"/>
  <c r="E33" i="17"/>
  <c r="D33" i="17"/>
  <c r="C33" i="17"/>
  <c r="N32" i="17"/>
  <c r="M32" i="17"/>
  <c r="L32" i="17"/>
  <c r="K32" i="17"/>
  <c r="J32" i="17"/>
  <c r="I32" i="17"/>
  <c r="H32" i="17"/>
  <c r="G32" i="17"/>
  <c r="F32" i="17"/>
  <c r="E32" i="17"/>
  <c r="D32" i="17"/>
  <c r="C32" i="17"/>
  <c r="N31" i="17"/>
  <c r="M31" i="17"/>
  <c r="L31" i="17"/>
  <c r="K31" i="17"/>
  <c r="J31" i="17"/>
  <c r="I31" i="17"/>
  <c r="H31" i="17"/>
  <c r="G31" i="17"/>
  <c r="F31" i="17"/>
  <c r="E31" i="17"/>
  <c r="D31" i="17"/>
  <c r="C31" i="17"/>
  <c r="N30" i="17"/>
  <c r="M30" i="17"/>
  <c r="L30" i="17"/>
  <c r="K30" i="17"/>
  <c r="J30" i="17"/>
  <c r="I30" i="17"/>
  <c r="H30" i="17"/>
  <c r="G30" i="17"/>
  <c r="F30" i="17"/>
  <c r="E30" i="17"/>
  <c r="D30" i="17"/>
  <c r="N29" i="17"/>
  <c r="M29" i="17"/>
  <c r="L29" i="17"/>
  <c r="K29" i="17"/>
  <c r="J29" i="17"/>
  <c r="I29" i="17"/>
  <c r="H29" i="17"/>
  <c r="G29" i="17"/>
  <c r="F29" i="17"/>
  <c r="E29" i="17"/>
  <c r="D29" i="17"/>
  <c r="N28" i="17"/>
  <c r="M28" i="17"/>
  <c r="L28" i="17"/>
  <c r="K28" i="17"/>
  <c r="J28" i="17"/>
  <c r="I28" i="17"/>
  <c r="H28" i="17"/>
  <c r="G28" i="17"/>
  <c r="F28" i="17"/>
  <c r="E28" i="17"/>
  <c r="D28" i="17"/>
  <c r="N26" i="17"/>
  <c r="M26" i="17"/>
  <c r="L26" i="17"/>
  <c r="K26" i="17"/>
  <c r="J26" i="17"/>
  <c r="I26" i="17"/>
  <c r="H26" i="17"/>
  <c r="G26" i="17"/>
  <c r="F26" i="17"/>
  <c r="E26" i="17"/>
  <c r="D26" i="17"/>
  <c r="C26" i="17"/>
  <c r="N25" i="17"/>
  <c r="M25" i="17"/>
  <c r="L25" i="17"/>
  <c r="K25" i="17"/>
  <c r="J25" i="17"/>
  <c r="I25" i="17"/>
  <c r="H25" i="17"/>
  <c r="G25" i="17"/>
  <c r="F25" i="17"/>
  <c r="E25" i="17"/>
  <c r="D25" i="17"/>
  <c r="C25" i="17"/>
  <c r="N24" i="17"/>
  <c r="M24" i="17"/>
  <c r="L24" i="17"/>
  <c r="K24" i="17"/>
  <c r="J24" i="17"/>
  <c r="I24" i="17"/>
  <c r="H24" i="17"/>
  <c r="G24" i="17"/>
  <c r="F24" i="17"/>
  <c r="E24" i="17"/>
  <c r="D24" i="17"/>
  <c r="C24" i="17"/>
  <c r="N23" i="17"/>
  <c r="M23" i="17"/>
  <c r="L23" i="17"/>
  <c r="K23" i="17"/>
  <c r="J23" i="17"/>
  <c r="I23" i="17"/>
  <c r="H23" i="17"/>
  <c r="G23" i="17"/>
  <c r="F23" i="17"/>
  <c r="E23" i="17"/>
  <c r="D23" i="17"/>
  <c r="C23" i="17"/>
  <c r="N22" i="17"/>
  <c r="M22" i="17"/>
  <c r="L22" i="17"/>
  <c r="K22" i="17"/>
  <c r="J22" i="17"/>
  <c r="I22" i="17"/>
  <c r="H22" i="17"/>
  <c r="G22" i="17"/>
  <c r="F22" i="17"/>
  <c r="E22" i="17"/>
  <c r="D22" i="17"/>
  <c r="C22" i="17"/>
  <c r="N21" i="17"/>
  <c r="M21" i="17"/>
  <c r="L21" i="17"/>
  <c r="K21" i="17"/>
  <c r="J21" i="17"/>
  <c r="I21" i="17"/>
  <c r="H21" i="17"/>
  <c r="G21" i="17"/>
  <c r="F21" i="17"/>
  <c r="E21" i="17"/>
  <c r="D21" i="17"/>
  <c r="C21" i="17"/>
  <c r="N20" i="17"/>
  <c r="M20" i="17"/>
  <c r="L20" i="17"/>
  <c r="K20" i="17"/>
  <c r="J20" i="17"/>
  <c r="I20" i="17"/>
  <c r="H20" i="17"/>
  <c r="G20" i="17"/>
  <c r="F20" i="17"/>
  <c r="E20" i="17"/>
  <c r="D20" i="17"/>
  <c r="C20" i="17"/>
  <c r="N19" i="17"/>
  <c r="M19" i="17"/>
  <c r="L19" i="17"/>
  <c r="K19" i="17"/>
  <c r="J19" i="17"/>
  <c r="I19" i="17"/>
  <c r="H19" i="17"/>
  <c r="G19" i="17"/>
  <c r="F19" i="17"/>
  <c r="E19" i="17"/>
  <c r="D19" i="17"/>
  <c r="C19" i="17"/>
  <c r="N18" i="17"/>
  <c r="M18" i="17"/>
  <c r="L18" i="17"/>
  <c r="K18" i="17"/>
  <c r="J18" i="17"/>
  <c r="I18" i="17"/>
  <c r="H18" i="17"/>
  <c r="G18" i="17"/>
  <c r="F18" i="17"/>
  <c r="E18" i="17"/>
  <c r="D18" i="17"/>
  <c r="C18" i="17"/>
  <c r="N17" i="17"/>
  <c r="M17" i="17"/>
  <c r="L17" i="17"/>
  <c r="K17" i="17"/>
  <c r="J17" i="17"/>
  <c r="I17" i="17"/>
  <c r="H17" i="17"/>
  <c r="G17" i="17"/>
  <c r="F17" i="17"/>
  <c r="E17" i="17"/>
  <c r="D17" i="17"/>
  <c r="C17" i="17"/>
  <c r="N16" i="17"/>
  <c r="M16" i="17"/>
  <c r="L16" i="17"/>
  <c r="K16" i="17"/>
  <c r="J16" i="17"/>
  <c r="I16" i="17"/>
  <c r="H16" i="17"/>
  <c r="G16" i="17"/>
  <c r="F16" i="17"/>
  <c r="E16" i="17"/>
  <c r="D16" i="17"/>
  <c r="N15" i="17"/>
  <c r="M15" i="17"/>
  <c r="L15" i="17"/>
  <c r="K15" i="17"/>
  <c r="J15" i="17"/>
  <c r="I15" i="17"/>
  <c r="H15" i="17"/>
  <c r="G15" i="17"/>
  <c r="F15" i="17"/>
  <c r="E15" i="17"/>
  <c r="D15" i="17"/>
  <c r="N14" i="17"/>
  <c r="M14" i="17"/>
  <c r="L14" i="17"/>
  <c r="K14" i="17"/>
  <c r="J14" i="17"/>
  <c r="I14" i="17"/>
  <c r="H14" i="17"/>
  <c r="G14" i="17"/>
  <c r="F14" i="17"/>
  <c r="E14" i="17"/>
  <c r="D14" i="17"/>
  <c r="D7" i="17"/>
  <c r="D24" i="29"/>
  <c r="D23" i="29"/>
  <c r="D26" i="29"/>
  <c r="D27" i="29"/>
  <c r="E31" i="29"/>
  <c r="F22" i="29"/>
  <c r="E22" i="29"/>
  <c r="H22" i="29"/>
  <c r="I22" i="29"/>
  <c r="I6" i="29"/>
  <c r="I12" i="29"/>
  <c r="J6" i="29"/>
  <c r="J12" i="29"/>
  <c r="K6" i="29"/>
  <c r="K12" i="29"/>
  <c r="L6" i="29"/>
  <c r="L12" i="29"/>
  <c r="M6" i="29"/>
  <c r="M12" i="29"/>
  <c r="N6" i="29"/>
  <c r="N12" i="29"/>
  <c r="O6" i="29"/>
  <c r="O12" i="29"/>
  <c r="P6" i="29"/>
  <c r="P12" i="29"/>
  <c r="Q6" i="29"/>
  <c r="Q12" i="29"/>
  <c r="E17" i="29"/>
  <c r="D22" i="29"/>
  <c r="G7" i="29"/>
  <c r="H7" i="29"/>
  <c r="F7" i="29"/>
  <c r="W15" i="27"/>
  <c r="O25" i="27"/>
  <c r="N15" i="23"/>
  <c r="I6" i="27"/>
  <c r="M16" i="23"/>
  <c r="H26" i="27"/>
  <c r="N16" i="23"/>
  <c r="I26" i="27"/>
  <c r="J26" i="27"/>
  <c r="J6" i="27"/>
  <c r="K26" i="27"/>
  <c r="K6" i="27"/>
  <c r="L26" i="27"/>
  <c r="L6" i="27"/>
  <c r="L8" i="27"/>
  <c r="N20" i="2"/>
  <c r="F10" i="27"/>
  <c r="N17" i="2"/>
  <c r="N16" i="2"/>
  <c r="F6" i="27"/>
  <c r="F27" i="27"/>
  <c r="L18" i="23"/>
  <c r="L15" i="23"/>
  <c r="L19" i="23"/>
  <c r="G27" i="27"/>
  <c r="M18" i="23"/>
  <c r="M15" i="23"/>
  <c r="M19" i="23"/>
  <c r="H27" i="27"/>
  <c r="N18" i="23"/>
  <c r="N19" i="23"/>
  <c r="I27" i="27"/>
  <c r="L20" i="2"/>
  <c r="D10" i="27"/>
  <c r="L17" i="2"/>
  <c r="L16" i="2"/>
  <c r="D6" i="27"/>
  <c r="D27" i="27"/>
  <c r="M20" i="2"/>
  <c r="E10" i="27"/>
  <c r="M17" i="2"/>
  <c r="M16" i="2"/>
  <c r="E6" i="27"/>
  <c r="E27" i="27"/>
  <c r="J27" i="27"/>
  <c r="K27" i="27"/>
  <c r="L27" i="27"/>
  <c r="L10" i="27"/>
  <c r="L11" i="27"/>
  <c r="L23" i="2"/>
  <c r="D13" i="27"/>
  <c r="D28" i="27"/>
  <c r="M23" i="2"/>
  <c r="E13" i="27"/>
  <c r="E28" i="27"/>
  <c r="N23" i="2"/>
  <c r="F13" i="27"/>
  <c r="F28" i="27"/>
  <c r="L28" i="27"/>
  <c r="L13" i="27"/>
  <c r="L24" i="2"/>
  <c r="D14" i="27"/>
  <c r="D29" i="27"/>
  <c r="M24" i="2"/>
  <c r="E14" i="27"/>
  <c r="E29" i="27"/>
  <c r="N24" i="2"/>
  <c r="F14" i="27"/>
  <c r="F29" i="27"/>
  <c r="L29" i="27"/>
  <c r="L14" i="27"/>
  <c r="L40" i="27"/>
  <c r="L7" i="4"/>
  <c r="L21" i="4"/>
  <c r="D36" i="27"/>
  <c r="D40" i="27"/>
  <c r="D41" i="27"/>
  <c r="M21" i="4"/>
  <c r="E36" i="27"/>
  <c r="E40" i="27"/>
  <c r="E41" i="27"/>
  <c r="N21" i="4"/>
  <c r="F36" i="27"/>
  <c r="F40" i="27"/>
  <c r="F41" i="27"/>
  <c r="L41" i="27"/>
  <c r="L36" i="27"/>
  <c r="N25" i="2"/>
  <c r="F15" i="27"/>
  <c r="F37" i="27"/>
  <c r="F42" i="27"/>
  <c r="D43" i="27"/>
  <c r="G42" i="27"/>
  <c r="H42" i="27"/>
  <c r="I42" i="27"/>
  <c r="J42" i="27"/>
  <c r="K42" i="27"/>
  <c r="L42" i="27"/>
  <c r="L37" i="27"/>
  <c r="L15" i="27"/>
  <c r="L18" i="2"/>
  <c r="L21" i="2"/>
  <c r="L25" i="2"/>
  <c r="L26" i="2"/>
  <c r="D16" i="27"/>
  <c r="D30" i="27"/>
  <c r="M18" i="2"/>
  <c r="M21" i="2"/>
  <c r="M25" i="2"/>
  <c r="M26" i="2"/>
  <c r="E16" i="27"/>
  <c r="E30" i="27"/>
  <c r="N18" i="2"/>
  <c r="N21" i="2"/>
  <c r="N26" i="2"/>
  <c r="F16" i="27"/>
  <c r="F30" i="27"/>
  <c r="L30" i="27"/>
  <c r="L16" i="27"/>
  <c r="L17" i="27"/>
  <c r="L19" i="27"/>
  <c r="L21" i="27"/>
  <c r="L23" i="27"/>
  <c r="W6" i="27"/>
  <c r="W7" i="27"/>
  <c r="W8" i="27"/>
  <c r="L20" i="3"/>
  <c r="D48" i="27"/>
  <c r="D62" i="27"/>
  <c r="D64" i="27"/>
  <c r="M20" i="3"/>
  <c r="E48" i="27"/>
  <c r="E62" i="27"/>
  <c r="E64" i="27"/>
  <c r="N20" i="3"/>
  <c r="F48" i="27"/>
  <c r="F62" i="27"/>
  <c r="F64" i="27"/>
  <c r="L64" i="27"/>
  <c r="L62" i="27"/>
  <c r="L48" i="27"/>
  <c r="L63" i="27"/>
  <c r="L23" i="3"/>
  <c r="D49" i="27"/>
  <c r="D63" i="27"/>
  <c r="D65" i="27"/>
  <c r="M23" i="3"/>
  <c r="E49" i="27"/>
  <c r="E63" i="27"/>
  <c r="E65" i="27"/>
  <c r="N23" i="3"/>
  <c r="F49" i="27"/>
  <c r="F63" i="27"/>
  <c r="F65" i="27"/>
  <c r="L65" i="27"/>
  <c r="L49" i="27"/>
  <c r="N24" i="3"/>
  <c r="N25" i="3"/>
  <c r="N26" i="3"/>
  <c r="F50" i="27"/>
  <c r="F66" i="27"/>
  <c r="G66" i="27"/>
  <c r="H66" i="27"/>
  <c r="I66" i="27"/>
  <c r="J66" i="27"/>
  <c r="K66" i="27"/>
  <c r="L66" i="27"/>
  <c r="L50" i="27"/>
  <c r="L51" i="27"/>
  <c r="L39" i="3"/>
  <c r="D53" i="27"/>
  <c r="D67" i="27"/>
  <c r="M39" i="3"/>
  <c r="E53" i="27"/>
  <c r="E67" i="27"/>
  <c r="N39" i="3"/>
  <c r="F53" i="27"/>
  <c r="F67" i="27"/>
  <c r="L67" i="27"/>
  <c r="L53" i="27"/>
  <c r="L37" i="3"/>
  <c r="D54" i="27"/>
  <c r="D68" i="27"/>
  <c r="M37" i="3"/>
  <c r="E54" i="27"/>
  <c r="E68" i="27"/>
  <c r="N37" i="3"/>
  <c r="F54" i="27"/>
  <c r="F68" i="27"/>
  <c r="L68" i="27"/>
  <c r="L54" i="27"/>
  <c r="L40" i="3"/>
  <c r="L41" i="3"/>
  <c r="D55" i="27"/>
  <c r="D69" i="27"/>
  <c r="M40" i="3"/>
  <c r="M41" i="3"/>
  <c r="E55" i="27"/>
  <c r="E69" i="27"/>
  <c r="N40" i="3"/>
  <c r="N41" i="3"/>
  <c r="F55" i="27"/>
  <c r="F69" i="27"/>
  <c r="L69" i="27"/>
  <c r="L55" i="27"/>
  <c r="L56" i="27"/>
  <c r="L58" i="27"/>
  <c r="K64" i="27"/>
  <c r="K62" i="27"/>
  <c r="K48" i="27"/>
  <c r="K8" i="27"/>
  <c r="K10" i="27"/>
  <c r="K63" i="27"/>
  <c r="K65" i="27"/>
  <c r="K49" i="27"/>
  <c r="K50" i="27"/>
  <c r="K51" i="27"/>
  <c r="K67" i="27"/>
  <c r="K53" i="27"/>
  <c r="K68" i="27"/>
  <c r="K54" i="27"/>
  <c r="K69" i="27"/>
  <c r="K55" i="27"/>
  <c r="K56" i="27"/>
  <c r="K58" i="27"/>
  <c r="L59" i="27"/>
  <c r="W9" i="27"/>
  <c r="W10" i="27"/>
  <c r="W16" i="27"/>
  <c r="W19" i="27"/>
  <c r="W21" i="27"/>
  <c r="O24" i="27"/>
  <c r="O26" i="27"/>
  <c r="S15" i="27"/>
  <c r="H11" i="27"/>
  <c r="H28" i="27"/>
  <c r="H6" i="27"/>
  <c r="H13" i="27"/>
  <c r="H29" i="27"/>
  <c r="H14" i="27"/>
  <c r="H40" i="27"/>
  <c r="H41" i="27"/>
  <c r="H36" i="27"/>
  <c r="H37" i="27"/>
  <c r="H15" i="27"/>
  <c r="H30" i="27"/>
  <c r="H16" i="27"/>
  <c r="H17" i="27"/>
  <c r="H19" i="27"/>
  <c r="H21" i="27"/>
  <c r="H23" i="27"/>
  <c r="S6" i="27"/>
  <c r="S7" i="27"/>
  <c r="S8" i="27"/>
  <c r="H64" i="27"/>
  <c r="H62" i="27"/>
  <c r="H48" i="27"/>
  <c r="H10" i="27"/>
  <c r="H63" i="27"/>
  <c r="H65" i="27"/>
  <c r="H49" i="27"/>
  <c r="H50" i="27"/>
  <c r="H51" i="27"/>
  <c r="H67" i="27"/>
  <c r="H53" i="27"/>
  <c r="H68" i="27"/>
  <c r="H54" i="27"/>
  <c r="H69" i="27"/>
  <c r="H55" i="27"/>
  <c r="H56" i="27"/>
  <c r="H58" i="27"/>
  <c r="G64" i="27"/>
  <c r="G6" i="27"/>
  <c r="G62" i="27"/>
  <c r="G48" i="27"/>
  <c r="G11" i="27"/>
  <c r="G10" i="27"/>
  <c r="G63" i="27"/>
  <c r="G65" i="27"/>
  <c r="G49" i="27"/>
  <c r="G50" i="27"/>
  <c r="G51" i="27"/>
  <c r="G67" i="27"/>
  <c r="G53" i="27"/>
  <c r="G68" i="27"/>
  <c r="G54" i="27"/>
  <c r="G69" i="27"/>
  <c r="G55" i="27"/>
  <c r="G56" i="27"/>
  <c r="G58" i="27"/>
  <c r="H59" i="27"/>
  <c r="S9" i="27"/>
  <c r="S10" i="27"/>
  <c r="S16" i="27"/>
  <c r="T15" i="27"/>
  <c r="I11" i="27"/>
  <c r="I28" i="27"/>
  <c r="I13" i="27"/>
  <c r="I29" i="27"/>
  <c r="I14" i="27"/>
  <c r="I40" i="27"/>
  <c r="I41" i="27"/>
  <c r="I36" i="27"/>
  <c r="I37" i="27"/>
  <c r="I15" i="27"/>
  <c r="I30" i="27"/>
  <c r="I16" i="27"/>
  <c r="I17" i="27"/>
  <c r="I19" i="27"/>
  <c r="I21" i="27"/>
  <c r="I23" i="27"/>
  <c r="T6" i="27"/>
  <c r="T7" i="27"/>
  <c r="T8" i="27"/>
  <c r="I64" i="27"/>
  <c r="I62" i="27"/>
  <c r="I48" i="27"/>
  <c r="I10" i="27"/>
  <c r="I63" i="27"/>
  <c r="I65" i="27"/>
  <c r="I49" i="27"/>
  <c r="I50" i="27"/>
  <c r="I51" i="27"/>
  <c r="I67" i="27"/>
  <c r="I53" i="27"/>
  <c r="I68" i="27"/>
  <c r="I54" i="27"/>
  <c r="I69" i="27"/>
  <c r="I55" i="27"/>
  <c r="I56" i="27"/>
  <c r="I58" i="27"/>
  <c r="I59" i="27"/>
  <c r="T9" i="27"/>
  <c r="T10" i="27"/>
  <c r="T16" i="27"/>
  <c r="U15" i="27"/>
  <c r="J8" i="27"/>
  <c r="J10" i="27"/>
  <c r="J11" i="27"/>
  <c r="J28" i="27"/>
  <c r="J13" i="27"/>
  <c r="J29" i="27"/>
  <c r="J14" i="27"/>
  <c r="J40" i="27"/>
  <c r="J41" i="27"/>
  <c r="J36" i="27"/>
  <c r="J37" i="27"/>
  <c r="J15" i="27"/>
  <c r="J30" i="27"/>
  <c r="J16" i="27"/>
  <c r="J17" i="27"/>
  <c r="J19" i="27"/>
  <c r="J21" i="27"/>
  <c r="J23" i="27"/>
  <c r="U6" i="27"/>
  <c r="U7" i="27"/>
  <c r="U8" i="27"/>
  <c r="J64" i="27"/>
  <c r="J62" i="27"/>
  <c r="J48" i="27"/>
  <c r="J63" i="27"/>
  <c r="J65" i="27"/>
  <c r="J49" i="27"/>
  <c r="J50" i="27"/>
  <c r="J51" i="27"/>
  <c r="J67" i="27"/>
  <c r="J53" i="27"/>
  <c r="J68" i="27"/>
  <c r="J54" i="27"/>
  <c r="J69" i="27"/>
  <c r="J55" i="27"/>
  <c r="J56" i="27"/>
  <c r="J58" i="27"/>
  <c r="J59" i="27"/>
  <c r="U9" i="27"/>
  <c r="U10" i="27"/>
  <c r="U16" i="27"/>
  <c r="V15" i="27"/>
  <c r="K11" i="27"/>
  <c r="K28" i="27"/>
  <c r="K13" i="27"/>
  <c r="K29" i="27"/>
  <c r="K14" i="27"/>
  <c r="K40" i="27"/>
  <c r="K41" i="27"/>
  <c r="K36" i="27"/>
  <c r="K37" i="27"/>
  <c r="K15" i="27"/>
  <c r="K30" i="27"/>
  <c r="K16" i="27"/>
  <c r="K17" i="27"/>
  <c r="K19" i="27"/>
  <c r="K21" i="27"/>
  <c r="K23" i="27"/>
  <c r="V6" i="27"/>
  <c r="V7" i="27"/>
  <c r="V8" i="27"/>
  <c r="K59" i="27"/>
  <c r="V9" i="27"/>
  <c r="V10" i="27"/>
  <c r="V16" i="27"/>
  <c r="O19" i="27"/>
  <c r="O29" i="27"/>
  <c r="S19" i="27"/>
  <c r="W24" i="27"/>
  <c r="G41" i="27"/>
  <c r="J23" i="24"/>
  <c r="P16" i="24"/>
  <c r="I23" i="24"/>
  <c r="K23" i="24"/>
  <c r="O23" i="24"/>
  <c r="P23" i="24"/>
  <c r="N14" i="25"/>
  <c r="F29" i="25"/>
  <c r="E29" i="25"/>
  <c r="E8" i="24"/>
  <c r="M8" i="24"/>
  <c r="N8" i="24"/>
  <c r="E9" i="24"/>
  <c r="M9" i="24"/>
  <c r="N9" i="24"/>
  <c r="E10" i="24"/>
  <c r="M10" i="24"/>
  <c r="N10" i="24"/>
  <c r="E11" i="24"/>
  <c r="M11" i="24"/>
  <c r="N11" i="24"/>
  <c r="E12" i="24"/>
  <c r="M12" i="24"/>
  <c r="N12" i="24"/>
  <c r="E13" i="24"/>
  <c r="M13" i="24"/>
  <c r="N13" i="24"/>
  <c r="E14" i="24"/>
  <c r="M14" i="24"/>
  <c r="N14" i="24"/>
  <c r="N17" i="24"/>
  <c r="D24" i="24"/>
  <c r="K33" i="24"/>
  <c r="M7" i="24"/>
  <c r="E23" i="24"/>
  <c r="K30" i="24"/>
  <c r="K34" i="24"/>
  <c r="J33" i="24"/>
  <c r="J34" i="24"/>
  <c r="N16" i="24"/>
  <c r="D23" i="24"/>
  <c r="K32" i="24"/>
  <c r="J32" i="24"/>
  <c r="F31" i="24"/>
  <c r="E31" i="24"/>
  <c r="G40" i="27"/>
  <c r="G36" i="27"/>
  <c r="L21" i="23"/>
  <c r="V16" i="26"/>
  <c r="V21" i="26"/>
  <c r="H25" i="26"/>
  <c r="H29" i="26"/>
  <c r="H33" i="26"/>
  <c r="I25" i="26"/>
  <c r="I29" i="26"/>
  <c r="I33" i="26"/>
  <c r="J25" i="26"/>
  <c r="J29" i="26"/>
  <c r="J33" i="26"/>
  <c r="K25" i="26"/>
  <c r="K29" i="26"/>
  <c r="K33" i="26"/>
  <c r="L25" i="26"/>
  <c r="V22" i="26"/>
  <c r="H26" i="26"/>
  <c r="H27" i="26"/>
  <c r="E7" i="24"/>
  <c r="V7" i="26"/>
  <c r="V9" i="26"/>
  <c r="V10" i="26"/>
  <c r="V11" i="26"/>
  <c r="V12" i="26"/>
  <c r="D38" i="23"/>
  <c r="V13" i="26"/>
  <c r="V14" i="26"/>
  <c r="V26" i="26"/>
  <c r="V28" i="26"/>
  <c r="V29" i="26"/>
  <c r="U27" i="26"/>
  <c r="L29" i="26"/>
  <c r="H38" i="26"/>
  <c r="V17" i="26"/>
  <c r="G37" i="27"/>
  <c r="K29" i="24"/>
  <c r="C13" i="21"/>
  <c r="U11" i="27"/>
  <c r="V11" i="27"/>
  <c r="W11" i="27"/>
  <c r="T11" i="27"/>
  <c r="K21" i="23"/>
  <c r="W25" i="27"/>
  <c r="W26" i="27"/>
  <c r="W29" i="27"/>
  <c r="W28" i="27"/>
  <c r="S20" i="27"/>
  <c r="D40" i="23"/>
  <c r="S21" i="27"/>
  <c r="D41" i="23"/>
  <c r="S22" i="27"/>
  <c r="S23" i="27"/>
  <c r="S25" i="27"/>
  <c r="S27" i="27"/>
  <c r="S29" i="27"/>
  <c r="O22" i="27"/>
  <c r="O23" i="27"/>
  <c r="L24" i="3"/>
  <c r="L25" i="3"/>
  <c r="L26" i="3"/>
  <c r="D50" i="27"/>
  <c r="D66" i="27"/>
  <c r="G64" i="23"/>
  <c r="F64" i="23"/>
  <c r="E64" i="23"/>
  <c r="D64" i="23"/>
  <c r="G63" i="23"/>
  <c r="F63" i="23"/>
  <c r="E63" i="23"/>
  <c r="D63" i="23"/>
  <c r="G62" i="23"/>
  <c r="F62" i="23"/>
  <c r="E62" i="23"/>
  <c r="D62" i="23"/>
  <c r="G61" i="23"/>
  <c r="F61" i="23"/>
  <c r="E61" i="23"/>
  <c r="D61" i="23"/>
  <c r="G60" i="23"/>
  <c r="F60" i="23"/>
  <c r="E60" i="23"/>
  <c r="D60" i="23"/>
  <c r="H57" i="23"/>
  <c r="G57" i="23"/>
  <c r="F57" i="23"/>
  <c r="E57" i="23"/>
  <c r="D57" i="23"/>
  <c r="H56" i="23"/>
  <c r="G56" i="23"/>
  <c r="F56" i="23"/>
  <c r="E56" i="23"/>
  <c r="D56" i="23"/>
  <c r="H55" i="23"/>
  <c r="G55" i="23"/>
  <c r="F55" i="23"/>
  <c r="E55" i="23"/>
  <c r="D55" i="23"/>
  <c r="H54" i="23"/>
  <c r="G54" i="23"/>
  <c r="F54" i="23"/>
  <c r="E54" i="23"/>
  <c r="D54" i="23"/>
  <c r="H53" i="23"/>
  <c r="G53" i="23"/>
  <c r="F53" i="23"/>
  <c r="E53" i="23"/>
  <c r="D53" i="23"/>
  <c r="H52" i="23"/>
  <c r="G52" i="23"/>
  <c r="F52" i="23"/>
  <c r="E52" i="23"/>
  <c r="D52" i="23"/>
  <c r="D47" i="23"/>
  <c r="D46" i="23"/>
  <c r="D45" i="23"/>
  <c r="D44" i="23"/>
  <c r="D43" i="23"/>
  <c r="D42" i="23"/>
  <c r="C42" i="23"/>
  <c r="I39" i="23"/>
  <c r="H39" i="23"/>
  <c r="J38" i="23"/>
  <c r="D37" i="23"/>
  <c r="G38" i="23"/>
  <c r="G37" i="23"/>
  <c r="C37" i="23"/>
  <c r="D35" i="23"/>
  <c r="C35" i="23"/>
  <c r="C11" i="23"/>
  <c r="N11" i="23"/>
  <c r="N31" i="23"/>
  <c r="M11" i="23"/>
  <c r="M31" i="23"/>
  <c r="L11" i="23"/>
  <c r="L31" i="23"/>
  <c r="K31" i="23"/>
  <c r="J11" i="23"/>
  <c r="J31" i="23"/>
  <c r="I11" i="23"/>
  <c r="I31" i="23"/>
  <c r="H11" i="23"/>
  <c r="H31" i="23"/>
  <c r="G11" i="23"/>
  <c r="G31" i="23"/>
  <c r="F11" i="23"/>
  <c r="F31" i="23"/>
  <c r="E11" i="23"/>
  <c r="E31" i="23"/>
  <c r="D11" i="23"/>
  <c r="D31" i="23"/>
  <c r="N30" i="23"/>
  <c r="M30" i="23"/>
  <c r="L30" i="23"/>
  <c r="K30" i="23"/>
  <c r="J30" i="23"/>
  <c r="I30" i="23"/>
  <c r="H30" i="23"/>
  <c r="G30" i="23"/>
  <c r="F30" i="23"/>
  <c r="E30" i="23"/>
  <c r="D30" i="23"/>
  <c r="N27" i="23"/>
  <c r="N28" i="23"/>
  <c r="M27" i="23"/>
  <c r="M28" i="23"/>
  <c r="L27" i="23"/>
  <c r="L28" i="23"/>
  <c r="K27" i="23"/>
  <c r="K15" i="23"/>
  <c r="K28" i="23"/>
  <c r="J27" i="23"/>
  <c r="J15" i="23"/>
  <c r="J28" i="23"/>
  <c r="I27" i="23"/>
  <c r="I15" i="23"/>
  <c r="I28" i="23"/>
  <c r="H27" i="23"/>
  <c r="H15" i="23"/>
  <c r="H28" i="23"/>
  <c r="G27" i="23"/>
  <c r="G15" i="23"/>
  <c r="G28" i="23"/>
  <c r="F27" i="23"/>
  <c r="F15" i="23"/>
  <c r="F28" i="23"/>
  <c r="E27" i="23"/>
  <c r="E15" i="23"/>
  <c r="E28" i="23"/>
  <c r="D27" i="23"/>
  <c r="D15" i="23"/>
  <c r="D28" i="23"/>
  <c r="N24" i="23"/>
  <c r="N25" i="23"/>
  <c r="M24" i="23"/>
  <c r="M25" i="23"/>
  <c r="L24" i="23"/>
  <c r="L25" i="23"/>
  <c r="K24" i="23"/>
  <c r="K25" i="23"/>
  <c r="J24" i="23"/>
  <c r="J25" i="23"/>
  <c r="I24" i="23"/>
  <c r="I25" i="23"/>
  <c r="H24" i="23"/>
  <c r="H25" i="23"/>
  <c r="G24" i="23"/>
  <c r="G25" i="23"/>
  <c r="F24" i="23"/>
  <c r="F25" i="23"/>
  <c r="E24" i="23"/>
  <c r="E25" i="23"/>
  <c r="D24" i="23"/>
  <c r="D25" i="23"/>
  <c r="N21" i="23"/>
  <c r="N22" i="23"/>
  <c r="M21" i="23"/>
  <c r="M22" i="23"/>
  <c r="L22" i="23"/>
  <c r="K22" i="23"/>
  <c r="J21" i="23"/>
  <c r="J22" i="23"/>
  <c r="I21" i="23"/>
  <c r="I22" i="23"/>
  <c r="H21" i="23"/>
  <c r="H22" i="23"/>
  <c r="G21" i="23"/>
  <c r="G22" i="23"/>
  <c r="F21" i="23"/>
  <c r="F22" i="23"/>
  <c r="E21" i="23"/>
  <c r="E22" i="23"/>
  <c r="D21" i="23"/>
  <c r="D22" i="23"/>
  <c r="K18" i="23"/>
  <c r="K19" i="23"/>
  <c r="J18" i="23"/>
  <c r="J19" i="23"/>
  <c r="I18" i="23"/>
  <c r="I19" i="23"/>
  <c r="H18" i="23"/>
  <c r="H19" i="23"/>
  <c r="G18" i="23"/>
  <c r="G19" i="23"/>
  <c r="F18" i="23"/>
  <c r="F19" i="23"/>
  <c r="E18" i="23"/>
  <c r="E19" i="23"/>
  <c r="D18" i="23"/>
  <c r="D19" i="23"/>
  <c r="L16" i="23"/>
  <c r="K16" i="23"/>
  <c r="J16" i="23"/>
  <c r="I16" i="23"/>
  <c r="H16" i="23"/>
  <c r="G16" i="23"/>
  <c r="F16" i="23"/>
  <c r="E16" i="23"/>
  <c r="D16" i="23"/>
  <c r="N13" i="23"/>
  <c r="M13" i="23"/>
  <c r="L13" i="23"/>
  <c r="K13" i="23"/>
  <c r="J13" i="23"/>
  <c r="I13" i="23"/>
  <c r="H13" i="23"/>
  <c r="G13" i="23"/>
  <c r="F13" i="23"/>
  <c r="E13" i="23"/>
  <c r="D13" i="23"/>
  <c r="C12" i="3"/>
  <c r="N12" i="3"/>
  <c r="U28" i="26"/>
  <c r="H43" i="26"/>
  <c r="J8" i="24"/>
  <c r="J9" i="24"/>
  <c r="J10" i="24"/>
  <c r="J11" i="24"/>
  <c r="J12" i="24"/>
  <c r="J13" i="24"/>
  <c r="J14" i="24"/>
  <c r="J16" i="24"/>
  <c r="F13" i="24"/>
  <c r="G13" i="24"/>
  <c r="H13" i="24"/>
  <c r="L13" i="24"/>
  <c r="O13" i="24"/>
  <c r="Q13" i="24"/>
  <c r="E21" i="25"/>
  <c r="D21" i="25"/>
  <c r="F21" i="25"/>
  <c r="C12" i="2"/>
  <c r="N12" i="2"/>
  <c r="J21" i="25"/>
  <c r="K21" i="25"/>
  <c r="H19" i="26"/>
  <c r="C11" i="4"/>
  <c r="L11" i="4"/>
  <c r="L12" i="2"/>
  <c r="M12" i="2"/>
  <c r="M11" i="4"/>
  <c r="N11" i="4"/>
  <c r="H16" i="26"/>
  <c r="H10" i="26"/>
  <c r="R37" i="26"/>
  <c r="L10" i="26"/>
  <c r="L16" i="26"/>
  <c r="V37" i="26"/>
  <c r="V39" i="26"/>
  <c r="W36" i="27"/>
  <c r="Q36" i="27"/>
  <c r="L12" i="3"/>
  <c r="M12" i="3"/>
  <c r="C11" i="3"/>
  <c r="N11" i="3"/>
  <c r="L11" i="3"/>
  <c r="M11" i="3"/>
  <c r="O36" i="27"/>
  <c r="U26" i="26"/>
  <c r="V24" i="26"/>
  <c r="V23" i="26"/>
  <c r="D22" i="25"/>
  <c r="N16" i="25"/>
  <c r="L8" i="24"/>
  <c r="Q8" i="24"/>
  <c r="L9" i="24"/>
  <c r="Q9" i="24"/>
  <c r="L10" i="24"/>
  <c r="Q10" i="24"/>
  <c r="L11" i="24"/>
  <c r="Q11" i="24"/>
  <c r="L12" i="24"/>
  <c r="Q12" i="24"/>
  <c r="L14" i="24"/>
  <c r="Q14" i="24"/>
  <c r="Q16" i="24"/>
  <c r="O55" i="27"/>
  <c r="O64" i="27"/>
  <c r="O40" i="27"/>
  <c r="O69" i="27"/>
  <c r="O68" i="27"/>
  <c r="O66" i="27"/>
  <c r="O38" i="27"/>
  <c r="O65" i="27"/>
  <c r="O60" i="27"/>
  <c r="O59" i="27"/>
  <c r="O57" i="27"/>
  <c r="O56" i="27"/>
  <c r="O46" i="27"/>
  <c r="O51" i="27"/>
  <c r="O50" i="27"/>
  <c r="O48" i="27"/>
  <c r="O47" i="27"/>
  <c r="S36" i="27"/>
  <c r="B11" i="16"/>
  <c r="K11" i="16"/>
  <c r="K22" i="16"/>
  <c r="L11" i="16"/>
  <c r="L22" i="16"/>
  <c r="M11" i="16"/>
  <c r="M22" i="16"/>
  <c r="E24" i="24"/>
  <c r="F24" i="24"/>
  <c r="F23" i="24"/>
  <c r="T64" i="27"/>
  <c r="S64" i="27"/>
  <c r="Q64" i="27"/>
  <c r="P64" i="27"/>
  <c r="T55" i="27"/>
  <c r="S55" i="27"/>
  <c r="Q55" i="27"/>
  <c r="P55" i="27"/>
  <c r="T46" i="27"/>
  <c r="S46" i="27"/>
  <c r="Q46" i="27"/>
  <c r="P46" i="27"/>
  <c r="T36" i="27"/>
  <c r="P36" i="27"/>
  <c r="O41" i="27"/>
  <c r="O37" i="27"/>
  <c r="O27" i="27"/>
  <c r="G28" i="27"/>
  <c r="G13" i="27"/>
  <c r="B11" i="21"/>
  <c r="K11" i="21"/>
  <c r="K7" i="21"/>
  <c r="K120" i="21"/>
  <c r="I11" i="21"/>
  <c r="I120" i="21"/>
  <c r="G11" i="21"/>
  <c r="G120" i="21"/>
  <c r="E11" i="21"/>
  <c r="E120" i="21"/>
  <c r="C11" i="21"/>
  <c r="C120" i="21"/>
  <c r="K117" i="21"/>
  <c r="I117" i="21"/>
  <c r="G117" i="21"/>
  <c r="E117" i="21"/>
  <c r="C117" i="21"/>
  <c r="K115" i="21"/>
  <c r="L115" i="21"/>
  <c r="I115" i="21"/>
  <c r="J115" i="21"/>
  <c r="G115" i="21"/>
  <c r="H115" i="21"/>
  <c r="E115" i="21"/>
  <c r="F115" i="21"/>
  <c r="C115" i="21"/>
  <c r="D115" i="21"/>
  <c r="K114" i="21"/>
  <c r="L114" i="21"/>
  <c r="I114" i="21"/>
  <c r="J114" i="21"/>
  <c r="G114" i="21"/>
  <c r="H114" i="21"/>
  <c r="E114" i="21"/>
  <c r="F114" i="21"/>
  <c r="C114" i="21"/>
  <c r="D114" i="21"/>
  <c r="K113" i="21"/>
  <c r="L113" i="21"/>
  <c r="I113" i="21"/>
  <c r="J113" i="21"/>
  <c r="G113" i="21"/>
  <c r="H113" i="21"/>
  <c r="E113" i="21"/>
  <c r="F113" i="21"/>
  <c r="C113" i="21"/>
  <c r="D113" i="21"/>
  <c r="K112" i="21"/>
  <c r="L112" i="21"/>
  <c r="I112" i="21"/>
  <c r="J112" i="21"/>
  <c r="G112" i="21"/>
  <c r="H112" i="21"/>
  <c r="E112" i="21"/>
  <c r="F112" i="21"/>
  <c r="C112" i="21"/>
  <c r="D112" i="21"/>
  <c r="K111" i="21"/>
  <c r="L111" i="21"/>
  <c r="I111" i="21"/>
  <c r="J111" i="21"/>
  <c r="G111" i="21"/>
  <c r="H111" i="21"/>
  <c r="E111" i="21"/>
  <c r="F111" i="21"/>
  <c r="C111" i="21"/>
  <c r="D111" i="21"/>
  <c r="K110" i="21"/>
  <c r="L110" i="21"/>
  <c r="I110" i="21"/>
  <c r="J110" i="21"/>
  <c r="G110" i="21"/>
  <c r="H110" i="21"/>
  <c r="E110" i="21"/>
  <c r="F110" i="21"/>
  <c r="C110" i="21"/>
  <c r="D110" i="21"/>
  <c r="K107" i="21"/>
  <c r="L107" i="21"/>
  <c r="I107" i="21"/>
  <c r="J107" i="21"/>
  <c r="G107" i="21"/>
  <c r="H107" i="21"/>
  <c r="E107" i="21"/>
  <c r="F107" i="21"/>
  <c r="C107" i="21"/>
  <c r="D107" i="21"/>
  <c r="K106" i="21"/>
  <c r="L106" i="21"/>
  <c r="I106" i="21"/>
  <c r="J106" i="21"/>
  <c r="G106" i="21"/>
  <c r="H106" i="21"/>
  <c r="E106" i="21"/>
  <c r="F106" i="21"/>
  <c r="C106" i="21"/>
  <c r="D106" i="21"/>
  <c r="K105" i="21"/>
  <c r="L105" i="21"/>
  <c r="I105" i="21"/>
  <c r="J105" i="21"/>
  <c r="G105" i="21"/>
  <c r="H105" i="21"/>
  <c r="E105" i="21"/>
  <c r="F105" i="21"/>
  <c r="C105" i="21"/>
  <c r="D105" i="21"/>
  <c r="K104" i="21"/>
  <c r="L104" i="21"/>
  <c r="I104" i="21"/>
  <c r="J104" i="21"/>
  <c r="G104" i="21"/>
  <c r="H104" i="21"/>
  <c r="E104" i="21"/>
  <c r="F104" i="21"/>
  <c r="C104" i="21"/>
  <c r="D104" i="21"/>
  <c r="K103" i="21"/>
  <c r="L103" i="21"/>
  <c r="I103" i="21"/>
  <c r="J103" i="21"/>
  <c r="G103" i="21"/>
  <c r="H103" i="21"/>
  <c r="E103" i="21"/>
  <c r="F103" i="21"/>
  <c r="C103" i="21"/>
  <c r="D103" i="21"/>
  <c r="K102" i="21"/>
  <c r="L102" i="21"/>
  <c r="I102" i="21"/>
  <c r="J102" i="21"/>
  <c r="G102" i="21"/>
  <c r="H102" i="21"/>
  <c r="E102" i="21"/>
  <c r="F102" i="21"/>
  <c r="C102" i="21"/>
  <c r="D102" i="21"/>
  <c r="K101" i="21"/>
  <c r="L101" i="21"/>
  <c r="I101" i="21"/>
  <c r="J101" i="21"/>
  <c r="G101" i="21"/>
  <c r="H101" i="21"/>
  <c r="E101" i="21"/>
  <c r="F101" i="21"/>
  <c r="C101" i="21"/>
  <c r="D101" i="21"/>
  <c r="K100" i="21"/>
  <c r="L100" i="21"/>
  <c r="I100" i="21"/>
  <c r="J100" i="21"/>
  <c r="G100" i="21"/>
  <c r="H100" i="21"/>
  <c r="E100" i="21"/>
  <c r="F100" i="21"/>
  <c r="C100" i="21"/>
  <c r="D100" i="21"/>
  <c r="K99" i="21"/>
  <c r="L99" i="21"/>
  <c r="I99" i="21"/>
  <c r="J99" i="21"/>
  <c r="G99" i="21"/>
  <c r="H99" i="21"/>
  <c r="E99" i="21"/>
  <c r="F99" i="21"/>
  <c r="C99" i="21"/>
  <c r="D99" i="21"/>
  <c r="K98" i="21"/>
  <c r="L98" i="21"/>
  <c r="I98" i="21"/>
  <c r="J98" i="21"/>
  <c r="G98" i="21"/>
  <c r="H98" i="21"/>
  <c r="E98" i="21"/>
  <c r="F98" i="21"/>
  <c r="C98" i="21"/>
  <c r="D98" i="21"/>
  <c r="K97" i="21"/>
  <c r="L97" i="21"/>
  <c r="I97" i="21"/>
  <c r="J97" i="21"/>
  <c r="G97" i="21"/>
  <c r="H97" i="21"/>
  <c r="E97" i="21"/>
  <c r="F97" i="21"/>
  <c r="C97" i="21"/>
  <c r="D97" i="21"/>
  <c r="K94" i="21"/>
  <c r="I94" i="21"/>
  <c r="G94" i="21"/>
  <c r="E94" i="21"/>
  <c r="C94" i="21"/>
  <c r="K93" i="21"/>
  <c r="I93" i="21"/>
  <c r="G93" i="21"/>
  <c r="E93" i="21"/>
  <c r="C93" i="21"/>
  <c r="K92" i="21"/>
  <c r="L92" i="21"/>
  <c r="I92" i="21"/>
  <c r="J92" i="21"/>
  <c r="G92" i="21"/>
  <c r="H92" i="21"/>
  <c r="E92" i="21"/>
  <c r="F92" i="21"/>
  <c r="C92" i="21"/>
  <c r="D92" i="21"/>
  <c r="K91" i="21"/>
  <c r="L91" i="21"/>
  <c r="I91" i="21"/>
  <c r="J91" i="21"/>
  <c r="G91" i="21"/>
  <c r="H91" i="21"/>
  <c r="E91" i="21"/>
  <c r="F91" i="21"/>
  <c r="C91" i="21"/>
  <c r="D91" i="21"/>
  <c r="K90" i="21"/>
  <c r="L90" i="21"/>
  <c r="I90" i="21"/>
  <c r="J90" i="21"/>
  <c r="G90" i="21"/>
  <c r="H90" i="21"/>
  <c r="E90" i="21"/>
  <c r="F90" i="21"/>
  <c r="C90" i="21"/>
  <c r="D90" i="21"/>
  <c r="K89" i="21"/>
  <c r="L89" i="21"/>
  <c r="I89" i="21"/>
  <c r="J89" i="21"/>
  <c r="G89" i="21"/>
  <c r="H89" i="21"/>
  <c r="E89" i="21"/>
  <c r="F89" i="21"/>
  <c r="C89" i="21"/>
  <c r="D89" i="21"/>
  <c r="K88" i="21"/>
  <c r="L88" i="21"/>
  <c r="I88" i="21"/>
  <c r="J88" i="21"/>
  <c r="G88" i="21"/>
  <c r="H88" i="21"/>
  <c r="E88" i="21"/>
  <c r="F88" i="21"/>
  <c r="C88" i="21"/>
  <c r="D88" i="21"/>
  <c r="K87" i="21"/>
  <c r="L87" i="21"/>
  <c r="I87" i="21"/>
  <c r="J87" i="21"/>
  <c r="G87" i="21"/>
  <c r="H87" i="21"/>
  <c r="E87" i="21"/>
  <c r="F87" i="21"/>
  <c r="C87" i="21"/>
  <c r="D87" i="21"/>
  <c r="K86" i="21"/>
  <c r="L86" i="21"/>
  <c r="I86" i="21"/>
  <c r="J86" i="21"/>
  <c r="G86" i="21"/>
  <c r="H86" i="21"/>
  <c r="E86" i="21"/>
  <c r="F86" i="21"/>
  <c r="C86" i="21"/>
  <c r="D86" i="21"/>
  <c r="K85" i="21"/>
  <c r="L85" i="21"/>
  <c r="I85" i="21"/>
  <c r="J85" i="21"/>
  <c r="G85" i="21"/>
  <c r="H85" i="21"/>
  <c r="E85" i="21"/>
  <c r="F85" i="21"/>
  <c r="C85" i="21"/>
  <c r="D85" i="21"/>
  <c r="K84" i="21"/>
  <c r="L84" i="21"/>
  <c r="I84" i="21"/>
  <c r="J84" i="21"/>
  <c r="G84" i="21"/>
  <c r="H84" i="21"/>
  <c r="E84" i="21"/>
  <c r="F84" i="21"/>
  <c r="C84" i="21"/>
  <c r="D84" i="21"/>
  <c r="K83" i="21"/>
  <c r="L83" i="21"/>
  <c r="I83" i="21"/>
  <c r="J83" i="21"/>
  <c r="G83" i="21"/>
  <c r="H83" i="21"/>
  <c r="E83" i="21"/>
  <c r="F83" i="21"/>
  <c r="C83" i="21"/>
  <c r="D83" i="21"/>
  <c r="K80" i="21"/>
  <c r="L80" i="21"/>
  <c r="I80" i="21"/>
  <c r="J80" i="21"/>
  <c r="G80" i="21"/>
  <c r="H80" i="21"/>
  <c r="E80" i="21"/>
  <c r="F80" i="21"/>
  <c r="C80" i="21"/>
  <c r="D80" i="21"/>
  <c r="K79" i="21"/>
  <c r="L79" i="21"/>
  <c r="I79" i="21"/>
  <c r="J79" i="21"/>
  <c r="G79" i="21"/>
  <c r="H79" i="21"/>
  <c r="E79" i="21"/>
  <c r="F79" i="21"/>
  <c r="C79" i="21"/>
  <c r="D79" i="21"/>
  <c r="K78" i="21"/>
  <c r="L78" i="21"/>
  <c r="I78" i="21"/>
  <c r="J78" i="21"/>
  <c r="G78" i="21"/>
  <c r="H78" i="21"/>
  <c r="E78" i="21"/>
  <c r="F78" i="21"/>
  <c r="C78" i="21"/>
  <c r="D78" i="21"/>
  <c r="K77" i="21"/>
  <c r="L77" i="21"/>
  <c r="I77" i="21"/>
  <c r="J77" i="21"/>
  <c r="G77" i="21"/>
  <c r="H77" i="21"/>
  <c r="E77" i="21"/>
  <c r="F77" i="21"/>
  <c r="C77" i="21"/>
  <c r="D77" i="21"/>
  <c r="K76" i="21"/>
  <c r="L76" i="21"/>
  <c r="I76" i="21"/>
  <c r="J76" i="21"/>
  <c r="G76" i="21"/>
  <c r="H76" i="21"/>
  <c r="E76" i="21"/>
  <c r="F76" i="21"/>
  <c r="C76" i="21"/>
  <c r="D76" i="21"/>
  <c r="K75" i="21"/>
  <c r="L75" i="21"/>
  <c r="I75" i="21"/>
  <c r="J75" i="21"/>
  <c r="G75" i="21"/>
  <c r="H75" i="21"/>
  <c r="E75" i="21"/>
  <c r="F75" i="21"/>
  <c r="C75" i="21"/>
  <c r="D75" i="21"/>
  <c r="K74" i="21"/>
  <c r="L74" i="21"/>
  <c r="I74" i="21"/>
  <c r="J74" i="21"/>
  <c r="G74" i="21"/>
  <c r="H74" i="21"/>
  <c r="E74" i="21"/>
  <c r="F74" i="21"/>
  <c r="C74" i="21"/>
  <c r="D74" i="21"/>
  <c r="K73" i="21"/>
  <c r="L73" i="21"/>
  <c r="I73" i="21"/>
  <c r="J73" i="21"/>
  <c r="G73" i="21"/>
  <c r="H73" i="21"/>
  <c r="E73" i="21"/>
  <c r="F73" i="21"/>
  <c r="C73" i="21"/>
  <c r="D73" i="21"/>
  <c r="K72" i="21"/>
  <c r="L72" i="21"/>
  <c r="I72" i="21"/>
  <c r="J72" i="21"/>
  <c r="G72" i="21"/>
  <c r="H72" i="21"/>
  <c r="E72" i="21"/>
  <c r="F72" i="21"/>
  <c r="C72" i="21"/>
  <c r="D72" i="21"/>
  <c r="K71" i="21"/>
  <c r="L71" i="21"/>
  <c r="I71" i="21"/>
  <c r="J71" i="21"/>
  <c r="G71" i="21"/>
  <c r="H71" i="21"/>
  <c r="E71" i="21"/>
  <c r="F71" i="21"/>
  <c r="C71" i="21"/>
  <c r="D71" i="21"/>
  <c r="K68" i="21"/>
  <c r="I68" i="21"/>
  <c r="G68" i="21"/>
  <c r="E68" i="21"/>
  <c r="C68" i="21"/>
  <c r="K67" i="21"/>
  <c r="I67" i="21"/>
  <c r="G67" i="21"/>
  <c r="E67" i="21"/>
  <c r="C67" i="21"/>
  <c r="K66" i="21"/>
  <c r="I66" i="21"/>
  <c r="G66" i="21"/>
  <c r="E66" i="21"/>
  <c r="C66" i="21"/>
  <c r="K65" i="21"/>
  <c r="I65" i="21"/>
  <c r="G65" i="21"/>
  <c r="E65" i="21"/>
  <c r="C65" i="21"/>
  <c r="K64" i="21"/>
  <c r="I64" i="21"/>
  <c r="G64" i="21"/>
  <c r="E64" i="21"/>
  <c r="C64" i="21"/>
  <c r="K62" i="21"/>
  <c r="I62" i="21"/>
  <c r="G62" i="21"/>
  <c r="E62" i="21"/>
  <c r="C62" i="21"/>
  <c r="K61" i="21"/>
  <c r="I61" i="21"/>
  <c r="G61" i="21"/>
  <c r="E61" i="21"/>
  <c r="C61" i="21"/>
  <c r="K60" i="21"/>
  <c r="I60" i="21"/>
  <c r="G60" i="21"/>
  <c r="E60" i="21"/>
  <c r="C60" i="21"/>
  <c r="K59" i="21"/>
  <c r="I59" i="21"/>
  <c r="G59" i="21"/>
  <c r="E59" i="21"/>
  <c r="C59" i="21"/>
  <c r="K58" i="21"/>
  <c r="I58" i="21"/>
  <c r="G58" i="21"/>
  <c r="E58" i="21"/>
  <c r="C58" i="21"/>
  <c r="K55" i="21"/>
  <c r="K45" i="21"/>
  <c r="L55" i="21"/>
  <c r="I55" i="21"/>
  <c r="I45" i="21"/>
  <c r="J55" i="21"/>
  <c r="G55" i="21"/>
  <c r="G45" i="21"/>
  <c r="H55" i="21"/>
  <c r="E55" i="21"/>
  <c r="E45" i="21"/>
  <c r="F55" i="21"/>
  <c r="C55" i="21"/>
  <c r="C45" i="21"/>
  <c r="D55" i="21"/>
  <c r="K54" i="21"/>
  <c r="L54" i="21"/>
  <c r="I54" i="21"/>
  <c r="J54" i="21"/>
  <c r="G54" i="21"/>
  <c r="H54" i="21"/>
  <c r="E54" i="21"/>
  <c r="F54" i="21"/>
  <c r="C54" i="21"/>
  <c r="D54" i="21"/>
  <c r="K53" i="21"/>
  <c r="L53" i="21"/>
  <c r="I53" i="21"/>
  <c r="J53" i="21"/>
  <c r="G53" i="21"/>
  <c r="H53" i="21"/>
  <c r="E53" i="21"/>
  <c r="F53" i="21"/>
  <c r="C53" i="21"/>
  <c r="D53" i="21"/>
  <c r="K52" i="21"/>
  <c r="L52" i="21"/>
  <c r="I52" i="21"/>
  <c r="J52" i="21"/>
  <c r="G52" i="21"/>
  <c r="H52" i="21"/>
  <c r="E52" i="21"/>
  <c r="F52" i="21"/>
  <c r="C52" i="21"/>
  <c r="D52" i="21"/>
  <c r="K51" i="21"/>
  <c r="L51" i="21"/>
  <c r="I51" i="21"/>
  <c r="J51" i="21"/>
  <c r="G51" i="21"/>
  <c r="H51" i="21"/>
  <c r="E51" i="21"/>
  <c r="F51" i="21"/>
  <c r="C51" i="21"/>
  <c r="D51" i="21"/>
  <c r="K50" i="21"/>
  <c r="L50" i="21"/>
  <c r="I50" i="21"/>
  <c r="J50" i="21"/>
  <c r="G50" i="21"/>
  <c r="H50" i="21"/>
  <c r="E50" i="21"/>
  <c r="F50" i="21"/>
  <c r="C50" i="21"/>
  <c r="D50" i="21"/>
  <c r="K49" i="21"/>
  <c r="L49" i="21"/>
  <c r="I49" i="21"/>
  <c r="J49" i="21"/>
  <c r="G49" i="21"/>
  <c r="H49" i="21"/>
  <c r="E49" i="21"/>
  <c r="F49" i="21"/>
  <c r="C49" i="21"/>
  <c r="D49" i="21"/>
  <c r="K48" i="21"/>
  <c r="L48" i="21"/>
  <c r="I48" i="21"/>
  <c r="J48" i="21"/>
  <c r="G48" i="21"/>
  <c r="H48" i="21"/>
  <c r="E48" i="21"/>
  <c r="F48" i="21"/>
  <c r="C48" i="21"/>
  <c r="D48" i="21"/>
  <c r="K43" i="21"/>
  <c r="L43" i="21"/>
  <c r="I43" i="21"/>
  <c r="J43" i="21"/>
  <c r="G43" i="21"/>
  <c r="H43" i="21"/>
  <c r="E43" i="21"/>
  <c r="F43" i="21"/>
  <c r="C43" i="21"/>
  <c r="D43" i="21"/>
  <c r="K39" i="21"/>
  <c r="K40" i="21"/>
  <c r="K41" i="21"/>
  <c r="K42" i="21"/>
  <c r="L42" i="21"/>
  <c r="I39" i="21"/>
  <c r="I40" i="21"/>
  <c r="I41" i="21"/>
  <c r="I42" i="21"/>
  <c r="J42" i="21"/>
  <c r="G39" i="21"/>
  <c r="G40" i="21"/>
  <c r="G41" i="21"/>
  <c r="G42" i="21"/>
  <c r="H42" i="21"/>
  <c r="E39" i="21"/>
  <c r="E40" i="21"/>
  <c r="E41" i="21"/>
  <c r="E42" i="21"/>
  <c r="F42" i="21"/>
  <c r="C39" i="21"/>
  <c r="C40" i="21"/>
  <c r="C41" i="21"/>
  <c r="C42" i="21"/>
  <c r="D42" i="21"/>
  <c r="L41" i="21"/>
  <c r="J41" i="21"/>
  <c r="H41" i="21"/>
  <c r="F41" i="21"/>
  <c r="D41" i="21"/>
  <c r="L40" i="21"/>
  <c r="J40" i="21"/>
  <c r="H40" i="21"/>
  <c r="F40" i="21"/>
  <c r="D40" i="21"/>
  <c r="L39" i="21"/>
  <c r="J39" i="21"/>
  <c r="H39" i="21"/>
  <c r="F39" i="21"/>
  <c r="D39" i="21"/>
  <c r="K37" i="21"/>
  <c r="I37" i="21"/>
  <c r="G37" i="21"/>
  <c r="E37" i="21"/>
  <c r="C37" i="21"/>
  <c r="K36" i="21"/>
  <c r="I36" i="21"/>
  <c r="G36" i="21"/>
  <c r="E36" i="21"/>
  <c r="C36" i="21"/>
  <c r="K29" i="21"/>
  <c r="K30" i="21"/>
  <c r="K31" i="21"/>
  <c r="K32" i="21"/>
  <c r="K33" i="21"/>
  <c r="L29" i="21"/>
  <c r="L30" i="21"/>
  <c r="L31" i="21"/>
  <c r="L32" i="21"/>
  <c r="L33" i="21"/>
  <c r="I29" i="21"/>
  <c r="I30" i="21"/>
  <c r="I31" i="21"/>
  <c r="I32" i="21"/>
  <c r="I33" i="21"/>
  <c r="J29" i="21"/>
  <c r="J30" i="21"/>
  <c r="J31" i="21"/>
  <c r="J32" i="21"/>
  <c r="J33" i="21"/>
  <c r="G29" i="21"/>
  <c r="G30" i="21"/>
  <c r="G31" i="21"/>
  <c r="G32" i="21"/>
  <c r="G33" i="21"/>
  <c r="H29" i="21"/>
  <c r="H30" i="21"/>
  <c r="H31" i="21"/>
  <c r="H32" i="21"/>
  <c r="H33" i="21"/>
  <c r="E29" i="21"/>
  <c r="E30" i="21"/>
  <c r="E31" i="21"/>
  <c r="E32" i="21"/>
  <c r="E33" i="21"/>
  <c r="F29" i="21"/>
  <c r="F30" i="21"/>
  <c r="F31" i="21"/>
  <c r="F32" i="21"/>
  <c r="F33" i="21"/>
  <c r="C29" i="21"/>
  <c r="C30" i="21"/>
  <c r="C31" i="21"/>
  <c r="C32" i="21"/>
  <c r="C33" i="21"/>
  <c r="D29" i="21"/>
  <c r="D30" i="21"/>
  <c r="D31" i="21"/>
  <c r="D32" i="21"/>
  <c r="D33" i="21"/>
  <c r="K27" i="21"/>
  <c r="I27" i="21"/>
  <c r="G27" i="21"/>
  <c r="E27" i="21"/>
  <c r="C27" i="21"/>
  <c r="K26" i="21"/>
  <c r="I26" i="21"/>
  <c r="G26" i="21"/>
  <c r="E26" i="21"/>
  <c r="C26" i="21"/>
  <c r="K15" i="21"/>
  <c r="K16" i="21"/>
  <c r="K18" i="21"/>
  <c r="K19" i="21"/>
  <c r="K21" i="21"/>
  <c r="K22" i="21"/>
  <c r="K24" i="21"/>
  <c r="I15" i="21"/>
  <c r="I16" i="21"/>
  <c r="I18" i="21"/>
  <c r="I19" i="21"/>
  <c r="I21" i="21"/>
  <c r="I22" i="21"/>
  <c r="I24" i="21"/>
  <c r="G15" i="21"/>
  <c r="G16" i="21"/>
  <c r="G18" i="21"/>
  <c r="G19" i="21"/>
  <c r="G21" i="21"/>
  <c r="G22" i="21"/>
  <c r="G24" i="21"/>
  <c r="E15" i="21"/>
  <c r="E16" i="21"/>
  <c r="E18" i="21"/>
  <c r="E19" i="21"/>
  <c r="E21" i="21"/>
  <c r="E22" i="21"/>
  <c r="E24" i="21"/>
  <c r="C15" i="21"/>
  <c r="C16" i="21"/>
  <c r="C18" i="21"/>
  <c r="C19" i="21"/>
  <c r="C21" i="21"/>
  <c r="C22" i="21"/>
  <c r="C24" i="21"/>
  <c r="K13" i="21"/>
  <c r="I13" i="21"/>
  <c r="G13" i="21"/>
  <c r="E13" i="21"/>
  <c r="K12" i="21"/>
  <c r="I12" i="21"/>
  <c r="G12" i="21"/>
  <c r="E12" i="21"/>
  <c r="C12" i="21"/>
  <c r="C7" i="21"/>
  <c r="I18" i="26"/>
  <c r="J18" i="26"/>
  <c r="K18" i="26"/>
  <c r="L18" i="26"/>
  <c r="H18" i="26"/>
  <c r="I17" i="26"/>
  <c r="J17" i="26"/>
  <c r="K17" i="26"/>
  <c r="L17" i="26"/>
  <c r="H17" i="26"/>
  <c r="I16" i="26"/>
  <c r="J16" i="26"/>
  <c r="K16" i="26"/>
  <c r="G15" i="27"/>
  <c r="G16" i="26"/>
  <c r="I10" i="26"/>
  <c r="J10" i="26"/>
  <c r="K10" i="26"/>
  <c r="G29" i="27"/>
  <c r="G14" i="27"/>
  <c r="G30" i="27"/>
  <c r="G16" i="27"/>
  <c r="G17" i="27"/>
  <c r="G19" i="27"/>
  <c r="G10" i="26"/>
  <c r="K8" i="26"/>
  <c r="L8" i="26"/>
  <c r="J8" i="26"/>
  <c r="H8" i="26"/>
  <c r="I8" i="26"/>
  <c r="G8" i="26"/>
  <c r="E7" i="27"/>
  <c r="E8" i="27"/>
  <c r="E11" i="27"/>
  <c r="E15" i="27"/>
  <c r="E17" i="27"/>
  <c r="E19" i="27"/>
  <c r="M46" i="2"/>
  <c r="E21" i="27"/>
  <c r="E23" i="27"/>
  <c r="P6" i="27"/>
  <c r="E37" i="27"/>
  <c r="P7" i="27"/>
  <c r="P8" i="27"/>
  <c r="M24" i="3"/>
  <c r="M25" i="3"/>
  <c r="M26" i="3"/>
  <c r="E50" i="27"/>
  <c r="E51" i="27"/>
  <c r="E56" i="27"/>
  <c r="E58" i="27"/>
  <c r="D51" i="27"/>
  <c r="D56" i="27"/>
  <c r="D58" i="27"/>
  <c r="E59" i="27"/>
  <c r="P9" i="27"/>
  <c r="P10" i="27"/>
  <c r="F7" i="27"/>
  <c r="F8" i="27"/>
  <c r="F11" i="27"/>
  <c r="F17" i="27"/>
  <c r="F19" i="27"/>
  <c r="N46" i="2"/>
  <c r="F21" i="27"/>
  <c r="F23" i="27"/>
  <c r="Q6" i="27"/>
  <c r="Q7" i="27"/>
  <c r="Q8" i="27"/>
  <c r="F51" i="27"/>
  <c r="F56" i="27"/>
  <c r="F58" i="27"/>
  <c r="F59" i="27"/>
  <c r="Q9" i="27"/>
  <c r="Q10" i="27"/>
  <c r="D15" i="27"/>
  <c r="G21" i="27"/>
  <c r="G23" i="27"/>
  <c r="R6" i="27"/>
  <c r="R7" i="27"/>
  <c r="R8" i="27"/>
  <c r="G59" i="27"/>
  <c r="R9" i="27"/>
  <c r="R10" i="27"/>
  <c r="D7" i="27"/>
  <c r="D8" i="27"/>
  <c r="D11" i="27"/>
  <c r="D17" i="27"/>
  <c r="D19" i="27"/>
  <c r="L46" i="2"/>
  <c r="D21" i="27"/>
  <c r="D23" i="27"/>
  <c r="O6" i="27"/>
  <c r="D37" i="27"/>
  <c r="O7" i="27"/>
  <c r="O8" i="27"/>
  <c r="O10" i="27"/>
  <c r="E66" i="27"/>
  <c r="E42" i="27"/>
  <c r="D42" i="27"/>
  <c r="E31" i="27"/>
  <c r="F31" i="27"/>
  <c r="D31" i="27"/>
  <c r="F26" i="27"/>
  <c r="E26" i="27"/>
  <c r="G26" i="27"/>
  <c r="G7" i="27"/>
  <c r="H7" i="27"/>
  <c r="H8" i="27"/>
  <c r="I7" i="27"/>
  <c r="I8" i="27"/>
  <c r="G8" i="27"/>
  <c r="H51" i="26"/>
  <c r="U37" i="26"/>
  <c r="T37" i="26"/>
  <c r="S37" i="26"/>
  <c r="V31" i="26"/>
  <c r="U22" i="26"/>
  <c r="U21" i="26"/>
  <c r="I43" i="26"/>
  <c r="I51" i="26"/>
  <c r="V34" i="26"/>
  <c r="V51" i="26"/>
  <c r="U34" i="26"/>
  <c r="U51" i="26"/>
  <c r="T34" i="26"/>
  <c r="T51" i="26"/>
  <c r="S34" i="26"/>
  <c r="S51" i="26"/>
  <c r="R34" i="26"/>
  <c r="R51" i="26"/>
  <c r="U39" i="26"/>
  <c r="T39" i="26"/>
  <c r="S39" i="26"/>
  <c r="R39" i="26"/>
  <c r="U29" i="26"/>
  <c r="U24" i="26"/>
  <c r="U23" i="26"/>
  <c r="L19" i="26"/>
  <c r="K19" i="26"/>
  <c r="J19" i="26"/>
  <c r="I19" i="26"/>
  <c r="L9" i="26"/>
  <c r="K9" i="26"/>
  <c r="J9" i="26"/>
  <c r="I9" i="26"/>
  <c r="H9" i="26"/>
  <c r="G9" i="26"/>
  <c r="F7" i="24"/>
  <c r="F8" i="24"/>
  <c r="F9" i="24"/>
  <c r="F10" i="24"/>
  <c r="F11" i="24"/>
  <c r="F14" i="24"/>
  <c r="F12" i="24"/>
  <c r="H11" i="16"/>
  <c r="H15" i="16"/>
  <c r="G11" i="16"/>
  <c r="G15" i="16"/>
  <c r="F11" i="16"/>
  <c r="F15" i="16"/>
  <c r="E11" i="16"/>
  <c r="E15" i="16"/>
  <c r="D11" i="16"/>
  <c r="D15" i="16"/>
  <c r="C11" i="16"/>
  <c r="C15" i="16"/>
  <c r="M66" i="16"/>
  <c r="L66" i="16"/>
  <c r="K66" i="16"/>
  <c r="J11" i="16"/>
  <c r="J66" i="16"/>
  <c r="I11" i="16"/>
  <c r="I66" i="16"/>
  <c r="H66" i="16"/>
  <c r="G66" i="16"/>
  <c r="F66" i="16"/>
  <c r="E66" i="16"/>
  <c r="D66" i="16"/>
  <c r="C66" i="16"/>
  <c r="M65" i="16"/>
  <c r="L65" i="16"/>
  <c r="K65" i="16"/>
  <c r="J65" i="16"/>
  <c r="I65" i="16"/>
  <c r="H65" i="16"/>
  <c r="G65" i="16"/>
  <c r="F65" i="16"/>
  <c r="E65" i="16"/>
  <c r="D65" i="16"/>
  <c r="C65" i="16"/>
  <c r="M64" i="16"/>
  <c r="L64" i="16"/>
  <c r="K64" i="16"/>
  <c r="J64" i="16"/>
  <c r="I64" i="16"/>
  <c r="H64" i="16"/>
  <c r="G64" i="16"/>
  <c r="F64" i="16"/>
  <c r="E64" i="16"/>
  <c r="D64" i="16"/>
  <c r="C64" i="16"/>
  <c r="M63" i="16"/>
  <c r="L63" i="16"/>
  <c r="K63" i="16"/>
  <c r="J63" i="16"/>
  <c r="I63" i="16"/>
  <c r="H63" i="16"/>
  <c r="G63" i="16"/>
  <c r="F63" i="16"/>
  <c r="E63" i="16"/>
  <c r="D63" i="16"/>
  <c r="C63" i="16"/>
  <c r="M60" i="16"/>
  <c r="L60" i="16"/>
  <c r="K60" i="16"/>
  <c r="J60" i="16"/>
  <c r="I60" i="16"/>
  <c r="H60" i="16"/>
  <c r="G60" i="16"/>
  <c r="F60" i="16"/>
  <c r="E60" i="16"/>
  <c r="D60" i="16"/>
  <c r="C60" i="16"/>
  <c r="M59" i="16"/>
  <c r="L59" i="16"/>
  <c r="K59" i="16"/>
  <c r="J59" i="16"/>
  <c r="I59" i="16"/>
  <c r="H59" i="16"/>
  <c r="G59" i="16"/>
  <c r="F59" i="16"/>
  <c r="E59" i="16"/>
  <c r="D59" i="16"/>
  <c r="C59" i="16"/>
  <c r="M58" i="16"/>
  <c r="L58" i="16"/>
  <c r="K58" i="16"/>
  <c r="J58" i="16"/>
  <c r="I58" i="16"/>
  <c r="H58" i="16"/>
  <c r="G58" i="16"/>
  <c r="F58" i="16"/>
  <c r="E58" i="16"/>
  <c r="D58" i="16"/>
  <c r="C58" i="16"/>
  <c r="M57" i="16"/>
  <c r="L57" i="16"/>
  <c r="K57" i="16"/>
  <c r="J57" i="16"/>
  <c r="I57" i="16"/>
  <c r="H57" i="16"/>
  <c r="G57" i="16"/>
  <c r="F57" i="16"/>
  <c r="E57" i="16"/>
  <c r="D57" i="16"/>
  <c r="C57" i="16"/>
  <c r="M54" i="16"/>
  <c r="L54" i="16"/>
  <c r="K54" i="16"/>
  <c r="J54" i="16"/>
  <c r="I54" i="16"/>
  <c r="H54" i="16"/>
  <c r="G54" i="16"/>
  <c r="F54" i="16"/>
  <c r="E54" i="16"/>
  <c r="D54" i="16"/>
  <c r="C54" i="16"/>
  <c r="M53" i="16"/>
  <c r="L53" i="16"/>
  <c r="K53" i="16"/>
  <c r="J53" i="16"/>
  <c r="I53" i="16"/>
  <c r="H53" i="16"/>
  <c r="G53" i="16"/>
  <c r="F53" i="16"/>
  <c r="E53" i="16"/>
  <c r="D53" i="16"/>
  <c r="C53" i="16"/>
  <c r="M52" i="16"/>
  <c r="L52" i="16"/>
  <c r="K52" i="16"/>
  <c r="J52" i="16"/>
  <c r="I52" i="16"/>
  <c r="H52" i="16"/>
  <c r="G52" i="16"/>
  <c r="F52" i="16"/>
  <c r="E52" i="16"/>
  <c r="D52" i="16"/>
  <c r="C52" i="16"/>
  <c r="M51" i="16"/>
  <c r="L51" i="16"/>
  <c r="K51" i="16"/>
  <c r="J51" i="16"/>
  <c r="I51" i="16"/>
  <c r="H51" i="16"/>
  <c r="G51" i="16"/>
  <c r="F51" i="16"/>
  <c r="E51" i="16"/>
  <c r="D51" i="16"/>
  <c r="C51" i="16"/>
  <c r="M48" i="16"/>
  <c r="L48" i="16"/>
  <c r="K48" i="16"/>
  <c r="J48" i="16"/>
  <c r="I48" i="16"/>
  <c r="H48" i="16"/>
  <c r="G48" i="16"/>
  <c r="F48" i="16"/>
  <c r="E48" i="16"/>
  <c r="D48" i="16"/>
  <c r="C48" i="16"/>
  <c r="M47" i="16"/>
  <c r="L47" i="16"/>
  <c r="K47" i="16"/>
  <c r="J47" i="16"/>
  <c r="I47" i="16"/>
  <c r="H47" i="16"/>
  <c r="G47" i="16"/>
  <c r="F47" i="16"/>
  <c r="E47" i="16"/>
  <c r="D47" i="16"/>
  <c r="C47" i="16"/>
  <c r="M46" i="16"/>
  <c r="L46" i="16"/>
  <c r="K46" i="16"/>
  <c r="J46" i="16"/>
  <c r="I46" i="16"/>
  <c r="H46" i="16"/>
  <c r="G46" i="16"/>
  <c r="F46" i="16"/>
  <c r="E46" i="16"/>
  <c r="D46" i="16"/>
  <c r="C46" i="16"/>
  <c r="M45" i="16"/>
  <c r="L45" i="16"/>
  <c r="K45" i="16"/>
  <c r="J45" i="16"/>
  <c r="I45" i="16"/>
  <c r="H45" i="16"/>
  <c r="G45" i="16"/>
  <c r="F45" i="16"/>
  <c r="E45" i="16"/>
  <c r="D45" i="16"/>
  <c r="C45" i="16"/>
  <c r="M42" i="16"/>
  <c r="L42" i="16"/>
  <c r="K42" i="16"/>
  <c r="J42" i="16"/>
  <c r="I42" i="16"/>
  <c r="H42" i="16"/>
  <c r="G42" i="16"/>
  <c r="F42" i="16"/>
  <c r="E42" i="16"/>
  <c r="D42" i="16"/>
  <c r="C42" i="16"/>
  <c r="M41" i="16"/>
  <c r="L41" i="16"/>
  <c r="K41" i="16"/>
  <c r="J41" i="16"/>
  <c r="I41" i="16"/>
  <c r="H41" i="16"/>
  <c r="G41" i="16"/>
  <c r="F41" i="16"/>
  <c r="E41" i="16"/>
  <c r="D41" i="16"/>
  <c r="C41" i="16"/>
  <c r="M40" i="16"/>
  <c r="L40" i="16"/>
  <c r="K40" i="16"/>
  <c r="J40" i="16"/>
  <c r="I40" i="16"/>
  <c r="H40" i="16"/>
  <c r="G40" i="16"/>
  <c r="F40" i="16"/>
  <c r="E40" i="16"/>
  <c r="D40" i="16"/>
  <c r="C40" i="16"/>
  <c r="M39" i="16"/>
  <c r="L39" i="16"/>
  <c r="K39" i="16"/>
  <c r="J39" i="16"/>
  <c r="I39" i="16"/>
  <c r="H39" i="16"/>
  <c r="G39" i="16"/>
  <c r="F39" i="16"/>
  <c r="E39" i="16"/>
  <c r="D39" i="16"/>
  <c r="C39" i="16"/>
  <c r="M36" i="16"/>
  <c r="L36" i="16"/>
  <c r="K36" i="16"/>
  <c r="J36" i="16"/>
  <c r="I36" i="16"/>
  <c r="H36" i="16"/>
  <c r="G36" i="16"/>
  <c r="F36" i="16"/>
  <c r="E36" i="16"/>
  <c r="D36" i="16"/>
  <c r="C36" i="16"/>
  <c r="M35" i="16"/>
  <c r="L35" i="16"/>
  <c r="K35" i="16"/>
  <c r="J35" i="16"/>
  <c r="I35" i="16"/>
  <c r="H35" i="16"/>
  <c r="G35" i="16"/>
  <c r="F35" i="16"/>
  <c r="E35" i="16"/>
  <c r="D35" i="16"/>
  <c r="C35" i="16"/>
  <c r="M34" i="16"/>
  <c r="L34" i="16"/>
  <c r="K34" i="16"/>
  <c r="J34" i="16"/>
  <c r="I34" i="16"/>
  <c r="H34" i="16"/>
  <c r="G34" i="16"/>
  <c r="F34" i="16"/>
  <c r="E34" i="16"/>
  <c r="D34" i="16"/>
  <c r="C34" i="16"/>
  <c r="M33" i="16"/>
  <c r="L33" i="16"/>
  <c r="K33" i="16"/>
  <c r="J33" i="16"/>
  <c r="I33" i="16"/>
  <c r="H33" i="16"/>
  <c r="G33" i="16"/>
  <c r="F33" i="16"/>
  <c r="E33" i="16"/>
  <c r="D33" i="16"/>
  <c r="C33" i="16"/>
  <c r="M30" i="16"/>
  <c r="L30" i="16"/>
  <c r="K30" i="16"/>
  <c r="J30" i="16"/>
  <c r="I30" i="16"/>
  <c r="H30" i="16"/>
  <c r="G30" i="16"/>
  <c r="F30" i="16"/>
  <c r="E30" i="16"/>
  <c r="D30" i="16"/>
  <c r="C30" i="16"/>
  <c r="M29" i="16"/>
  <c r="L29" i="16"/>
  <c r="K29" i="16"/>
  <c r="J29" i="16"/>
  <c r="I29" i="16"/>
  <c r="H29" i="16"/>
  <c r="G29" i="16"/>
  <c r="F29" i="16"/>
  <c r="E29" i="16"/>
  <c r="D29" i="16"/>
  <c r="C29" i="16"/>
  <c r="M28" i="16"/>
  <c r="L28" i="16"/>
  <c r="K28" i="16"/>
  <c r="J28" i="16"/>
  <c r="I28" i="16"/>
  <c r="H28" i="16"/>
  <c r="G28" i="16"/>
  <c r="F28" i="16"/>
  <c r="E28" i="16"/>
  <c r="D28" i="16"/>
  <c r="C28" i="16"/>
  <c r="M27" i="16"/>
  <c r="L27" i="16"/>
  <c r="K27" i="16"/>
  <c r="J27" i="16"/>
  <c r="I27" i="16"/>
  <c r="H27" i="16"/>
  <c r="G27" i="16"/>
  <c r="F27" i="16"/>
  <c r="E27" i="16"/>
  <c r="D27" i="16"/>
  <c r="C27" i="16"/>
  <c r="M24" i="16"/>
  <c r="L24" i="16"/>
  <c r="K24" i="16"/>
  <c r="J24" i="16"/>
  <c r="I24" i="16"/>
  <c r="H24" i="16"/>
  <c r="G24" i="16"/>
  <c r="F24" i="16"/>
  <c r="E24" i="16"/>
  <c r="D24" i="16"/>
  <c r="C24" i="16"/>
  <c r="M23" i="16"/>
  <c r="L23" i="16"/>
  <c r="K23" i="16"/>
  <c r="J23" i="16"/>
  <c r="I23" i="16"/>
  <c r="H23" i="16"/>
  <c r="G23" i="16"/>
  <c r="F23" i="16"/>
  <c r="E23" i="16"/>
  <c r="D23" i="16"/>
  <c r="C23" i="16"/>
  <c r="J22" i="16"/>
  <c r="I22" i="16"/>
  <c r="H22" i="16"/>
  <c r="G22" i="16"/>
  <c r="F22" i="16"/>
  <c r="E22" i="16"/>
  <c r="D22" i="16"/>
  <c r="C22" i="16"/>
  <c r="M21" i="16"/>
  <c r="L21" i="16"/>
  <c r="K21" i="16"/>
  <c r="J21" i="16"/>
  <c r="I21" i="16"/>
  <c r="H21" i="16"/>
  <c r="G21" i="16"/>
  <c r="F21" i="16"/>
  <c r="E21" i="16"/>
  <c r="D21" i="16"/>
  <c r="C21" i="16"/>
  <c r="M18" i="16"/>
  <c r="L18" i="16"/>
  <c r="K18" i="16"/>
  <c r="J18" i="16"/>
  <c r="I18" i="16"/>
  <c r="H18" i="16"/>
  <c r="G18" i="16"/>
  <c r="F18" i="16"/>
  <c r="E18" i="16"/>
  <c r="D18" i="16"/>
  <c r="C18" i="16"/>
  <c r="M17" i="16"/>
  <c r="L17" i="16"/>
  <c r="K17" i="16"/>
  <c r="J17" i="16"/>
  <c r="I17" i="16"/>
  <c r="H17" i="16"/>
  <c r="G17" i="16"/>
  <c r="F17" i="16"/>
  <c r="E17" i="16"/>
  <c r="D17" i="16"/>
  <c r="C17" i="16"/>
  <c r="M16" i="16"/>
  <c r="L16" i="16"/>
  <c r="K16" i="16"/>
  <c r="J16" i="16"/>
  <c r="I16" i="16"/>
  <c r="H16" i="16"/>
  <c r="G16" i="16"/>
  <c r="F16" i="16"/>
  <c r="E16" i="16"/>
  <c r="D16" i="16"/>
  <c r="C16" i="16"/>
  <c r="M15" i="16"/>
  <c r="L15" i="16"/>
  <c r="K15" i="16"/>
  <c r="J15" i="16"/>
  <c r="I15" i="16"/>
  <c r="M13" i="16"/>
  <c r="L13" i="16"/>
  <c r="K13" i="16"/>
  <c r="J13" i="16"/>
  <c r="I13" i="16"/>
  <c r="H13" i="16"/>
  <c r="G13" i="16"/>
  <c r="F13" i="16"/>
  <c r="E13" i="16"/>
  <c r="D13" i="16"/>
  <c r="C13" i="16"/>
  <c r="M12" i="16"/>
  <c r="L12" i="16"/>
  <c r="K12" i="16"/>
  <c r="J12" i="16"/>
  <c r="I12" i="16"/>
  <c r="H12" i="16"/>
  <c r="G12" i="16"/>
  <c r="F12" i="16"/>
  <c r="E12" i="16"/>
  <c r="D12" i="16"/>
  <c r="C12" i="16"/>
  <c r="C7" i="16"/>
  <c r="G22" i="25"/>
  <c r="L24" i="24"/>
  <c r="R17" i="25"/>
  <c r="R16" i="25"/>
  <c r="R15" i="25"/>
  <c r="R14" i="25"/>
  <c r="E22" i="25"/>
  <c r="I17" i="25"/>
  <c r="J17" i="25"/>
  <c r="K17" i="25"/>
  <c r="L17" i="25"/>
  <c r="M7" i="25"/>
  <c r="M8" i="25"/>
  <c r="M9" i="25"/>
  <c r="M10" i="25"/>
  <c r="M11" i="25"/>
  <c r="M12" i="25"/>
  <c r="M17" i="25"/>
  <c r="N17" i="25"/>
  <c r="O7" i="25"/>
  <c r="O8" i="25"/>
  <c r="O9" i="25"/>
  <c r="O10" i="25"/>
  <c r="O11" i="25"/>
  <c r="O12" i="25"/>
  <c r="O17" i="25"/>
  <c r="P17" i="25"/>
  <c r="Q7" i="25"/>
  <c r="Q8" i="25"/>
  <c r="Q9" i="25"/>
  <c r="Q10" i="25"/>
  <c r="Q11" i="25"/>
  <c r="Q12" i="25"/>
  <c r="Q17" i="25"/>
  <c r="S17" i="25"/>
  <c r="T9" i="25"/>
  <c r="T17" i="25"/>
  <c r="H17" i="25"/>
  <c r="I16" i="25"/>
  <c r="J16" i="25"/>
  <c r="K16" i="25"/>
  <c r="L16" i="25"/>
  <c r="M16" i="25"/>
  <c r="O16" i="25"/>
  <c r="P16" i="25"/>
  <c r="Q16" i="25"/>
  <c r="S16" i="25"/>
  <c r="T16" i="25"/>
  <c r="H16" i="25"/>
  <c r="I15" i="25"/>
  <c r="J15" i="25"/>
  <c r="K15" i="25"/>
  <c r="L15" i="25"/>
  <c r="M15" i="25"/>
  <c r="O15" i="25"/>
  <c r="P15" i="25"/>
  <c r="Q15" i="25"/>
  <c r="S15" i="25"/>
  <c r="T15" i="25"/>
  <c r="H15" i="25"/>
  <c r="Q14" i="25"/>
  <c r="I14" i="25"/>
  <c r="J14" i="25"/>
  <c r="K14" i="25"/>
  <c r="L14" i="25"/>
  <c r="M14" i="25"/>
  <c r="O14" i="25"/>
  <c r="P14" i="25"/>
  <c r="S14" i="25"/>
  <c r="T14" i="25"/>
  <c r="H14" i="25"/>
  <c r="F22" i="25"/>
  <c r="H9" i="24"/>
  <c r="H8" i="24"/>
  <c r="H10" i="24"/>
  <c r="H14" i="24"/>
  <c r="L7" i="24"/>
  <c r="H12" i="24"/>
  <c r="H7" i="24"/>
  <c r="J7" i="24"/>
  <c r="I7" i="24"/>
  <c r="H11" i="24"/>
  <c r="J24" i="24"/>
  <c r="G9" i="24"/>
  <c r="F19" i="24"/>
  <c r="F18" i="24"/>
  <c r="G12" i="24"/>
  <c r="I16" i="24"/>
  <c r="I17" i="24"/>
  <c r="O8" i="24"/>
  <c r="H19" i="24"/>
  <c r="H18" i="24"/>
  <c r="G11" i="24"/>
  <c r="O11" i="24"/>
  <c r="I18" i="24"/>
  <c r="I19" i="24"/>
  <c r="O7" i="24"/>
  <c r="Q7" i="24"/>
  <c r="P7" i="24"/>
  <c r="O14" i="24"/>
  <c r="K16" i="24"/>
  <c r="K17" i="24"/>
  <c r="M17" i="24"/>
  <c r="M16" i="24"/>
  <c r="J18" i="24"/>
  <c r="J19" i="24"/>
  <c r="H16" i="24"/>
  <c r="H17" i="24"/>
  <c r="O12" i="24"/>
  <c r="E18" i="24"/>
  <c r="E19" i="24"/>
  <c r="G7" i="24"/>
  <c r="N7" i="24"/>
  <c r="K18" i="24"/>
  <c r="K19" i="24"/>
  <c r="L17" i="24"/>
  <c r="L16" i="24"/>
  <c r="L18" i="24"/>
  <c r="L19" i="24"/>
  <c r="J17" i="24"/>
  <c r="E16" i="24"/>
  <c r="E17" i="24"/>
  <c r="G8" i="24"/>
  <c r="M18" i="24"/>
  <c r="M19" i="24"/>
  <c r="O10" i="24"/>
  <c r="G10" i="24"/>
  <c r="G14" i="24"/>
  <c r="F17" i="24"/>
  <c r="F16" i="24"/>
  <c r="O9" i="24"/>
  <c r="B11" i="19"/>
  <c r="C11" i="19"/>
  <c r="C13" i="19"/>
  <c r="F11" i="19"/>
  <c r="F13" i="19"/>
  <c r="D11" i="19"/>
  <c r="D13" i="19"/>
  <c r="G11" i="19"/>
  <c r="G13" i="19"/>
  <c r="H11" i="19"/>
  <c r="H13" i="19"/>
  <c r="E11" i="19"/>
  <c r="E13" i="19"/>
  <c r="K11" i="19"/>
  <c r="K12" i="19"/>
  <c r="L11" i="19"/>
  <c r="L12" i="19"/>
  <c r="J11" i="19"/>
  <c r="J12" i="19"/>
  <c r="I11" i="19"/>
  <c r="L13" i="19"/>
  <c r="N71" i="3"/>
  <c r="M11" i="19"/>
  <c r="M13" i="19"/>
  <c r="C12" i="19"/>
  <c r="L71" i="3"/>
  <c r="J71" i="3"/>
  <c r="M71" i="3"/>
  <c r="J13" i="19"/>
  <c r="K71" i="3"/>
  <c r="M12" i="19"/>
  <c r="K13" i="19"/>
  <c r="I13" i="19"/>
  <c r="E12" i="19"/>
  <c r="C11" i="2"/>
  <c r="L11" i="2"/>
  <c r="L86" i="2"/>
  <c r="N11" i="2"/>
  <c r="N86" i="2"/>
  <c r="L79" i="2"/>
  <c r="H11" i="2"/>
  <c r="H79" i="2"/>
  <c r="E11" i="2"/>
  <c r="E86" i="2"/>
  <c r="D11" i="2"/>
  <c r="D79" i="2"/>
  <c r="D71" i="3"/>
  <c r="K11" i="2"/>
  <c r="K79" i="2"/>
  <c r="F11" i="2"/>
  <c r="F79" i="2"/>
  <c r="M11" i="2"/>
  <c r="M86" i="2"/>
  <c r="I11" i="2"/>
  <c r="I86" i="2"/>
  <c r="J11" i="2"/>
  <c r="J79" i="2"/>
  <c r="F86" i="2"/>
  <c r="N79" i="2"/>
  <c r="G12" i="19"/>
  <c r="I12" i="19"/>
  <c r="J86" i="2"/>
  <c r="K7" i="19"/>
  <c r="D30" i="19"/>
  <c r="H20" i="19"/>
  <c r="E34" i="19"/>
  <c r="M20" i="19"/>
  <c r="I20" i="19"/>
  <c r="I27" i="19"/>
  <c r="E24" i="19"/>
  <c r="C34" i="19"/>
  <c r="H27" i="19"/>
  <c r="M28" i="19"/>
  <c r="K24" i="19"/>
  <c r="E30" i="19"/>
  <c r="L28" i="19"/>
  <c r="J30" i="19"/>
  <c r="C17" i="19"/>
  <c r="M30" i="19"/>
  <c r="M16" i="19"/>
  <c r="G17" i="19"/>
  <c r="H16" i="19"/>
  <c r="M33" i="19"/>
  <c r="H21" i="19"/>
  <c r="K28" i="19"/>
  <c r="G22" i="19"/>
  <c r="G33" i="19"/>
  <c r="K15" i="19"/>
  <c r="H28" i="19"/>
  <c r="L20" i="19"/>
  <c r="D33" i="19"/>
  <c r="J28" i="19"/>
  <c r="H12" i="19"/>
  <c r="F12" i="19"/>
  <c r="H71" i="3"/>
  <c r="D12" i="19"/>
  <c r="G11" i="2"/>
  <c r="G86" i="2"/>
  <c r="E71" i="3"/>
  <c r="F71" i="3"/>
  <c r="J17" i="19"/>
  <c r="H29" i="19"/>
  <c r="C16" i="19"/>
  <c r="H34" i="19"/>
  <c r="L33" i="19"/>
  <c r="C20" i="19"/>
  <c r="M15" i="19"/>
  <c r="E29" i="19"/>
  <c r="J27" i="19"/>
  <c r="G16" i="19"/>
  <c r="G29" i="19"/>
  <c r="H22" i="19"/>
  <c r="D27" i="19"/>
  <c r="L22" i="19"/>
  <c r="F29" i="19"/>
  <c r="L16" i="19"/>
  <c r="C29" i="19"/>
  <c r="F30" i="19"/>
  <c r="H86" i="2"/>
  <c r="F28" i="19"/>
  <c r="F34" i="19"/>
  <c r="I71" i="3"/>
  <c r="L17" i="19"/>
  <c r="I21" i="19"/>
  <c r="H33" i="19"/>
  <c r="L29" i="19"/>
  <c r="H17" i="19"/>
  <c r="G27" i="19"/>
  <c r="E33" i="19"/>
  <c r="I28" i="19"/>
  <c r="E20" i="19"/>
  <c r="K22" i="19"/>
  <c r="K33" i="19"/>
  <c r="L24" i="19"/>
  <c r="L27" i="19"/>
  <c r="F24" i="19"/>
  <c r="K27" i="19"/>
  <c r="M22" i="19"/>
  <c r="K34" i="19"/>
  <c r="K86" i="2"/>
  <c r="J16" i="19"/>
  <c r="G30" i="19"/>
  <c r="E16" i="19"/>
  <c r="G71" i="3"/>
  <c r="I79" i="2"/>
  <c r="D86" i="2"/>
  <c r="F27" i="19"/>
  <c r="M29" i="19"/>
  <c r="F20" i="19"/>
  <c r="E79" i="2"/>
  <c r="G79" i="2"/>
  <c r="L30" i="19"/>
  <c r="E28" i="19"/>
  <c r="C30" i="19"/>
  <c r="D21" i="19"/>
  <c r="I17" i="19"/>
  <c r="H30" i="19"/>
  <c r="C21" i="19"/>
  <c r="J22" i="19"/>
  <c r="C24" i="19"/>
  <c r="E15" i="19"/>
  <c r="D22" i="19"/>
  <c r="F22" i="19"/>
  <c r="I16" i="19"/>
  <c r="G21" i="19"/>
  <c r="M79" i="2"/>
  <c r="E17" i="19"/>
  <c r="K30" i="19"/>
  <c r="L21" i="19"/>
  <c r="J24" i="19"/>
  <c r="D17" i="19"/>
  <c r="I33" i="19"/>
  <c r="I30" i="19"/>
  <c r="J21" i="19"/>
  <c r="F15" i="19"/>
  <c r="D24" i="19"/>
  <c r="L15" i="19"/>
  <c r="E27" i="19"/>
  <c r="I34" i="19"/>
  <c r="J20" i="19"/>
  <c r="I29" i="19"/>
  <c r="C15" i="19"/>
  <c r="M27" i="19"/>
  <c r="K17" i="19"/>
  <c r="D34" i="19"/>
  <c r="I22" i="19"/>
  <c r="F33" i="19"/>
  <c r="K20" i="19"/>
  <c r="F16" i="19"/>
  <c r="I24" i="19"/>
  <c r="J33" i="19"/>
  <c r="D29" i="19"/>
  <c r="E21" i="19"/>
  <c r="I15" i="19"/>
  <c r="E22" i="19"/>
  <c r="G20" i="19"/>
  <c r="C33" i="19"/>
  <c r="C22" i="19"/>
  <c r="K21" i="19"/>
  <c r="M21" i="19"/>
  <c r="J15" i="19"/>
  <c r="D15" i="19"/>
  <c r="L34" i="19"/>
  <c r="C28" i="19"/>
  <c r="F17" i="19"/>
  <c r="K29" i="19"/>
  <c r="J34" i="19"/>
  <c r="M17" i="19"/>
  <c r="H15" i="19"/>
  <c r="D16" i="19"/>
  <c r="M34" i="19"/>
  <c r="H24" i="19"/>
  <c r="C27" i="19"/>
  <c r="G28" i="19"/>
  <c r="F21" i="19"/>
  <c r="G15" i="19"/>
  <c r="D20" i="19"/>
  <c r="G24" i="19"/>
  <c r="K16" i="19"/>
  <c r="J29" i="19"/>
  <c r="D28" i="19"/>
  <c r="M24" i="19"/>
  <c r="G34" i="19"/>
  <c r="G19" i="24"/>
  <c r="G18" i="24"/>
  <c r="P19" i="24"/>
  <c r="P18" i="24"/>
  <c r="Q18" i="24"/>
  <c r="Q19" i="24"/>
  <c r="O19" i="24"/>
  <c r="O18" i="24"/>
  <c r="G16" i="24"/>
  <c r="G17" i="24"/>
  <c r="O16" i="24"/>
  <c r="O17" i="24"/>
  <c r="Q17" i="24"/>
  <c r="N19" i="24"/>
  <c r="N18" i="24"/>
  <c r="K24" i="24"/>
  <c r="C7" i="19"/>
  <c r="C11" i="8"/>
  <c r="J11" i="8"/>
  <c r="I11" i="8"/>
  <c r="M11" i="8"/>
  <c r="D7" i="8"/>
  <c r="J22" i="8"/>
  <c r="M17" i="8"/>
  <c r="I16" i="8"/>
  <c r="I50" i="8"/>
  <c r="M52" i="8"/>
  <c r="J52" i="8"/>
  <c r="I38" i="8"/>
  <c r="I41" i="8"/>
  <c r="M18" i="8"/>
  <c r="M47" i="8"/>
  <c r="J17" i="8"/>
  <c r="M42" i="8"/>
  <c r="I26" i="8"/>
  <c r="M37" i="8"/>
  <c r="M21" i="8"/>
  <c r="I24" i="8"/>
  <c r="I37" i="8"/>
  <c r="M25" i="8"/>
  <c r="M43" i="8"/>
  <c r="I43" i="8"/>
  <c r="I55" i="8"/>
  <c r="M58" i="8"/>
  <c r="M33" i="8"/>
  <c r="M26" i="8"/>
  <c r="M39" i="8"/>
  <c r="J18" i="8"/>
  <c r="J38" i="8"/>
  <c r="M16" i="8"/>
  <c r="M41" i="8"/>
  <c r="M48" i="8"/>
  <c r="M40" i="8"/>
  <c r="I49" i="8"/>
  <c r="I56" i="8"/>
  <c r="I48" i="8"/>
  <c r="J28" i="8"/>
  <c r="J26" i="8"/>
  <c r="I47" i="8"/>
  <c r="J25" i="8"/>
  <c r="J48" i="8"/>
  <c r="J55" i="8"/>
  <c r="M14" i="8"/>
  <c r="J16" i="8"/>
  <c r="J47" i="8"/>
  <c r="J53" i="8"/>
  <c r="I14" i="8"/>
  <c r="M55" i="8"/>
  <c r="M54" i="8"/>
  <c r="J24" i="8"/>
  <c r="J58" i="8"/>
  <c r="J49" i="8"/>
  <c r="I28" i="8"/>
  <c r="J56" i="8"/>
  <c r="J43" i="8"/>
  <c r="J33" i="8"/>
  <c r="I42" i="8"/>
  <c r="M46" i="8"/>
  <c r="J46" i="8"/>
  <c r="M53" i="8"/>
  <c r="J23" i="8"/>
  <c r="M28" i="8"/>
  <c r="I46" i="8"/>
  <c r="M38" i="8"/>
  <c r="M31" i="8"/>
  <c r="M49" i="8"/>
  <c r="M27" i="8"/>
  <c r="I33" i="8"/>
  <c r="J41" i="8"/>
  <c r="I25" i="8"/>
  <c r="M50" i="8"/>
  <c r="I18" i="8"/>
  <c r="M23" i="8"/>
  <c r="M12" i="8"/>
  <c r="J34" i="8"/>
  <c r="I27" i="8"/>
  <c r="J12" i="8"/>
  <c r="I23" i="8"/>
  <c r="I34" i="8"/>
  <c r="J54" i="8"/>
  <c r="I52" i="8"/>
  <c r="M22" i="8"/>
  <c r="J40" i="8"/>
  <c r="J31" i="8"/>
  <c r="I39" i="8"/>
  <c r="I22" i="8"/>
  <c r="M24" i="8"/>
  <c r="I21" i="8"/>
  <c r="J39" i="8"/>
  <c r="J27" i="8"/>
  <c r="I40" i="8"/>
  <c r="M56" i="8"/>
  <c r="J50" i="8"/>
  <c r="J37" i="8"/>
  <c r="I12" i="8"/>
  <c r="I54" i="8"/>
  <c r="M34" i="8"/>
  <c r="J21" i="8"/>
  <c r="I31" i="8"/>
  <c r="J42" i="8"/>
  <c r="J14" i="8"/>
  <c r="I58" i="8"/>
  <c r="I53" i="8"/>
  <c r="I17" i="8"/>
  <c r="H11" i="8"/>
  <c r="M13" i="8"/>
  <c r="J13" i="8"/>
  <c r="I13" i="8"/>
  <c r="K11" i="8"/>
  <c r="D11" i="8"/>
  <c r="L11" i="8"/>
  <c r="E11" i="8"/>
  <c r="F11" i="8"/>
  <c r="N11" i="8"/>
  <c r="G11" i="8"/>
  <c r="C12" i="8"/>
  <c r="L33" i="8"/>
  <c r="K43" i="8"/>
  <c r="D52" i="8"/>
  <c r="N26" i="8"/>
  <c r="N16" i="8"/>
  <c r="F38" i="8"/>
  <c r="L28" i="8"/>
  <c r="L56" i="8"/>
  <c r="L50" i="8"/>
  <c r="N38" i="8"/>
  <c r="L18" i="8"/>
  <c r="K12" i="8"/>
  <c r="N47" i="8"/>
  <c r="H12" i="8"/>
  <c r="D58" i="8"/>
  <c r="D50" i="8"/>
  <c r="K25" i="8"/>
  <c r="N41" i="8"/>
  <c r="K27" i="8"/>
  <c r="D21" i="8"/>
  <c r="G49" i="8"/>
  <c r="H47" i="8"/>
  <c r="L42" i="8"/>
  <c r="N50" i="8"/>
  <c r="H41" i="8"/>
  <c r="H18" i="8"/>
  <c r="H22" i="8"/>
  <c r="E52" i="8"/>
  <c r="K28" i="8"/>
  <c r="E16" i="8"/>
  <c r="H28" i="8"/>
  <c r="G34" i="8"/>
  <c r="E28" i="8"/>
  <c r="K17" i="8"/>
  <c r="N14" i="8"/>
  <c r="N27" i="8"/>
  <c r="E12" i="8"/>
  <c r="H40" i="8"/>
  <c r="E37" i="8"/>
  <c r="D48" i="8"/>
  <c r="H32" i="8"/>
  <c r="F21" i="8"/>
  <c r="K18" i="8"/>
  <c r="N17" i="8"/>
  <c r="N12" i="8"/>
  <c r="D24" i="8"/>
  <c r="D16" i="8"/>
  <c r="L58" i="8"/>
  <c r="L26" i="8"/>
  <c r="F43" i="8"/>
  <c r="H37" i="8"/>
  <c r="G16" i="8"/>
  <c r="K50" i="8"/>
  <c r="F55" i="8"/>
  <c r="G24" i="8"/>
  <c r="K42" i="8"/>
  <c r="F12" i="8"/>
  <c r="N40" i="8"/>
  <c r="G58" i="8"/>
  <c r="F22" i="8"/>
  <c r="N58" i="8"/>
  <c r="E38" i="8"/>
  <c r="G26" i="8"/>
  <c r="G42" i="8"/>
  <c r="H27" i="8"/>
  <c r="H56" i="8"/>
  <c r="H31" i="8"/>
  <c r="G53" i="8"/>
  <c r="L17" i="8"/>
  <c r="L32" i="8"/>
  <c r="K34" i="8"/>
  <c r="H55" i="8"/>
  <c r="K53" i="8"/>
  <c r="H52" i="8"/>
  <c r="K23" i="8"/>
  <c r="E41" i="8"/>
  <c r="N18" i="8"/>
  <c r="G21" i="8"/>
  <c r="E43" i="8"/>
  <c r="K31" i="8"/>
  <c r="N28" i="8"/>
  <c r="L49" i="8"/>
  <c r="L12" i="8"/>
  <c r="F54" i="8"/>
  <c r="D53" i="8"/>
  <c r="K24" i="8"/>
  <c r="L16" i="8"/>
  <c r="E48" i="8"/>
  <c r="G14" i="8"/>
  <c r="G40" i="8"/>
  <c r="E32" i="8"/>
  <c r="F37" i="8"/>
  <c r="K32" i="8"/>
  <c r="G23" i="8"/>
  <c r="F41" i="8"/>
  <c r="H25" i="8"/>
  <c r="H46" i="8"/>
  <c r="H42" i="8"/>
  <c r="H24" i="8"/>
  <c r="E42" i="8"/>
  <c r="H33" i="8"/>
  <c r="N53" i="8"/>
  <c r="D26" i="8"/>
  <c r="E23" i="8"/>
  <c r="L34" i="8"/>
  <c r="H26" i="8"/>
  <c r="E22" i="8"/>
  <c r="G55" i="8"/>
  <c r="L31" i="8"/>
  <c r="K38" i="8"/>
  <c r="E33" i="8"/>
  <c r="H49" i="8"/>
  <c r="K52" i="8"/>
  <c r="N52" i="8"/>
  <c r="L27" i="8"/>
  <c r="L24" i="8"/>
  <c r="L40" i="8"/>
  <c r="D42" i="8"/>
  <c r="L14" i="8"/>
  <c r="N21" i="8"/>
  <c r="H39" i="8"/>
  <c r="H21" i="8"/>
  <c r="F52" i="8"/>
  <c r="E34" i="8"/>
  <c r="L21" i="8"/>
  <c r="F53" i="8"/>
  <c r="F49" i="8"/>
  <c r="K26" i="8"/>
  <c r="F25" i="8"/>
  <c r="F33" i="8"/>
  <c r="K39" i="8"/>
  <c r="H50" i="8"/>
  <c r="F40" i="8"/>
  <c r="G38" i="8"/>
  <c r="H14" i="8"/>
  <c r="F32" i="8"/>
  <c r="G28" i="8"/>
  <c r="F47" i="8"/>
  <c r="F50" i="8"/>
  <c r="K46" i="8"/>
  <c r="E54" i="8"/>
  <c r="H54" i="8"/>
  <c r="D41" i="8"/>
  <c r="H16" i="8"/>
  <c r="G52" i="8"/>
  <c r="K37" i="8"/>
  <c r="H17" i="8"/>
  <c r="D43" i="8"/>
  <c r="L39" i="8"/>
  <c r="L46" i="8"/>
  <c r="N31" i="8"/>
  <c r="K58" i="8"/>
  <c r="K56" i="8"/>
  <c r="L41" i="8"/>
  <c r="L43" i="8"/>
  <c r="G32" i="8"/>
  <c r="G17" i="8"/>
  <c r="F18" i="8"/>
  <c r="D40" i="8"/>
  <c r="E39" i="8"/>
  <c r="F56" i="8"/>
  <c r="L23" i="8"/>
  <c r="N25" i="8"/>
  <c r="N22" i="8"/>
  <c r="F24" i="8"/>
  <c r="E24" i="8"/>
  <c r="D31" i="8"/>
  <c r="N33" i="8"/>
  <c r="E47" i="8"/>
  <c r="K55" i="8"/>
  <c r="L54" i="8"/>
  <c r="L48" i="8"/>
  <c r="L25" i="8"/>
  <c r="D37" i="8"/>
  <c r="G56" i="8"/>
  <c r="F58" i="8"/>
  <c r="E49" i="8"/>
  <c r="F42" i="8"/>
  <c r="E58" i="8"/>
  <c r="L22" i="8"/>
  <c r="N48" i="8"/>
  <c r="H43" i="8"/>
  <c r="E46" i="8"/>
  <c r="K14" i="8"/>
  <c r="K16" i="8"/>
  <c r="D12" i="8"/>
  <c r="G37" i="8"/>
  <c r="M32" i="8"/>
  <c r="D22" i="8"/>
  <c r="E40" i="8"/>
  <c r="L37" i="8"/>
  <c r="F23" i="8"/>
  <c r="E18" i="8"/>
  <c r="D25" i="8"/>
  <c r="G48" i="8"/>
  <c r="F34" i="8"/>
  <c r="F48" i="8"/>
  <c r="N46" i="8"/>
  <c r="L47" i="8"/>
  <c r="E50" i="8"/>
  <c r="N39" i="8"/>
  <c r="E17" i="8"/>
  <c r="D46" i="8"/>
  <c r="G41" i="8"/>
  <c r="G33" i="8"/>
  <c r="F39" i="8"/>
  <c r="L55" i="8"/>
  <c r="E25" i="8"/>
  <c r="N49" i="8"/>
  <c r="L53" i="8"/>
  <c r="E56" i="8"/>
  <c r="D32" i="8"/>
  <c r="H48" i="8"/>
  <c r="D33" i="8"/>
  <c r="N37" i="8"/>
  <c r="K21" i="8"/>
  <c r="F27" i="8"/>
  <c r="F26" i="8"/>
  <c r="E26" i="8"/>
  <c r="N54" i="8"/>
  <c r="E27" i="8"/>
  <c r="I32" i="8"/>
  <c r="D38" i="8"/>
  <c r="E14" i="8"/>
  <c r="K48" i="8"/>
  <c r="L38" i="8"/>
  <c r="E31" i="8"/>
  <c r="K49" i="8"/>
  <c r="D23" i="8"/>
  <c r="G43" i="8"/>
  <c r="G27" i="8"/>
  <c r="D49" i="8"/>
  <c r="F16" i="8"/>
  <c r="H53" i="8"/>
  <c r="N32" i="8"/>
  <c r="N23" i="8"/>
  <c r="K47" i="8"/>
  <c r="G50" i="8"/>
  <c r="G12" i="8"/>
  <c r="N43" i="8"/>
  <c r="D55" i="8"/>
  <c r="D54" i="8"/>
  <c r="G18" i="8"/>
  <c r="N34" i="8"/>
  <c r="G46" i="8"/>
  <c r="K40" i="8"/>
  <c r="G22" i="8"/>
  <c r="E21" i="8"/>
  <c r="K33" i="8"/>
  <c r="N55" i="8"/>
  <c r="G25" i="8"/>
  <c r="D56" i="8"/>
  <c r="D17" i="8"/>
  <c r="G47" i="8"/>
  <c r="G31" i="8"/>
  <c r="G39" i="8"/>
  <c r="H38" i="8"/>
  <c r="J32" i="8"/>
  <c r="N24" i="8"/>
  <c r="F17" i="8"/>
  <c r="K54" i="8"/>
  <c r="E53" i="8"/>
  <c r="D47" i="8"/>
  <c r="H34" i="8"/>
  <c r="D14" i="8"/>
  <c r="D27" i="8"/>
  <c r="F28" i="8"/>
  <c r="N42" i="8"/>
  <c r="G54" i="8"/>
  <c r="L52" i="8"/>
  <c r="F31" i="8"/>
  <c r="F14" i="8"/>
  <c r="E55" i="8"/>
  <c r="D34" i="8"/>
  <c r="K22" i="8"/>
  <c r="F46" i="8"/>
  <c r="K41" i="8"/>
  <c r="H58" i="8"/>
  <c r="N56" i="8"/>
  <c r="D28" i="8"/>
  <c r="H23" i="8"/>
  <c r="D18" i="8"/>
  <c r="D39" i="8"/>
  <c r="H13" i="8"/>
  <c r="D13" i="8"/>
  <c r="N13" i="8"/>
  <c r="K13" i="8"/>
  <c r="F13" i="8"/>
  <c r="E13" i="8"/>
  <c r="G13" i="8"/>
  <c r="L13" i="8"/>
  <c r="M39" i="4"/>
  <c r="M43" i="4"/>
  <c r="M40" i="4"/>
  <c r="M41" i="4"/>
  <c r="M31" i="4"/>
  <c r="M51" i="4"/>
  <c r="M15" i="4"/>
  <c r="M12" i="4"/>
  <c r="M32" i="4"/>
  <c r="M49" i="4"/>
  <c r="M24" i="4"/>
  <c r="M16" i="4"/>
  <c r="M30" i="4"/>
  <c r="M38" i="4"/>
  <c r="M25" i="4"/>
  <c r="M22" i="4"/>
  <c r="M52" i="4"/>
  <c r="M23" i="4"/>
  <c r="M17" i="4"/>
  <c r="M18" i="4"/>
  <c r="M42" i="4"/>
  <c r="M50" i="4"/>
  <c r="M26" i="4"/>
  <c r="M14" i="4"/>
  <c r="M19" i="4"/>
  <c r="M33" i="4"/>
  <c r="M13" i="4"/>
  <c r="G11" i="4"/>
  <c r="J11" i="4"/>
  <c r="D11" i="4"/>
  <c r="H11" i="4"/>
  <c r="I11" i="4"/>
  <c r="K11" i="4"/>
  <c r="E11" i="4"/>
  <c r="F11" i="4"/>
  <c r="D7" i="4"/>
  <c r="J12" i="4"/>
  <c r="E30" i="4"/>
  <c r="J22" i="4"/>
  <c r="N17" i="4"/>
  <c r="E23" i="4"/>
  <c r="K23" i="4"/>
  <c r="J40" i="4"/>
  <c r="G42" i="4"/>
  <c r="H31" i="4"/>
  <c r="G24" i="4"/>
  <c r="K14" i="4"/>
  <c r="L52" i="4"/>
  <c r="G52" i="4"/>
  <c r="E40" i="4"/>
  <c r="D31" i="4"/>
  <c r="N50" i="4"/>
  <c r="N38" i="4"/>
  <c r="M35" i="4"/>
  <c r="K52" i="4"/>
  <c r="F52" i="4"/>
  <c r="D17" i="4"/>
  <c r="K51" i="4"/>
  <c r="N39" i="4"/>
  <c r="J25" i="4"/>
  <c r="I43" i="4"/>
  <c r="L41" i="4"/>
  <c r="L23" i="4"/>
  <c r="G43" i="4"/>
  <c r="N15" i="4"/>
  <c r="D41" i="4"/>
  <c r="D30" i="4"/>
  <c r="H42" i="4"/>
  <c r="L43" i="4"/>
  <c r="M27" i="4"/>
  <c r="I51" i="4"/>
  <c r="D43" i="4"/>
  <c r="D22" i="4"/>
  <c r="I21" i="4"/>
  <c r="K42" i="4"/>
  <c r="K40" i="4"/>
  <c r="I38" i="4"/>
  <c r="N40" i="4"/>
  <c r="N26" i="4"/>
  <c r="N32" i="4"/>
  <c r="D24" i="4"/>
  <c r="E24" i="4"/>
  <c r="E25" i="4"/>
  <c r="E50" i="4"/>
  <c r="K21" i="4"/>
  <c r="D38" i="4"/>
  <c r="I32" i="4"/>
  <c r="I52" i="4"/>
  <c r="G12" i="4"/>
  <c r="J32" i="4"/>
  <c r="J26" i="4"/>
  <c r="E38" i="4"/>
  <c r="J17" i="4"/>
  <c r="J49" i="4"/>
  <c r="J50" i="4"/>
  <c r="F40" i="4"/>
  <c r="K49" i="4"/>
  <c r="J43" i="4"/>
  <c r="G49" i="4"/>
  <c r="J42" i="4"/>
  <c r="H22" i="4"/>
  <c r="G15" i="4"/>
  <c r="K32" i="4"/>
  <c r="E31" i="4"/>
  <c r="L42" i="4"/>
  <c r="J16" i="4"/>
  <c r="D32" i="4"/>
  <c r="I40" i="4"/>
  <c r="L51" i="4"/>
  <c r="F39" i="4"/>
  <c r="N52" i="4"/>
  <c r="N24" i="4"/>
  <c r="H24" i="4"/>
  <c r="J31" i="4"/>
  <c r="K16" i="4"/>
  <c r="D51" i="4"/>
  <c r="J52" i="4"/>
  <c r="G30" i="4"/>
  <c r="N18" i="4"/>
  <c r="N23" i="4"/>
  <c r="E39" i="4"/>
  <c r="D50" i="4"/>
  <c r="N49" i="4"/>
  <c r="E18" i="4"/>
  <c r="N14" i="4"/>
  <c r="L25" i="4"/>
  <c r="N31" i="4"/>
  <c r="D26" i="4"/>
  <c r="I41" i="4"/>
  <c r="L17" i="4"/>
  <c r="E21" i="4"/>
  <c r="I49" i="4"/>
  <c r="N22" i="4"/>
  <c r="D39" i="4"/>
  <c r="J39" i="4"/>
  <c r="H52" i="4"/>
  <c r="F24" i="4"/>
  <c r="N12" i="4"/>
  <c r="E26" i="4"/>
  <c r="L39" i="4"/>
  <c r="L38" i="4"/>
  <c r="G40" i="4"/>
  <c r="K17" i="4"/>
  <c r="F50" i="4"/>
  <c r="F41" i="4"/>
  <c r="D15" i="4"/>
  <c r="I18" i="4"/>
  <c r="H18" i="4"/>
  <c r="K22" i="4"/>
  <c r="E43" i="4"/>
  <c r="G31" i="4"/>
  <c r="H49" i="4"/>
  <c r="E15" i="4"/>
  <c r="E12" i="4"/>
  <c r="E52" i="4"/>
  <c r="K18" i="4"/>
  <c r="I26" i="4"/>
  <c r="L31" i="4"/>
  <c r="H40" i="4"/>
  <c r="L16" i="4"/>
  <c r="L15" i="4"/>
  <c r="I31" i="4"/>
  <c r="D42" i="4"/>
  <c r="N43" i="4"/>
  <c r="K25" i="4"/>
  <c r="L49" i="4"/>
  <c r="I39" i="4"/>
  <c r="K38" i="4"/>
  <c r="K39" i="4"/>
  <c r="E42" i="4"/>
  <c r="G51" i="4"/>
  <c r="L30" i="4"/>
  <c r="I42" i="4"/>
  <c r="K31" i="4"/>
  <c r="F43" i="4"/>
  <c r="D14" i="4"/>
  <c r="J18" i="4"/>
  <c r="H39" i="4"/>
  <c r="I23" i="4"/>
  <c r="F42" i="4"/>
  <c r="G32" i="4"/>
  <c r="N16" i="4"/>
  <c r="N30" i="4"/>
  <c r="E22" i="4"/>
  <c r="J14" i="4"/>
  <c r="G39" i="4"/>
  <c r="I15" i="4"/>
  <c r="K15" i="4"/>
  <c r="I17" i="4"/>
  <c r="J21" i="4"/>
  <c r="F21" i="4"/>
  <c r="F16" i="4"/>
  <c r="I50" i="4"/>
  <c r="F23" i="4"/>
  <c r="F22" i="4"/>
  <c r="K50" i="4"/>
  <c r="G23" i="4"/>
  <c r="L50" i="4"/>
  <c r="H16" i="4"/>
  <c r="D40" i="4"/>
  <c r="E49" i="4"/>
  <c r="G21" i="4"/>
  <c r="F38" i="4"/>
  <c r="H38" i="4"/>
  <c r="D18" i="4"/>
  <c r="D25" i="4"/>
  <c r="I14" i="4"/>
  <c r="E17" i="4"/>
  <c r="N42" i="4"/>
  <c r="J15" i="4"/>
  <c r="E51" i="4"/>
  <c r="H12" i="4"/>
  <c r="L12" i="4"/>
  <c r="H32" i="4"/>
  <c r="L40" i="4"/>
  <c r="L18" i="4"/>
  <c r="F12" i="4"/>
  <c r="D12" i="4"/>
  <c r="G26" i="4"/>
  <c r="J38" i="4"/>
  <c r="K24" i="4"/>
  <c r="G18" i="4"/>
  <c r="K12" i="4"/>
  <c r="G41" i="4"/>
  <c r="H23" i="4"/>
  <c r="D52" i="4"/>
  <c r="F14" i="4"/>
  <c r="K30" i="4"/>
  <c r="L26" i="4"/>
  <c r="K26" i="4"/>
  <c r="L14" i="4"/>
  <c r="L32" i="4"/>
  <c r="I16" i="4"/>
  <c r="E32" i="4"/>
  <c r="D23" i="4"/>
  <c r="G38" i="4"/>
  <c r="D49" i="4"/>
  <c r="F49" i="4"/>
  <c r="G17" i="4"/>
  <c r="N41" i="4"/>
  <c r="F30" i="4"/>
  <c r="G25" i="4"/>
  <c r="D16" i="4"/>
  <c r="F25" i="4"/>
  <c r="E16" i="4"/>
  <c r="F26" i="4"/>
  <c r="I30" i="4"/>
  <c r="G14" i="4"/>
  <c r="J30" i="4"/>
  <c r="F18" i="4"/>
  <c r="E41" i="4"/>
  <c r="K43" i="4"/>
  <c r="H17" i="4"/>
  <c r="F31" i="4"/>
  <c r="F17" i="4"/>
  <c r="N25" i="4"/>
  <c r="G16" i="4"/>
  <c r="J51" i="4"/>
  <c r="H41" i="4"/>
  <c r="H51" i="4"/>
  <c r="L24" i="4"/>
  <c r="L22" i="4"/>
  <c r="H50" i="4"/>
  <c r="J24" i="4"/>
  <c r="I25" i="4"/>
  <c r="H30" i="4"/>
  <c r="I22" i="4"/>
  <c r="H25" i="4"/>
  <c r="H15" i="4"/>
  <c r="G50" i="4"/>
  <c r="F15" i="4"/>
  <c r="N51" i="4"/>
  <c r="E14" i="4"/>
  <c r="F51" i="4"/>
  <c r="H26" i="4"/>
  <c r="K41" i="4"/>
  <c r="D21" i="4"/>
  <c r="F32" i="4"/>
  <c r="J41" i="4"/>
  <c r="G22" i="4"/>
  <c r="H21" i="4"/>
  <c r="H14" i="4"/>
  <c r="I12" i="4"/>
  <c r="H43" i="4"/>
  <c r="J23" i="4"/>
  <c r="I24" i="4"/>
  <c r="M36" i="4"/>
  <c r="M44" i="4"/>
  <c r="M28" i="4"/>
  <c r="N13" i="4"/>
  <c r="N19" i="4"/>
  <c r="N33" i="4"/>
  <c r="K13" i="4"/>
  <c r="K19" i="4"/>
  <c r="K33" i="4"/>
  <c r="J13" i="4"/>
  <c r="J19" i="4"/>
  <c r="J33" i="4"/>
  <c r="G13" i="4"/>
  <c r="G19" i="4"/>
  <c r="G33" i="4"/>
  <c r="E13" i="4"/>
  <c r="E19" i="4"/>
  <c r="E33" i="4"/>
  <c r="I13" i="4"/>
  <c r="I19" i="4"/>
  <c r="I33" i="4"/>
  <c r="H13" i="4"/>
  <c r="H19" i="4"/>
  <c r="H33" i="4"/>
  <c r="D13" i="4"/>
  <c r="D19" i="4"/>
  <c r="D33" i="4"/>
  <c r="F13" i="4"/>
  <c r="F19" i="4"/>
  <c r="F33" i="4"/>
  <c r="L13" i="4"/>
  <c r="L19" i="4"/>
  <c r="L33" i="4"/>
  <c r="J35" i="4"/>
  <c r="N35" i="4"/>
  <c r="F35" i="4"/>
  <c r="L35" i="4"/>
  <c r="E27" i="4"/>
  <c r="K27" i="4"/>
  <c r="G27" i="4"/>
  <c r="N27" i="4"/>
  <c r="J27" i="4"/>
  <c r="I27" i="4"/>
  <c r="I35" i="4"/>
  <c r="L27" i="4"/>
  <c r="K35" i="4"/>
  <c r="G35" i="4"/>
  <c r="H27" i="4"/>
  <c r="E35" i="4"/>
  <c r="D27" i="4"/>
  <c r="D35" i="4"/>
  <c r="F27" i="4"/>
  <c r="H35" i="4"/>
  <c r="M46" i="4"/>
  <c r="I28" i="4"/>
  <c r="N36" i="4"/>
  <c r="N44" i="4"/>
  <c r="K36" i="4"/>
  <c r="K44" i="4"/>
  <c r="N28" i="4"/>
  <c r="K28" i="4"/>
  <c r="H28" i="4"/>
  <c r="J36" i="4"/>
  <c r="J44" i="4"/>
  <c r="F36" i="4"/>
  <c r="F44" i="4"/>
  <c r="D36" i="4"/>
  <c r="D44" i="4"/>
  <c r="H36" i="4"/>
  <c r="H44" i="4"/>
  <c r="L36" i="4"/>
  <c r="L44" i="4"/>
  <c r="F28" i="4"/>
  <c r="D28" i="4"/>
  <c r="L28" i="4"/>
  <c r="E36" i="4"/>
  <c r="E44" i="4"/>
  <c r="G36" i="4"/>
  <c r="G44" i="4"/>
  <c r="J28" i="4"/>
  <c r="I36" i="4"/>
  <c r="I44" i="4"/>
  <c r="E28" i="4"/>
  <c r="G28" i="4"/>
  <c r="J11" i="3"/>
  <c r="M75" i="3"/>
  <c r="M29" i="3"/>
  <c r="M63" i="3"/>
  <c r="M67" i="3"/>
  <c r="M68" i="3"/>
  <c r="M72" i="3"/>
  <c r="M56" i="3"/>
  <c r="M17" i="3"/>
  <c r="M73" i="3"/>
  <c r="J37" i="3"/>
  <c r="M53" i="3"/>
  <c r="M52" i="3"/>
  <c r="M18" i="3"/>
  <c r="M15" i="3"/>
  <c r="M44" i="3"/>
  <c r="M74" i="3"/>
  <c r="M70" i="3"/>
  <c r="M55" i="3"/>
  <c r="M76" i="3"/>
  <c r="M31" i="3"/>
  <c r="M49" i="3"/>
  <c r="M38" i="3"/>
  <c r="M32" i="3"/>
  <c r="M69" i="3"/>
  <c r="M64" i="3"/>
  <c r="M65" i="3"/>
  <c r="J24" i="3"/>
  <c r="M13" i="3"/>
  <c r="M45" i="3"/>
  <c r="M77" i="3"/>
  <c r="E46" i="4"/>
  <c r="G46" i="4"/>
  <c r="F46" i="4"/>
  <c r="N46" i="4"/>
  <c r="J46" i="4"/>
  <c r="I46" i="4"/>
  <c r="K46" i="4"/>
  <c r="L46" i="4"/>
  <c r="H46" i="4"/>
  <c r="D46" i="4"/>
  <c r="M19" i="3"/>
  <c r="M21" i="3"/>
  <c r="M50" i="3"/>
  <c r="M66" i="3"/>
  <c r="M14" i="3"/>
  <c r="G12" i="3"/>
  <c r="J12" i="3"/>
  <c r="K11" i="3"/>
  <c r="D11" i="3"/>
  <c r="H12" i="3"/>
  <c r="E11" i="3"/>
  <c r="I12" i="3"/>
  <c r="F11" i="3"/>
  <c r="G11" i="3"/>
  <c r="K12" i="3"/>
  <c r="I11" i="3"/>
  <c r="E12" i="3"/>
  <c r="H11" i="3"/>
  <c r="D12" i="3"/>
  <c r="F12" i="3"/>
  <c r="D7" i="3"/>
  <c r="E70" i="3"/>
  <c r="J76" i="3"/>
  <c r="F77" i="3"/>
  <c r="H70" i="3"/>
  <c r="K44" i="3"/>
  <c r="F63" i="3"/>
  <c r="L56" i="3"/>
  <c r="J63" i="3"/>
  <c r="D55" i="3"/>
  <c r="K32" i="3"/>
  <c r="H77" i="3"/>
  <c r="E17" i="3"/>
  <c r="G39" i="3"/>
  <c r="L44" i="3"/>
  <c r="G13" i="3"/>
  <c r="N31" i="3"/>
  <c r="F13" i="3"/>
  <c r="K45" i="3"/>
  <c r="L18" i="3"/>
  <c r="J15" i="3"/>
  <c r="G23" i="3"/>
  <c r="H65" i="3"/>
  <c r="N52" i="3"/>
  <c r="J44" i="3"/>
  <c r="L55" i="3"/>
  <c r="K39" i="3"/>
  <c r="I56" i="3"/>
  <c r="I67" i="3"/>
  <c r="H24" i="3"/>
  <c r="K53" i="3"/>
  <c r="H76" i="3"/>
  <c r="D76" i="3"/>
  <c r="N32" i="3"/>
  <c r="L65" i="3"/>
  <c r="L31" i="3"/>
  <c r="I15" i="3"/>
  <c r="F39" i="3"/>
  <c r="D44" i="3"/>
  <c r="F64" i="3"/>
  <c r="L13" i="3"/>
  <c r="N55" i="3"/>
  <c r="D23" i="3"/>
  <c r="F40" i="3"/>
  <c r="G20" i="3"/>
  <c r="N63" i="3"/>
  <c r="G75" i="3"/>
  <c r="E76" i="3"/>
  <c r="G38" i="3"/>
  <c r="E49" i="3"/>
  <c r="G31" i="3"/>
  <c r="D52" i="3"/>
  <c r="J72" i="3"/>
  <c r="E23" i="3"/>
  <c r="H25" i="3"/>
  <c r="E39" i="3"/>
  <c r="G69" i="3"/>
  <c r="F75" i="3"/>
  <c r="I77" i="3"/>
  <c r="E68" i="3"/>
  <c r="I40" i="3"/>
  <c r="E44" i="3"/>
  <c r="N49" i="3"/>
  <c r="G73" i="3"/>
  <c r="I76" i="3"/>
  <c r="F31" i="3"/>
  <c r="H64" i="3"/>
  <c r="K25" i="3"/>
  <c r="D53" i="3"/>
  <c r="L45" i="3"/>
  <c r="F65" i="3"/>
  <c r="K31" i="3"/>
  <c r="D13" i="3"/>
  <c r="K55" i="3"/>
  <c r="L75" i="3"/>
  <c r="H68" i="3"/>
  <c r="I72" i="3"/>
  <c r="D37" i="3"/>
  <c r="D63" i="3"/>
  <c r="H15" i="3"/>
  <c r="J52" i="3"/>
  <c r="G25" i="3"/>
  <c r="I44" i="3"/>
  <c r="F67" i="3"/>
  <c r="J55" i="3"/>
  <c r="D45" i="3"/>
  <c r="G72" i="3"/>
  <c r="K76" i="3"/>
  <c r="I65" i="3"/>
  <c r="D68" i="3"/>
  <c r="F68" i="3"/>
  <c r="H72" i="3"/>
  <c r="D56" i="3"/>
  <c r="F69" i="3"/>
  <c r="D31" i="3"/>
  <c r="I20" i="3"/>
  <c r="N69" i="3"/>
  <c r="G37" i="3"/>
  <c r="F17" i="3"/>
  <c r="L68" i="3"/>
  <c r="H44" i="3"/>
  <c r="J75" i="3"/>
  <c r="E55" i="3"/>
  <c r="J18" i="3"/>
  <c r="N56" i="3"/>
  <c r="K69" i="3"/>
  <c r="I18" i="3"/>
  <c r="F23" i="3"/>
  <c r="I25" i="3"/>
  <c r="G77" i="3"/>
  <c r="L70" i="3"/>
  <c r="J20" i="3"/>
  <c r="H75" i="3"/>
  <c r="F45" i="3"/>
  <c r="G74" i="3"/>
  <c r="K38" i="3"/>
  <c r="E25" i="3"/>
  <c r="I23" i="3"/>
  <c r="E75" i="3"/>
  <c r="L52" i="3"/>
  <c r="E32" i="3"/>
  <c r="F15" i="3"/>
  <c r="L29" i="3"/>
  <c r="I31" i="3"/>
  <c r="K63" i="3"/>
  <c r="G24" i="3"/>
  <c r="H55" i="3"/>
  <c r="M33" i="3"/>
  <c r="G76" i="3"/>
  <c r="K20" i="3"/>
  <c r="N72" i="3"/>
  <c r="E24" i="3"/>
  <c r="N13" i="3"/>
  <c r="E65" i="3"/>
  <c r="D74" i="3"/>
  <c r="K49" i="3"/>
  <c r="K13" i="3"/>
  <c r="H74" i="3"/>
  <c r="E77" i="3"/>
  <c r="H39" i="3"/>
  <c r="G55" i="3"/>
  <c r="E45" i="3"/>
  <c r="D77" i="3"/>
  <c r="D18" i="3"/>
  <c r="D69" i="3"/>
  <c r="K72" i="3"/>
  <c r="K65" i="3"/>
  <c r="I64" i="3"/>
  <c r="D20" i="3"/>
  <c r="D25" i="3"/>
  <c r="J65" i="3"/>
  <c r="N38" i="3"/>
  <c r="G18" i="3"/>
  <c r="G67" i="3"/>
  <c r="I69" i="3"/>
  <c r="E15" i="3"/>
  <c r="M54" i="3"/>
  <c r="F38" i="3"/>
  <c r="D67" i="3"/>
  <c r="E52" i="3"/>
  <c r="G52" i="3"/>
  <c r="D32" i="3"/>
  <c r="F74" i="3"/>
  <c r="J49" i="3"/>
  <c r="N53" i="3"/>
  <c r="G53" i="3"/>
  <c r="H29" i="3"/>
  <c r="I45" i="3"/>
  <c r="I70" i="3"/>
  <c r="F49" i="3"/>
  <c r="I74" i="3"/>
  <c r="I13" i="3"/>
  <c r="L69" i="3"/>
  <c r="J31" i="3"/>
  <c r="N67" i="3"/>
  <c r="H67" i="3"/>
  <c r="F55" i="3"/>
  <c r="L63" i="3"/>
  <c r="K37" i="3"/>
  <c r="D70" i="3"/>
  <c r="J45" i="3"/>
  <c r="D72" i="3"/>
  <c r="D38" i="3"/>
  <c r="H56" i="3"/>
  <c r="L15" i="3"/>
  <c r="H38" i="3"/>
  <c r="G56" i="3"/>
  <c r="E37" i="3"/>
  <c r="I73" i="3"/>
  <c r="D29" i="3"/>
  <c r="D39" i="3"/>
  <c r="D17" i="3"/>
  <c r="H52" i="3"/>
  <c r="G64" i="3"/>
  <c r="J29" i="3"/>
  <c r="E63" i="3"/>
  <c r="N29" i="3"/>
  <c r="N73" i="3"/>
  <c r="D73" i="3"/>
  <c r="I32" i="3"/>
  <c r="D49" i="3"/>
  <c r="F56" i="3"/>
  <c r="G44" i="3"/>
  <c r="G17" i="3"/>
  <c r="L72" i="3"/>
  <c r="H45" i="3"/>
  <c r="I53" i="3"/>
  <c r="H69" i="3"/>
  <c r="E69" i="3"/>
  <c r="F44" i="3"/>
  <c r="L64" i="3"/>
  <c r="L67" i="3"/>
  <c r="I55" i="3"/>
  <c r="G15" i="3"/>
  <c r="E40" i="3"/>
  <c r="K73" i="3"/>
  <c r="H73" i="3"/>
  <c r="I52" i="3"/>
  <c r="N65" i="3"/>
  <c r="N45" i="3"/>
  <c r="G32" i="3"/>
  <c r="K24" i="3"/>
  <c r="E53" i="3"/>
  <c r="J13" i="3"/>
  <c r="K23" i="3"/>
  <c r="K68" i="3"/>
  <c r="F32" i="3"/>
  <c r="F37" i="3"/>
  <c r="J77" i="3"/>
  <c r="D24" i="3"/>
  <c r="D65" i="3"/>
  <c r="H31" i="3"/>
  <c r="J32" i="3"/>
  <c r="D75" i="3"/>
  <c r="F76" i="3"/>
  <c r="N44" i="3"/>
  <c r="K40" i="3"/>
  <c r="J73" i="3"/>
  <c r="L73" i="3"/>
  <c r="I38" i="3"/>
  <c r="I68" i="3"/>
  <c r="G29" i="3"/>
  <c r="I24" i="3"/>
  <c r="I29" i="3"/>
  <c r="N68" i="3"/>
  <c r="K17" i="3"/>
  <c r="F70" i="3"/>
  <c r="K70" i="3"/>
  <c r="H18" i="3"/>
  <c r="J17" i="3"/>
  <c r="K67" i="3"/>
  <c r="F52" i="3"/>
  <c r="J56" i="3"/>
  <c r="E31" i="3"/>
  <c r="E13" i="3"/>
  <c r="E67" i="3"/>
  <c r="D40" i="3"/>
  <c r="E64" i="3"/>
  <c r="J53" i="3"/>
  <c r="K52" i="3"/>
  <c r="K15" i="3"/>
  <c r="H23" i="3"/>
  <c r="K18" i="3"/>
  <c r="E73" i="3"/>
  <c r="F20" i="3"/>
  <c r="H32" i="3"/>
  <c r="F29" i="3"/>
  <c r="E38" i="3"/>
  <c r="H20" i="3"/>
  <c r="F25" i="3"/>
  <c r="N64" i="3"/>
  <c r="N76" i="3"/>
  <c r="L49" i="3"/>
  <c r="K74" i="3"/>
  <c r="L74" i="3"/>
  <c r="N70" i="3"/>
  <c r="H17" i="3"/>
  <c r="F73" i="3"/>
  <c r="E18" i="3"/>
  <c r="F72" i="3"/>
  <c r="G45" i="3"/>
  <c r="N74" i="3"/>
  <c r="E72" i="3"/>
  <c r="G68" i="3"/>
  <c r="I49" i="3"/>
  <c r="N15" i="3"/>
  <c r="J74" i="3"/>
  <c r="I37" i="3"/>
  <c r="E74" i="3"/>
  <c r="J69" i="3"/>
  <c r="L17" i="3"/>
  <c r="E29" i="3"/>
  <c r="L53" i="3"/>
  <c r="J23" i="3"/>
  <c r="J64" i="3"/>
  <c r="G49" i="3"/>
  <c r="K64" i="3"/>
  <c r="G40" i="3"/>
  <c r="M46" i="3"/>
  <c r="J38" i="3"/>
  <c r="J67" i="3"/>
  <c r="L76" i="3"/>
  <c r="E20" i="3"/>
  <c r="F18" i="3"/>
  <c r="H37" i="3"/>
  <c r="L77" i="3"/>
  <c r="K77" i="3"/>
  <c r="G65" i="3"/>
  <c r="G70" i="3"/>
  <c r="F24" i="3"/>
  <c r="I17" i="3"/>
  <c r="F53" i="3"/>
  <c r="K29" i="3"/>
  <c r="J40" i="3"/>
  <c r="J68" i="3"/>
  <c r="H40" i="3"/>
  <c r="I63" i="3"/>
  <c r="H49" i="3"/>
  <c r="J25" i="3"/>
  <c r="M57" i="3"/>
  <c r="K75" i="3"/>
  <c r="D15" i="3"/>
  <c r="N77" i="3"/>
  <c r="H13" i="3"/>
  <c r="N75" i="3"/>
  <c r="I39" i="3"/>
  <c r="J70" i="3"/>
  <c r="G63" i="3"/>
  <c r="H53" i="3"/>
  <c r="L32" i="3"/>
  <c r="J39" i="3"/>
  <c r="D64" i="3"/>
  <c r="L38" i="3"/>
  <c r="H63" i="3"/>
  <c r="I75" i="3"/>
  <c r="K56" i="3"/>
  <c r="E56" i="3"/>
  <c r="M58" i="3"/>
  <c r="D14" i="3"/>
  <c r="D19" i="3"/>
  <c r="D21" i="3"/>
  <c r="D50" i="3"/>
  <c r="D66" i="3"/>
  <c r="I14" i="3"/>
  <c r="I19" i="3"/>
  <c r="I21" i="3"/>
  <c r="I50" i="3"/>
  <c r="I66" i="3"/>
  <c r="G14" i="3"/>
  <c r="G19" i="3"/>
  <c r="G21" i="3"/>
  <c r="G50" i="3"/>
  <c r="G66" i="3"/>
  <c r="L14" i="3"/>
  <c r="L19" i="3"/>
  <c r="L21" i="3"/>
  <c r="L50" i="3"/>
  <c r="L66" i="3"/>
  <c r="H14" i="3"/>
  <c r="H19" i="3"/>
  <c r="H21" i="3"/>
  <c r="H50" i="3"/>
  <c r="H66" i="3"/>
  <c r="K14" i="3"/>
  <c r="K19" i="3"/>
  <c r="K21" i="3"/>
  <c r="K50" i="3"/>
  <c r="K66" i="3"/>
  <c r="N14" i="3"/>
  <c r="N21" i="3"/>
  <c r="N50" i="3"/>
  <c r="N66" i="3"/>
  <c r="E14" i="3"/>
  <c r="E19" i="3"/>
  <c r="E21" i="3"/>
  <c r="E50" i="3"/>
  <c r="E66" i="3"/>
  <c r="F14" i="3"/>
  <c r="F19" i="3"/>
  <c r="F21" i="3"/>
  <c r="F50" i="3"/>
  <c r="F66" i="3"/>
  <c r="J14" i="3"/>
  <c r="J19" i="3"/>
  <c r="J21" i="3"/>
  <c r="J50" i="3"/>
  <c r="J66" i="3"/>
  <c r="G41" i="3"/>
  <c r="H41" i="3"/>
  <c r="E46" i="3"/>
  <c r="N54" i="3"/>
  <c r="G54" i="3"/>
  <c r="F54" i="3"/>
  <c r="H54" i="3"/>
  <c r="G33" i="3"/>
  <c r="I46" i="3"/>
  <c r="J41" i="3"/>
  <c r="G26" i="3"/>
  <c r="I26" i="3"/>
  <c r="J33" i="3"/>
  <c r="J54" i="3"/>
  <c r="K57" i="3"/>
  <c r="I57" i="3"/>
  <c r="I41" i="3"/>
  <c r="L46" i="3"/>
  <c r="N46" i="3"/>
  <c r="H57" i="3"/>
  <c r="D57" i="3"/>
  <c r="F57" i="3"/>
  <c r="G57" i="3"/>
  <c r="F26" i="3"/>
  <c r="J57" i="3"/>
  <c r="N33" i="3"/>
  <c r="G46" i="3"/>
  <c r="E57" i="3"/>
  <c r="E54" i="3"/>
  <c r="E41" i="3"/>
  <c r="F41" i="3"/>
  <c r="I54" i="3"/>
  <c r="D26" i="3"/>
  <c r="F46" i="3"/>
  <c r="K54" i="3"/>
  <c r="J46" i="3"/>
  <c r="L33" i="3"/>
  <c r="K41" i="3"/>
  <c r="J26" i="3"/>
  <c r="K26" i="3"/>
  <c r="L57" i="3"/>
  <c r="D33" i="3"/>
  <c r="N57" i="3"/>
  <c r="I33" i="3"/>
  <c r="D54" i="3"/>
  <c r="L54" i="3"/>
  <c r="K33" i="3"/>
  <c r="H26" i="3"/>
  <c r="D46" i="3"/>
  <c r="E33" i="3"/>
  <c r="H46" i="3"/>
  <c r="F33" i="3"/>
  <c r="E26" i="3"/>
  <c r="H33" i="3"/>
  <c r="D41" i="3"/>
  <c r="K46" i="3"/>
  <c r="I22" i="25"/>
  <c r="M42" i="3"/>
  <c r="M47" i="3"/>
  <c r="N24" i="24"/>
  <c r="G42" i="3"/>
  <c r="G47" i="3"/>
  <c r="I42" i="3"/>
  <c r="I47" i="3"/>
  <c r="E42" i="3"/>
  <c r="E47" i="3"/>
  <c r="F42" i="3"/>
  <c r="F47" i="3"/>
  <c r="K42" i="3"/>
  <c r="K47" i="3"/>
  <c r="L42" i="3"/>
  <c r="L47" i="3"/>
  <c r="J42" i="3"/>
  <c r="J47" i="3"/>
  <c r="N42" i="3"/>
  <c r="N47" i="3"/>
  <c r="H42" i="3"/>
  <c r="H47" i="3"/>
  <c r="M60" i="3"/>
  <c r="D42" i="3"/>
  <c r="D47" i="3"/>
  <c r="M27" i="3"/>
  <c r="M34" i="3"/>
  <c r="N58" i="3"/>
  <c r="L58" i="3"/>
  <c r="G58" i="3"/>
  <c r="E58" i="3"/>
  <c r="H58" i="3"/>
  <c r="K58" i="3"/>
  <c r="F58" i="3"/>
  <c r="I58" i="3"/>
  <c r="D58" i="3"/>
  <c r="J58" i="3"/>
  <c r="K27" i="3"/>
  <c r="K34" i="3"/>
  <c r="I27" i="3"/>
  <c r="I34" i="3"/>
  <c r="D27" i="3"/>
  <c r="D34" i="3"/>
  <c r="G27" i="3"/>
  <c r="G34" i="3"/>
  <c r="L27" i="3"/>
  <c r="L34" i="3"/>
  <c r="E27" i="3"/>
  <c r="E34" i="3"/>
  <c r="F27" i="3"/>
  <c r="F34" i="3"/>
  <c r="H27" i="3"/>
  <c r="H34" i="3"/>
  <c r="N27" i="3"/>
  <c r="N34" i="3"/>
  <c r="J27" i="3"/>
  <c r="J34" i="3"/>
  <c r="M54" i="2"/>
  <c r="M62" i="2"/>
  <c r="M36" i="2"/>
  <c r="M58" i="2"/>
  <c r="M29" i="2"/>
  <c r="M88" i="2"/>
  <c r="M53" i="2"/>
  <c r="M64" i="2"/>
  <c r="M80" i="2"/>
  <c r="M40" i="2"/>
  <c r="M44" i="2"/>
  <c r="M70" i="2"/>
  <c r="M32" i="2"/>
  <c r="M71" i="2"/>
  <c r="M77" i="2"/>
  <c r="M15" i="2"/>
  <c r="M67" i="2"/>
  <c r="M74" i="2"/>
  <c r="M57" i="2"/>
  <c r="M63" i="2"/>
  <c r="M49" i="2"/>
  <c r="M35" i="2"/>
  <c r="M78" i="2"/>
  <c r="M39" i="2"/>
  <c r="M83" i="2"/>
  <c r="M73" i="2"/>
  <c r="M13" i="2"/>
  <c r="M66" i="2"/>
  <c r="M33" i="2"/>
  <c r="M31" i="2"/>
  <c r="M50" i="2"/>
  <c r="M68" i="2"/>
  <c r="M42" i="2"/>
  <c r="M41" i="2"/>
  <c r="M82" i="2"/>
  <c r="H60" i="3"/>
  <c r="J60" i="3"/>
  <c r="N60" i="3"/>
  <c r="F60" i="3"/>
  <c r="G60" i="3"/>
  <c r="I60" i="3"/>
  <c r="K60" i="3"/>
  <c r="L60" i="3"/>
  <c r="E60" i="3"/>
  <c r="D60" i="3"/>
  <c r="M37" i="2"/>
  <c r="M43" i="2"/>
  <c r="M47" i="2"/>
  <c r="M51" i="2"/>
  <c r="M56" i="2"/>
  <c r="M59" i="2"/>
  <c r="M89" i="2"/>
  <c r="M14" i="2"/>
  <c r="J12" i="2"/>
  <c r="G12" i="2"/>
  <c r="H12" i="2"/>
  <c r="I12" i="2"/>
  <c r="K12" i="2"/>
  <c r="D12" i="2"/>
  <c r="E12" i="2"/>
  <c r="F12" i="2"/>
  <c r="D7" i="2"/>
  <c r="F71" i="2"/>
  <c r="L64" i="2"/>
  <c r="G82" i="2"/>
  <c r="N82" i="2"/>
  <c r="H83" i="2"/>
  <c r="H82" i="2"/>
  <c r="F83" i="2"/>
  <c r="D23" i="2"/>
  <c r="G39" i="2"/>
  <c r="G71" i="2"/>
  <c r="D25" i="2"/>
  <c r="J20" i="2"/>
  <c r="E29" i="2"/>
  <c r="N33" i="2"/>
  <c r="J46" i="2"/>
  <c r="I63" i="2"/>
  <c r="F40" i="2"/>
  <c r="G36" i="2"/>
  <c r="F63" i="2"/>
  <c r="J44" i="2"/>
  <c r="G77" i="2"/>
  <c r="F54" i="2"/>
  <c r="N15" i="2"/>
  <c r="G67" i="2"/>
  <c r="N66" i="2"/>
  <c r="J31" i="2"/>
  <c r="E32" i="2"/>
  <c r="E68" i="2"/>
  <c r="I74" i="2"/>
  <c r="K71" i="2"/>
  <c r="I29" i="2"/>
  <c r="H70" i="2"/>
  <c r="H66" i="2"/>
  <c r="H40" i="2"/>
  <c r="J49" i="2"/>
  <c r="L49" i="2"/>
  <c r="N62" i="2"/>
  <c r="K70" i="2"/>
  <c r="L88" i="2"/>
  <c r="G17" i="2"/>
  <c r="L15" i="2"/>
  <c r="G64" i="2"/>
  <c r="D74" i="2"/>
  <c r="H35" i="2"/>
  <c r="F25" i="2"/>
  <c r="J67" i="2"/>
  <c r="N88" i="2"/>
  <c r="G41" i="2"/>
  <c r="D32" i="2"/>
  <c r="K83" i="2"/>
  <c r="J36" i="2"/>
  <c r="N29" i="2"/>
  <c r="L67" i="2"/>
  <c r="F24" i="2"/>
  <c r="N57" i="2"/>
  <c r="F32" i="2"/>
  <c r="J13" i="2"/>
  <c r="G74" i="2"/>
  <c r="J58" i="2"/>
  <c r="J71" i="2"/>
  <c r="J88" i="2"/>
  <c r="G29" i="2"/>
  <c r="K29" i="2"/>
  <c r="F29" i="2"/>
  <c r="L39" i="2"/>
  <c r="J54" i="2"/>
  <c r="E40" i="2"/>
  <c r="D33" i="2"/>
  <c r="K68" i="2"/>
  <c r="G50" i="2"/>
  <c r="D70" i="2"/>
  <c r="G58" i="2"/>
  <c r="D44" i="2"/>
  <c r="I67" i="2"/>
  <c r="E35" i="2"/>
  <c r="F23" i="2"/>
  <c r="L68" i="2"/>
  <c r="G20" i="2"/>
  <c r="F66" i="2"/>
  <c r="L62" i="2"/>
  <c r="D31" i="2"/>
  <c r="H20" i="2"/>
  <c r="H17" i="2"/>
  <c r="H67" i="2"/>
  <c r="F36" i="2"/>
  <c r="H53" i="2"/>
  <c r="N70" i="2"/>
  <c r="F35" i="2"/>
  <c r="G24" i="2"/>
  <c r="F62" i="2"/>
  <c r="H77" i="2"/>
  <c r="G35" i="2"/>
  <c r="E58" i="2"/>
  <c r="I66" i="2"/>
  <c r="N53" i="2"/>
  <c r="F20" i="2"/>
  <c r="J33" i="2"/>
  <c r="K46" i="2"/>
  <c r="K62" i="2"/>
  <c r="E66" i="2"/>
  <c r="D17" i="2"/>
  <c r="J39" i="2"/>
  <c r="E67" i="2"/>
  <c r="K32" i="2"/>
  <c r="K39" i="2"/>
  <c r="D15" i="2"/>
  <c r="G73" i="2"/>
  <c r="N58" i="2"/>
  <c r="N63" i="2"/>
  <c r="H64" i="2"/>
  <c r="K63" i="2"/>
  <c r="K49" i="2"/>
  <c r="F50" i="2"/>
  <c r="E49" i="2"/>
  <c r="H44" i="2"/>
  <c r="E64" i="2"/>
  <c r="J64" i="2"/>
  <c r="I23" i="2"/>
  <c r="I82" i="2"/>
  <c r="K67" i="2"/>
  <c r="F57" i="2"/>
  <c r="E23" i="2"/>
  <c r="L50" i="2"/>
  <c r="H80" i="2"/>
  <c r="L57" i="2"/>
  <c r="I78" i="2"/>
  <c r="F41" i="2"/>
  <c r="E54" i="2"/>
  <c r="H88" i="2"/>
  <c r="D80" i="2"/>
  <c r="H46" i="2"/>
  <c r="D88" i="2"/>
  <c r="H58" i="2"/>
  <c r="F70" i="2"/>
  <c r="J53" i="2"/>
  <c r="I32" i="2"/>
  <c r="K57" i="2"/>
  <c r="D49" i="2"/>
  <c r="E20" i="2"/>
  <c r="E50" i="2"/>
  <c r="F17" i="2"/>
  <c r="H41" i="2"/>
  <c r="I64" i="2"/>
  <c r="H23" i="2"/>
  <c r="G68" i="2"/>
  <c r="H32" i="2"/>
  <c r="K78" i="2"/>
  <c r="H74" i="2"/>
  <c r="E83" i="2"/>
  <c r="F53" i="2"/>
  <c r="L53" i="2"/>
  <c r="D39" i="2"/>
  <c r="N31" i="2"/>
  <c r="D53" i="2"/>
  <c r="H31" i="2"/>
  <c r="E36" i="2"/>
  <c r="E15" i="2"/>
  <c r="E42" i="2"/>
  <c r="I31" i="2"/>
  <c r="H62" i="2"/>
  <c r="D83" i="2"/>
  <c r="N67" i="2"/>
  <c r="J40" i="2"/>
  <c r="N54" i="2"/>
  <c r="G25" i="2"/>
  <c r="D46" i="2"/>
  <c r="L36" i="2"/>
  <c r="F74" i="2"/>
  <c r="I62" i="2"/>
  <c r="E63" i="2"/>
  <c r="E31" i="2"/>
  <c r="H29" i="2"/>
  <c r="I15" i="2"/>
  <c r="L73" i="2"/>
  <c r="E80" i="2"/>
  <c r="N71" i="2"/>
  <c r="N77" i="2"/>
  <c r="G42" i="2"/>
  <c r="D13" i="2"/>
  <c r="L80" i="2"/>
  <c r="E82" i="2"/>
  <c r="L40" i="2"/>
  <c r="G31" i="2"/>
  <c r="G33" i="2"/>
  <c r="I50" i="2"/>
  <c r="E39" i="2"/>
  <c r="F67" i="2"/>
  <c r="L41" i="2"/>
  <c r="I13" i="2"/>
  <c r="K82" i="2"/>
  <c r="E17" i="2"/>
  <c r="F82" i="2"/>
  <c r="I73" i="2"/>
  <c r="G13" i="2"/>
  <c r="I33" i="2"/>
  <c r="F78" i="2"/>
  <c r="L82" i="2"/>
  <c r="J63" i="2"/>
  <c r="I44" i="2"/>
  <c r="K17" i="2"/>
  <c r="K54" i="2"/>
  <c r="D78" i="2"/>
  <c r="G15" i="2"/>
  <c r="H49" i="2"/>
  <c r="N64" i="2"/>
  <c r="L66" i="2"/>
  <c r="F58" i="2"/>
  <c r="D54" i="2"/>
  <c r="F15" i="2"/>
  <c r="F33" i="2"/>
  <c r="J78" i="2"/>
  <c r="N74" i="2"/>
  <c r="E41" i="2"/>
  <c r="H73" i="2"/>
  <c r="K23" i="2"/>
  <c r="N83" i="2"/>
  <c r="L70" i="2"/>
  <c r="J29" i="2"/>
  <c r="E77" i="2"/>
  <c r="N36" i="2"/>
  <c r="L74" i="2"/>
  <c r="J66" i="2"/>
  <c r="D24" i="2"/>
  <c r="I80" i="2"/>
  <c r="I41" i="2"/>
  <c r="D20" i="2"/>
  <c r="F88" i="2"/>
  <c r="H39" i="2"/>
  <c r="F13" i="2"/>
  <c r="G49" i="2"/>
  <c r="J17" i="2"/>
  <c r="L31" i="2"/>
  <c r="H78" i="2"/>
  <c r="N13" i="2"/>
  <c r="N73" i="2"/>
  <c r="D63" i="2"/>
  <c r="K35" i="2"/>
  <c r="F64" i="2"/>
  <c r="H54" i="2"/>
  <c r="N42" i="2"/>
  <c r="J70" i="2"/>
  <c r="D36" i="2"/>
  <c r="G46" i="2"/>
  <c r="J23" i="2"/>
  <c r="F49" i="2"/>
  <c r="L71" i="2"/>
  <c r="D64" i="2"/>
  <c r="G40" i="2"/>
  <c r="F80" i="2"/>
  <c r="G78" i="2"/>
  <c r="I24" i="2"/>
  <c r="J35" i="2"/>
  <c r="D35" i="2"/>
  <c r="H24" i="2"/>
  <c r="G57" i="2"/>
  <c r="K36" i="2"/>
  <c r="J57" i="2"/>
  <c r="J77" i="2"/>
  <c r="K58" i="2"/>
  <c r="K33" i="2"/>
  <c r="E53" i="2"/>
  <c r="K24" i="2"/>
  <c r="F42" i="2"/>
  <c r="D73" i="2"/>
  <c r="N44" i="2"/>
  <c r="N68" i="2"/>
  <c r="H63" i="2"/>
  <c r="J24" i="2"/>
  <c r="D67" i="2"/>
  <c r="H15" i="2"/>
  <c r="E46" i="2"/>
  <c r="L35" i="2"/>
  <c r="E24" i="2"/>
  <c r="K77" i="2"/>
  <c r="G53" i="2"/>
  <c r="H68" i="2"/>
  <c r="K25" i="2"/>
  <c r="E62" i="2"/>
  <c r="G70" i="2"/>
  <c r="G44" i="2"/>
  <c r="K74" i="2"/>
  <c r="I57" i="2"/>
  <c r="I77" i="2"/>
  <c r="J42" i="2"/>
  <c r="I58" i="2"/>
  <c r="I53" i="2"/>
  <c r="L44" i="2"/>
  <c r="I46" i="2"/>
  <c r="D77" i="2"/>
  <c r="N40" i="2"/>
  <c r="G54" i="2"/>
  <c r="F73" i="2"/>
  <c r="H25" i="2"/>
  <c r="E78" i="2"/>
  <c r="H71" i="2"/>
  <c r="K53" i="2"/>
  <c r="D57" i="2"/>
  <c r="K31" i="2"/>
  <c r="F68" i="2"/>
  <c r="H50" i="2"/>
  <c r="K73" i="2"/>
  <c r="E88" i="2"/>
  <c r="I39" i="2"/>
  <c r="K40" i="2"/>
  <c r="E70" i="2"/>
  <c r="L58" i="2"/>
  <c r="D62" i="2"/>
  <c r="D29" i="2"/>
  <c r="J74" i="2"/>
  <c r="K66" i="2"/>
  <c r="J62" i="2"/>
  <c r="K13" i="2"/>
  <c r="D71" i="2"/>
  <c r="F46" i="2"/>
  <c r="G66" i="2"/>
  <c r="G80" i="2"/>
  <c r="N78" i="2"/>
  <c r="D50" i="2"/>
  <c r="D68" i="2"/>
  <c r="J82" i="2"/>
  <c r="N49" i="2"/>
  <c r="D82" i="2"/>
  <c r="J25" i="2"/>
  <c r="J83" i="2"/>
  <c r="N80" i="2"/>
  <c r="K42" i="2"/>
  <c r="J15" i="2"/>
  <c r="E25" i="2"/>
  <c r="K44" i="2"/>
  <c r="D58" i="2"/>
  <c r="H42" i="2"/>
  <c r="K88" i="2"/>
  <c r="N41" i="2"/>
  <c r="N39" i="2"/>
  <c r="J80" i="2"/>
  <c r="D42" i="2"/>
  <c r="D66" i="2"/>
  <c r="L33" i="2"/>
  <c r="L29" i="2"/>
  <c r="G88" i="2"/>
  <c r="L78" i="2"/>
  <c r="J50" i="2"/>
  <c r="N32" i="2"/>
  <c r="F77" i="2"/>
  <c r="I36" i="2"/>
  <c r="L83" i="2"/>
  <c r="L77" i="2"/>
  <c r="E44" i="2"/>
  <c r="I25" i="2"/>
  <c r="G32" i="2"/>
  <c r="G83" i="2"/>
  <c r="G63" i="2"/>
  <c r="I88" i="2"/>
  <c r="K20" i="2"/>
  <c r="F31" i="2"/>
  <c r="J41" i="2"/>
  <c r="G62" i="2"/>
  <c r="J32" i="2"/>
  <c r="H57" i="2"/>
  <c r="I71" i="2"/>
  <c r="I49" i="2"/>
  <c r="K50" i="2"/>
  <c r="L32" i="2"/>
  <c r="K41" i="2"/>
  <c r="E74" i="2"/>
  <c r="I70" i="2"/>
  <c r="E71" i="2"/>
  <c r="H36" i="2"/>
  <c r="K64" i="2"/>
  <c r="K15" i="2"/>
  <c r="I83" i="2"/>
  <c r="H13" i="2"/>
  <c r="L42" i="2"/>
  <c r="D40" i="2"/>
  <c r="E73" i="2"/>
  <c r="I40" i="2"/>
  <c r="I42" i="2"/>
  <c r="L13" i="2"/>
  <c r="I35" i="2"/>
  <c r="I54" i="2"/>
  <c r="F39" i="2"/>
  <c r="N35" i="2"/>
  <c r="E13" i="2"/>
  <c r="G23" i="2"/>
  <c r="I20" i="2"/>
  <c r="E33" i="2"/>
  <c r="D41" i="2"/>
  <c r="I68" i="2"/>
  <c r="L54" i="2"/>
  <c r="L63" i="2"/>
  <c r="E57" i="2"/>
  <c r="K80" i="2"/>
  <c r="H33" i="2"/>
  <c r="J68" i="2"/>
  <c r="J73" i="2"/>
  <c r="I17" i="2"/>
  <c r="F44" i="2"/>
  <c r="H22" i="25"/>
  <c r="J22" i="25"/>
  <c r="K22" i="25"/>
  <c r="M24" i="24"/>
  <c r="O24" i="24"/>
  <c r="D14" i="2"/>
  <c r="D37" i="2"/>
  <c r="D43" i="2"/>
  <c r="D47" i="2"/>
  <c r="D51" i="2"/>
  <c r="D56" i="2"/>
  <c r="D59" i="2"/>
  <c r="D89" i="2"/>
  <c r="H14" i="2"/>
  <c r="H37" i="2"/>
  <c r="H43" i="2"/>
  <c r="H47" i="2"/>
  <c r="H51" i="2"/>
  <c r="H56" i="2"/>
  <c r="H59" i="2"/>
  <c r="H89" i="2"/>
  <c r="L14" i="2"/>
  <c r="L37" i="2"/>
  <c r="L43" i="2"/>
  <c r="L47" i="2"/>
  <c r="L51" i="2"/>
  <c r="L56" i="2"/>
  <c r="L59" i="2"/>
  <c r="L89" i="2"/>
  <c r="N14" i="2"/>
  <c r="N37" i="2"/>
  <c r="N43" i="2"/>
  <c r="N47" i="2"/>
  <c r="N51" i="2"/>
  <c r="N56" i="2"/>
  <c r="N59" i="2"/>
  <c r="N89" i="2"/>
  <c r="G14" i="2"/>
  <c r="G37" i="2"/>
  <c r="G43" i="2"/>
  <c r="G47" i="2"/>
  <c r="G51" i="2"/>
  <c r="G56" i="2"/>
  <c r="G59" i="2"/>
  <c r="G89" i="2"/>
  <c r="I14" i="2"/>
  <c r="I37" i="2"/>
  <c r="I43" i="2"/>
  <c r="I47" i="2"/>
  <c r="I51" i="2"/>
  <c r="I56" i="2"/>
  <c r="I59" i="2"/>
  <c r="I89" i="2"/>
  <c r="E14" i="2"/>
  <c r="E37" i="2"/>
  <c r="E43" i="2"/>
  <c r="E47" i="2"/>
  <c r="E51" i="2"/>
  <c r="E56" i="2"/>
  <c r="E59" i="2"/>
  <c r="E89" i="2"/>
  <c r="K14" i="2"/>
  <c r="K37" i="2"/>
  <c r="K43" i="2"/>
  <c r="K47" i="2"/>
  <c r="K51" i="2"/>
  <c r="K56" i="2"/>
  <c r="K59" i="2"/>
  <c r="K89" i="2"/>
  <c r="F14" i="2"/>
  <c r="F37" i="2"/>
  <c r="F43" i="2"/>
  <c r="F47" i="2"/>
  <c r="F51" i="2"/>
  <c r="F56" i="2"/>
  <c r="F59" i="2"/>
  <c r="F89" i="2"/>
  <c r="J14" i="2"/>
  <c r="J37" i="2"/>
  <c r="J43" i="2"/>
  <c r="J47" i="2"/>
  <c r="J51" i="2"/>
  <c r="J56" i="2"/>
  <c r="J59" i="2"/>
  <c r="J89" i="2"/>
  <c r="I16" i="2"/>
  <c r="D16" i="2"/>
  <c r="K16" i="2"/>
  <c r="E16" i="2"/>
  <c r="H16" i="2"/>
  <c r="J16" i="2"/>
  <c r="G16" i="2"/>
  <c r="F16" i="2"/>
  <c r="H18" i="2"/>
  <c r="H21" i="2"/>
  <c r="J18" i="2"/>
  <c r="J21" i="2"/>
  <c r="E18" i="2"/>
  <c r="E21" i="2"/>
  <c r="M27" i="2"/>
  <c r="F18" i="2"/>
  <c r="F21" i="2"/>
  <c r="K18" i="2"/>
  <c r="K21" i="2"/>
  <c r="I18" i="2"/>
  <c r="I21" i="2"/>
  <c r="G18" i="2"/>
  <c r="G21" i="2"/>
  <c r="D18" i="2"/>
  <c r="D21" i="2"/>
  <c r="D26" i="2"/>
  <c r="G26" i="2"/>
  <c r="I26" i="2"/>
  <c r="K26" i="2"/>
  <c r="J26" i="2"/>
  <c r="E26" i="2"/>
  <c r="H26" i="2"/>
  <c r="F26" i="2"/>
  <c r="P24" i="24"/>
  <c r="F27" i="2"/>
  <c r="N27" i="2"/>
  <c r="E27" i="2"/>
  <c r="D27" i="2"/>
  <c r="J27" i="2"/>
  <c r="G27" i="2"/>
  <c r="H27" i="2"/>
  <c r="K27" i="2"/>
  <c r="I27" i="2"/>
  <c r="L27" i="2"/>
  <c r="W30" i="27"/>
  <c r="J43" i="26"/>
  <c r="J51" i="26"/>
  <c r="L33" i="26"/>
  <c r="K43" i="26"/>
  <c r="K51" i="26"/>
  <c r="L43" i="26"/>
  <c r="L51" i="26"/>
  <c r="H11" i="26"/>
  <c r="I11" i="26"/>
  <c r="J11" i="26"/>
  <c r="K11" i="26"/>
  <c r="L11" i="26"/>
  <c r="H12" i="26"/>
  <c r="I12" i="26"/>
  <c r="J12" i="26"/>
  <c r="K12" i="26"/>
  <c r="L12" i="26"/>
  <c r="H13" i="26"/>
  <c r="I13" i="26"/>
  <c r="J13" i="26"/>
  <c r="K13" i="26"/>
  <c r="L13" i="26"/>
  <c r="H14" i="26"/>
  <c r="I14" i="26"/>
  <c r="J14" i="26"/>
  <c r="K14" i="26"/>
  <c r="L14" i="26"/>
  <c r="H20" i="26"/>
  <c r="I20" i="26"/>
  <c r="J20" i="26"/>
  <c r="K20" i="26"/>
  <c r="L20" i="26"/>
  <c r="H21" i="26"/>
  <c r="I21" i="26"/>
  <c r="J21" i="26"/>
  <c r="K21" i="26"/>
  <c r="L21" i="26"/>
  <c r="H22" i="26"/>
  <c r="I22" i="26"/>
  <c r="J22" i="26"/>
  <c r="K22" i="26"/>
  <c r="L22" i="26"/>
  <c r="I26" i="26"/>
  <c r="J26" i="26"/>
  <c r="K26" i="26"/>
  <c r="L26" i="26"/>
  <c r="I27" i="26"/>
  <c r="J27" i="26"/>
  <c r="K27" i="26"/>
  <c r="L27" i="26"/>
  <c r="H30" i="26"/>
  <c r="I30" i="26"/>
  <c r="J30" i="26"/>
  <c r="K30" i="26"/>
  <c r="L30" i="26"/>
  <c r="H31" i="26"/>
  <c r="I31" i="26"/>
  <c r="J31" i="26"/>
  <c r="K31" i="26"/>
  <c r="L31" i="26"/>
  <c r="H34" i="26"/>
  <c r="I34" i="26"/>
  <c r="J34" i="26"/>
  <c r="K34" i="26"/>
  <c r="L34" i="26"/>
  <c r="H35" i="26"/>
  <c r="I35" i="26"/>
  <c r="J35" i="26"/>
  <c r="K35" i="26"/>
  <c r="L35" i="26"/>
  <c r="I38" i="26"/>
  <c r="J38" i="26"/>
  <c r="K38" i="26"/>
  <c r="L38" i="26"/>
  <c r="H39" i="26"/>
  <c r="I39" i="26"/>
  <c r="J39" i="26"/>
  <c r="K39" i="26"/>
  <c r="L39" i="26"/>
  <c r="H40" i="26"/>
  <c r="I40" i="26"/>
  <c r="J40" i="26"/>
  <c r="K40" i="26"/>
  <c r="L40" i="26"/>
  <c r="R41" i="26"/>
  <c r="S41" i="26"/>
  <c r="T41" i="26"/>
  <c r="U41" i="26"/>
  <c r="V41" i="26"/>
  <c r="R42" i="26"/>
  <c r="S42" i="26"/>
  <c r="T42" i="26"/>
  <c r="U42" i="26"/>
  <c r="V42" i="26"/>
  <c r="R43" i="26"/>
  <c r="S43" i="26"/>
  <c r="T43" i="26"/>
  <c r="U43" i="26"/>
  <c r="V43" i="26"/>
  <c r="H44" i="26"/>
  <c r="I44" i="26"/>
  <c r="J44" i="26"/>
  <c r="K44" i="26"/>
  <c r="L44" i="26"/>
  <c r="H45" i="26"/>
  <c r="I45" i="26"/>
  <c r="J45" i="26"/>
  <c r="K45" i="26"/>
  <c r="L45" i="26"/>
  <c r="R45" i="26"/>
  <c r="S45" i="26"/>
  <c r="T45" i="26"/>
  <c r="U45" i="26"/>
  <c r="V45" i="26"/>
  <c r="R47" i="26"/>
  <c r="S47" i="26"/>
  <c r="T47" i="26"/>
  <c r="U47" i="26"/>
  <c r="V47" i="26"/>
  <c r="R48" i="26"/>
  <c r="S48" i="26"/>
  <c r="T48" i="26"/>
  <c r="U48" i="26"/>
  <c r="V48" i="26"/>
  <c r="H49" i="26"/>
  <c r="I49" i="26"/>
  <c r="J49" i="26"/>
  <c r="K49" i="26"/>
  <c r="L49" i="26"/>
  <c r="H52" i="26"/>
  <c r="I52" i="26"/>
  <c r="J52" i="26"/>
  <c r="K52" i="26"/>
  <c r="L52" i="26"/>
  <c r="R52" i="26"/>
  <c r="S52" i="26"/>
  <c r="T52" i="26"/>
  <c r="U52" i="26"/>
  <c r="V52" i="26"/>
  <c r="H53" i="26"/>
  <c r="I53" i="26"/>
  <c r="J53" i="26"/>
  <c r="K53" i="26"/>
  <c r="L53" i="26"/>
  <c r="R53" i="26"/>
  <c r="S53" i="26"/>
  <c r="T53" i="26"/>
  <c r="U53" i="26"/>
  <c r="V53" i="26"/>
</calcChain>
</file>

<file path=xl/sharedStrings.xml><?xml version="1.0" encoding="utf-8"?>
<sst xmlns="http://schemas.openxmlformats.org/spreadsheetml/2006/main" count="1279" uniqueCount="883">
  <si>
    <t>Currency</t>
  </si>
  <si>
    <t>EBIT</t>
  </si>
  <si>
    <t>Net Income</t>
  </si>
  <si>
    <t>Shares Out.</t>
  </si>
  <si>
    <t>- Cash &amp; Short Term Investments</t>
  </si>
  <si>
    <t>+ Total Debt</t>
  </si>
  <si>
    <t>+ Pref. Equity</t>
  </si>
  <si>
    <t>+ Total Minority Interest</t>
  </si>
  <si>
    <t>Book Value of Common Equity</t>
  </si>
  <si>
    <t>= Total Capital</t>
  </si>
  <si>
    <t>Income Statement</t>
  </si>
  <si>
    <t>Revenue</t>
  </si>
  <si>
    <t>Other Revenue</t>
  </si>
  <si>
    <t xml:space="preserve">  Total Revenue</t>
  </si>
  <si>
    <t>Cost Of Goods Sold</t>
  </si>
  <si>
    <t xml:space="preserve">  Gross Profit</t>
  </si>
  <si>
    <t>Selling General &amp; Admin Exp.</t>
  </si>
  <si>
    <t>R &amp; D Exp.</t>
  </si>
  <si>
    <t>Depreciation &amp; Amort.</t>
  </si>
  <si>
    <t xml:space="preserve">  Operating Income</t>
  </si>
  <si>
    <t>Interest Expense</t>
  </si>
  <si>
    <t xml:space="preserve">  Net Interest Exp.</t>
  </si>
  <si>
    <t xml:space="preserve">  EBT Excl. Unusual Items</t>
  </si>
  <si>
    <t>Impairment of Goodwill</t>
  </si>
  <si>
    <t>Gain (Loss) On Sale Of Assets</t>
  </si>
  <si>
    <t>Asset Writedown</t>
  </si>
  <si>
    <t>Legal Settlements</t>
  </si>
  <si>
    <t>Other Unusual Items</t>
  </si>
  <si>
    <t xml:space="preserve">  EBT Incl. Unusual Items</t>
  </si>
  <si>
    <t>Income Tax Expense</t>
  </si>
  <si>
    <t xml:space="preserve">  Earnings from Cont. Ops.</t>
  </si>
  <si>
    <t>Extraord. Item &amp; Account. Change</t>
  </si>
  <si>
    <t>Minority Int. in Earnings</t>
  </si>
  <si>
    <t xml:space="preserve">  Net Income</t>
  </si>
  <si>
    <t xml:space="preserve">  NI to Common Incl Extra Items</t>
  </si>
  <si>
    <t xml:space="preserve">  NI to Common Excl. Extra Items</t>
  </si>
  <si>
    <t>Per Share Items</t>
  </si>
  <si>
    <t>Basic EPS</t>
  </si>
  <si>
    <t>Basic EPS Excl. Extra Items</t>
  </si>
  <si>
    <t>Weighted Avg. Basic Shares Out.</t>
  </si>
  <si>
    <t>Diluted EPS</t>
  </si>
  <si>
    <t>Diluted EPS Excl. Extra Items</t>
  </si>
  <si>
    <t>Weighted Avg. Diluted Shares Out.</t>
  </si>
  <si>
    <t>Normalized Basic EPS</t>
  </si>
  <si>
    <t>Normalized Diluted EPS</t>
  </si>
  <si>
    <t>Dividends per Share</t>
  </si>
  <si>
    <t>Payout Ratio %</t>
  </si>
  <si>
    <t>Supplemental Items</t>
  </si>
  <si>
    <t>EBITA</t>
  </si>
  <si>
    <t>As Reported Total Revenue*</t>
  </si>
  <si>
    <t>Effective Tax Rate %</t>
  </si>
  <si>
    <t>Normalized Net Income</t>
  </si>
  <si>
    <t>Interest Capitalized</t>
  </si>
  <si>
    <t>Supplemental Operating Expense Items</t>
  </si>
  <si>
    <t>Net Rental Exp.</t>
  </si>
  <si>
    <t>Stock-Based Comp., Unallocated</t>
  </si>
  <si>
    <t xml:space="preserve">  Stock-Based Comp., Total</t>
  </si>
  <si>
    <t>Balance Sheet</t>
  </si>
  <si>
    <t>ASSETS</t>
  </si>
  <si>
    <t>Cash And Equivalents</t>
  </si>
  <si>
    <t>Short Term Investments</t>
  </si>
  <si>
    <t xml:space="preserve">  Total Cash &amp; ST Investments</t>
  </si>
  <si>
    <t xml:space="preserve">  Total Receivables</t>
  </si>
  <si>
    <t>Prepaid Exp.</t>
  </si>
  <si>
    <t>Restricted Cash</t>
  </si>
  <si>
    <t>Other Current Assets</t>
  </si>
  <si>
    <t xml:space="preserve">  Total Current Assets</t>
  </si>
  <si>
    <t xml:space="preserve">  Net Property, Plant &amp; Equipment</t>
  </si>
  <si>
    <t>Long-term Investments</t>
  </si>
  <si>
    <t>Deferred Charges, LT</t>
  </si>
  <si>
    <t>Other Long-Term Assets</t>
  </si>
  <si>
    <t>Total Assets</t>
  </si>
  <si>
    <t>LIABILITIES</t>
  </si>
  <si>
    <t>Accrued Exp.</t>
  </si>
  <si>
    <t>Short-term Borrowings</t>
  </si>
  <si>
    <t>Curr. Income Taxes Payable</t>
  </si>
  <si>
    <t>Other Current Liabilities</t>
  </si>
  <si>
    <t xml:space="preserve">  Total Current Liabilities</t>
  </si>
  <si>
    <t>Long-Term Debt</t>
  </si>
  <si>
    <t>Unearned Revenue, Non-Current</t>
  </si>
  <si>
    <t>Other Non-Current Liabilities</t>
  </si>
  <si>
    <t>Total Liabilities</t>
  </si>
  <si>
    <t>Pref. Stock, Non-Redeem.</t>
  </si>
  <si>
    <t xml:space="preserve">  Total Pref. Equity</t>
  </si>
  <si>
    <t>Additional Paid In Capital</t>
  </si>
  <si>
    <t>Retained Earnings</t>
  </si>
  <si>
    <t>Treasury Stock</t>
  </si>
  <si>
    <t>Comprehensive Inc. and Other</t>
  </si>
  <si>
    <t>Total Equity</t>
  </si>
  <si>
    <t>Total Liabilities And Equity</t>
  </si>
  <si>
    <t>Total Shares Out. on Filing Date</t>
  </si>
  <si>
    <t>Total Shares Out. on Balance Sheet Date</t>
  </si>
  <si>
    <t>Book Value/Share</t>
  </si>
  <si>
    <t>Tangible Book Value</t>
  </si>
  <si>
    <t>Tangible Book Value/Share</t>
  </si>
  <si>
    <t>Total Debt</t>
  </si>
  <si>
    <t>Net Debt</t>
  </si>
  <si>
    <t>Inventory Method</t>
  </si>
  <si>
    <t>Full Time Employees</t>
  </si>
  <si>
    <t>Cash Flow</t>
  </si>
  <si>
    <t>Depreciation &amp; Amort., Total</t>
  </si>
  <si>
    <t xml:space="preserve">  Cash from Ops.</t>
  </si>
  <si>
    <t>Capital Expenditure</t>
  </si>
  <si>
    <t>Sale of Property, Plant, and Equipment</t>
  </si>
  <si>
    <t>Cash Acquisitions</t>
  </si>
  <si>
    <t>Divestitures</t>
  </si>
  <si>
    <t>Invest. in Marketable &amp; Equity Securt.</t>
  </si>
  <si>
    <t>Other Investing Activities</t>
  </si>
  <si>
    <t xml:space="preserve">  Cash from Investing</t>
  </si>
  <si>
    <t>Long-Term Debt Issued</t>
  </si>
  <si>
    <t>Long-Term Debt Repaid</t>
  </si>
  <si>
    <t>Pref. Dividends Paid</t>
  </si>
  <si>
    <t>Total Dividends Paid</t>
  </si>
  <si>
    <t>Special Dividend Paid</t>
  </si>
  <si>
    <t>Other Financing Activities</t>
  </si>
  <si>
    <t xml:space="preserve">  Cash from Financing</t>
  </si>
  <si>
    <t xml:space="preserve">  Net Change in Cash</t>
  </si>
  <si>
    <t>Cash Interest Paid</t>
  </si>
  <si>
    <t>Cash Taxes Paid</t>
  </si>
  <si>
    <t>Change in Net Working Capital</t>
  </si>
  <si>
    <t>Ratios</t>
  </si>
  <si>
    <t>Profitability</t>
  </si>
  <si>
    <t>Margin Analysis</t>
  </si>
  <si>
    <t>Asset Turnover</t>
  </si>
  <si>
    <t xml:space="preserve">  Total Asset Turnover</t>
  </si>
  <si>
    <t xml:space="preserve">  Fixed Asset Turnover</t>
  </si>
  <si>
    <t xml:space="preserve">  Accounts Receivable Turnover</t>
  </si>
  <si>
    <t xml:space="preserve">  Inventory Turnover</t>
  </si>
  <si>
    <t>Short Term Liquidity</t>
  </si>
  <si>
    <t xml:space="preserve">  Current Ratio</t>
  </si>
  <si>
    <t xml:space="preserve">  Quick Ratio</t>
  </si>
  <si>
    <t xml:space="preserve">  Avg. Days Sales Out.</t>
  </si>
  <si>
    <t xml:space="preserve">  Avg. Days Inventory Out.</t>
  </si>
  <si>
    <t xml:space="preserve">  Avg. Days Payable Out.</t>
  </si>
  <si>
    <t xml:space="preserve">  Avg. Cash Conversion Cycle</t>
  </si>
  <si>
    <t>Long Term Solvency</t>
  </si>
  <si>
    <t xml:space="preserve">  Total Debt/Equity</t>
  </si>
  <si>
    <t xml:space="preserve">  Total Debt/Capital</t>
  </si>
  <si>
    <t xml:space="preserve">  LT Debt/Equity</t>
  </si>
  <si>
    <t xml:space="preserve">  LT Debt/Capital</t>
  </si>
  <si>
    <t xml:space="preserve">  Total Liabilities/Total Assets</t>
  </si>
  <si>
    <t xml:space="preserve">  EBIT / Interest Exp.</t>
  </si>
  <si>
    <t xml:space="preserve">  EBITDA / Interest Exp.</t>
  </si>
  <si>
    <t xml:space="preserve">  (EBITDA-CAPEX) / Interest Exp.</t>
  </si>
  <si>
    <t xml:space="preserve">  Total Debt/EBITDA</t>
  </si>
  <si>
    <t xml:space="preserve">  Net Debt/EBITDA</t>
  </si>
  <si>
    <t xml:space="preserve">  Altman Z Score</t>
  </si>
  <si>
    <t>Other Adj</t>
  </si>
  <si>
    <t>Pref. Dividends</t>
  </si>
  <si>
    <t>Accounts &amp; Notes Receivable</t>
  </si>
  <si>
    <t>Inventories</t>
  </si>
  <si>
    <t>Accounts Payable</t>
  </si>
  <si>
    <t>Minority Interest</t>
  </si>
  <si>
    <t>Total Debt Issued/Repaid</t>
  </si>
  <si>
    <t>Net Short Term Debt Issued/Repaid</t>
  </si>
  <si>
    <t>Increase in CapItal Stocks</t>
  </si>
  <si>
    <t>Decrease in Capital Stocks</t>
  </si>
  <si>
    <t>Free Cash Flow</t>
  </si>
  <si>
    <t>Other Non-Cash Adj</t>
  </si>
  <si>
    <t>Changes in Non-Cash Capital</t>
  </si>
  <si>
    <t>Proceeds from Investment</t>
  </si>
  <si>
    <t>Incr(Decr) in Deposits</t>
  </si>
  <si>
    <t>Incr(Decr) Insurance Reserves</t>
  </si>
  <si>
    <t xml:space="preserve">  Cash from Ops. To Curr Liab</t>
  </si>
  <si>
    <t>Total Minority Interest</t>
  </si>
  <si>
    <t>Raw Materials in Inventory</t>
  </si>
  <si>
    <t>Work in Progress Inventory</t>
  </si>
  <si>
    <t>Finished Goods Inventory</t>
  </si>
  <si>
    <t>Other Inventory Accounts</t>
  </si>
  <si>
    <t>Accum. Allowance for Doubtful Accts</t>
  </si>
  <si>
    <t>TEV / LTM Total Revenue</t>
  </si>
  <si>
    <t>Average</t>
  </si>
  <si>
    <t>High</t>
  </si>
  <si>
    <t>Low</t>
  </si>
  <si>
    <t>Close</t>
  </si>
  <si>
    <t>TEV / LTM EBITDA</t>
  </si>
  <si>
    <t>TEV / LTM EBIT</t>
  </si>
  <si>
    <t>Price / LTM EPS</t>
  </si>
  <si>
    <t>Price / Book Value</t>
  </si>
  <si>
    <t>Price / Tangible Book Value</t>
  </si>
  <si>
    <t>Multiples</t>
  </si>
  <si>
    <t>Price</t>
  </si>
  <si>
    <t>Gross Profit Bef Tax</t>
  </si>
  <si>
    <t>Operating Profit Bef Tax</t>
  </si>
  <si>
    <t>Assets</t>
  </si>
  <si>
    <t>CapEx</t>
  </si>
  <si>
    <t>REVENUE</t>
  </si>
  <si>
    <t>GROSS PROFIT BEF TAX</t>
  </si>
  <si>
    <t>OPERATING PROFIT BEF TAX</t>
  </si>
  <si>
    <t>CAPEX</t>
  </si>
  <si>
    <t>Options Activity</t>
  </si>
  <si>
    <t>Options Granted During Period</t>
  </si>
  <si>
    <t>Options Outstanding End Of Period</t>
  </si>
  <si>
    <t>Options Exercisable End of Period</t>
  </si>
  <si>
    <t>Weighted Average Fair Value per Option</t>
  </si>
  <si>
    <t>Avg Exercise Price (Options Outstanding)</t>
  </si>
  <si>
    <t>Avg Exercise Price (Options Exercisable)</t>
  </si>
  <si>
    <t>Stock Option Valuation Model</t>
  </si>
  <si>
    <t>Assumptions</t>
  </si>
  <si>
    <t>Stock Opt Valuation - Risk Free Rate (%)</t>
  </si>
  <si>
    <t>Stock Opt Valuation - Expected Life (Yrs)</t>
  </si>
  <si>
    <t>Stock Opt Valuation - Expected Volatil (%)</t>
  </si>
  <si>
    <t>Stock Opt Valuation - Dividend Yield (%)</t>
  </si>
  <si>
    <t>Stock Expense</t>
  </si>
  <si>
    <t>Expense For Stock-Based Compensation</t>
  </si>
  <si>
    <t>Stock Option Expense (After Tax)</t>
  </si>
  <si>
    <t xml:space="preserve">  Total Capital</t>
  </si>
  <si>
    <t>Total Commercial Paper</t>
  </si>
  <si>
    <t>Total Revolving Credit</t>
  </si>
  <si>
    <t>Total Capital Leases</t>
  </si>
  <si>
    <t>General/Other Borrowings</t>
  </si>
  <si>
    <t xml:space="preserve">  Total Principal Due</t>
  </si>
  <si>
    <t xml:space="preserve">  Total Debt Outstanding</t>
  </si>
  <si>
    <t>Additional Totals</t>
  </si>
  <si>
    <t>Total Cash &amp; ST Investments</t>
  </si>
  <si>
    <t>Total Short-Term Borrowings</t>
  </si>
  <si>
    <t>Curr. Port. of LT Debt/Cap. Leases</t>
  </si>
  <si>
    <t>Long-Term Debt (Incl. Cap. Leases)</t>
  </si>
  <si>
    <t>Total Secured Debt</t>
  </si>
  <si>
    <t>Fixed Rate Debt</t>
  </si>
  <si>
    <t>Variable Rate Debt</t>
  </si>
  <si>
    <t>Credit Ratios</t>
  </si>
  <si>
    <t>Net Debt/EBITDA</t>
  </si>
  <si>
    <t>Total Debt/EBITDA</t>
  </si>
  <si>
    <t>Total Contractual Obligations</t>
  </si>
  <si>
    <t>Interest Rate Data</t>
  </si>
  <si>
    <t>W/Avg. Interest Rate - Long-term Debt</t>
  </si>
  <si>
    <t>Millions</t>
  </si>
  <si>
    <t>% of Total</t>
  </si>
  <si>
    <t>  Debt Schedule In Yr 1</t>
  </si>
  <si>
    <t>  Debt Schedule In Yr 2</t>
  </si>
  <si>
    <t>  Debt Schedule In Yr 3</t>
  </si>
  <si>
    <t>  Debt Schedule In Yr 4</t>
  </si>
  <si>
    <t>  Debt Schedule In Yr 5</t>
  </si>
  <si>
    <t>  Debt Schedule - Years 2 - 3</t>
  </si>
  <si>
    <t>  Debt Schedule - Years 4 - 5</t>
  </si>
  <si>
    <t>  Debt Schedule - Years 2 - 5</t>
  </si>
  <si>
    <t>  Debt Schedule Beyond Yr 5</t>
  </si>
  <si>
    <t>Debt Schedule - Total Debt</t>
  </si>
  <si>
    <t>Debt Schedule</t>
  </si>
  <si>
    <t>Capital Lease Schedule</t>
  </si>
  <si>
    <t>  Capital Leases - Year 1</t>
  </si>
  <si>
    <t>  Capital Leases - Year 2</t>
  </si>
  <si>
    <t>  Capital Leases - Year 3</t>
  </si>
  <si>
    <t>  Capital Leases - Year 4</t>
  </si>
  <si>
    <t>  Capital Leases - Year 5</t>
  </si>
  <si>
    <t>  Capital Leases - Years 2 - 3</t>
  </si>
  <si>
    <t>  Capital Leases - Years 4 - 5</t>
  </si>
  <si>
    <t>  Capital Leases - Years 2 - 5</t>
  </si>
  <si>
    <t>  Capital Leases Beyond Year 5</t>
  </si>
  <si>
    <t>Total Future Value of Capital Leases</t>
  </si>
  <si>
    <t>Present Value of ST Capital Leases</t>
  </si>
  <si>
    <t>Present Value of LT Capital Leases</t>
  </si>
  <si>
    <t>Operating Leases (Rental Expense) Schedule</t>
  </si>
  <si>
    <t>  Rental Expense - Year 1</t>
  </si>
  <si>
    <t>  Rental Expense - Year 2</t>
  </si>
  <si>
    <t>  Rental Expense - Year 3</t>
  </si>
  <si>
    <t>  Rental Expense - Year 4</t>
  </si>
  <si>
    <t>  Rental Expense - Year 5</t>
  </si>
  <si>
    <t>  Rental Expense - Years 2 - 3</t>
  </si>
  <si>
    <t>  Rental Expense - Years 4 - 5</t>
  </si>
  <si>
    <t>  Rental Expense - Years 2 - 5</t>
  </si>
  <si>
    <t>  Rental Expense Beyond Year 5</t>
  </si>
  <si>
    <t>  Total Sublease Income</t>
  </si>
  <si>
    <t>Future Min Oper Lease Obligations</t>
  </si>
  <si>
    <t>Contractual Obligation Schedule</t>
  </si>
  <si>
    <t>  Contractual Obligations - Year 1</t>
  </si>
  <si>
    <t>  Contractual Obligations- Years 2-3</t>
  </si>
  <si>
    <t>  Contractual Obligations- Years 4-5</t>
  </si>
  <si>
    <t>  Contractual Obligations - Years 2 - 5</t>
  </si>
  <si>
    <t>  Contractual Obligations - Beyond Year 5</t>
  </si>
  <si>
    <t>Purchase Obligations</t>
  </si>
  <si>
    <t>Operating Income/Total Debt</t>
  </si>
  <si>
    <t>LTM FCF/Total Debt</t>
  </si>
  <si>
    <t>LTM CFO/Total Debt</t>
  </si>
  <si>
    <t>EBIT/Interest Expense</t>
  </si>
  <si>
    <t>EBIT/Total Interest Expense</t>
  </si>
  <si>
    <t>Degree of Financial Leverage</t>
  </si>
  <si>
    <t>(EBITDA-CAPEX)/Interest Expense</t>
  </si>
  <si>
    <t>EBITDA/Total Interest Expense</t>
  </si>
  <si>
    <t>Interest Income</t>
  </si>
  <si>
    <t>Abnormal Losses (Gains)</t>
  </si>
  <si>
    <t>Tax Effect on Abnormal Items</t>
  </si>
  <si>
    <t>WACC</t>
  </si>
  <si>
    <t>Equity</t>
  </si>
  <si>
    <t>Cost of Equity</t>
  </si>
  <si>
    <t>Weight of Equity</t>
  </si>
  <si>
    <t>+ Debt</t>
  </si>
  <si>
    <t>Cost of Debt</t>
  </si>
  <si>
    <t>Weight of Debt</t>
  </si>
  <si>
    <t>+ Preferred Equity</t>
  </si>
  <si>
    <t>Cost of Pref Equity</t>
  </si>
  <si>
    <t>Weight of Pref Equity</t>
  </si>
  <si>
    <t>Capital Structure</t>
  </si>
  <si>
    <t>Hist Market Cap</t>
  </si>
  <si>
    <t>ST Borrowings</t>
  </si>
  <si>
    <t>LT Borrowings</t>
  </si>
  <si>
    <t>Pref Equity</t>
  </si>
  <si>
    <t xml:space="preserve">   WACC</t>
  </si>
  <si>
    <t xml:space="preserve">  Return on Assets</t>
  </si>
  <si>
    <t xml:space="preserve">  Return on Capital</t>
  </si>
  <si>
    <t xml:space="preserve">  Return on Equity</t>
  </si>
  <si>
    <t xml:space="preserve">  Gross Margin</t>
  </si>
  <si>
    <t xml:space="preserve">  SG&amp;A Margin</t>
  </si>
  <si>
    <t xml:space="preserve">  EBITDA Margin</t>
  </si>
  <si>
    <t xml:space="preserve">  EBIT Margin</t>
  </si>
  <si>
    <t xml:space="preserve">  Earnings from Cont. Ops Margin</t>
  </si>
  <si>
    <t xml:space="preserve">  Net Income Margin</t>
  </si>
  <si>
    <t xml:space="preserve">  Normalized Net Income Margin</t>
  </si>
  <si>
    <t xml:space="preserve"> Free Cash Flow Margin</t>
  </si>
  <si>
    <t>Key Financials</t>
  </si>
  <si>
    <t>Total Revenue</t>
  </si>
  <si>
    <t xml:space="preserve">  Growth Over Prior Year</t>
  </si>
  <si>
    <t>Gross Profit</t>
  </si>
  <si>
    <t xml:space="preserve">  Margin %</t>
  </si>
  <si>
    <t>EBITDA</t>
  </si>
  <si>
    <t>Current Capitalization (Millions )</t>
  </si>
  <si>
    <t>Graph Data</t>
  </si>
  <si>
    <t>MarketCap</t>
  </si>
  <si>
    <t>Common Equity</t>
  </si>
  <si>
    <t>Total Liab</t>
  </si>
  <si>
    <t>Net Liab</t>
  </si>
  <si>
    <t>TEV</t>
  </si>
  <si>
    <t>Total Capital</t>
  </si>
  <si>
    <t>Valuation Multiples based on Current Capitalization</t>
  </si>
  <si>
    <t>TEV/Total Revenue</t>
  </si>
  <si>
    <t>TEV/EBITDA</t>
  </si>
  <si>
    <t>TEV/EBIT</t>
  </si>
  <si>
    <t>P/Diluted EPS Before Extra</t>
  </si>
  <si>
    <t>P/BV</t>
  </si>
  <si>
    <t>Valuation Multiples for Chart</t>
  </si>
  <si>
    <t>TTM</t>
  </si>
  <si>
    <t>FY1</t>
  </si>
  <si>
    <t>NTM</t>
  </si>
  <si>
    <t>FY2</t>
  </si>
  <si>
    <t>PE Ratio</t>
  </si>
  <si>
    <t>Price / CF</t>
  </si>
  <si>
    <t>Price / Book</t>
  </si>
  <si>
    <t>Dividend Yield</t>
  </si>
  <si>
    <t>Annuals</t>
  </si>
  <si>
    <t xml:space="preserve">  Operating Expense., Total</t>
  </si>
  <si>
    <t>Price / Cash Flow</t>
  </si>
  <si>
    <t>Consolidated</t>
  </si>
  <si>
    <t>Yes</t>
  </si>
  <si>
    <t>Accounting</t>
  </si>
  <si>
    <t>Mixed</t>
  </si>
  <si>
    <t>Actuals</t>
  </si>
  <si>
    <t>LTM</t>
  </si>
  <si>
    <t>Estimates</t>
  </si>
  <si>
    <t>Actual</t>
  </si>
  <si>
    <t>Supplemental</t>
  </si>
  <si>
    <t>TEV / EBITDA</t>
  </si>
  <si>
    <t>Period</t>
  </si>
  <si>
    <t>Ticker</t>
  </si>
  <si>
    <t>Debt Summary</t>
  </si>
  <si>
    <t>Bulk Col # (Do Not Del)</t>
  </si>
  <si>
    <t>by Product</t>
  </si>
  <si>
    <t>by Geography</t>
  </si>
  <si>
    <t>DEPRECIATION &amp; AMORTIZATION</t>
  </si>
  <si>
    <t>Depreciation &amp; Amortization</t>
  </si>
  <si>
    <t>RevenueCapex</t>
  </si>
  <si>
    <t>Company In Depth Fundamentals (XIDF) spreadsheet displays an adjusted/detailed view of Financial Statements. The spreadsheet includes  Key Stats,  Income Statement, Balance Sheet, Cash Flow, Multiples, Ratios, Capital Structure Summary, Segments, Pension and Supplemental data. This data can be displayed on quarterly, semi-annual or annual basis with user input currency.</t>
  </si>
  <si>
    <t>Currency Exchange (Gains) Loss</t>
  </si>
  <si>
    <t>Other Non-Operating Exp. (Inc)</t>
  </si>
  <si>
    <t>Price / LTM FCF</t>
  </si>
  <si>
    <t>Common Stock</t>
  </si>
  <si>
    <t>SALES_REV_TURN/10^6</t>
  </si>
  <si>
    <t>SALES_GROWTH/100</t>
  </si>
  <si>
    <t>-0</t>
  </si>
  <si>
    <t>GROSS_PROFIT/10^6</t>
  </si>
  <si>
    <t>EBITDA/10^6</t>
  </si>
  <si>
    <t>EBIT/10^6</t>
  </si>
  <si>
    <t>NET_INCOME/10^6</t>
  </si>
  <si>
    <t>IS_DIL_EPS_BEF_XO</t>
  </si>
  <si>
    <t>DILUTED_EPS_BEF_XO_ITEMS_GROWTH/100</t>
  </si>
  <si>
    <t>PX_LAST</t>
  </si>
  <si>
    <t>EQY_SH_OUT/10^6</t>
  </si>
  <si>
    <t>CUR_MKT_CAP/10^6</t>
  </si>
  <si>
    <t>CASH_AND_ST_INVESTMENTS/10^6</t>
  </si>
  <si>
    <t>SHORT_AND_LONG_TERM_DEBT/10^6</t>
  </si>
  <si>
    <t>BS_PFD_EQY/10^6</t>
  </si>
  <si>
    <t>MINORITY_NONCONTROLLING_INTEREST/10^6</t>
  </si>
  <si>
    <t>CURR_ENTP_VAL/10^6</t>
  </si>
  <si>
    <t>TOT_COMMON_EQY/10^6</t>
  </si>
  <si>
    <t>BS_TOT_CAP/10^6</t>
  </si>
  <si>
    <t>EV_TO_SALES</t>
  </si>
  <si>
    <t>EV_TO_EBITDA</t>
  </si>
  <si>
    <t>EV_TO_EBIT</t>
  </si>
  <si>
    <t>PX_TO_DILUTED_EPS_BEF_XO_ITEMS</t>
  </si>
  <si>
    <t>PX_TO_BOOK_RATIO</t>
  </si>
  <si>
    <t>IS_DIL_EPS_CONT_OPS</t>
  </si>
  <si>
    <t>PX_TO_CASH_FLOW</t>
  </si>
  <si>
    <t>PE_RATIO</t>
  </si>
  <si>
    <t>DIVIDEND_YIELD*100</t>
  </si>
  <si>
    <t>IS_OTHER_REVENUE_GAAP/10^6</t>
  </si>
  <si>
    <t>IS_COGS_TO_FE_AND_PP_AND_G/10^6</t>
  </si>
  <si>
    <t>IS_SG_AND_A_EXPENSE/10^6</t>
  </si>
  <si>
    <t>IS_OPER_INC/10^6</t>
  </si>
  <si>
    <t>IS_INT_EXPENSE/10^6</t>
  </si>
  <si>
    <t>IS_INT_INC/10^6</t>
  </si>
  <si>
    <t>IS_NET_INTEREST_EXPENSE/10^6</t>
  </si>
  <si>
    <t>IS_FOREIGN_EXCH_LOSS/10^6</t>
  </si>
  <si>
    <t>IS_NET_NON_OPER_LOSS/10^6</t>
  </si>
  <si>
    <t>PRETAX_INC/10^6</t>
  </si>
  <si>
    <t>IS_INC_TAX_EXP/10^6</t>
  </si>
  <si>
    <t>XO_GL_NET_OF_TAX/10^6</t>
  </si>
  <si>
    <t>MIN_NONCONTROL_INTEREST_CREDITS/10^6</t>
  </si>
  <si>
    <t>IS_TOT_CASH_PFD_DVD/10^6</t>
  </si>
  <si>
    <t>OTHER_ADJUSTMENTS/10^6</t>
  </si>
  <si>
    <t>IS_ABNORMAL_ITEM/10^6</t>
  </si>
  <si>
    <t>IS_TAX_EFF_ON_ABNORMAL_ITEM/10^6</t>
  </si>
  <si>
    <t>IS_EPS</t>
  </si>
  <si>
    <t>IS_EARN_BEF_XO_ITEMS_PER_SH</t>
  </si>
  <si>
    <t>IS_DILUTED_EPS</t>
  </si>
  <si>
    <t>IS_COMP_EPS_ADJUSTED</t>
  </si>
  <si>
    <t>IS_DIV_PER_SHR</t>
  </si>
  <si>
    <t>DVD_PAYOUT_RATIO</t>
  </si>
  <si>
    <t>EBITA/10^6</t>
  </si>
  <si>
    <t>EFF_TAX_RATE</t>
  </si>
  <si>
    <t>NORMALIZED_INCOME/10^6</t>
  </si>
  <si>
    <t>IS_CAP_INT_EXP/10^6</t>
  </si>
  <si>
    <t>BS_CASH_NEAR_CASH_ITEM/10^6</t>
  </si>
  <si>
    <t>BS_MKT_SEC_OTHER_ST_INVEST/10^6</t>
  </si>
  <si>
    <t>BS_INVENTORIES/10^6</t>
  </si>
  <si>
    <t>BS_OTHER_CUR_ASSET/10^6</t>
  </si>
  <si>
    <t>BS_NET_FIX_ASSET/10^6</t>
  </si>
  <si>
    <t>BS_LT_INVEST/10^6</t>
  </si>
  <si>
    <t>BS_ST_BORROW/10^6</t>
  </si>
  <si>
    <t>BS_ACCT_PAYABLE/10^6</t>
  </si>
  <si>
    <t>BS_OTHER_ST_LIAB/10^6</t>
  </si>
  <si>
    <t>BS_LT_BORROW/10^6</t>
  </si>
  <si>
    <t>BS_OTHER_LT_LIABILITIES/10^6</t>
  </si>
  <si>
    <t>BS_COMMON_STOCK/10^6</t>
  </si>
  <si>
    <t>BS_SH_CAP_AND_APIC/10^6</t>
  </si>
  <si>
    <t>BS_RETAIN_EARN/10^6</t>
  </si>
  <si>
    <t>BS_SH_OUT/10^6</t>
  </si>
  <si>
    <t>BOOK_VAL_PER_SH</t>
  </si>
  <si>
    <t>TANG_BOOK_VAL_PER_SH</t>
  </si>
  <si>
    <t>NET_DEBT/10^6</t>
  </si>
  <si>
    <t>INVTRY_RAW_MATERIALS/10^6</t>
  </si>
  <si>
    <t>INVTRY_IN_PROGRESS/10^6</t>
  </si>
  <si>
    <t>INVTRY_FINISHED_GOODS/10^6</t>
  </si>
  <si>
    <t>BS_OTHER_INV/10^6</t>
  </si>
  <si>
    <t>BS_ALLOW_DOUBTFUL_ACC_REC/10^6</t>
  </si>
  <si>
    <t>CF_NET_INC/10^6</t>
  </si>
  <si>
    <t>CF_DEPR_AMORT/10^6</t>
  </si>
  <si>
    <t>CF_OTHER_NON_CASH_ADJUST/10^6</t>
  </si>
  <si>
    <t>CF_CHNG_NON_CASH_WORK_CAP/10^6</t>
  </si>
  <si>
    <t>CF_CAP_EXPEND_PRPTY_ADD/10^6</t>
  </si>
  <si>
    <t>CF_DISP_FIX_ASSET/10^6</t>
  </si>
  <si>
    <t>CF_INCR_INVEST/10^6</t>
  </si>
  <si>
    <t>CF_DECR_INVEST/10^6</t>
  </si>
  <si>
    <t>CF_OTHER_INV_ACT/10^6</t>
  </si>
  <si>
    <t>CF_INCR_ST_BORROW/10^6</t>
  </si>
  <si>
    <t>CF_INCR_LT_BORROW/10^6</t>
  </si>
  <si>
    <t>CF_REIMB_LT_BORROW/10^6</t>
  </si>
  <si>
    <t>CF_DVD_PAID/10^6</t>
  </si>
  <si>
    <t>CF_INCR_CAP_STOCK/10^6</t>
  </si>
  <si>
    <t>CF_DECR_CAP_STOCK/10^6</t>
  </si>
  <si>
    <t>CF_INCR_DECR_DPST/10^6</t>
  </si>
  <si>
    <t>CF_INCR_DECR_INSUR_RSRV/10^6</t>
  </si>
  <si>
    <t>CF_OTHER_FNC_ACT/10^6</t>
  </si>
  <si>
    <t>CF_ACT_CASH_PAID_FOR_INT_DEBT/10^6</t>
  </si>
  <si>
    <t>CF_CASH_PAID_FOR_TAX/10^6</t>
  </si>
  <si>
    <t>CF_FREE_CASH_FLOW/10^6</t>
  </si>
  <si>
    <t>RETURN_ON_ASSET</t>
  </si>
  <si>
    <t>RETURN_ON_CAP</t>
  </si>
  <si>
    <t>RETURN_COM_EQY</t>
  </si>
  <si>
    <t>GROSS_MARGIN</t>
  </si>
  <si>
    <t>EBITDA_MARGIN</t>
  </si>
  <si>
    <t>EBIT_MARGIN</t>
  </si>
  <si>
    <t>OPER_INC_TO_NET_SALES</t>
  </si>
  <si>
    <t>PROF_MARGIN</t>
  </si>
  <si>
    <t>NORMALIZED_PROFIT_MARGIN</t>
  </si>
  <si>
    <t>FREE_CASH_FLOW_MARGIN</t>
  </si>
  <si>
    <t>ASSET_TURNOVER</t>
  </si>
  <si>
    <t>ACCT_RCV_TURN</t>
  </si>
  <si>
    <t>INVENT_TURN</t>
  </si>
  <si>
    <t>CUR_RATIO</t>
  </si>
  <si>
    <t>QUICK_RATIO</t>
  </si>
  <si>
    <t>CASH_RATIO</t>
  </si>
  <si>
    <t>ACCT_RCV_DAYS</t>
  </si>
  <si>
    <t>INVENT_DAYS</t>
  </si>
  <si>
    <t>ACCOUNTS_PAYABLE_TURNOVER_DAYS</t>
  </si>
  <si>
    <t>CASH_CONVERSION_CYCLE</t>
  </si>
  <si>
    <t>TOT_DEBT_TO_TOT_EQY</t>
  </si>
  <si>
    <t>TOT_DEBT_TO_TOT_CAP</t>
  </si>
  <si>
    <t>LT_DEBT_TO_COM_EQY</t>
  </si>
  <si>
    <t>LT_DEBT_TO_TOT_CAP</t>
  </si>
  <si>
    <t>NON_CUR_LIAB_TO_TOT_ASSET</t>
  </si>
  <si>
    <t>EBIT_TO_INT_EXP</t>
  </si>
  <si>
    <t>EBITDA_TO_TOT_INT_EXP</t>
  </si>
  <si>
    <t>TOT_DEBT_TO_EBITDA</t>
  </si>
  <si>
    <t>NET_DEBT_TO_EBITDA</t>
  </si>
  <si>
    <t>ALTMAN_Z_SCORE</t>
  </si>
  <si>
    <t>IS_IMPAIRMENT_GOODWILL_INTANGIBL/10^6</t>
  </si>
  <si>
    <t>IS_IMPAIRMENT_ASSETS/10^6</t>
  </si>
  <si>
    <t>IS_GAIN_LOSS_DISPOSAL_ASSETS/10^6</t>
  </si>
  <si>
    <t>IS_LEGAL_LITIG_SETTLE_AFTER_TAX/10^6</t>
  </si>
  <si>
    <t>IS_EXPENSE_STOCK_BASED_COMP/10^6</t>
  </si>
  <si>
    <t>BS_PURE_RETAINED_EARNINGS/10^6</t>
  </si>
  <si>
    <t>-BS_AMT_OF_TSY_STOCK/10^6</t>
  </si>
  <si>
    <t>CF_CASH_FOR_DIVESTITURES/10^6</t>
  </si>
  <si>
    <t>IS_SPECIAL_CASH_DIVIDEND_AMOUNT/10^6</t>
  </si>
  <si>
    <t>ADJ_SG_AND_A_TO_SALES</t>
  </si>
  <si>
    <t>EBITDA_LES_CAP_EXPEND_TO_INT_EXP</t>
  </si>
  <si>
    <t>IS_DEPR_EXP/10^6</t>
  </si>
  <si>
    <t>BS_RESTRICT_BOND_PROCEED/10^6</t>
  </si>
  <si>
    <t>BS_DEFERRED_TAX_ASSETS_LT/10^6</t>
  </si>
  <si>
    <t>BS_ACCRUED_INCOME_TAXES/10^6</t>
  </si>
  <si>
    <t xml:space="preserve">LT_DEFERRED_REVENUE/10^6 </t>
  </si>
  <si>
    <t>NET_FIX_ASSET_TURN</t>
  </si>
  <si>
    <t>SALES_TO_NET_FIX_ASSET</t>
  </si>
  <si>
    <t>IS_RD_EXPEND/10^6</t>
  </si>
  <si>
    <t>IS_AVG_NUM_SH_FOR_EPS/10^6</t>
  </si>
  <si>
    <t>IS_SH_FOR_DILUTED_EPS/10^6</t>
  </si>
  <si>
    <t>BS_ACCT_NOTE_RCV/10^6</t>
  </si>
  <si>
    <t>NUM_OF_EMPLOYEES</t>
  </si>
  <si>
    <t>ARD_TOTAL_REVENUES</t>
  </si>
  <si>
    <t>ARD_RENTAL_EXP_COST_OF_REVENUE</t>
  </si>
  <si>
    <t>ARD_PREPAID_EXP_AND_OTHER</t>
  </si>
  <si>
    <t>BS_OTHER_ASSETS_DEF_CHRG_OTHER/10^6</t>
  </si>
  <si>
    <t>Company Name</t>
  </si>
  <si>
    <t>Enterprise Value (M)</t>
  </si>
  <si>
    <t>EPS</t>
  </si>
  <si>
    <t>P/E</t>
  </si>
  <si>
    <t>EV/Sales</t>
  </si>
  <si>
    <t>EV/EBITDA</t>
  </si>
  <si>
    <t>EV/EBIT</t>
  </si>
  <si>
    <t>Stryker Corp</t>
  </si>
  <si>
    <t>Becton Dickinson &amp; Co</t>
  </si>
  <si>
    <t>Danaher Corp</t>
  </si>
  <si>
    <t>Boston Scientific Corp</t>
  </si>
  <si>
    <t>Edwards Lifesciences Corp</t>
  </si>
  <si>
    <t>Baxter International Inc</t>
  </si>
  <si>
    <t>SYK Equity</t>
  </si>
  <si>
    <t>px_last</t>
  </si>
  <si>
    <t>high_52week</t>
  </si>
  <si>
    <t>cur_mkt_cap</t>
  </si>
  <si>
    <t>curr_entp_val</t>
  </si>
  <si>
    <t>sales_rev_turn</t>
  </si>
  <si>
    <t>Trail_12M_ebitda</t>
  </si>
  <si>
    <t>trail_12M_EPS</t>
  </si>
  <si>
    <t>pe_ratio</t>
  </si>
  <si>
    <t>52 Week high %</t>
  </si>
  <si>
    <t>BDX Equity</t>
  </si>
  <si>
    <t>ISRG Equity</t>
  </si>
  <si>
    <t>BSX Equity</t>
  </si>
  <si>
    <t>BAX Equity</t>
  </si>
  <si>
    <t>EW Equity</t>
  </si>
  <si>
    <t>DHR Equity</t>
  </si>
  <si>
    <t>52 Week High</t>
  </si>
  <si>
    <t>Market Cap</t>
  </si>
  <si>
    <t>Mean</t>
  </si>
  <si>
    <t>Median</t>
  </si>
  <si>
    <t>Valuation</t>
  </si>
  <si>
    <t>Financial Data</t>
  </si>
  <si>
    <t>Market Data</t>
  </si>
  <si>
    <t>Implied Enterprise Value</t>
  </si>
  <si>
    <t>TTM EPS</t>
  </si>
  <si>
    <t>Mean Comparables P/E</t>
  </si>
  <si>
    <t>Median Comparables P/E</t>
  </si>
  <si>
    <t>Implied Price</t>
  </si>
  <si>
    <t>P/E ratio</t>
  </si>
  <si>
    <t>Sales (M)</t>
  </si>
  <si>
    <t>EBITDA (M)</t>
  </si>
  <si>
    <t>EBIT (M)</t>
  </si>
  <si>
    <t>Implied Enterprise Value (EV/EBITDA method)</t>
  </si>
  <si>
    <t>Implied Enterprise Value (P/E multiple method)</t>
  </si>
  <si>
    <t>Mean EV/ EBITDA</t>
  </si>
  <si>
    <t>Median EV/EBITDA</t>
  </si>
  <si>
    <t>TTM EBITDA</t>
  </si>
  <si>
    <t>EV/ EBITDA multiple</t>
  </si>
  <si>
    <t>Less: Debt</t>
  </si>
  <si>
    <t>Less: Noncontolling Interest</t>
  </si>
  <si>
    <t>Plus: Cash</t>
  </si>
  <si>
    <t>Implied Equity Value</t>
  </si>
  <si>
    <t>Date Announced</t>
  </si>
  <si>
    <t>Acquirer</t>
  </si>
  <si>
    <t>Target</t>
  </si>
  <si>
    <t>Transaction Type</t>
  </si>
  <si>
    <t>Purchase Consideration</t>
  </si>
  <si>
    <t>Equity Value</t>
  </si>
  <si>
    <t>Enterprise Value</t>
  </si>
  <si>
    <t>Sales</t>
  </si>
  <si>
    <t>Premiums Paid</t>
  </si>
  <si>
    <t>Days Prior to Unaffected</t>
  </si>
  <si>
    <t>Enterprise Value /</t>
  </si>
  <si>
    <t>Abbott Laboratories</t>
  </si>
  <si>
    <t>St. Jude Medical Inc</t>
  </si>
  <si>
    <t>Public / Public</t>
  </si>
  <si>
    <t>Cash &amp; Stock</t>
  </si>
  <si>
    <t>CR Bard Inc</t>
  </si>
  <si>
    <t>EBITDA Margin</t>
  </si>
  <si>
    <t>Cepheid</t>
  </si>
  <si>
    <t>Cash</t>
  </si>
  <si>
    <t>Carefusion Corp</t>
  </si>
  <si>
    <t>Medtronic PLC</t>
  </si>
  <si>
    <t>Covidien Ltd</t>
  </si>
  <si>
    <t>Alere Inc</t>
  </si>
  <si>
    <t>Equity Value/Net Income</t>
  </si>
  <si>
    <t>Intuitive Surgical</t>
  </si>
  <si>
    <t>SYK US</t>
  </si>
  <si>
    <t>Pro Forma Financial Statements</t>
  </si>
  <si>
    <t>Transaction Value</t>
  </si>
  <si>
    <t>2019E</t>
  </si>
  <si>
    <t>2020E</t>
  </si>
  <si>
    <t>2021E</t>
  </si>
  <si>
    <t>2022E</t>
  </si>
  <si>
    <t>2023E</t>
  </si>
  <si>
    <t>Current Share Price</t>
  </si>
  <si>
    <t>Premium</t>
  </si>
  <si>
    <t>Total Expenses</t>
  </si>
  <si>
    <t>Offer Price</t>
  </si>
  <si>
    <t>Shares Outstanding</t>
  </si>
  <si>
    <t>Purchase Price</t>
  </si>
  <si>
    <t>Earnings Before Taxes</t>
  </si>
  <si>
    <t>Plus: Debt</t>
  </si>
  <si>
    <t>Taxes @</t>
  </si>
  <si>
    <t>Less: Cash</t>
  </si>
  <si>
    <t>Plus: Depreciation &amp; Amortization</t>
  </si>
  <si>
    <t>Change in Working Capital</t>
  </si>
  <si>
    <t>EBITDA Multiple</t>
  </si>
  <si>
    <t>Less: Capital Expenditures</t>
  </si>
  <si>
    <t>Less: Scheduled Senior Debt Paydown</t>
  </si>
  <si>
    <t>Sources and Uses</t>
  </si>
  <si>
    <t>Cash Flow Available for Debt Paydown</t>
  </si>
  <si>
    <t>% TV</t>
  </si>
  <si>
    <t>xEBITDA</t>
  </si>
  <si>
    <t>Amort</t>
  </si>
  <si>
    <t>% Total</t>
  </si>
  <si>
    <t>Amount</t>
  </si>
  <si>
    <t>Less: Discretionary Subordinate Debt Paydown</t>
  </si>
  <si>
    <t>Senior Debt</t>
  </si>
  <si>
    <t>Excess Cash Flow</t>
  </si>
  <si>
    <t>Subordinated Debt</t>
  </si>
  <si>
    <t>Sponsor's Equity</t>
  </si>
  <si>
    <t>Total Sources</t>
  </si>
  <si>
    <t>Senior Debt Beginning Balance</t>
  </si>
  <si>
    <t>Subordinate Debt Beginning Balance</t>
  </si>
  <si>
    <t>Total Beginning Balance</t>
  </si>
  <si>
    <t>Beginning Cash Balance</t>
  </si>
  <si>
    <t>Transaction Expenses</t>
  </si>
  <si>
    <t>Scheduled Senior Debt Paydown</t>
  </si>
  <si>
    <t>Total Uses</t>
  </si>
  <si>
    <t>Discretionary Subordinate Debt Paydown</t>
  </si>
  <si>
    <t>Scheduled Debt Paydown</t>
  </si>
  <si>
    <t>Debt / EBITDA</t>
  </si>
  <si>
    <t>Senior Debt Ending Balance</t>
  </si>
  <si>
    <t>Investor Returns</t>
  </si>
  <si>
    <t>Subordinate Debt Ending Balance</t>
  </si>
  <si>
    <t>Total Ending Balance</t>
  </si>
  <si>
    <t>Years of Investment</t>
  </si>
  <si>
    <t>Cash Balance</t>
  </si>
  <si>
    <t>Beginning Balance</t>
  </si>
  <si>
    <t>x EBITDA Multiple</t>
  </si>
  <si>
    <t>Plus: Excess Cash Flow</t>
  </si>
  <si>
    <t>Debt</t>
  </si>
  <si>
    <t>Senior Debt Average Debt Balance</t>
  </si>
  <si>
    <t>Subordinate Debt Average Debt Balance</t>
  </si>
  <si>
    <t>Average Debt Balance</t>
  </si>
  <si>
    <t>Senior Debt Interest Rate</t>
  </si>
  <si>
    <t>Internal Rate of Return</t>
  </si>
  <si>
    <t>Subordinate Debt Interest Rate</t>
  </si>
  <si>
    <t>Cash-on-Cash Return</t>
  </si>
  <si>
    <t>Average Interest Rate</t>
  </si>
  <si>
    <t>Credit Metrics</t>
  </si>
  <si>
    <t>Senior Debt Interest Expense</t>
  </si>
  <si>
    <t>Subordinate Debt Interest Expense</t>
  </si>
  <si>
    <t>Total Interest Expense</t>
  </si>
  <si>
    <t>EBITDA / Interest Expense</t>
  </si>
  <si>
    <t>Other Operating Expenses</t>
  </si>
  <si>
    <t>FY 2016</t>
  </si>
  <si>
    <t>FY 2017</t>
  </si>
  <si>
    <t>FY 2018</t>
  </si>
  <si>
    <t>FY 2019</t>
  </si>
  <si>
    <t>FY 2020</t>
  </si>
  <si>
    <t>FY 2021</t>
  </si>
  <si>
    <t>FY 2022</t>
  </si>
  <si>
    <t>FY 2023</t>
  </si>
  <si>
    <t>FY 2024</t>
  </si>
  <si>
    <t>Taxes</t>
  </si>
  <si>
    <t>EBIAT</t>
  </si>
  <si>
    <t>Historical / Estimated Period</t>
  </si>
  <si>
    <t>Projection Period</t>
  </si>
  <si>
    <t>Metrics &amp; Drivers</t>
  </si>
  <si>
    <t>Revenue Growth</t>
  </si>
  <si>
    <t>Cost of Goods Sold</t>
  </si>
  <si>
    <t>Corporate Tax Rate</t>
  </si>
  <si>
    <t>Fixed Asset Schedule</t>
  </si>
  <si>
    <t>Capital Expenditures</t>
  </si>
  <si>
    <t>Depreciation as a % of Capex</t>
  </si>
  <si>
    <t>Capex as % of revenue</t>
  </si>
  <si>
    <t>Yearly incrementation (Depr.)</t>
  </si>
  <si>
    <t>Working Capital Schedule</t>
  </si>
  <si>
    <t>Accounts Receivable</t>
  </si>
  <si>
    <t>Non - Cash Current Assets</t>
  </si>
  <si>
    <t>Accrued Liabilities</t>
  </si>
  <si>
    <t>Non - Debt Current Liabilities</t>
  </si>
  <si>
    <t>Working Capital</t>
  </si>
  <si>
    <t>Days Sales Outstanding</t>
  </si>
  <si>
    <t>Days Inventory Held</t>
  </si>
  <si>
    <t>Other Current Assets as a % Revenue</t>
  </si>
  <si>
    <t>Days Payable Outstanding</t>
  </si>
  <si>
    <t>Accrued Liabilities as a % of Revenue</t>
  </si>
  <si>
    <t>Other Current Liabilities as a % Revenue</t>
  </si>
  <si>
    <t>Days</t>
  </si>
  <si>
    <t>Output Page</t>
  </si>
  <si>
    <t>Less: Increase In Net Working Capital</t>
  </si>
  <si>
    <t>Unlevered Free Cash Flow</t>
  </si>
  <si>
    <t>Discount Period</t>
  </si>
  <si>
    <t>Discount Factor</t>
  </si>
  <si>
    <t>Present Value of Free Cash Flow</t>
  </si>
  <si>
    <t>Cumulative Present Value of FCF</t>
  </si>
  <si>
    <t>Terminal Value</t>
  </si>
  <si>
    <t>Terminal Year EBITDA (2024E)</t>
  </si>
  <si>
    <t>Implied Exit Multiple</t>
  </si>
  <si>
    <t>Present Value of Terminal Value</t>
  </si>
  <si>
    <t>% of Enterprise Value</t>
  </si>
  <si>
    <t>Implied Equity Value &amp; Share Price</t>
  </si>
  <si>
    <t>Less: Total Debt</t>
  </si>
  <si>
    <t>Less: Preferred Securities</t>
  </si>
  <si>
    <t>Less: Non Controlling Interest</t>
  </si>
  <si>
    <t>Plus: Cash &amp; Cash Equivalents</t>
  </si>
  <si>
    <t>Fully Diluted Shares Outstanding</t>
  </si>
  <si>
    <t>Implied Share Price</t>
  </si>
  <si>
    <t>Perpetuity Growth Rate</t>
  </si>
  <si>
    <t>Terminal Value FCF</t>
  </si>
  <si>
    <t>Implied EV/EBITDA</t>
  </si>
  <si>
    <t>Exit Multiple</t>
  </si>
  <si>
    <t>LTM EBITDA</t>
  </si>
  <si>
    <t>EBITDA (Terminal Year)</t>
  </si>
  <si>
    <t xml:space="preserve">Enterprise Value </t>
  </si>
  <si>
    <t>Terminal Value Calculation</t>
  </si>
  <si>
    <t>Exit Multiple Method</t>
  </si>
  <si>
    <t xml:space="preserve">Perpetuity growth </t>
  </si>
  <si>
    <t>2024E</t>
  </si>
  <si>
    <t>Ticker (Please input Ticker + "Equity")</t>
  </si>
  <si>
    <t xml:space="preserve">Please Enter Company Name + Ticker in Gray Boxes </t>
  </si>
  <si>
    <t>Implied Enterprise Value / LTM EBITDA</t>
  </si>
  <si>
    <t>User Increments (Sensitivity Analysis)</t>
  </si>
  <si>
    <t>Growth Rate</t>
  </si>
  <si>
    <t>Enterprise Value Range</t>
  </si>
  <si>
    <t>Implied Stock Price</t>
  </si>
  <si>
    <t>EBITDA 2019A</t>
  </si>
  <si>
    <t>Range</t>
  </si>
  <si>
    <t>Sensitivity Analysis (EV/EBITDA method)</t>
  </si>
  <si>
    <t>Sensitivity Analysis (P/E Multiple Method)</t>
  </si>
  <si>
    <t>52 Week Range</t>
  </si>
  <si>
    <t>Min</t>
  </si>
  <si>
    <t>Max</t>
  </si>
  <si>
    <t>2019 EBITDA</t>
  </si>
  <si>
    <t>Low_52WEEK</t>
  </si>
  <si>
    <t>HIGH_52WEEk</t>
  </si>
  <si>
    <t>Precedent Transactions (21.5x - 23.5x)</t>
  </si>
  <si>
    <t>Discounted Cash Flows (19.2x - 19.5x)</t>
  </si>
  <si>
    <t>Comparable Companies (29.1x - 31.1x)</t>
  </si>
  <si>
    <t>Football Field Analysis &amp; EV/EBITDA Range</t>
  </si>
  <si>
    <t>Zimmer Biomet Holdings</t>
  </si>
  <si>
    <t>ZBH Equity</t>
  </si>
  <si>
    <t>Increment</t>
  </si>
  <si>
    <t xml:space="preserve">Mean Comparable Multiple Range </t>
  </si>
  <si>
    <t>% Growth</t>
  </si>
  <si>
    <t xml:space="preserve">Median Comparable Multiple Range </t>
  </si>
  <si>
    <t>Median Comparable Multiple Range</t>
  </si>
  <si>
    <t>FY 2015</t>
  </si>
  <si>
    <t>SYK US Equity</t>
  </si>
  <si>
    <t xml:space="preserve"> </t>
  </si>
  <si>
    <t>Dividends Per Share</t>
  </si>
  <si>
    <t>Implied Price per Share</t>
  </si>
  <si>
    <t>Constant Growth Rate</t>
  </si>
  <si>
    <t>Required Rate of Return</t>
  </si>
  <si>
    <t>FY 2025</t>
  </si>
  <si>
    <t>FY 2026</t>
  </si>
  <si>
    <t>Phases</t>
  </si>
  <si>
    <t>High Growth</t>
  </si>
  <si>
    <t>Stable Growth</t>
  </si>
  <si>
    <t>Terminal  Value</t>
  </si>
  <si>
    <t>Perpetuity</t>
  </si>
  <si>
    <t>Multistage GGM</t>
  </si>
  <si>
    <t>Implied  Price Per  Share</t>
  </si>
  <si>
    <t>Return on Equity %</t>
  </si>
  <si>
    <t>Dividend Payout Ratio %</t>
  </si>
  <si>
    <t>Present Value of Dividends</t>
  </si>
  <si>
    <t>Current trading price</t>
  </si>
  <si>
    <t>Min  Range</t>
  </si>
  <si>
    <t>Max Range</t>
  </si>
  <si>
    <t>Trading Range</t>
  </si>
  <si>
    <t>Implied Trading Range</t>
  </si>
  <si>
    <t xml:space="preserve">     </t>
  </si>
  <si>
    <t>Sustainable Growth Rate</t>
  </si>
  <si>
    <t>Start Date</t>
  </si>
  <si>
    <t>Dates</t>
  </si>
  <si>
    <t>End Date</t>
  </si>
  <si>
    <t>ATR</t>
  </si>
  <si>
    <t>BB_MA</t>
  </si>
  <si>
    <t>BB_UPPER</t>
  </si>
  <si>
    <t>BB_LOWER</t>
  </si>
  <si>
    <t>BB_WIDTH</t>
  </si>
  <si>
    <t>BB_PERCENT</t>
  </si>
  <si>
    <t>CMCI</t>
  </si>
  <si>
    <t>DMI_PLUS</t>
  </si>
  <si>
    <t>DMI_MINUS</t>
  </si>
  <si>
    <t>ADX</t>
  </si>
  <si>
    <t>ADXR</t>
  </si>
  <si>
    <t>FEAR_GREED</t>
  </si>
  <si>
    <t>HURST</t>
  </si>
  <si>
    <t>MACD</t>
  </si>
  <si>
    <t>MACD_SIGNAL</t>
  </si>
  <si>
    <t>MACD_DIFF</t>
  </si>
  <si>
    <t>RSI</t>
  </si>
  <si>
    <t>SMAVG</t>
  </si>
  <si>
    <t>EMAVG</t>
  </si>
  <si>
    <t>TAS_K</t>
  </si>
  <si>
    <t>TAS_D</t>
  </si>
  <si>
    <t>TAS_DS</t>
  </si>
  <si>
    <t>TAS_DSS</t>
  </si>
  <si>
    <t>TMAVG</t>
  </si>
  <si>
    <t>VMAVG</t>
  </si>
  <si>
    <t>WLPR</t>
  </si>
  <si>
    <t>MIN</t>
  </si>
  <si>
    <t>MAX</t>
  </si>
  <si>
    <t>MM_RETRACEMENT</t>
  </si>
  <si>
    <t>MOMENTUM</t>
  </si>
  <si>
    <t>MOM_MA</t>
  </si>
  <si>
    <t>MAE_MIDDLE</t>
  </si>
  <si>
    <t>MAE_UPPER</t>
  </si>
  <si>
    <t>MAE_LOWER</t>
  </si>
  <si>
    <t>MAOsc</t>
  </si>
  <si>
    <t>MAO_SIGNAL</t>
  </si>
  <si>
    <t>MAO_DIFF</t>
  </si>
  <si>
    <t>PTPS</t>
  </si>
  <si>
    <t>WMAVG</t>
  </si>
  <si>
    <t>User Inputs</t>
  </si>
  <si>
    <t>Technical Indicators</t>
  </si>
  <si>
    <t>Closing Price</t>
  </si>
  <si>
    <t>Analysis of Indicators &amp; Signals</t>
  </si>
  <si>
    <t>Bullish Signal</t>
  </si>
  <si>
    <t>Bearish Signal</t>
  </si>
  <si>
    <t>Average True Range</t>
  </si>
  <si>
    <t>Bollinger Bands</t>
  </si>
  <si>
    <t>Commodity Channel Index</t>
  </si>
  <si>
    <t>Fear/Greed</t>
  </si>
  <si>
    <t>Hurst</t>
  </si>
  <si>
    <t>Relative Strength Index</t>
  </si>
  <si>
    <t>Parabolic Studies</t>
  </si>
  <si>
    <t>Moving Average Oscillator</t>
  </si>
  <si>
    <t>Stochastics</t>
  </si>
  <si>
    <t>Williams %R</t>
  </si>
  <si>
    <t>Momentum</t>
  </si>
  <si>
    <t>Buy if CMCI cross over -100</t>
  </si>
  <si>
    <t>Sell if CMCI cross down +100</t>
  </si>
  <si>
    <t>Buy if RSI &lt; 30</t>
  </si>
  <si>
    <t>Sell if RSI &gt; 70</t>
  </si>
  <si>
    <t xml:space="preserve">Buy If FG &lt; 0 </t>
  </si>
  <si>
    <t>Sell if FG &gt; 0</t>
  </si>
  <si>
    <t>Buy if hurst &gt; 0.5 &amp; price goes up</t>
  </si>
  <si>
    <t>Sell if hurtst &lt; 0.5 &amp; price goes down</t>
  </si>
  <si>
    <t>Buy if current price is &lt; lower bollinger band</t>
  </si>
  <si>
    <t>Sell if current price &gt; upper bollinger band</t>
  </si>
  <si>
    <t>Buy if MACD &gt; Signal when rising</t>
  </si>
  <si>
    <t>Sell if MACD &lt; Signal when descending</t>
  </si>
  <si>
    <t>Sell if going up PTPS touch the last price</t>
  </si>
  <si>
    <t>Buy if moving average oscillator &gt; 0</t>
  </si>
  <si>
    <t>Sell if moving average oscillator &lt;0 sell</t>
  </si>
  <si>
    <t>Sell if slow period cross over fast period OR fast period &gt; 75</t>
  </si>
  <si>
    <t>Buy if fast period cross over slow period OR fast period &lt; 25</t>
  </si>
  <si>
    <t>Buy if &gt;-50</t>
  </si>
  <si>
    <t>Sell if &lt; -50</t>
  </si>
  <si>
    <t>Sell if momentum cross down moving average</t>
  </si>
  <si>
    <t>Buy if Momentum cross over moving average</t>
  </si>
  <si>
    <t xml:space="preserve">           </t>
  </si>
  <si>
    <t>Buy  if  going  down  PTPS  touch the  last  price</t>
  </si>
  <si>
    <t xml:space="preserve">                                                                                       </t>
  </si>
  <si>
    <t>Moving Averages</t>
  </si>
  <si>
    <t xml:space="preserve">Buy if 50 Day moving average crosses the 200 day moving average from below     </t>
  </si>
  <si>
    <t>Sell if the 200 day moving average crosses the 50 day moving average from above</t>
  </si>
  <si>
    <t>Exponential Moving Average</t>
  </si>
  <si>
    <t>Buy if price is over exponential moving average</t>
  </si>
  <si>
    <t>Sell if price is below exponential moving average</t>
  </si>
  <si>
    <t>Directional Movement (DMI)</t>
  </si>
  <si>
    <t>Buy if DMI_Plus &gt;DMI_Minus</t>
  </si>
  <si>
    <t>Sell if DMI_Minus &gt; DMI_Plus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</si>
</sst>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9">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_);_(* \(#,##0.0\)_)\ ;_(* 0_)"/>
    <numFmt numFmtId="165" formatCode="_(#,##0.0%_);_(\(#,##0.0%\)_);_(#,##0.0%_)"/>
    <numFmt numFmtId="166" formatCode="_(* #,##0.0#_);_(* \(#,##0.0#\)_)\ ;_(* 0_)"/>
    <numFmt numFmtId="167" formatCode="#,##0.0\x"/>
    <numFmt numFmtId="168" formatCode="#,##0.0_);\(#,##0.0\)"/>
    <numFmt numFmtId="169" formatCode="0.0"/>
    <numFmt numFmtId="170" formatCode="0.0%"/>
    <numFmt numFmtId="171" formatCode="#,##0.00\x"/>
    <numFmt numFmtId="172" formatCode="0.0%;\(0.0%\)"/>
    <numFmt numFmtId="173" formatCode="_(* #,##0.00_);_(* \(#,##0.00\);_(* &quot;-&quot;_);_(@_)"/>
    <numFmt numFmtId="174" formatCode="&quot;$&quot;#,##0.000_);\(&quot;$&quot;#,##0.000\)"/>
    <numFmt numFmtId="175" formatCode="0.00_)"/>
    <numFmt numFmtId="176" formatCode="0.00_);\(0.00\)"/>
    <numFmt numFmtId="177" formatCode=";;;"/>
    <numFmt numFmtId="178" formatCode="&quot;$&quot;_(#,##0.00_);&quot;$&quot;\(#,##0.00\)"/>
    <numFmt numFmtId="179" formatCode="#,##0.0_)\x;\(#,##0.0\)\x"/>
    <numFmt numFmtId="180" formatCode="#,##0.0_)_x;\(#,##0.0\)_x"/>
    <numFmt numFmtId="181" formatCode="0.0_)\%;\(0.0\)\%"/>
    <numFmt numFmtId="182" formatCode="#,##0.0_)_%;\(#,##0.0\)_%"/>
    <numFmt numFmtId="183" formatCode="#,##0;\(#,##0\)"/>
    <numFmt numFmtId="184" formatCode="0\A"/>
    <numFmt numFmtId="185" formatCode="0.00000000000"/>
    <numFmt numFmtId="186" formatCode="0.000000000000"/>
    <numFmt numFmtId="187" formatCode="#,##0_%_);\(#,##0\)_%;#,##0_%_);@_%_)"/>
    <numFmt numFmtId="188" formatCode="0.00_);\(0.00\);0.00"/>
    <numFmt numFmtId="189" formatCode="&quot;$&quot;#,##0_%_);\(&quot;$&quot;#,##0\)_%;&quot;$&quot;#,##0_%_);@_%_)"/>
    <numFmt numFmtId="190" formatCode="&quot;$&quot;#,##0.00_%_);\(&quot;$&quot;#,##0.00\)_%;&quot;$&quot;#,##0.00_%_);@_%_)"/>
    <numFmt numFmtId="191" formatCode="m/d/yy_%_)"/>
    <numFmt numFmtId="192" formatCode="0_%_);\(0\)_%;0_%_);@_%_)"/>
    <numFmt numFmtId="193" formatCode="_([$€-2]* #,##0.00_);_([$€-2]* \(#,##0.00\);_([$€-2]* &quot;-&quot;??_)"/>
    <numFmt numFmtId="194" formatCode="0.0&quot;  &quot;"/>
    <numFmt numFmtId="195" formatCode="_-* #,##0_-;\(#,##0\);_-* &quot;–&quot;_-;_-@_-"/>
    <numFmt numFmtId="196" formatCode="0.00%;\(0.00%\)"/>
    <numFmt numFmtId="197" formatCode="0.0\%_);\(0.0\%\);0.0\%_);@_%_)"/>
    <numFmt numFmtId="198" formatCode="0.0\x_)_);&quot;NM&quot;_x_)_);0.0\x_)_);@_%_)"/>
    <numFmt numFmtId="199" formatCode="#,##0.0\ \ \ ;\(#,##0.0\)\ \ "/>
    <numFmt numFmtId="200" formatCode="0.00\%;\-0.00\%;0.00\%"/>
    <numFmt numFmtId="201" formatCode="0.00\x;\-0.00\x;0.00\x"/>
    <numFmt numFmtId="202" formatCode="##0.00000"/>
    <numFmt numFmtId="203" formatCode="#,##0.000;\(#,##0.000\)"/>
    <numFmt numFmtId="204" formatCode="#,##0.0;\(#,##0.0\)"/>
    <numFmt numFmtId="205" formatCode="#,##0;\(#,##0\);\–;@"/>
    <numFmt numFmtId="206" formatCode="0.000000000"/>
    <numFmt numFmtId="207" formatCode="_(#,##0.0&quot;%&quot;_);_(\(#,##0.0&quot;%&quot;\)_);_(#,##0.0&quot;%&quot;_)"/>
    <numFmt numFmtId="208" formatCode="#,##0.0"/>
    <numFmt numFmtId="209" formatCode="0.0\x"/>
    <numFmt numFmtId="210" formatCode="#0.0\x"/>
    <numFmt numFmtId="211" formatCode="&quot;$&quot;_(#,##0.00_);&quot;$&quot;\(#,##0.00\);&quot;$&quot;_(0.00_);@_)"/>
    <numFmt numFmtId="212" formatCode="&quot;$&quot;#,##0.0_);\(&quot;$&quot;#,##0.0\)"/>
    <numFmt numFmtId="213" formatCode="0.000000"/>
    <numFmt numFmtId="214" formatCode="0.0&quot;%&quot;"/>
    <numFmt numFmtId="215" formatCode="#,##0.00_%_);\(#,##0.00\)_%;#,##0.00_%_);@_%_)"/>
    <numFmt numFmtId="216" formatCode="0.0&quot;%&quot;;[Red]0.0&quot;%&quot;;&quot;--&quot;;&quot;--&quot;"/>
    <numFmt numFmtId="217" formatCode="0\x"/>
    <numFmt numFmtId="218" formatCode="0%;\(0%\)"/>
    <numFmt numFmtId="219" formatCode="\+&quot;$&quot;0;\-&quot;$&quot;0"/>
    <numFmt numFmtId="220" formatCode="\+0;\-0"/>
    <numFmt numFmtId="221" formatCode="\+0.0%;\-0.0%"/>
    <numFmt numFmtId="222" formatCode="0_);\(0\)"/>
    <numFmt numFmtId="223" formatCode="_-* #,##0.00\ _€_-;\-* #,##0.00\ _€_-;_-* &quot;-&quot;??\ _€_-;_-@_-"/>
    <numFmt numFmtId="224" formatCode="_(* #,##0_);_(* \(#,##0\);_(* &quot;-&quot;??_);_(@_)"/>
    <numFmt numFmtId="225" formatCode="&quot;$&quot;#,##0.0;\(&quot;$&quot;#,##0.0\)"/>
    <numFmt numFmtId="226" formatCode="\£\ #,##0_);[Red]\(\£\ #,##0\)"/>
    <numFmt numFmtId="227" formatCode="\¥\ #,##0_);[Red]\(\¥\ #,##0\)"/>
    <numFmt numFmtId="228" formatCode="General_)"/>
    <numFmt numFmtId="229" formatCode="_(* #,##0.0_);_(* \(#,##0.0\);_(* &quot;--- &quot;_)"/>
    <numFmt numFmtId="230" formatCode="m/yy"/>
    <numFmt numFmtId="231" formatCode="\•\ \ @"/>
    <numFmt numFmtId="232" formatCode="_(* #,##0.00000_);_(* \(#,##0.00000\);_(* &quot;-&quot;??_);_(@_)"/>
    <numFmt numFmtId="233" formatCode="0.000_)"/>
    <numFmt numFmtId="234" formatCode="&quot;$&quot;#,##0;[Red]&quot;$&quot;#,##0"/>
    <numFmt numFmtId="235" formatCode="0.0000%"/>
    <numFmt numFmtId="236" formatCode="&quot;$&quot;#,##0\ ;\(&quot;$&quot;#,##0\)"/>
    <numFmt numFmtId="237" formatCode="&quot;£&quot;#,##0.00;[Red]\-&quot;£&quot;#,##0.00"/>
    <numFmt numFmtId="238" formatCode="\ \ _•\–\ \ \ \ @"/>
    <numFmt numFmtId="239" formatCode="m/d/yy&quot; E&quot;"/>
    <numFmt numFmtId="240" formatCode="#,##0.0;\(###0.0\)"/>
    <numFmt numFmtId="241" formatCode="\$0.00;\(\$0.00\)"/>
    <numFmt numFmtId="242" formatCode="_(&quot;$&quot;* #,##0_);_(&quot;$&quot;* \(#,##0\);_(&quot;$&quot;* &quot;-&quot;??_);_(@_)"/>
    <numFmt numFmtId="243" formatCode="mmm\-yyyy"/>
    <numFmt numFmtId="244" formatCode="0.0\x;&quot;NM &quot;"/>
    <numFmt numFmtId="245" formatCode="_-* #,##0.00_-;[Red]\ \(#,##0.00\);_-* &quot;-&quot;??_-;_-@_-"/>
    <numFmt numFmtId="246" formatCode="_(* #,##0.0_);_(* \(#,##0.0\);_(* &quot;-&quot;?_);_(@_)"/>
    <numFmt numFmtId="247" formatCode="#,##0.0\x;\(#,##0.0\)\x"/>
    <numFmt numFmtId="248" formatCode="_(&quot;$&quot;* #,##0.0_);_(&quot;$&quot;* \(#,##0.0\);_(&quot;$&quot;* &quot;-&quot;??_);_(@_)"/>
    <numFmt numFmtId="249" formatCode="_(* #,##0.0000_);_(* \(#,##0.0000\);_(* &quot;-&quot;??_);_(@_)"/>
    <numFmt numFmtId="250" formatCode="#,##0_);\(#,##0\);0_)"/>
    <numFmt numFmtId="251" formatCode="0.00000000000000000%"/>
    <numFmt numFmtId="252" formatCode="_(* #,##0.0_);_(* \(#,##0.0\);_(* &quot;-&quot;??_);_(@_)"/>
    <numFmt numFmtId="253" formatCode="#,##0.0_);\(#,##0.0\);&quot;-&quot;;&quot;-&quot;"/>
    <numFmt numFmtId="254" formatCode="_(* #,##0.00_);_(* \(#,##0.00\)_)\ ;_(* 0.0_)"/>
    <numFmt numFmtId="255" formatCode="#,##0_);\(#,##0\);\ \-\ \-\ "/>
    <numFmt numFmtId="256" formatCode="&quot;$&quot;#,##0.00_);\(&quot;$&quot;#,##0.00\);\ \-\ \-\ "/>
    <numFmt numFmtId="257" formatCode="#,##0.0%_);\(#,##0.0%\);\ \-\ \-\ "/>
    <numFmt numFmtId="258" formatCode="#,##0.0\x_);\(#,##0.0\x\);\ \-\ \-\ "/>
    <numFmt numFmtId="259" formatCode="&quot;$&quot;#,##0_);\(&quot;$&quot;#,##0\);\ \-\ \-\ "/>
    <numFmt numFmtId="260" formatCode="#,##0.0_);\(#,##0.0\);\ \-\ \-\ "/>
    <numFmt numFmtId="261" formatCode="&quot;$&quot;#,##0.0_);\(&quot;$&quot;#,##0.0\);\ \-\ \-\ "/>
    <numFmt numFmtId="262" formatCode="#,##0.00%_);\(#,##0.00%\);\ \-\ \-\ "/>
    <numFmt numFmtId="263" formatCode="#,##0%_);\(#,##0%\);\ \-\ \-\ "/>
    <numFmt numFmtId="264" formatCode="#,##0.00_);\(#,##0.00\);\ \-\ \-\ "/>
    <numFmt numFmtId="265" formatCode="#,##0.000%_);\(#,##0.000%\);\ \-\ \-\ "/>
  </numFmts>
  <fonts count="26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1"/>
      <color indexed="9"/>
      <name val="Symbol"/>
      <family val="1"/>
      <charset val="2"/>
    </font>
    <font>
      <sz val="10"/>
      <color indexed="8"/>
      <name val="Arial"/>
      <family val="2"/>
    </font>
    <font>
      <b/>
      <sz val="8"/>
      <name val="Arial"/>
      <family val="2"/>
    </font>
    <font>
      <sz val="10"/>
      <name val="Arial"/>
      <family val="2"/>
    </font>
    <font>
      <sz val="10"/>
      <color indexed="8"/>
      <name val="Arial"/>
      <family val="2"/>
    </font>
    <font>
      <sz val="8"/>
      <color indexed="9"/>
      <name val="Arial"/>
      <family val="2"/>
    </font>
    <font>
      <b/>
      <sz val="10"/>
      <name val="Arial"/>
      <family val="2"/>
    </font>
    <font>
      <sz val="11"/>
      <color indexed="8"/>
      <name val="Calibri"/>
      <family val="2"/>
    </font>
    <font>
      <u/>
      <sz val="10"/>
      <color indexed="12"/>
      <name val="Arial"/>
      <family val="2"/>
    </font>
    <font>
      <b/>
      <sz val="11"/>
      <name val="Times New Roman"/>
      <family val="1"/>
    </font>
    <font>
      <sz val="10"/>
      <name val="Times New Roman"/>
      <family val="1"/>
    </font>
    <font>
      <sz val="9"/>
      <name val="Times New Roman"/>
      <family val="1"/>
    </font>
    <font>
      <b/>
      <sz val="10"/>
      <name val="Times New Roman"/>
      <family val="1"/>
    </font>
    <font>
      <b/>
      <sz val="9"/>
      <name val="Times New Roman"/>
      <family val="1"/>
    </font>
    <font>
      <b/>
      <sz val="10"/>
      <color indexed="8"/>
      <name val="Times New Roman"/>
      <family val="1"/>
    </font>
    <font>
      <sz val="12"/>
      <name val="Times New Roman"/>
      <family val="1"/>
    </font>
    <font>
      <b/>
      <i/>
      <sz val="16"/>
      <name val="Helv"/>
    </font>
    <font>
      <sz val="11"/>
      <color indexed="8"/>
      <name val="Calibri"/>
      <family val="2"/>
    </font>
    <font>
      <sz val="11"/>
      <color indexed="9"/>
      <name val="Calibri"/>
      <family val="2"/>
    </font>
    <font>
      <b/>
      <sz val="18"/>
      <color indexed="62"/>
      <name val="Cambria"/>
      <family val="2"/>
    </font>
    <font>
      <sz val="10"/>
      <name val="Courier"/>
      <family val="3"/>
    </font>
    <font>
      <sz val="2"/>
      <color indexed="9"/>
      <name val="Symbol"/>
      <family val="1"/>
      <charset val="2"/>
    </font>
    <font>
      <b/>
      <sz val="14"/>
      <name val="Times New Roman"/>
      <family val="1"/>
    </font>
    <font>
      <sz val="10"/>
      <color indexed="8"/>
      <name val="MS Sans Serif"/>
      <family val="2"/>
    </font>
    <font>
      <sz val="9"/>
      <color indexed="8"/>
      <name val="Times New Roman"/>
      <family val="1"/>
    </font>
    <font>
      <b/>
      <sz val="11"/>
      <color indexed="52"/>
      <name val="Calibri"/>
      <family val="2"/>
    </font>
    <font>
      <b/>
      <sz val="11"/>
      <color indexed="9"/>
      <name val="Calibri"/>
      <family val="2"/>
    </font>
    <font>
      <sz val="8"/>
      <name val="Palatino"/>
      <family val="1"/>
    </font>
    <font>
      <sz val="24"/>
      <name val="Arial"/>
      <family val="2"/>
    </font>
    <font>
      <b/>
      <sz val="24"/>
      <name val="Times New Roman"/>
      <family val="1"/>
    </font>
    <font>
      <sz val="7"/>
      <name val="Palatino"/>
      <family val="1"/>
    </font>
    <font>
      <b/>
      <sz val="8.5"/>
      <color indexed="17"/>
      <name val="Arial"/>
      <family val="2"/>
    </font>
    <font>
      <sz val="7"/>
      <name val="Arial"/>
      <family val="2"/>
    </font>
    <font>
      <b/>
      <sz val="7"/>
      <color indexed="17"/>
      <name val="Arial"/>
      <family val="2"/>
    </font>
    <font>
      <sz val="8.5"/>
      <color indexed="8"/>
      <name val="Arial"/>
      <family val="2"/>
    </font>
    <font>
      <sz val="6"/>
      <color indexed="16"/>
      <name val="Palatino"/>
      <family val="1"/>
    </font>
    <font>
      <b/>
      <sz val="15"/>
      <color indexed="56"/>
      <name val="Calibri"/>
      <family val="2"/>
    </font>
    <font>
      <sz val="18"/>
      <name val="Helvetica-Black"/>
    </font>
    <font>
      <i/>
      <sz val="14"/>
      <name val="Palatino"/>
      <family val="1"/>
    </font>
    <font>
      <b/>
      <sz val="11"/>
      <color indexed="56"/>
      <name val="Calibri"/>
      <family val="2"/>
    </font>
    <font>
      <b/>
      <sz val="12"/>
      <name val="Arial"/>
      <family val="2"/>
    </font>
    <font>
      <sz val="9"/>
      <color indexed="12"/>
      <name val="Times New Roman"/>
      <family val="1"/>
    </font>
    <font>
      <sz val="10"/>
      <name val="MS Sans Serif"/>
      <family val="2"/>
    </font>
    <font>
      <b/>
      <sz val="14"/>
      <name val="Arial"/>
      <family val="2"/>
    </font>
    <font>
      <sz val="8"/>
      <color indexed="9"/>
      <name val="Arial"/>
      <family val="2"/>
    </font>
    <font>
      <i/>
      <sz val="10"/>
      <name val="Helv"/>
    </font>
    <font>
      <sz val="8"/>
      <name val="Helv"/>
    </font>
    <font>
      <b/>
      <sz val="11"/>
      <color indexed="63"/>
      <name val="Calibri"/>
      <family val="2"/>
    </font>
    <font>
      <sz val="10"/>
      <color indexed="16"/>
      <name val="Helvetica-Black"/>
    </font>
    <font>
      <sz val="12"/>
      <name val="Helvetica"/>
      <family val="2"/>
    </font>
    <font>
      <sz val="10"/>
      <color indexed="23"/>
      <name val="MS Sans Serif"/>
      <family val="2"/>
    </font>
    <font>
      <b/>
      <sz val="12"/>
      <name val="MS Sans Serif"/>
      <family val="2"/>
    </font>
    <font>
      <b/>
      <sz val="10.5"/>
      <color indexed="8"/>
      <name val="Arial"/>
      <family val="2"/>
    </font>
    <font>
      <b/>
      <sz val="8"/>
      <name val="HelveticaNeue Condensed"/>
    </font>
    <font>
      <sz val="8"/>
      <name val="HelveticaNeue LightCond"/>
      <family val="2"/>
    </font>
    <font>
      <b/>
      <sz val="7"/>
      <name val="HelveticaNeue Condensed"/>
      <family val="2"/>
    </font>
    <font>
      <b/>
      <sz val="9"/>
      <name val="Palatino"/>
      <family val="1"/>
    </font>
    <font>
      <sz val="9"/>
      <color indexed="21"/>
      <name val="Helvetica-Black"/>
    </font>
    <font>
      <b/>
      <sz val="8.5"/>
      <color indexed="8"/>
      <name val="Arial"/>
      <family val="2"/>
    </font>
    <font>
      <sz val="9"/>
      <name val="Helvetica-Black"/>
    </font>
    <font>
      <sz val="8"/>
      <name val="Helvetica-Narrow"/>
      <family val="2"/>
    </font>
    <font>
      <b/>
      <sz val="7"/>
      <name val="Helvetica-Narrow"/>
      <family val="2"/>
    </font>
    <font>
      <b/>
      <sz val="18"/>
      <color indexed="56"/>
      <name val="Cambria"/>
      <family val="2"/>
    </font>
    <font>
      <b/>
      <sz val="11"/>
      <color indexed="9"/>
      <name val="GillSans"/>
      <family val="2"/>
    </font>
    <font>
      <b/>
      <sz val="11"/>
      <name val="GillSans"/>
      <family val="2"/>
    </font>
    <font>
      <sz val="11"/>
      <color indexed="20"/>
      <name val="Calibri"/>
      <family val="2"/>
    </font>
    <font>
      <sz val="11"/>
      <color indexed="17"/>
      <name val="Calibri"/>
      <family val="2"/>
    </font>
    <font>
      <b/>
      <sz val="15"/>
      <color indexed="63"/>
      <name val="Calibri"/>
      <family val="2"/>
    </font>
    <font>
      <b/>
      <sz val="11"/>
      <color indexed="63"/>
      <name val="Calibri"/>
      <family val="2"/>
    </font>
    <font>
      <sz val="11"/>
      <color indexed="54"/>
      <name val="Calibri"/>
      <family val="2"/>
    </font>
    <font>
      <sz val="11"/>
      <color indexed="52"/>
      <name val="Calibri"/>
      <family val="2"/>
    </font>
    <font>
      <b/>
      <sz val="11"/>
      <color indexed="8"/>
      <name val="Calibri"/>
      <family val="2"/>
    </font>
    <font>
      <sz val="8"/>
      <color indexed="12"/>
      <name val="Tms Rmn"/>
    </font>
    <font>
      <sz val="10"/>
      <name val="Tms Rmn"/>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name val="Calibri"/>
      <family val="2"/>
    </font>
    <font>
      <sz val="11"/>
      <color indexed="8"/>
      <name val="Calibri"/>
      <family val="2"/>
    </font>
    <font>
      <sz val="11"/>
      <color indexed="19"/>
      <name val="Calibri"/>
      <family val="2"/>
    </font>
    <font>
      <b/>
      <sz val="11"/>
      <color indexed="63"/>
      <name val="Calibri"/>
      <family val="2"/>
    </font>
    <font>
      <i/>
      <sz val="11"/>
      <color indexed="23"/>
      <name val="Calibri"/>
      <family val="2"/>
    </font>
    <font>
      <b/>
      <sz val="15"/>
      <color indexed="49"/>
      <name val="Calibri"/>
      <family val="2"/>
    </font>
    <font>
      <b/>
      <sz val="13"/>
      <color indexed="49"/>
      <name val="Calibri"/>
      <family val="2"/>
    </font>
    <font>
      <b/>
      <sz val="11"/>
      <color indexed="49"/>
      <name val="Calibri"/>
      <family val="2"/>
    </font>
    <font>
      <sz val="11"/>
      <color indexed="60"/>
      <name val="Calibri"/>
      <family val="2"/>
    </font>
    <font>
      <b/>
      <sz val="18"/>
      <color indexed="49"/>
      <name val="Cambria"/>
      <family val="2"/>
    </font>
    <font>
      <sz val="11"/>
      <color indexed="10"/>
      <name val="Calibri"/>
      <family val="2"/>
    </font>
    <font>
      <sz val="11"/>
      <color indexed="8"/>
      <name val="Calibri"/>
      <family val="2"/>
    </font>
    <font>
      <b/>
      <sz val="15"/>
      <color indexed="63"/>
      <name val="Calibri"/>
      <family val="2"/>
    </font>
    <font>
      <b/>
      <sz val="11"/>
      <color indexed="63"/>
      <name val="Calibri"/>
      <family val="2"/>
    </font>
    <font>
      <b/>
      <sz val="11"/>
      <color indexed="8"/>
      <name val="Calibri"/>
      <family val="2"/>
    </font>
    <font>
      <sz val="11"/>
      <name val="Frutiger 45 Light"/>
    </font>
    <font>
      <b/>
      <sz val="15"/>
      <color indexed="63"/>
      <name val="Calibri"/>
      <family val="2"/>
    </font>
    <font>
      <b/>
      <sz val="11"/>
      <color indexed="63"/>
      <name val="Calibri"/>
      <family val="2"/>
    </font>
    <font>
      <b/>
      <sz val="11"/>
      <color indexed="8"/>
      <name val="Calibri"/>
      <family val="2"/>
    </font>
    <font>
      <b/>
      <sz val="18"/>
      <color indexed="63"/>
      <name val="Cambria"/>
      <family val="2"/>
    </font>
    <font>
      <b/>
      <sz val="9"/>
      <name val="Arial"/>
      <family val="2"/>
    </font>
    <font>
      <sz val="11"/>
      <name val="Calibri"/>
      <family val="2"/>
    </font>
    <font>
      <sz val="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1"/>
      <color indexed="20"/>
      <name val="Calibri"/>
      <family val="2"/>
      <scheme val="minor"/>
    </font>
    <font>
      <b/>
      <sz val="11"/>
      <color rgb="FFFA7D00"/>
      <name val="Calibri"/>
      <family val="2"/>
      <scheme val="minor"/>
    </font>
    <font>
      <b/>
      <sz val="11"/>
      <color indexed="52"/>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3"/>
      <name val="Calibri"/>
      <family val="2"/>
      <scheme val="minor"/>
    </font>
    <font>
      <u/>
      <sz val="9.35"/>
      <color theme="10"/>
      <name val="Calibri"/>
      <family val="2"/>
    </font>
    <font>
      <sz val="11"/>
      <color indexed="54"/>
      <name val="Calibri"/>
      <family val="2"/>
      <scheme val="minor"/>
    </font>
    <font>
      <sz val="11"/>
      <color indexed="62"/>
      <name val="Calibri"/>
      <family val="2"/>
      <scheme val="minor"/>
    </font>
    <font>
      <sz val="11"/>
      <color rgb="FFFA7D00"/>
      <name val="Calibri"/>
      <family val="2"/>
      <scheme val="minor"/>
    </font>
    <font>
      <sz val="11"/>
      <color indexed="19"/>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1"/>
      <color theme="0"/>
      <name val="Calibri"/>
      <family val="2"/>
    </font>
    <font>
      <sz val="11"/>
      <color rgb="FFFF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F0000"/>
      <name val="Calibri"/>
      <family val="2"/>
    </font>
    <font>
      <b/>
      <sz val="11"/>
      <color rgb="FF00B050"/>
      <name val="Calibri"/>
      <family val="2"/>
    </font>
    <font>
      <b/>
      <sz val="11"/>
      <color theme="6" tint="-0.249977111117893"/>
      <name val="Calibri"/>
      <family val="2"/>
    </font>
    <font>
      <sz val="11"/>
      <color indexed="18"/>
      <name val="Calibri"/>
      <family val="2"/>
    </font>
    <font>
      <sz val="11"/>
      <color indexed="49"/>
      <name val="Calibri"/>
      <family val="2"/>
    </font>
    <font>
      <u/>
      <sz val="11"/>
      <color indexed="12"/>
      <name val="Calibri"/>
      <family val="2"/>
    </font>
    <font>
      <b/>
      <sz val="11"/>
      <color rgb="FFFFFFFF"/>
      <name val="Calibri"/>
      <family val="2"/>
    </font>
    <font>
      <b/>
      <sz val="11"/>
      <color rgb="FF000000"/>
      <name val="Calibri"/>
      <family val="2"/>
    </font>
    <font>
      <b/>
      <sz val="12"/>
      <name val="tms rmn"/>
    </font>
    <font>
      <sz val="8"/>
      <name val="Times New Roman"/>
      <family val="1"/>
    </font>
    <font>
      <b/>
      <i/>
      <sz val="9"/>
      <name val="Arial"/>
      <family val="2"/>
    </font>
    <font>
      <b/>
      <i/>
      <sz val="8"/>
      <name val="Arial"/>
      <family val="2"/>
    </font>
    <font>
      <b/>
      <sz val="8"/>
      <name val="Book Antiqua"/>
      <family val="1"/>
    </font>
    <font>
      <sz val="11"/>
      <color indexed="12"/>
      <name val="Book Antiqua"/>
      <family val="1"/>
    </font>
    <font>
      <sz val="8"/>
      <name val="Palatino"/>
      <family val="1"/>
    </font>
    <font>
      <b/>
      <sz val="10"/>
      <color indexed="42"/>
      <name val="Arial"/>
      <family val="2"/>
    </font>
    <font>
      <b/>
      <sz val="8"/>
      <name val="Palatino"/>
      <family val="1"/>
    </font>
    <font>
      <b/>
      <sz val="10"/>
      <name val="Palatino"/>
      <family val="1"/>
    </font>
    <font>
      <sz val="8"/>
      <name val="Book Antiqua"/>
      <family val="1"/>
    </font>
    <font>
      <sz val="12"/>
      <name val="Arial MT"/>
    </font>
    <font>
      <b/>
      <u/>
      <sz val="9"/>
      <name val="Arial"/>
      <family val="2"/>
    </font>
    <font>
      <b/>
      <sz val="7"/>
      <name val="Arial"/>
      <family val="2"/>
    </font>
    <font>
      <sz val="11"/>
      <color indexed="62"/>
      <name val="Calibri"/>
      <family val="2"/>
    </font>
    <font>
      <sz val="18"/>
      <color theme="3"/>
      <name val="Cambria"/>
      <family val="2"/>
      <scheme val="major"/>
    </font>
    <font>
      <b/>
      <sz val="11"/>
      <color rgb="FFFFFFFF"/>
      <name val="Calibri"/>
      <family val="2"/>
      <scheme val="minor"/>
    </font>
    <font>
      <b/>
      <u/>
      <sz val="11"/>
      <color rgb="FFFFFFFF"/>
      <name val="Calibri"/>
      <family val="2"/>
      <scheme val="minor"/>
    </font>
    <font>
      <b/>
      <sz val="10"/>
      <color rgb="FFFFFFFF"/>
      <name val="Calibri"/>
      <family val="2"/>
      <scheme val="minor"/>
    </font>
    <font>
      <sz val="8"/>
      <color indexed="12"/>
      <name val="Arial"/>
      <family val="2"/>
    </font>
    <font>
      <sz val="8"/>
      <name val="Tms Rmn"/>
    </font>
    <font>
      <sz val="11"/>
      <name val="‚l‚r ƒSƒVƒbƒN"/>
      <charset val="128"/>
    </font>
    <font>
      <i/>
      <sz val="11"/>
      <name val="Helvetica-Black"/>
      <family val="2"/>
    </font>
    <font>
      <sz val="11"/>
      <name val="Arial"/>
      <family val="2"/>
    </font>
    <font>
      <i/>
      <sz val="8"/>
      <color indexed="16"/>
      <name val="Arial"/>
      <family val="2"/>
    </font>
    <font>
      <i/>
      <sz val="8"/>
      <color indexed="54"/>
      <name val="Arial"/>
      <family val="2"/>
    </font>
    <font>
      <i/>
      <sz val="9"/>
      <color indexed="16"/>
      <name val="Arial"/>
      <family val="2"/>
    </font>
    <font>
      <b/>
      <sz val="11"/>
      <name val="Arial"/>
      <family val="2"/>
    </font>
    <font>
      <sz val="9"/>
      <name val="Arial"/>
      <family val="2"/>
    </font>
    <font>
      <b/>
      <sz val="9"/>
      <name val="Helvetica 65"/>
      <family val="2"/>
    </font>
    <font>
      <sz val="11"/>
      <color indexed="36"/>
      <name val="Calibri"/>
      <family val="2"/>
    </font>
    <font>
      <sz val="8"/>
      <color indexed="13"/>
      <name val="Arial"/>
      <family val="2"/>
    </font>
    <font>
      <sz val="9"/>
      <color indexed="9"/>
      <name val="Times New Roman"/>
      <family val="1"/>
    </font>
    <font>
      <b/>
      <sz val="12"/>
      <name val="Times New Roman"/>
      <family val="1"/>
    </font>
    <font>
      <sz val="10"/>
      <name val="Letter Gothic"/>
      <family val="3"/>
    </font>
    <font>
      <sz val="12"/>
      <name val="¹ÙÅÁÃ¼"/>
      <family val="1"/>
      <charset val="129"/>
    </font>
    <font>
      <b/>
      <sz val="11"/>
      <color indexed="43"/>
      <name val="Calibri"/>
      <family val="2"/>
    </font>
    <font>
      <b/>
      <sz val="10"/>
      <name val="Helv"/>
    </font>
    <font>
      <sz val="10"/>
      <name val="Book Antiqua"/>
      <family val="1"/>
    </font>
    <font>
      <sz val="10"/>
      <color indexed="18"/>
      <name val="Times New Roman"/>
      <family val="1"/>
    </font>
    <font>
      <sz val="11"/>
      <name val="Tms Rmn"/>
      <family val="1"/>
    </font>
    <font>
      <i/>
      <sz val="9"/>
      <name val="MS Sans Serif"/>
      <family val="2"/>
    </font>
    <font>
      <sz val="9"/>
      <name val="Helvetica 45"/>
      <family val="2"/>
    </font>
    <font>
      <sz val="10"/>
      <name val="Arial Narrow"/>
      <family val="2"/>
    </font>
    <font>
      <sz val="14"/>
      <color indexed="32"/>
      <name val="Times New Roman"/>
      <family val="1"/>
    </font>
    <font>
      <sz val="12"/>
      <name val="Arial"/>
      <family val="2"/>
    </font>
    <font>
      <b/>
      <sz val="10"/>
      <color indexed="17"/>
      <name val="Helvetica"/>
      <family val="2"/>
    </font>
    <font>
      <sz val="9"/>
      <name val="Futura UBS Bk"/>
      <family val="2"/>
    </font>
    <font>
      <b/>
      <sz val="12"/>
      <name val="Helv"/>
    </font>
    <font>
      <b/>
      <sz val="15"/>
      <color indexed="62"/>
      <name val="Calibri"/>
      <family val="2"/>
    </font>
    <font>
      <b/>
      <sz val="18"/>
      <name val="Arial"/>
      <family val="2"/>
    </font>
    <font>
      <b/>
      <sz val="13"/>
      <color indexed="62"/>
      <name val="Calibri"/>
      <family val="2"/>
    </font>
    <font>
      <b/>
      <sz val="11"/>
      <color indexed="62"/>
      <name val="Calibri"/>
      <family val="2"/>
    </font>
    <font>
      <sz val="10"/>
      <color indexed="10"/>
      <name val="Times New Roman"/>
      <family val="1"/>
    </font>
    <font>
      <sz val="10"/>
      <color indexed="12"/>
      <name val="Times New Roman"/>
      <family val="1"/>
    </font>
    <font>
      <sz val="11"/>
      <color indexed="43"/>
      <name val="Calibri"/>
      <family val="2"/>
    </font>
    <font>
      <b/>
      <sz val="11"/>
      <name val="Helv"/>
    </font>
    <font>
      <sz val="7"/>
      <name val="Small Fonts"/>
      <family val="2"/>
    </font>
    <font>
      <sz val="10"/>
      <name val="Palatino"/>
      <family val="1"/>
    </font>
    <font>
      <sz val="11"/>
      <name val="‚l‚r –¾’©"/>
      <charset val="128"/>
    </font>
    <font>
      <b/>
      <sz val="13.5"/>
      <name val="MS Sans Serif"/>
      <family val="2"/>
    </font>
    <font>
      <sz val="8"/>
      <color indexed="32"/>
      <name val="Arial"/>
      <family val="2"/>
    </font>
    <font>
      <b/>
      <sz val="10"/>
      <name val="MS Sans Serif"/>
      <family val="2"/>
    </font>
    <font>
      <sz val="8"/>
      <color indexed="12"/>
      <name val="Helvetica"/>
      <family val="2"/>
    </font>
    <font>
      <sz val="9.5"/>
      <color indexed="23"/>
      <name val="Helvetica-Black"/>
    </font>
    <font>
      <sz val="11"/>
      <color theme="3"/>
      <name val="Calibri"/>
      <family val="2"/>
    </font>
    <font>
      <b/>
      <sz val="11"/>
      <color theme="3"/>
      <name val="Calibri"/>
      <family val="2"/>
    </font>
    <font>
      <b/>
      <sz val="11"/>
      <name val="Calibri"/>
      <family val="2"/>
      <scheme val="minor"/>
    </font>
    <font>
      <b/>
      <sz val="10"/>
      <color theme="0"/>
      <name val="Calibri"/>
      <family val="2"/>
      <scheme val="minor"/>
    </font>
    <font>
      <sz val="11"/>
      <name val="Calibri"/>
      <family val="2"/>
      <scheme val="minor"/>
    </font>
    <font>
      <b/>
      <sz val="11"/>
      <color rgb="FF00B050"/>
      <name val="Calibri"/>
      <family val="2"/>
      <scheme val="minor"/>
    </font>
    <font>
      <sz val="11"/>
      <color indexed="9"/>
      <name val="Calibri"/>
      <family val="2"/>
      <scheme val="minor"/>
    </font>
    <font>
      <b/>
      <sz val="11"/>
      <color indexed="8"/>
      <name val="Calibri"/>
      <family val="2"/>
      <scheme val="minor"/>
    </font>
    <font>
      <sz val="11"/>
      <color indexed="8"/>
      <name val="Calibri"/>
      <family val="2"/>
      <scheme val="minor"/>
    </font>
    <font>
      <sz val="11"/>
      <color indexed="18"/>
      <name val="Calibri"/>
      <family val="2"/>
      <scheme val="minor"/>
    </font>
    <font>
      <sz val="11"/>
      <color theme="3"/>
      <name val="Calibri"/>
      <family val="2"/>
      <scheme val="minor"/>
    </font>
    <font>
      <sz val="11"/>
      <color indexed="49"/>
      <name val="Calibri"/>
      <family val="2"/>
      <scheme val="minor"/>
    </font>
    <font>
      <b/>
      <i/>
      <sz val="11"/>
      <name val="Calibri"/>
      <family val="2"/>
    </font>
    <font>
      <i/>
      <sz val="11"/>
      <name val="Calibri"/>
      <family val="2"/>
    </font>
    <font>
      <b/>
      <i/>
      <sz val="10"/>
      <color rgb="FFFFFFFF"/>
      <name val="Calibri"/>
      <family val="2"/>
      <scheme val="minor"/>
    </font>
    <font>
      <i/>
      <sz val="11"/>
      <color indexed="8"/>
      <name val="Calibri"/>
      <family val="2"/>
    </font>
    <font>
      <b/>
      <sz val="11"/>
      <color indexed="17"/>
      <name val="Calibri"/>
      <family val="2"/>
    </font>
    <font>
      <i/>
      <sz val="11"/>
      <color theme="3"/>
      <name val="Calibri"/>
      <family val="2"/>
    </font>
    <font>
      <b/>
      <u/>
      <sz val="11"/>
      <color theme="0"/>
      <name val="Calibri"/>
      <family val="2"/>
      <scheme val="minor"/>
    </font>
    <font>
      <b/>
      <sz val="11"/>
      <color rgb="FF1F497D"/>
      <name val="Calibri"/>
      <family val="2"/>
      <scheme val="minor"/>
    </font>
    <font>
      <b/>
      <sz val="11"/>
      <color rgb="FF000000"/>
      <name val="Calibri"/>
      <family val="2"/>
      <scheme val="minor"/>
    </font>
    <font>
      <sz val="11"/>
      <color rgb="FF008000"/>
      <name val="Calibri"/>
      <family val="2"/>
      <scheme val="minor"/>
    </font>
    <font>
      <sz val="11"/>
      <color rgb="FF0000FF"/>
      <name val="Calibri"/>
      <family val="2"/>
      <scheme val="minor"/>
    </font>
    <font>
      <sz val="11"/>
      <color rgb="FF000000"/>
      <name val="Calibri"/>
      <family val="2"/>
      <scheme val="minor"/>
    </font>
    <font>
      <b/>
      <u val="singleAccounting"/>
      <sz val="11"/>
      <color theme="1"/>
      <name val="Calibri"/>
      <family val="2"/>
      <scheme val="minor"/>
    </font>
    <font>
      <b/>
      <u/>
      <sz val="11"/>
      <color theme="1"/>
      <name val="Calibri"/>
      <family val="2"/>
      <scheme val="minor"/>
    </font>
    <font>
      <b/>
      <sz val="9"/>
      <name val="Calibri"/>
      <family val="2"/>
      <scheme val="minor"/>
    </font>
    <font>
      <b/>
      <sz val="8"/>
      <name val="Calibri"/>
      <family val="2"/>
      <scheme val="minor"/>
    </font>
    <font>
      <b/>
      <sz val="11"/>
      <color rgb="FF0000FF"/>
      <name val="Calibri"/>
      <family val="2"/>
      <scheme val="minor"/>
    </font>
    <font>
      <b/>
      <sz val="11"/>
      <color rgb="FF008000"/>
      <name val="Calibri"/>
      <family val="2"/>
      <scheme val="minor"/>
    </font>
    <font>
      <sz val="10"/>
      <name val="Calibri"/>
      <family val="2"/>
      <scheme val="minor"/>
    </font>
    <font>
      <b/>
      <sz val="10"/>
      <name val="Calibri"/>
      <family val="2"/>
      <scheme val="minor"/>
    </font>
    <font>
      <i/>
      <sz val="11"/>
      <name val="Calibri"/>
      <family val="2"/>
      <scheme val="minor"/>
    </font>
    <font>
      <i/>
      <sz val="11"/>
      <color rgb="FF0000FF"/>
      <name val="Calibri"/>
      <family val="2"/>
      <scheme val="minor"/>
    </font>
    <font>
      <sz val="10"/>
      <color rgb="FF0000FF"/>
      <name val="Calibri"/>
      <family val="2"/>
      <scheme val="minor"/>
    </font>
    <font>
      <b/>
      <u/>
      <sz val="10"/>
      <color rgb="FFFFFFFF"/>
      <name val="Calibri"/>
      <family val="2"/>
      <scheme val="minor"/>
    </font>
    <font>
      <sz val="10"/>
      <color rgb="FF008000"/>
      <name val="Calibri"/>
      <family val="2"/>
      <scheme val="minor"/>
    </font>
    <font>
      <i/>
      <sz val="10"/>
      <name val="Calibri"/>
      <family val="2"/>
      <scheme val="minor"/>
    </font>
    <font>
      <i/>
      <sz val="10"/>
      <color rgb="FF0000FF"/>
      <name val="Calibri"/>
      <family val="2"/>
      <scheme val="minor"/>
    </font>
    <font>
      <b/>
      <sz val="10"/>
      <color rgb="FF0000FF"/>
      <name val="Calibri"/>
      <family val="2"/>
      <scheme val="minor"/>
    </font>
    <font>
      <sz val="8"/>
      <color rgb="FF0000FF"/>
      <name val="Arial"/>
      <family val="2"/>
    </font>
  </fonts>
  <fills count="122">
    <fill>
      <patternFill patternType="none"/>
    </fill>
    <fill>
      <patternFill patternType="gray125"/>
    </fill>
    <fill>
      <patternFill patternType="solid">
        <fgColor indexed="59"/>
      </patternFill>
    </fill>
    <fill>
      <patternFill patternType="solid">
        <fgColor indexed="31"/>
      </patternFill>
    </fill>
    <fill>
      <patternFill patternType="solid">
        <fgColor indexed="9"/>
      </patternFill>
    </fill>
    <fill>
      <patternFill patternType="solid">
        <fgColor indexed="62"/>
      </patternFill>
    </fill>
    <fill>
      <patternFill patternType="solid">
        <fgColor indexed="45"/>
      </patternFill>
    </fill>
    <fill>
      <patternFill patternType="solid">
        <fgColor indexed="47"/>
      </patternFill>
    </fill>
    <fill>
      <patternFill patternType="solid">
        <fgColor indexed="60"/>
      </patternFill>
    </fill>
    <fill>
      <patternFill patternType="solid">
        <fgColor indexed="42"/>
      </patternFill>
    </fill>
    <fill>
      <patternFill patternType="solid">
        <fgColor indexed="26"/>
      </patternFill>
    </fill>
    <fill>
      <patternFill patternType="solid">
        <fgColor indexed="46"/>
      </patternFill>
    </fill>
    <fill>
      <patternFill patternType="solid">
        <fgColor indexed="44"/>
      </patternFill>
    </fill>
    <fill>
      <patternFill patternType="solid">
        <fgColor indexed="27"/>
      </patternFill>
    </fill>
    <fill>
      <patternFill patternType="solid">
        <fgColor indexed="22"/>
      </patternFill>
    </fill>
    <fill>
      <patternFill patternType="solid">
        <fgColor indexed="29"/>
      </patternFill>
    </fill>
    <fill>
      <patternFill patternType="solid">
        <fgColor indexed="63"/>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13"/>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gray0625">
        <fgColor indexed="10"/>
        <bgColor indexed="9"/>
      </patternFill>
    </fill>
    <fill>
      <patternFill patternType="lightGray">
        <fgColor indexed="14"/>
        <bgColor indexed="9"/>
      </patternFill>
    </fill>
    <fill>
      <patternFill patternType="solid">
        <fgColor indexed="55"/>
      </patternFill>
    </fill>
    <fill>
      <patternFill patternType="solid">
        <fgColor indexed="60"/>
        <bgColor indexed="64"/>
      </patternFill>
    </fill>
    <fill>
      <patternFill patternType="lightGray">
        <fgColor indexed="12"/>
      </patternFill>
    </fill>
    <fill>
      <patternFill patternType="lightGray">
        <fgColor indexed="12"/>
        <bgColor indexed="9"/>
      </patternFill>
    </fill>
    <fill>
      <patternFill patternType="solid">
        <fgColor indexed="22"/>
        <bgColor indexed="64"/>
      </patternFill>
    </fill>
    <fill>
      <patternFill patternType="solid">
        <fgColor indexed="26"/>
        <bgColor indexed="64"/>
      </patternFill>
    </fill>
    <fill>
      <patternFill patternType="solid">
        <fgColor indexed="11"/>
        <bgColor indexed="9"/>
      </patternFill>
    </fill>
    <fill>
      <patternFill patternType="solid">
        <fgColor indexed="13"/>
        <bgColor indexed="64"/>
      </patternFill>
    </fill>
    <fill>
      <patternFill patternType="solid">
        <fgColor indexed="8"/>
        <bgColor indexed="64"/>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lightGray">
        <fgColor indexed="22"/>
        <bgColor indexed="9"/>
      </patternFill>
    </fill>
    <fill>
      <patternFill patternType="solid">
        <fgColor indexed="16"/>
        <bgColor indexed="64"/>
      </patternFill>
    </fill>
    <fill>
      <patternFill patternType="solid">
        <fgColor indexed="65"/>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8"/>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3"/>
        <bgColor indexed="64"/>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F497D"/>
        <bgColor indexed="64"/>
      </patternFill>
    </fill>
    <fill>
      <patternFill patternType="solid">
        <fgColor rgb="FFFCD5B4"/>
        <bgColor indexed="64"/>
      </patternFill>
    </fill>
    <fill>
      <patternFill patternType="solid">
        <fgColor rgb="FF4F81BD"/>
        <bgColor indexed="64"/>
      </patternFill>
    </fill>
    <fill>
      <patternFill patternType="lightGray">
        <fgColor indexed="13"/>
      </patternFill>
    </fill>
    <fill>
      <patternFill patternType="solid">
        <fgColor indexed="9"/>
        <bgColor indexed="64"/>
      </patternFill>
    </fill>
    <fill>
      <patternFill patternType="solid">
        <fgColor indexed="40"/>
      </patternFill>
    </fill>
    <fill>
      <patternFill patternType="solid">
        <fgColor indexed="61"/>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32"/>
        <bgColor indexed="64"/>
      </patternFill>
    </fill>
    <fill>
      <patternFill patternType="solid">
        <fgColor indexed="23"/>
      </patternFill>
    </fill>
    <fill>
      <patternFill patternType="solid">
        <fgColor indexed="35"/>
        <bgColor indexed="64"/>
      </patternFill>
    </fill>
    <fill>
      <patternFill patternType="mediumGray">
        <fgColor indexed="22"/>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patternFill patternType="solid">
        <fgColor rgb="FFCCECFF"/>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249977111117893"/>
        <bgColor indexed="64"/>
      </patternFill>
    </fill>
  </fills>
  <borders count="124">
    <border>
      <left/>
      <right/>
      <top/>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8"/>
      </left>
      <right style="double">
        <color indexed="8"/>
      </right>
      <top style="double">
        <color indexed="8"/>
      </top>
      <bottom style="double">
        <color indexed="8"/>
      </bottom>
      <diagonal/>
    </border>
    <border>
      <left style="double">
        <color indexed="63"/>
      </left>
      <right style="double">
        <color indexed="63"/>
      </right>
      <top style="double">
        <color indexed="63"/>
      </top>
      <bottom style="double">
        <color indexed="63"/>
      </bottom>
      <diagonal/>
    </border>
    <border>
      <left/>
      <right/>
      <top/>
      <bottom style="dotted">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bottom style="double">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right/>
      <top style="thin">
        <color indexed="64"/>
      </top>
      <bottom style="double">
        <color indexed="64"/>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style="thin">
        <color indexed="9"/>
      </bottom>
      <diagonal/>
    </border>
    <border>
      <left style="thin">
        <color indexed="8"/>
      </left>
      <right/>
      <top/>
      <bottom/>
      <diagonal/>
    </border>
    <border>
      <left/>
      <right/>
      <top style="thin">
        <color theme="4"/>
      </top>
      <bottom style="double">
        <color theme="4"/>
      </bottom>
      <diagonal/>
    </border>
    <border>
      <left style="thin">
        <color auto="1"/>
      </left>
      <right style="thin">
        <color auto="1"/>
      </right>
      <top/>
      <bottom style="thin">
        <color auto="1"/>
      </bottom>
      <diagonal/>
    </border>
    <border>
      <left/>
      <right/>
      <top/>
      <bottom style="thin">
        <color indexed="64"/>
      </bottom>
      <diagonal/>
    </border>
    <border>
      <left/>
      <right style="thin">
        <color indexed="8"/>
      </right>
      <top style="thin">
        <color indexed="8"/>
      </top>
      <bottom/>
      <diagonal/>
    </border>
    <border>
      <left style="thick">
        <color indexed="64"/>
      </left>
      <right style="thin">
        <color indexed="64"/>
      </right>
      <top/>
      <bottom/>
      <diagonal/>
    </border>
    <border>
      <left style="thin">
        <color indexed="8"/>
      </left>
      <right/>
      <top style="thin">
        <color indexed="8"/>
      </top>
      <bottom/>
      <diagonal/>
    </border>
    <border>
      <left/>
      <right/>
      <top/>
      <bottom style="thin">
        <color indexed="9"/>
      </bottom>
      <diagonal/>
    </border>
    <border>
      <left style="thin">
        <color indexed="8"/>
      </left>
      <right/>
      <top/>
      <bottom style="thin">
        <color indexed="9"/>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55"/>
      </left>
      <right style="thin">
        <color indexed="55"/>
      </right>
      <top style="thin">
        <color indexed="55"/>
      </top>
      <bottom style="thin">
        <color indexed="55"/>
      </bottom>
      <diagonal/>
    </border>
    <border>
      <left/>
      <right/>
      <top style="medium">
        <color indexed="23"/>
      </top>
      <bottom style="medium">
        <color indexed="23"/>
      </bottom>
      <diagonal/>
    </border>
    <border>
      <left/>
      <right/>
      <top style="thin">
        <color indexed="48"/>
      </top>
      <bottom style="double">
        <color indexed="48"/>
      </bottom>
      <diagonal/>
    </border>
    <border>
      <left style="thin">
        <color indexed="8"/>
      </left>
      <right style="thin">
        <color indexed="8"/>
      </right>
      <top/>
      <bottom style="thin">
        <color indexed="9"/>
      </bottom>
      <diagonal/>
    </border>
    <border>
      <left/>
      <right style="thin">
        <color indexed="8"/>
      </right>
      <top/>
      <bottom/>
      <diagonal/>
    </border>
    <border>
      <left/>
      <right/>
      <top style="thin">
        <color auto="1"/>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auto="1"/>
      </left>
      <right/>
      <top style="thin">
        <color auto="1"/>
      </top>
      <bottom/>
      <diagonal/>
    </border>
    <border>
      <left/>
      <right style="thin">
        <color auto="1"/>
      </right>
      <top style="thin">
        <color auto="1"/>
      </top>
      <bottom/>
      <diagonal/>
    </border>
    <border>
      <left/>
      <right/>
      <top style="thin">
        <color indexed="64"/>
      </top>
      <bottom style="thin">
        <color indexed="64"/>
      </bottom>
      <diagonal/>
    </border>
    <border>
      <left/>
      <right/>
      <top/>
      <bottom style="hair">
        <color auto="1"/>
      </bottom>
      <diagonal/>
    </border>
    <border>
      <left style="thin">
        <color auto="1"/>
      </left>
      <right style="thin">
        <color auto="1"/>
      </right>
      <top/>
      <bottom style="thin">
        <color auto="1"/>
      </bottom>
      <diagonal/>
    </border>
    <border>
      <left style="thin">
        <color auto="1"/>
      </left>
      <right/>
      <top/>
      <bottom/>
      <diagonal/>
    </border>
    <border>
      <left/>
      <right/>
      <top/>
      <bottom style="thin">
        <color indexed="64"/>
      </bottom>
      <diagonal/>
    </border>
    <border>
      <left style="thin">
        <color auto="1"/>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64"/>
      </right>
      <top style="thin">
        <color indexed="8"/>
      </top>
      <bottom style="thin">
        <color indexed="64"/>
      </bottom>
      <diagonal/>
    </border>
    <border>
      <left/>
      <right/>
      <top style="thin">
        <color indexed="8"/>
      </top>
      <bottom style="thin">
        <color indexed="64"/>
      </bottom>
      <diagonal/>
    </border>
    <border>
      <left style="thin">
        <color indexed="64"/>
      </left>
      <right style="thin">
        <color auto="1"/>
      </right>
      <top/>
      <bottom style="thin">
        <color auto="1"/>
      </bottom>
      <diagonal/>
    </border>
    <border>
      <left/>
      <right style="thin">
        <color indexed="64"/>
      </right>
      <top style="thin">
        <color indexed="8"/>
      </top>
      <bottom style="thin">
        <color indexed="64"/>
      </bottom>
      <diagonal/>
    </border>
    <border>
      <left/>
      <right/>
      <top style="thin">
        <color indexed="8"/>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top style="thin">
        <color auto="1"/>
      </top>
      <bottom style="thin">
        <color auto="1"/>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top style="thin">
        <color indexed="64"/>
      </top>
      <bottom style="thin">
        <color indexed="8"/>
      </bottom>
      <diagonal/>
    </border>
    <border>
      <left/>
      <right/>
      <top/>
      <bottom style="thin">
        <color auto="1"/>
      </bottom>
      <diagonal/>
    </border>
    <border>
      <left/>
      <right style="thin">
        <color indexed="64"/>
      </right>
      <top style="thin">
        <color indexed="8"/>
      </top>
      <bottom/>
      <diagonal/>
    </border>
    <border>
      <left/>
      <right style="thin">
        <color indexed="64"/>
      </right>
      <top/>
      <bottom style="thin">
        <color indexed="9"/>
      </bottom>
      <diagonal/>
    </border>
    <border>
      <left/>
      <right style="thin">
        <color indexed="64"/>
      </right>
      <top/>
      <bottom style="thin">
        <color auto="1"/>
      </bottom>
      <diagonal/>
    </border>
    <border>
      <left/>
      <right style="thin">
        <color auto="1"/>
      </right>
      <top style="thin">
        <color indexed="8"/>
      </top>
      <bottom/>
      <diagonal/>
    </border>
    <border>
      <left/>
      <right style="thin">
        <color auto="1"/>
      </right>
      <top/>
      <bottom style="thin">
        <color indexed="9"/>
      </bottom>
      <diagonal/>
    </border>
    <border>
      <left/>
      <right style="thin">
        <color auto="1"/>
      </right>
      <top/>
      <bottom/>
      <diagonal/>
    </border>
    <border>
      <left/>
      <right style="thin">
        <color auto="1"/>
      </right>
      <top/>
      <bottom style="thin">
        <color indexed="64"/>
      </bottom>
      <diagonal/>
    </border>
    <border>
      <left/>
      <right style="thin">
        <color indexed="64"/>
      </right>
      <top style="thin">
        <color indexed="9"/>
      </top>
      <bottom/>
      <diagonal/>
    </border>
    <border>
      <left style="thin">
        <color indexed="64"/>
      </left>
      <right style="thin">
        <color indexed="64"/>
      </right>
      <top style="thin">
        <color indexed="8"/>
      </top>
      <bottom/>
      <diagonal/>
    </border>
    <border>
      <left style="thin">
        <color indexed="64"/>
      </left>
      <right style="thin">
        <color indexed="64"/>
      </right>
      <top/>
      <bottom style="thin">
        <color indexed="9"/>
      </bottom>
      <diagonal/>
    </border>
    <border>
      <left style="thin">
        <color indexed="64"/>
      </left>
      <right style="thin">
        <color auto="1"/>
      </right>
      <top style="thin">
        <color indexed="64"/>
      </top>
      <bottom/>
      <diagonal/>
    </border>
    <border>
      <left/>
      <right/>
      <top/>
      <bottom style="thin">
        <color indexed="64"/>
      </bottom>
      <diagonal/>
    </border>
    <border>
      <left/>
      <right style="thin">
        <color auto="1"/>
      </right>
      <top/>
      <bottom/>
      <diagonal/>
    </border>
    <border>
      <left/>
      <right style="thin">
        <color auto="1"/>
      </right>
      <top/>
      <bottom style="thin">
        <color indexed="64"/>
      </bottom>
      <diagonal/>
    </border>
    <border>
      <left style="thin">
        <color auto="1"/>
      </left>
      <right style="thin">
        <color indexed="64"/>
      </right>
      <top style="thin">
        <color auto="1"/>
      </top>
      <bottom style="thin">
        <color indexed="8"/>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style="thin">
        <color auto="1"/>
      </right>
      <top/>
      <bottom/>
      <diagonal/>
    </border>
    <border>
      <left style="thin">
        <color indexed="64"/>
      </left>
      <right/>
      <top style="thin">
        <color indexed="64"/>
      </top>
      <bottom style="thin">
        <color auto="1"/>
      </bottom>
      <diagonal/>
    </border>
    <border>
      <left/>
      <right/>
      <top style="thin">
        <color indexed="64"/>
      </top>
      <bottom style="thin">
        <color auto="1"/>
      </bottom>
      <diagonal/>
    </border>
    <border>
      <left/>
      <right style="thin">
        <color auto="1"/>
      </right>
      <top style="thin">
        <color indexed="64"/>
      </top>
      <bottom style="thin">
        <color auto="1"/>
      </bottom>
      <diagonal/>
    </border>
    <border>
      <left/>
      <right style="thin">
        <color auto="1"/>
      </right>
      <top/>
      <bottom/>
      <diagonal/>
    </border>
  </borders>
  <cellStyleXfs count="7820">
    <xf numFmtId="0" fontId="0" fillId="0" borderId="0"/>
    <xf numFmtId="0" fontId="22" fillId="0" borderId="0"/>
    <xf numFmtId="0" fontId="22" fillId="0" borderId="0"/>
    <xf numFmtId="0" fontId="22" fillId="0" borderId="0"/>
    <xf numFmtId="0" fontId="22" fillId="0" borderId="0"/>
    <xf numFmtId="0" fontId="22" fillId="0" borderId="0"/>
    <xf numFmtId="0" fontId="22" fillId="0" borderId="0"/>
    <xf numFmtId="168" fontId="22" fillId="0" borderId="0" applyFont="0" applyFill="0" applyBorder="0" applyAlignment="0" applyProtection="0"/>
    <xf numFmtId="168" fontId="22" fillId="0" borderId="0" applyFont="0" applyFill="0" applyBorder="0" applyAlignment="0" applyProtection="0"/>
    <xf numFmtId="168" fontId="22" fillId="0" borderId="0" applyFont="0" applyFill="0" applyBorder="0" applyAlignment="0" applyProtection="0"/>
    <xf numFmtId="168" fontId="22" fillId="0" borderId="0" applyFont="0" applyFill="0" applyBorder="0" applyAlignment="0" applyProtection="0"/>
    <xf numFmtId="168" fontId="22" fillId="0" borderId="0" applyFont="0" applyFill="0" applyBorder="0" applyAlignment="0" applyProtection="0"/>
    <xf numFmtId="16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211" fontId="22" fillId="0" borderId="0" applyFont="0" applyFill="0" applyBorder="0" applyAlignment="0" applyProtection="0"/>
    <xf numFmtId="39" fontId="22" fillId="0" borderId="0" applyFont="0" applyFill="0" applyBorder="0" applyAlignment="0" applyProtection="0"/>
    <xf numFmtId="39" fontId="22" fillId="0" borderId="0" applyFont="0" applyFill="0" applyBorder="0" applyAlignment="0" applyProtection="0"/>
    <xf numFmtId="39" fontId="22" fillId="0" borderId="0" applyFont="0" applyFill="0" applyBorder="0" applyAlignment="0" applyProtection="0"/>
    <xf numFmtId="39" fontId="22" fillId="0" borderId="0" applyFont="0" applyFill="0" applyBorder="0" applyAlignment="0" applyProtection="0"/>
    <xf numFmtId="39" fontId="22" fillId="0" borderId="0" applyFont="0" applyFill="0" applyBorder="0" applyAlignment="0" applyProtection="0"/>
    <xf numFmtId="3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80" fontId="22" fillId="0" borderId="0" applyFont="0" applyFill="0" applyBorder="0" applyAlignment="0" applyProtection="0"/>
    <xf numFmtId="180" fontId="22" fillId="0" borderId="0" applyFont="0" applyFill="0" applyBorder="0" applyAlignment="0" applyProtection="0"/>
    <xf numFmtId="180" fontId="22" fillId="0" borderId="0" applyFont="0" applyFill="0" applyBorder="0" applyAlignment="0" applyProtection="0"/>
    <xf numFmtId="180" fontId="22" fillId="0" borderId="0" applyFont="0" applyFill="0" applyBorder="0" applyAlignment="0" applyProtection="0"/>
    <xf numFmtId="180" fontId="22" fillId="0" borderId="0" applyFont="0" applyFill="0" applyBorder="0" applyAlignment="0" applyProtection="0"/>
    <xf numFmtId="180" fontId="22" fillId="0" borderId="0" applyFont="0" applyFill="0" applyBorder="0" applyAlignment="0" applyProtection="0"/>
    <xf numFmtId="181" fontId="22" fillId="0" borderId="0" applyFont="0" applyFill="0" applyBorder="0" applyAlignment="0" applyProtection="0"/>
    <xf numFmtId="181" fontId="22" fillId="0" borderId="0" applyFont="0" applyFill="0" applyBorder="0" applyAlignment="0" applyProtection="0"/>
    <xf numFmtId="181" fontId="22" fillId="0" borderId="0" applyFont="0" applyFill="0" applyBorder="0" applyAlignment="0" applyProtection="0"/>
    <xf numFmtId="181" fontId="22" fillId="0" borderId="0" applyFont="0" applyFill="0" applyBorder="0" applyAlignment="0" applyProtection="0"/>
    <xf numFmtId="181" fontId="22" fillId="0" borderId="0" applyFont="0" applyFill="0" applyBorder="0" applyAlignment="0" applyProtection="0"/>
    <xf numFmtId="181"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42" fillId="0" borderId="0" applyNumberFormat="0" applyFont="0" applyFill="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121" fillId="2"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3" borderId="0" applyNumberFormat="0" applyBorder="0" applyAlignment="0" applyProtection="0"/>
    <xf numFmtId="0" fontId="121" fillId="2" borderId="0" applyNumberFormat="0" applyBorder="0" applyAlignment="0" applyProtection="0"/>
    <xf numFmtId="0" fontId="121" fillId="3" borderId="0" applyNumberFormat="0" applyBorder="0" applyAlignment="0" applyProtection="0"/>
    <xf numFmtId="0" fontId="121" fillId="2" borderId="0" applyNumberFormat="0" applyBorder="0" applyAlignment="0" applyProtection="0"/>
    <xf numFmtId="0" fontId="26" fillId="3"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121" fillId="5"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6" borderId="0" applyNumberFormat="0" applyBorder="0" applyAlignment="0" applyProtection="0"/>
    <xf numFmtId="0" fontId="121" fillId="5" borderId="0" applyNumberFormat="0" applyBorder="0" applyAlignment="0" applyProtection="0"/>
    <xf numFmtId="0" fontId="121" fillId="6" borderId="0" applyNumberFormat="0" applyBorder="0" applyAlignment="0" applyProtection="0"/>
    <xf numFmtId="0" fontId="121" fillId="5" borderId="0" applyNumberFormat="0" applyBorder="0" applyAlignment="0" applyProtection="0"/>
    <xf numFmtId="0" fontId="26" fillId="6"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121" fillId="8"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9"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9"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26" fillId="4" borderId="0" applyNumberFormat="0" applyBorder="0" applyAlignment="0" applyProtection="0"/>
    <xf numFmtId="0" fontId="121" fillId="2"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2" borderId="0" applyNumberFormat="0" applyBorder="0" applyAlignment="0" applyProtection="0"/>
    <xf numFmtId="0" fontId="121" fillId="11" borderId="0" applyNumberFormat="0" applyBorder="0" applyAlignment="0" applyProtection="0"/>
    <xf numFmtId="0" fontId="121" fillId="2" borderId="0" applyNumberFormat="0" applyBorder="0" applyAlignment="0" applyProtection="0"/>
    <xf numFmtId="0" fontId="26" fillId="11"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26" fillId="13" borderId="0" applyNumberFormat="0" applyBorder="0" applyAlignment="0" applyProtection="0"/>
    <xf numFmtId="0" fontId="121" fillId="55"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5" borderId="0" applyNumberFormat="0" applyBorder="0" applyAlignment="0" applyProtection="0"/>
    <xf numFmtId="0" fontId="121" fillId="13"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26" fillId="7" borderId="0" applyNumberFormat="0" applyBorder="0" applyAlignment="0" applyProtection="0"/>
    <xf numFmtId="0" fontId="121" fillId="56"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121" fillId="56" borderId="0" applyNumberFormat="0" applyBorder="0" applyAlignment="0" applyProtection="0"/>
    <xf numFmtId="0" fontId="121" fillId="7"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26" fillId="12" borderId="0" applyNumberFormat="0" applyBorder="0" applyAlignment="0" applyProtection="0"/>
    <xf numFmtId="0" fontId="26" fillId="14" borderId="0" applyNumberFormat="0" applyBorder="0" applyAlignment="0" applyProtection="0"/>
    <xf numFmtId="0" fontId="121" fillId="14"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2" borderId="0" applyNumberFormat="0" applyBorder="0" applyAlignment="0" applyProtection="0"/>
    <xf numFmtId="0" fontId="121" fillId="14" borderId="0" applyNumberFormat="0" applyBorder="0" applyAlignment="0" applyProtection="0"/>
    <xf numFmtId="0" fontId="121" fillId="12" borderId="0" applyNumberFormat="0" applyBorder="0" applyAlignment="0" applyProtection="0"/>
    <xf numFmtId="0" fontId="121" fillId="14" borderId="0" applyNumberFormat="0" applyBorder="0" applyAlignment="0" applyProtection="0"/>
    <xf numFmtId="0" fontId="26" fillId="12"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26" fillId="15" borderId="0" applyNumberFormat="0" applyBorder="0" applyAlignment="0" applyProtection="0"/>
    <xf numFmtId="0" fontId="26" fillId="16" borderId="0" applyNumberFormat="0" applyBorder="0" applyAlignment="0" applyProtection="0"/>
    <xf numFmtId="0" fontId="121" fillId="8"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5" borderId="0" applyNumberFormat="0" applyBorder="0" applyAlignment="0" applyProtection="0"/>
    <xf numFmtId="0" fontId="121" fillId="8" borderId="0" applyNumberFormat="0" applyBorder="0" applyAlignment="0" applyProtection="0"/>
    <xf numFmtId="0" fontId="121" fillId="15" borderId="0" applyNumberFormat="0" applyBorder="0" applyAlignment="0" applyProtection="0"/>
    <xf numFmtId="0" fontId="121" fillId="8" borderId="0" applyNumberFormat="0" applyBorder="0" applyAlignment="0" applyProtection="0"/>
    <xf numFmtId="0" fontId="26" fillId="15"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26" fillId="17" borderId="0" applyNumberFormat="0" applyBorder="0" applyAlignment="0" applyProtection="0"/>
    <xf numFmtId="0" fontId="26" fillId="18" borderId="0" applyNumberFormat="0" applyBorder="0" applyAlignment="0" applyProtection="0"/>
    <xf numFmtId="0" fontId="121" fillId="8"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7"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121" fillId="8" borderId="0" applyNumberFormat="0" applyBorder="0" applyAlignment="0" applyProtection="0"/>
    <xf numFmtId="0" fontId="26" fillId="17"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26" fillId="11" borderId="0" applyNumberFormat="0" applyBorder="0" applyAlignment="0" applyProtection="0"/>
    <xf numFmtId="0" fontId="26" fillId="14" borderId="0" applyNumberFormat="0" applyBorder="0" applyAlignment="0" applyProtection="0"/>
    <xf numFmtId="0" fontId="121" fillId="14"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36" fillId="11" borderId="0" applyNumberFormat="0" applyBorder="0" applyAlignment="0" applyProtection="0"/>
    <xf numFmtId="0" fontId="121" fillId="14" borderId="0" applyNumberFormat="0" applyBorder="0" applyAlignment="0" applyProtection="0"/>
    <xf numFmtId="0" fontId="121" fillId="11" borderId="0" applyNumberFormat="0" applyBorder="0" applyAlignment="0" applyProtection="0"/>
    <xf numFmtId="0" fontId="121" fillId="14" borderId="0" applyNumberFormat="0" applyBorder="0" applyAlignment="0" applyProtection="0"/>
    <xf numFmtId="0" fontId="26" fillId="11"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26" fillId="12" borderId="0" applyNumberFormat="0" applyBorder="0" applyAlignment="0" applyProtection="0"/>
    <xf numFmtId="0" fontId="121" fillId="57"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121" fillId="57" borderId="0" applyNumberFormat="0" applyBorder="0" applyAlignment="0" applyProtection="0"/>
    <xf numFmtId="0" fontId="121" fillId="12"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26" fillId="19" borderId="0" applyNumberFormat="0" applyBorder="0" applyAlignment="0" applyProtection="0"/>
    <xf numFmtId="0" fontId="26" fillId="7" borderId="0" applyNumberFormat="0" applyBorder="0" applyAlignment="0" applyProtection="0"/>
    <xf numFmtId="0" fontId="121" fillId="7"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6" fillId="19" borderId="0" applyNumberFormat="0" applyBorder="0" applyAlignment="0" applyProtection="0"/>
    <xf numFmtId="0" fontId="121" fillId="7" borderId="0" applyNumberFormat="0" applyBorder="0" applyAlignment="0" applyProtection="0"/>
    <xf numFmtId="0" fontId="121" fillId="19" borderId="0" applyNumberFormat="0" applyBorder="0" applyAlignment="0" applyProtection="0"/>
    <xf numFmtId="0" fontId="121" fillId="7" borderId="0" applyNumberFormat="0" applyBorder="0" applyAlignment="0" applyProtection="0"/>
    <xf numFmtId="0" fontId="26" fillId="19"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1" borderId="0" applyNumberFormat="0" applyBorder="0" applyAlignment="0" applyProtection="0"/>
    <xf numFmtId="0" fontId="37" fillId="20"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21" borderId="0" applyNumberFormat="0" applyBorder="0" applyAlignment="0" applyProtection="0"/>
    <xf numFmtId="0" fontId="122" fillId="20" borderId="0" applyNumberFormat="0" applyBorder="0" applyAlignment="0" applyProtection="0"/>
    <xf numFmtId="0" fontId="122" fillId="21" borderId="0" applyNumberFormat="0" applyBorder="0" applyAlignment="0" applyProtection="0"/>
    <xf numFmtId="0" fontId="122" fillId="20"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5" borderId="0" applyNumberFormat="0" applyBorder="0" applyAlignment="0" applyProtection="0"/>
    <xf numFmtId="0" fontId="122" fillId="22" borderId="0" applyNumberFormat="0" applyBorder="0" applyAlignment="0" applyProtection="0"/>
    <xf numFmtId="0" fontId="122" fillId="15" borderId="0" applyNumberFormat="0" applyBorder="0" applyAlignment="0" applyProtection="0"/>
    <xf numFmtId="0" fontId="122" fillId="22"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17"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122" fillId="8"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14"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37" fillId="23" borderId="0" applyNumberFormat="0" applyBorder="0" applyAlignment="0" applyProtection="0"/>
    <xf numFmtId="0" fontId="122" fillId="14" borderId="0" applyNumberFormat="0" applyBorder="0" applyAlignment="0" applyProtection="0"/>
    <xf numFmtId="0" fontId="122" fillId="23" borderId="0" applyNumberFormat="0" applyBorder="0" applyAlignment="0" applyProtection="0"/>
    <xf numFmtId="0" fontId="122" fillId="14"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37" fillId="20" borderId="0" applyNumberFormat="0" applyBorder="0" applyAlignment="0" applyProtection="0"/>
    <xf numFmtId="0" fontId="122" fillId="58"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122" fillId="58" borderId="0" applyNumberFormat="0" applyBorder="0" applyAlignment="0" applyProtection="0"/>
    <xf numFmtId="0" fontId="122" fillId="20"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7" fillId="24" borderId="0" applyNumberFormat="0" applyBorder="0" applyAlignment="0" applyProtection="0"/>
    <xf numFmtId="0" fontId="122" fillId="7" borderId="0" applyNumberFormat="0" applyBorder="0" applyAlignment="0" applyProtection="0"/>
    <xf numFmtId="0" fontId="122" fillId="24" borderId="0" applyNumberFormat="0" applyBorder="0" applyAlignment="0" applyProtection="0"/>
    <xf numFmtId="0" fontId="122" fillId="7" borderId="0" applyNumberFormat="0" applyBorder="0" applyAlignment="0" applyProtection="0"/>
    <xf numFmtId="0" fontId="36" fillId="25" borderId="0" applyNumberFormat="0" applyBorder="0" applyAlignment="0" applyProtection="0"/>
    <xf numFmtId="0" fontId="26" fillId="25" borderId="0" applyNumberFormat="0" applyBorder="0" applyAlignment="0" applyProtection="0"/>
    <xf numFmtId="0" fontId="36" fillId="25" borderId="0" applyNumberFormat="0" applyBorder="0" applyAlignment="0" applyProtection="0"/>
    <xf numFmtId="0" fontId="26" fillId="25" borderId="0" applyNumberFormat="0" applyBorder="0" applyAlignment="0" applyProtection="0"/>
    <xf numFmtId="0" fontId="37" fillId="26"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7" fillId="5" borderId="0" applyNumberFormat="0" applyBorder="0" applyAlignment="0" applyProtection="0"/>
    <xf numFmtId="0" fontId="122" fillId="20" borderId="0" applyNumberFormat="0" applyBorder="0" applyAlignment="0" applyProtection="0"/>
    <xf numFmtId="0" fontId="122" fillId="5" borderId="0" applyNumberFormat="0" applyBorder="0" applyAlignment="0" applyProtection="0"/>
    <xf numFmtId="0" fontId="122" fillId="20" borderId="0" applyNumberFormat="0" applyBorder="0" applyAlignment="0" applyProtection="0"/>
    <xf numFmtId="0" fontId="36" fillId="27" borderId="0" applyNumberFormat="0" applyBorder="0" applyAlignment="0" applyProtection="0"/>
    <xf numFmtId="0" fontId="26" fillId="27" borderId="0" applyNumberFormat="0" applyBorder="0" applyAlignment="0" applyProtection="0"/>
    <xf numFmtId="0" fontId="36" fillId="28" borderId="0" applyNumberFormat="0" applyBorder="0" applyAlignment="0" applyProtection="0"/>
    <xf numFmtId="0" fontId="26" fillId="28" borderId="0" applyNumberFormat="0" applyBorder="0" applyAlignment="0" applyProtection="0"/>
    <xf numFmtId="0" fontId="37" fillId="29"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30" borderId="0" applyNumberFormat="0" applyBorder="0" applyAlignment="0" applyProtection="0"/>
    <xf numFmtId="0" fontId="37" fillId="16" borderId="0" applyNumberFormat="0" applyBorder="0" applyAlignment="0" applyProtection="0"/>
    <xf numFmtId="0" fontId="37" fillId="16"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7" fillId="30" borderId="0" applyNumberFormat="0" applyBorder="0" applyAlignment="0" applyProtection="0"/>
    <xf numFmtId="0" fontId="122" fillId="22" borderId="0" applyNumberFormat="0" applyBorder="0" applyAlignment="0" applyProtection="0"/>
    <xf numFmtId="0" fontId="122" fillId="30" borderId="0" applyNumberFormat="0" applyBorder="0" applyAlignment="0" applyProtection="0"/>
    <xf numFmtId="0" fontId="122" fillId="22" borderId="0" applyNumberFormat="0" applyBorder="0" applyAlignment="0" applyProtection="0"/>
    <xf numFmtId="0" fontId="36" fillId="27" borderId="0" applyNumberFormat="0" applyBorder="0" applyAlignment="0" applyProtection="0"/>
    <xf numFmtId="0" fontId="26" fillId="27" borderId="0" applyNumberFormat="0" applyBorder="0" applyAlignment="0" applyProtection="0"/>
    <xf numFmtId="0" fontId="36" fillId="32" borderId="0" applyNumberFormat="0" applyBorder="0" applyAlignment="0" applyProtection="0"/>
    <xf numFmtId="0" fontId="26" fillId="32" borderId="0" applyNumberFormat="0" applyBorder="0" applyAlignment="0" applyProtection="0"/>
    <xf numFmtId="0" fontId="37" fillId="28"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122" fillId="31" borderId="0" applyNumberFormat="0" applyBorder="0" applyAlignment="0" applyProtection="0"/>
    <xf numFmtId="0" fontId="36" fillId="25" borderId="0" applyNumberFormat="0" applyBorder="0" applyAlignment="0" applyProtection="0"/>
    <xf numFmtId="0" fontId="26" fillId="25" borderId="0" applyNumberFormat="0" applyBorder="0" applyAlignment="0" applyProtection="0"/>
    <xf numFmtId="0" fontId="36" fillId="28" borderId="0" applyNumberFormat="0" applyBorder="0" applyAlignment="0" applyProtection="0"/>
    <xf numFmtId="0" fontId="26" fillId="28" borderId="0" applyNumberFormat="0" applyBorder="0" applyAlignment="0" applyProtection="0"/>
    <xf numFmtId="0" fontId="37" fillId="28"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37" fillId="2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122" fillId="3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7" fillId="23" borderId="0" applyNumberFormat="0" applyBorder="0" applyAlignment="0" applyProtection="0"/>
    <xf numFmtId="0" fontId="36" fillId="34" borderId="0" applyNumberFormat="0" applyBorder="0" applyAlignment="0" applyProtection="0"/>
    <xf numFmtId="0" fontId="26" fillId="34" borderId="0" applyNumberFormat="0" applyBorder="0" applyAlignment="0" applyProtection="0"/>
    <xf numFmtId="0" fontId="36" fillId="25" borderId="0" applyNumberFormat="0" applyBorder="0" applyAlignment="0" applyProtection="0"/>
    <xf numFmtId="0" fontId="26" fillId="25" borderId="0" applyNumberFormat="0" applyBorder="0" applyAlignment="0" applyProtection="0"/>
    <xf numFmtId="0" fontId="37" fillId="26"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122" fillId="59" borderId="0" applyNumberFormat="0" applyBorder="0" applyAlignment="0" applyProtection="0"/>
    <xf numFmtId="0" fontId="36" fillId="27" borderId="0" applyNumberFormat="0" applyBorder="0" applyAlignment="0" applyProtection="0"/>
    <xf numFmtId="0" fontId="26" fillId="27" borderId="0" applyNumberFormat="0" applyBorder="0" applyAlignment="0" applyProtection="0"/>
    <xf numFmtId="0" fontId="36" fillId="35" borderId="0" applyNumberFormat="0" applyBorder="0" applyAlignment="0" applyProtection="0"/>
    <xf numFmtId="0" fontId="26" fillId="35" borderId="0" applyNumberFormat="0" applyBorder="0" applyAlignment="0" applyProtection="0"/>
    <xf numFmtId="0" fontId="37" fillId="35"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16" borderId="0" applyNumberFormat="0" applyBorder="0" applyAlignment="0" applyProtection="0"/>
    <xf numFmtId="0" fontId="37" fillId="16"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0" fontId="37" fillId="36" borderId="0" applyNumberFormat="0" applyBorder="0" applyAlignment="0" applyProtection="0"/>
    <xf numFmtId="0" fontId="122" fillId="22" borderId="0" applyNumberFormat="0" applyBorder="0" applyAlignment="0" applyProtection="0"/>
    <xf numFmtId="0" fontId="122" fillId="36" borderId="0" applyNumberFormat="0" applyBorder="0" applyAlignment="0" applyProtection="0"/>
    <xf numFmtId="0" fontId="122" fillId="22" borderId="0" applyNumberFormat="0" applyBorder="0" applyAlignment="0" applyProtection="0"/>
    <xf numFmtId="183" fontId="43" fillId="37" borderId="0" applyNumberFormat="0" applyFont="0" applyBorder="0" applyAlignment="0">
      <alignment horizontal="right"/>
    </xf>
    <xf numFmtId="184" fontId="33" fillId="37" borderId="1" applyFont="0">
      <alignment horizontal="right"/>
    </xf>
    <xf numFmtId="0" fontId="7" fillId="0" borderId="0" applyNumberFormat="0" applyFill="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84" fillId="6"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0" fontId="123" fillId="60" borderId="0" applyNumberFormat="0" applyBorder="0" applyAlignment="0" applyProtection="0"/>
    <xf numFmtId="0" fontId="124" fillId="60" borderId="0" applyNumberFormat="0" applyBorder="0" applyAlignment="0" applyProtection="0"/>
    <xf numFmtId="172" fontId="7" fillId="0" borderId="0" applyNumberFormat="0" applyFont="0" applyAlignment="0"/>
    <xf numFmtId="0" fontId="91" fillId="0" borderId="0" applyNumberFormat="0" applyFill="0" applyBorder="0" applyAlignment="0" applyProtection="0"/>
    <xf numFmtId="2" fontId="7" fillId="38" borderId="0" applyNumberFormat="0" applyFont="0" applyBorder="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125" fillId="2" borderId="33"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14" borderId="2" applyNumberFormat="0" applyAlignment="0" applyProtection="0"/>
    <xf numFmtId="0" fontId="44" fillId="4" borderId="2"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0" fontId="44" fillId="14" borderId="2" applyNumberFormat="0" applyAlignment="0" applyProtection="0"/>
    <xf numFmtId="0" fontId="125" fillId="2" borderId="33" applyNumberFormat="0" applyAlignment="0" applyProtection="0"/>
    <xf numFmtId="0" fontId="126" fillId="2" borderId="33" applyNumberFormat="0" applyAlignment="0" applyProtection="0"/>
    <xf numFmtId="0" fontId="125" fillId="2" borderId="33" applyNumberFormat="0" applyAlignment="0" applyProtection="0"/>
    <xf numFmtId="37" fontId="29" fillId="0" borderId="0"/>
    <xf numFmtId="185" fontId="22" fillId="0" borderId="0"/>
    <xf numFmtId="185" fontId="22" fillId="0" borderId="0"/>
    <xf numFmtId="185" fontId="22" fillId="0" borderId="0"/>
    <xf numFmtId="185" fontId="22" fillId="0" borderId="0"/>
    <xf numFmtId="185" fontId="22" fillId="0" borderId="0"/>
    <xf numFmtId="185" fontId="22" fillId="0" borderId="0"/>
    <xf numFmtId="186" fontId="22" fillId="0" borderId="0"/>
    <xf numFmtId="186" fontId="22" fillId="0" borderId="0"/>
    <xf numFmtId="186" fontId="22" fillId="0" borderId="0"/>
    <xf numFmtId="186" fontId="22" fillId="0" borderId="0"/>
    <xf numFmtId="186" fontId="22" fillId="0" borderId="0"/>
    <xf numFmtId="186" fontId="22" fillId="0" borderId="0"/>
    <xf numFmtId="0" fontId="20" fillId="0" borderId="0" applyAlignment="0"/>
    <xf numFmtId="0" fontId="20" fillId="0" borderId="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127" fillId="61" borderId="3"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4" applyNumberFormat="0" applyAlignment="0" applyProtection="0"/>
    <xf numFmtId="0" fontId="45" fillId="39" borderId="3"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45" fillId="39" borderId="4" applyNumberFormat="0" applyAlignment="0" applyProtection="0"/>
    <xf numFmtId="0" fontId="127" fillId="61" borderId="3" applyNumberFormat="0" applyAlignment="0" applyProtection="0"/>
    <xf numFmtId="0" fontId="127" fillId="39" borderId="4" applyNumberFormat="0" applyAlignment="0" applyProtection="0"/>
    <xf numFmtId="0" fontId="127" fillId="61" borderId="3" applyNumberFormat="0" applyAlignment="0" applyProtection="0"/>
    <xf numFmtId="0" fontId="22" fillId="0" borderId="0">
      <alignment horizontal="center" wrapText="1"/>
      <protection hidden="1"/>
    </xf>
    <xf numFmtId="0" fontId="13" fillId="40" borderId="0" applyAlignment="0"/>
    <xf numFmtId="0" fontId="13" fillId="40" borderId="0"/>
    <xf numFmtId="37" fontId="34" fillId="0" borderId="0"/>
    <xf numFmtId="173" fontId="34" fillId="0" borderId="0"/>
    <xf numFmtId="187" fontId="46" fillId="0" borderId="0" applyFont="0" applyFill="0" applyBorder="0" applyAlignment="0" applyProtection="0">
      <alignment horizontal="right"/>
    </xf>
    <xf numFmtId="43" fontId="22" fillId="0" borderId="0" applyFont="0" applyFill="0" applyBorder="0" applyAlignment="0" applyProtection="0"/>
    <xf numFmtId="43" fontId="22" fillId="0" borderId="0" applyFont="0" applyFill="0" applyBorder="0" applyAlignment="0" applyProtection="0"/>
    <xf numFmtId="215" fontId="46" fillId="0" borderId="0" applyFont="0" applyFill="0" applyBorder="0" applyAlignment="0" applyProtection="0">
      <alignment horizontal="right"/>
    </xf>
    <xf numFmtId="43" fontId="23" fillId="0" borderId="0" applyFont="0" applyFill="0" applyBorder="0" applyAlignment="0" applyProtection="0"/>
    <xf numFmtId="43" fontId="26" fillId="0" borderId="0" applyFont="0" applyFill="0" applyBorder="0" applyAlignment="0" applyProtection="0"/>
    <xf numFmtId="43" fontId="98" fillId="0" borderId="0" applyFont="0" applyFill="0" applyBorder="0" applyAlignment="0" applyProtection="0"/>
    <xf numFmtId="43" fontId="20" fillId="0" borderId="0" applyFont="0" applyFill="0" applyBorder="0" applyAlignment="0" applyProtection="0"/>
    <xf numFmtId="43" fontId="23" fillId="0" borderId="0" applyFont="0" applyFill="0" applyBorder="0" applyAlignment="0" applyProtection="0"/>
    <xf numFmtId="43" fontId="20" fillId="0" borderId="0" applyFont="0" applyFill="0" applyBorder="0" applyAlignment="0" applyProtection="0"/>
    <xf numFmtId="43" fontId="23" fillId="0" borderId="0" applyFont="0" applyFill="0" applyBorder="0" applyAlignment="0" applyProtection="0"/>
    <xf numFmtId="43" fontId="20" fillId="0" borderId="0" applyFont="0" applyFill="0" applyBorder="0" applyAlignment="0" applyProtection="0"/>
    <xf numFmtId="43" fontId="23" fillId="0" borderId="0" applyFont="0" applyFill="0" applyBorder="0" applyAlignment="0" applyProtection="0"/>
    <xf numFmtId="43" fontId="20" fillId="0" borderId="0" applyFont="0" applyFill="0" applyBorder="0" applyAlignment="0" applyProtection="0"/>
    <xf numFmtId="43" fontId="22" fillId="0" borderId="0" applyFont="0" applyFill="0" applyBorder="0" applyAlignment="0" applyProtection="0"/>
    <xf numFmtId="0" fontId="47" fillId="41" borderId="0">
      <alignment horizontal="center" vertical="center" wrapText="1"/>
    </xf>
    <xf numFmtId="0" fontId="48" fillId="0" borderId="0" applyNumberFormat="0" applyFill="0" applyBorder="0">
      <alignment horizontal="right"/>
    </xf>
    <xf numFmtId="188" fontId="22" fillId="0" borderId="0" applyFill="0" applyBorder="0">
      <alignment horizontal="right"/>
      <protection locked="0"/>
    </xf>
    <xf numFmtId="174" fontId="34" fillId="0" borderId="0"/>
    <xf numFmtId="189" fontId="46" fillId="0" borderId="0" applyFont="0" applyFill="0" applyBorder="0" applyAlignment="0" applyProtection="0">
      <alignment horizontal="right"/>
    </xf>
    <xf numFmtId="44" fontId="22" fillId="0" borderId="0" applyFont="0" applyFill="0" applyBorder="0" applyAlignment="0" applyProtection="0"/>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44" fontId="23" fillId="0" borderId="0" applyFont="0" applyFill="0" applyBorder="0" applyAlignment="0" applyProtection="0"/>
    <xf numFmtId="44" fontId="20" fillId="0" borderId="0" applyFont="0" applyFill="0" applyBorder="0" applyAlignment="0" applyProtection="0"/>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190" fontId="46" fillId="0" borderId="0" applyFont="0" applyFill="0" applyBorder="0" applyAlignment="0" applyProtection="0">
      <alignment horizontal="right"/>
    </xf>
    <xf numFmtId="44" fontId="23" fillId="0" borderId="0" applyFont="0" applyFill="0" applyBorder="0" applyAlignment="0" applyProtection="0"/>
    <xf numFmtId="44" fontId="20" fillId="0" borderId="0" applyFont="0" applyFill="0" applyBorder="0" applyAlignment="0" applyProtection="0"/>
    <xf numFmtId="44" fontId="23" fillId="0" borderId="0" applyFont="0" applyFill="0" applyBorder="0" applyAlignment="0" applyProtection="0"/>
    <xf numFmtId="44" fontId="20" fillId="0" borderId="0" applyFont="0" applyFill="0" applyBorder="0" applyAlignment="0" applyProtection="0"/>
    <xf numFmtId="44" fontId="23" fillId="0" borderId="0" applyFont="0" applyFill="0" applyBorder="0" applyAlignment="0" applyProtection="0"/>
    <xf numFmtId="44" fontId="20" fillId="0" borderId="0" applyFont="0" applyFill="0" applyBorder="0" applyAlignment="0" applyProtection="0"/>
    <xf numFmtId="17" fontId="21" fillId="0" borderId="0" applyFill="0" applyBorder="0">
      <alignment horizontal="right"/>
    </xf>
    <xf numFmtId="191" fontId="46" fillId="0" borderId="0" applyFont="0" applyFill="0" applyBorder="0" applyAlignment="0" applyProtection="0"/>
    <xf numFmtId="7" fontId="22" fillId="0" borderId="0" applyFont="0" applyFill="0" applyBorder="0" applyAlignment="0"/>
    <xf numFmtId="192" fontId="46" fillId="0" borderId="5" applyNumberFormat="0" applyFont="0" applyFill="0" applyAlignment="0" applyProtection="0"/>
    <xf numFmtId="193" fontId="22" fillId="0" borderId="0" applyFont="0" applyFill="0" applyBorder="0" applyAlignment="0" applyProtection="0"/>
    <xf numFmtId="193" fontId="22" fillId="0" borderId="0" applyFont="0" applyFill="0" applyBorder="0" applyAlignment="0" applyProtection="0"/>
    <xf numFmtId="193" fontId="22" fillId="0" borderId="0" applyFont="0" applyFill="0" applyBorder="0" applyAlignment="0" applyProtection="0"/>
    <xf numFmtId="193" fontId="22" fillId="0" borderId="0" applyFont="0" applyFill="0" applyBorder="0" applyAlignment="0" applyProtection="0"/>
    <xf numFmtId="193" fontId="22" fillId="0" borderId="0" applyFont="0" applyFill="0" applyBorder="0" applyAlignment="0" applyProtection="0"/>
    <xf numFmtId="193" fontId="22" fillId="0" borderId="0" applyFont="0" applyFill="0" applyBorder="0" applyAlignment="0" applyProtection="0"/>
    <xf numFmtId="0" fontId="101" fillId="0" borderId="0" applyNumberFormat="0" applyFill="0" applyBorder="0" applyAlignment="0" applyProtection="0"/>
    <xf numFmtId="0" fontId="128" fillId="0" borderId="0" applyNumberFormat="0" applyFill="0" applyBorder="0" applyAlignment="0" applyProtection="0"/>
    <xf numFmtId="194" fontId="7" fillId="42" borderId="6" applyNumberFormat="0" applyFont="0" applyBorder="0" applyAlignment="0" applyProtection="0">
      <alignment horizontal="right"/>
    </xf>
    <xf numFmtId="212" fontId="92" fillId="0" borderId="0" applyFont="0" applyFill="0" applyBorder="0" applyAlignment="0" applyProtection="0"/>
    <xf numFmtId="0" fontId="49" fillId="0" borderId="0" applyFill="0" applyBorder="0" applyProtection="0">
      <alignment horizontal="left"/>
    </xf>
    <xf numFmtId="1" fontId="7" fillId="0" borderId="0" applyNumberFormat="0" applyBorder="0" applyAlignment="0" applyProtection="0"/>
    <xf numFmtId="195" fontId="50" fillId="0" borderId="0">
      <alignment vertical="center"/>
    </xf>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85" fillId="9" borderId="0" applyNumberFormat="0" applyBorder="0" applyAlignment="0" applyProtection="0"/>
    <xf numFmtId="0" fontId="129" fillId="62"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0" fontId="129" fillId="62" borderId="0" applyNumberFormat="0" applyBorder="0" applyAlignment="0" applyProtection="0"/>
    <xf numFmtId="0" fontId="129" fillId="9" borderId="0" applyNumberFormat="0" applyBorder="0" applyAlignment="0" applyProtection="0"/>
    <xf numFmtId="38" fontId="7" fillId="43" borderId="0" applyNumberFormat="0" applyBorder="0" applyAlignment="0" applyProtection="0"/>
    <xf numFmtId="49" fontId="51" fillId="0" borderId="0">
      <alignment horizontal="right"/>
    </xf>
    <xf numFmtId="49" fontId="51" fillId="0" borderId="0">
      <alignment horizontal="right"/>
    </xf>
    <xf numFmtId="49" fontId="51" fillId="0" borderId="0">
      <alignment horizontal="right"/>
    </xf>
    <xf numFmtId="49" fontId="51" fillId="0" borderId="0">
      <alignment horizontal="right"/>
    </xf>
    <xf numFmtId="49" fontId="52" fillId="0" borderId="0">
      <alignment horizontal="right"/>
    </xf>
    <xf numFmtId="195" fontId="53" fillId="0" borderId="0">
      <alignment vertical="center"/>
    </xf>
    <xf numFmtId="196" fontId="21" fillId="44" borderId="7" applyNumberFormat="0" applyFont="0" applyAlignment="0"/>
    <xf numFmtId="197" fontId="46" fillId="0" borderId="0" applyFont="0" applyFill="0" applyBorder="0" applyAlignment="0" applyProtection="0">
      <alignment horizontal="right"/>
    </xf>
    <xf numFmtId="0" fontId="54" fillId="0" borderId="0" applyProtection="0">
      <alignment horizontal="right"/>
    </xf>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55" fillId="0" borderId="9" applyNumberFormat="0" applyFill="0" applyAlignment="0" applyProtection="0"/>
    <xf numFmtId="0" fontId="102"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93" fillId="0" borderId="9" applyNumberFormat="0" applyFill="0" applyAlignment="0" applyProtection="0"/>
    <xf numFmtId="0" fontId="109" fillId="0" borderId="8" applyNumberFormat="0" applyFill="0" applyAlignment="0" applyProtection="0"/>
    <xf numFmtId="0" fontId="113" fillId="0" borderId="8"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130" fillId="0" borderId="34" applyNumberFormat="0" applyFill="0" applyAlignment="0" applyProtection="0"/>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56" fillId="0" borderId="0" applyProtection="0">
      <alignment horizontal="left"/>
    </xf>
    <xf numFmtId="0" fontId="103"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6" fillId="0" borderId="0" applyProtection="0">
      <alignment horizontal="left"/>
    </xf>
    <xf numFmtId="0" fontId="130" fillId="0" borderId="34" applyNumberFormat="0" applyFill="0" applyAlignment="0" applyProtection="0"/>
    <xf numFmtId="0" fontId="94" fillId="0" borderId="10" applyNumberFormat="0" applyFill="0" applyAlignment="0" applyProtection="0"/>
    <xf numFmtId="0" fontId="130" fillId="0" borderId="34"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87" fillId="0" borderId="11" applyNumberFormat="0" applyFill="0" applyAlignment="0" applyProtection="0"/>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57" fillId="0" borderId="0" applyProtection="0">
      <alignment horizontal="left"/>
    </xf>
    <xf numFmtId="0" fontId="104"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7" fillId="0" borderId="0" applyProtection="0">
      <alignment horizontal="left"/>
    </xf>
    <xf numFmtId="0" fontId="87" fillId="0" borderId="11" applyNumberFormat="0" applyFill="0" applyAlignment="0" applyProtection="0"/>
    <xf numFmtId="0" fontId="95" fillId="0" borderId="12" applyNumberFormat="0" applyFill="0" applyAlignment="0" applyProtection="0"/>
    <xf numFmtId="0" fontId="110" fillId="0" borderId="11" applyNumberFormat="0" applyFill="0" applyAlignment="0" applyProtection="0"/>
    <xf numFmtId="0" fontId="114" fillId="0" borderId="11"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104" fillId="0" borderId="0" applyNumberFormat="0" applyFill="0" applyBorder="0" applyAlignment="0" applyProtection="0"/>
    <xf numFmtId="0" fontId="114"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9" fillId="0" borderId="0"/>
    <xf numFmtId="177" fontId="29" fillId="0" borderId="0"/>
    <xf numFmtId="0" fontId="2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10" fontId="7" fillId="44" borderId="7" applyNumberFormat="0" applyBorder="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132" fillId="63" borderId="33" applyNumberFormat="0" applyAlignment="0" applyProtection="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60" fillId="0" borderId="0" applyNumberFormat="0" applyFill="0" applyBorder="0" applyAlignment="0"/>
    <xf numFmtId="0" fontId="88" fillId="7" borderId="2" applyNumberFormat="0" applyAlignment="0" applyProtection="0"/>
    <xf numFmtId="0" fontId="88" fillId="7" borderId="2"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0" fillId="0" borderId="0" applyNumberFormat="0" applyFill="0" applyBorder="0" applyAlignment="0"/>
    <xf numFmtId="0" fontId="132" fillId="63" borderId="33" applyNumberFormat="0" applyAlignment="0" applyProtection="0"/>
    <xf numFmtId="0" fontId="133" fillId="63" borderId="33" applyNumberFormat="0" applyAlignment="0" applyProtection="0"/>
    <xf numFmtId="0" fontId="132" fillId="63" borderId="33" applyNumberFormat="0" applyAlignment="0" applyProtection="0"/>
    <xf numFmtId="0" fontId="61" fillId="45" borderId="0" applyNumberFormat="0" applyFont="0" applyBorder="0" applyAlignment="0" applyProtection="0"/>
    <xf numFmtId="0" fontId="19" fillId="0" borderId="0" applyAlignment="0"/>
    <xf numFmtId="0" fontId="19" fillId="0" borderId="0"/>
    <xf numFmtId="0" fontId="19" fillId="0" borderId="0" applyAlignment="0"/>
    <xf numFmtId="176" fontId="22" fillId="0" borderId="0" applyFill="0" applyBorder="0">
      <alignment horizontal="right"/>
      <protection locked="0"/>
    </xf>
    <xf numFmtId="0" fontId="25" fillId="46" borderId="13">
      <alignment horizontal="left" vertical="center" wrapText="1"/>
    </xf>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89" fillId="0" borderId="14" applyNumberFormat="0" applyFill="0" applyAlignment="0" applyProtection="0"/>
    <xf numFmtId="0" fontId="134" fillId="0" borderId="35"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134" fillId="0" borderId="35" applyNumberFormat="0" applyFill="0" applyAlignment="0" applyProtection="0"/>
    <xf numFmtId="0" fontId="96" fillId="0" borderId="14" applyNumberFormat="0" applyFill="0" applyAlignment="0" applyProtection="0"/>
    <xf numFmtId="0" fontId="62" fillId="0" borderId="0"/>
    <xf numFmtId="0" fontId="30" fillId="0" borderId="0" applyNumberFormat="0" applyFill="0" applyBorder="0" applyAlignment="0"/>
    <xf numFmtId="38" fontId="30" fillId="0" borderId="0" applyBorder="0"/>
    <xf numFmtId="0" fontId="63" fillId="47" borderId="0"/>
    <xf numFmtId="0" fontId="24" fillId="47" borderId="0"/>
    <xf numFmtId="198" fontId="46" fillId="0" borderId="0" applyFont="0" applyFill="0" applyBorder="0" applyAlignment="0" applyProtection="0">
      <alignment horizontal="right"/>
    </xf>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05"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35" fillId="64" borderId="0" applyNumberFormat="0" applyBorder="0" applyAlignment="0" applyProtection="0"/>
    <xf numFmtId="0" fontId="99" fillId="18" borderId="0" applyNumberFormat="0" applyBorder="0" applyAlignment="0" applyProtection="0"/>
    <xf numFmtId="0" fontId="135" fillId="64" borderId="0" applyNumberFormat="0" applyBorder="0" applyAlignment="0" applyProtection="0"/>
    <xf numFmtId="0" fontId="11" fillId="48" borderId="0" applyAlignment="0"/>
    <xf numFmtId="0" fontId="11" fillId="48" borderId="0"/>
    <xf numFmtId="0" fontId="10" fillId="49" borderId="0" applyAlignment="0"/>
    <xf numFmtId="0" fontId="10" fillId="49" borderId="0"/>
    <xf numFmtId="0" fontId="9" fillId="0" borderId="0" applyAlignment="0"/>
    <xf numFmtId="0" fontId="9" fillId="0" borderId="0"/>
    <xf numFmtId="175" fontId="35"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6"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21" fillId="0" borderId="0"/>
    <xf numFmtId="0" fontId="22" fillId="0" borderId="0"/>
    <xf numFmtId="0" fontId="22" fillId="0" borderId="0"/>
    <xf numFmtId="0" fontId="22" fillId="0" borderId="0"/>
    <xf numFmtId="0" fontId="22" fillId="0" borderId="0"/>
    <xf numFmtId="0" fontId="22" fillId="0" borderId="0"/>
    <xf numFmtId="0" fontId="121" fillId="0" borderId="0"/>
    <xf numFmtId="0" fontId="22" fillId="0" borderId="0"/>
    <xf numFmtId="0" fontId="120" fillId="0" borderId="0"/>
    <xf numFmtId="0" fontId="120" fillId="0" borderId="0"/>
    <xf numFmtId="0" fontId="120" fillId="0" borderId="0"/>
    <xf numFmtId="0" fontId="22" fillId="0" borderId="0"/>
    <xf numFmtId="0" fontId="120" fillId="0" borderId="0"/>
    <xf numFmtId="0" fontId="22" fillId="0" borderId="0"/>
    <xf numFmtId="0" fontId="121" fillId="0" borderId="0"/>
    <xf numFmtId="0" fontId="121" fillId="0" borderId="0"/>
    <xf numFmtId="0" fontId="121" fillId="0" borderId="0"/>
    <xf numFmtId="0" fontId="121" fillId="0" borderId="0"/>
    <xf numFmtId="0" fontId="1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2" fillId="0" borderId="0"/>
    <xf numFmtId="0" fontId="11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2" fontId="61" fillId="0" borderId="0" applyBorder="0" applyProtection="0"/>
    <xf numFmtId="0" fontId="7" fillId="0" borderId="0"/>
    <xf numFmtId="0" fontId="7" fillId="0" borderId="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26" fillId="10" borderId="15" applyNumberFormat="0" applyFont="0" applyAlignment="0" applyProtection="0"/>
    <xf numFmtId="0" fontId="22" fillId="10" borderId="15" applyNumberFormat="0" applyFont="0" applyAlignment="0" applyProtection="0"/>
    <xf numFmtId="0" fontId="108" fillId="65" borderId="36"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36" fillId="10" borderId="15"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36" fillId="65" borderId="36" applyNumberFormat="0" applyFont="0" applyAlignment="0" applyProtection="0"/>
    <xf numFmtId="0" fontId="26" fillId="65" borderId="15" applyNumberFormat="0" applyFont="0" applyAlignment="0" applyProtection="0"/>
    <xf numFmtId="0" fontId="26" fillId="65" borderId="36" applyNumberFormat="0" applyFont="0" applyAlignment="0" applyProtection="0"/>
    <xf numFmtId="0" fontId="26" fillId="10" borderId="15" applyNumberFormat="0" applyFont="0" applyAlignment="0" applyProtection="0"/>
    <xf numFmtId="0" fontId="64" fillId="0" borderId="16"/>
    <xf numFmtId="199" fontId="65" fillId="0" borderId="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90" fillId="2" borderId="13"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90" fillId="4"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66" fillId="14" borderId="17" applyNumberFormat="0" applyAlignment="0" applyProtection="0"/>
    <xf numFmtId="0" fontId="90" fillId="2" borderId="13" applyNumberFormat="0" applyAlignment="0" applyProtection="0"/>
    <xf numFmtId="0" fontId="100" fillId="2" borderId="17" applyNumberFormat="0" applyAlignment="0" applyProtection="0"/>
    <xf numFmtId="0" fontId="111" fillId="2" borderId="13" applyNumberFormat="0" applyAlignment="0" applyProtection="0"/>
    <xf numFmtId="0" fontId="115" fillId="2" borderId="13" applyNumberFormat="0" applyAlignment="0" applyProtection="0"/>
    <xf numFmtId="0" fontId="41" fillId="0" borderId="0" applyNumberFormat="0" applyFill="0" applyBorder="0">
      <alignment horizontal="left"/>
    </xf>
    <xf numFmtId="1" fontId="67" fillId="0" borderId="0" applyProtection="0">
      <alignment horizontal="right" vertical="center"/>
    </xf>
    <xf numFmtId="168" fontId="34" fillId="0" borderId="0"/>
    <xf numFmtId="10"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200" fontId="61" fillId="0" borderId="0" applyFill="0" applyBorder="0">
      <alignment horizontal="right"/>
      <protection locked="0"/>
    </xf>
    <xf numFmtId="0" fontId="68" fillId="0" borderId="0"/>
    <xf numFmtId="201" fontId="22" fillId="0" borderId="0">
      <alignment horizontal="right"/>
      <protection locked="0"/>
    </xf>
    <xf numFmtId="169" fontId="61" fillId="30" borderId="18" applyNumberFormat="0" applyFont="0" applyBorder="0" applyAlignment="0" applyProtection="0">
      <alignment horizontal="center"/>
    </xf>
    <xf numFmtId="202" fontId="69" fillId="0" borderId="0" applyFill="0" applyBorder="0">
      <alignment horizontal="right"/>
      <protection hidden="1"/>
    </xf>
    <xf numFmtId="0" fontId="12" fillId="50" borderId="0" applyAlignment="0"/>
    <xf numFmtId="0" fontId="12" fillId="50" borderId="0"/>
    <xf numFmtId="0" fontId="70" fillId="41" borderId="7">
      <alignment horizontal="center" vertical="center" wrapText="1"/>
      <protection hidden="1"/>
    </xf>
    <xf numFmtId="1" fontId="68" fillId="51" borderId="0" applyNumberFormat="0" applyFont="0" applyBorder="0" applyAlignment="0">
      <alignment horizontal="left"/>
    </xf>
    <xf numFmtId="0" fontId="38" fillId="0" borderId="0" applyNumberFormat="0" applyFill="0" applyBorder="0" applyAlignment="0" applyProtection="0"/>
    <xf numFmtId="0" fontId="39" fillId="0" borderId="0">
      <alignment vertical="center"/>
    </xf>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213" fontId="22" fillId="0" borderId="0">
      <alignment horizontal="left" wrapText="1"/>
    </xf>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8" fillId="0" borderId="0" applyNumberFormat="0" applyFill="0" applyBorder="0" applyProtection="0"/>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8" fillId="0" borderId="0" applyNumberFormat="0" applyFill="0" applyBorder="0" applyProtection="0"/>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25" fillId="0" borderId="0" applyNumberFormat="0" applyFill="0" applyBorder="0" applyProtection="0">
      <alignment horizontal="left"/>
    </xf>
    <xf numFmtId="0" fontId="8" fillId="0" borderId="0" applyNumberFormat="0" applyFill="0" applyBorder="0" applyProtection="0"/>
    <xf numFmtId="0" fontId="12" fillId="50" borderId="0" applyNumberFormat="0" applyBorder="0" applyProtection="0"/>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203" fontId="7" fillId="0" borderId="0" applyFill="0" applyBorder="0" applyProtection="0">
      <alignment horizontal="right" vertical="top"/>
    </xf>
    <xf numFmtId="0" fontId="17" fillId="49" borderId="0" applyNumberFormat="0" applyBorder="0" applyProtection="0"/>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14" fontId="7" fillId="0" borderId="0" applyFill="0" applyBorder="0" applyProtection="0">
      <alignment horizontal="left" vertical="top"/>
    </xf>
    <xf numFmtId="0" fontId="14" fillId="0" borderId="0" applyNumberFormat="0" applyFill="0" applyBorder="0" applyProtection="0"/>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0" fontId="14" fillId="0" borderId="0" applyNumberFormat="0" applyFill="0" applyBorder="0" applyProtection="0"/>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204" fontId="7" fillId="0" borderId="0" applyFill="0" applyBorder="0" applyProtection="0">
      <alignment horizontal="left" vertical="top" wrapText="1"/>
    </xf>
    <xf numFmtId="0" fontId="14" fillId="0" borderId="0" applyNumberFormat="0" applyFill="0" applyBorder="0" applyProtection="0"/>
    <xf numFmtId="0" fontId="17"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71" fillId="0" borderId="0" applyNumberFormat="0" applyFill="0" applyBorder="0" applyProtection="0"/>
    <xf numFmtId="0" fontId="18" fillId="0" borderId="0" applyNumberFormat="0" applyFill="0" applyBorder="0" applyProtection="0"/>
    <xf numFmtId="0" fontId="17" fillId="0" borderId="0" applyNumberFormat="0" applyFill="0" applyBorder="0" applyProtection="0">
      <alignment wrapText="1"/>
    </xf>
    <xf numFmtId="0" fontId="40" fillId="0" borderId="0" applyNumberFormat="0" applyFill="0" applyBorder="0" applyProtection="0"/>
    <xf numFmtId="205" fontId="72" fillId="0" borderId="0" applyNumberFormat="0" applyFill="0" applyBorder="0" applyAlignment="0" applyProtection="0">
      <alignment horizontal="right" vertical="center" wrapText="1"/>
    </xf>
    <xf numFmtId="0" fontId="73" fillId="0" borderId="0" applyNumberFormat="0" applyFill="0" applyBorder="0" applyAlignment="0" applyProtection="0"/>
    <xf numFmtId="0" fontId="74" fillId="0" borderId="0" applyNumberFormat="0" applyFill="0" applyBorder="0" applyAlignment="0" applyProtection="0">
      <protection locked="0"/>
    </xf>
    <xf numFmtId="0" fontId="32" fillId="0" borderId="6" applyNumberFormat="0" applyFill="0" applyProtection="0">
      <alignment horizontal="right"/>
    </xf>
    <xf numFmtId="0" fontId="16" fillId="0" borderId="0" applyAlignment="0"/>
    <xf numFmtId="0" fontId="16" fillId="0" borderId="0"/>
    <xf numFmtId="0" fontId="15" fillId="0" borderId="0" applyAlignment="0"/>
    <xf numFmtId="0" fontId="15" fillId="0" borderId="0"/>
    <xf numFmtId="0" fontId="32" fillId="0" borderId="19" applyNumberFormat="0" applyProtection="0">
      <alignment horizontal="right"/>
    </xf>
    <xf numFmtId="0" fontId="75" fillId="0" borderId="0" applyBorder="0" applyProtection="0">
      <alignment vertical="center"/>
    </xf>
    <xf numFmtId="192" fontId="75" fillId="0" borderId="20" applyBorder="0" applyProtection="0">
      <alignment horizontal="right" vertical="center"/>
    </xf>
    <xf numFmtId="0" fontId="76" fillId="52" borderId="0" applyBorder="0" applyProtection="0">
      <alignment horizontal="centerContinuous" vertical="center"/>
    </xf>
    <xf numFmtId="0" fontId="76" fillId="47" borderId="20" applyBorder="0" applyProtection="0">
      <alignment horizontal="centerContinuous" vertical="center"/>
    </xf>
    <xf numFmtId="0" fontId="28" fillId="0" borderId="20" applyNumberFormat="0" applyFill="0" applyProtection="0"/>
    <xf numFmtId="0" fontId="77" fillId="0" borderId="0">
      <alignment vertical="center"/>
    </xf>
    <xf numFmtId="0" fontId="50" fillId="0" borderId="0">
      <alignment vertical="center"/>
    </xf>
    <xf numFmtId="0" fontId="77" fillId="0" borderId="0">
      <alignment vertical="center"/>
    </xf>
    <xf numFmtId="0" fontId="53" fillId="0" borderId="0">
      <alignment vertical="center"/>
    </xf>
    <xf numFmtId="0" fontId="78" fillId="0" borderId="0" applyFill="0" applyBorder="0" applyProtection="0">
      <alignment horizontal="left"/>
    </xf>
    <xf numFmtId="0" fontId="49" fillId="0" borderId="21" applyFill="0" applyBorder="0" applyProtection="0">
      <alignment horizontal="left" vertical="top"/>
    </xf>
    <xf numFmtId="170" fontId="79" fillId="0" borderId="0" applyNumberFormat="0" applyFill="0" applyBorder="0">
      <alignment horizontal="left"/>
    </xf>
    <xf numFmtId="170" fontId="79" fillId="0" borderId="0" applyNumberFormat="0" applyFill="0" applyBorder="0">
      <alignment horizontal="right"/>
    </xf>
    <xf numFmtId="170" fontId="80" fillId="0" borderId="0" applyNumberFormat="0" applyFill="0" applyBorder="0">
      <alignment horizontal="right"/>
    </xf>
    <xf numFmtId="0" fontId="17" fillId="0" borderId="0" applyAlignment="0"/>
    <xf numFmtId="0" fontId="17" fillId="0" borderId="0">
      <alignment vertical="top"/>
    </xf>
    <xf numFmtId="0" fontId="17" fillId="0" borderId="0"/>
    <xf numFmtId="0" fontId="18" fillId="0" borderId="0" applyAlignment="0"/>
    <xf numFmtId="0" fontId="18" fillId="0" borderId="0"/>
    <xf numFmtId="0" fontId="14" fillId="0" borderId="0" applyAlignment="0"/>
    <xf numFmtId="0" fontId="14" fillId="0" borderId="0">
      <alignment vertical="top"/>
    </xf>
    <xf numFmtId="0" fontId="14" fillId="0" borderId="0"/>
    <xf numFmtId="40" fontId="28" fillId="0" borderId="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106" fillId="0" borderId="0" applyNumberFormat="0" applyFill="0" applyBorder="0" applyAlignment="0" applyProtection="0"/>
    <xf numFmtId="0" fontId="116"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2" fillId="53" borderId="0" applyNumberFormat="0" applyBorder="0" applyProtection="0">
      <alignment horizontal="left" vertical="center"/>
    </xf>
    <xf numFmtId="0" fontId="83" fillId="1" borderId="0" applyNumberFormat="0" applyBorder="0" applyProtection="0">
      <alignment horizontal="left" vertical="center"/>
    </xf>
    <xf numFmtId="0" fontId="8" fillId="0" borderId="0" applyAlignment="0"/>
    <xf numFmtId="0" fontId="8" fillId="0" borderId="0">
      <alignment vertical="top"/>
    </xf>
    <xf numFmtId="0" fontId="8" fillId="0" borderId="0"/>
    <xf numFmtId="0" fontId="22" fillId="0" borderId="0" applyBorder="0"/>
    <xf numFmtId="0" fontId="17" fillId="0" borderId="0" applyAlignment="0">
      <alignment wrapText="1"/>
    </xf>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37" fontId="29" fillId="0" borderId="22"/>
    <xf numFmtId="37" fontId="29" fillId="0" borderId="22"/>
    <xf numFmtId="37" fontId="29" fillId="0" borderId="22"/>
    <xf numFmtId="37" fontId="29" fillId="0" borderId="22"/>
    <xf numFmtId="37" fontId="29" fillId="0" borderId="22"/>
    <xf numFmtId="37" fontId="29" fillId="0" borderId="22"/>
    <xf numFmtId="37" fontId="29" fillId="0" borderId="22"/>
    <xf numFmtId="0" fontId="136" fillId="0" borderId="23" applyNumberFormat="0" applyFill="0" applyAlignment="0" applyProtection="0"/>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37" fontId="29" fillId="0" borderId="22"/>
    <xf numFmtId="37" fontId="29" fillId="0" borderId="22"/>
    <xf numFmtId="37" fontId="29" fillId="0" borderId="22"/>
    <xf numFmtId="37" fontId="29" fillId="0" borderId="22"/>
    <xf numFmtId="0" fontId="17" fillId="0" borderId="0">
      <alignment wrapText="1"/>
    </xf>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37" fontId="29" fillId="0" borderId="22"/>
    <xf numFmtId="0" fontId="136" fillId="0" borderId="23" applyNumberFormat="0" applyFill="0" applyAlignment="0" applyProtection="0"/>
    <xf numFmtId="0" fontId="136" fillId="0" borderId="24" applyNumberFormat="0" applyFill="0" applyAlignment="0" applyProtection="0"/>
    <xf numFmtId="0" fontId="136" fillId="0" borderId="23" applyNumberFormat="0" applyFill="0" applyAlignment="0" applyProtection="0"/>
    <xf numFmtId="0" fontId="107" fillId="0" borderId="0" applyNumberFormat="0" applyFill="0" applyBorder="0" applyAlignment="0" applyProtection="0"/>
    <xf numFmtId="0" fontId="137" fillId="0" borderId="0" applyNumberFormat="0" applyFill="0" applyBorder="0" applyAlignment="0" applyProtection="0"/>
    <xf numFmtId="1" fontId="31" fillId="0" borderId="1" applyFill="0" applyProtection="0">
      <alignment horizontal="right"/>
    </xf>
    <xf numFmtId="206" fontId="22" fillId="0" borderId="0"/>
    <xf numFmtId="206" fontId="22" fillId="0" borderId="0"/>
    <xf numFmtId="206" fontId="22" fillId="0" borderId="0"/>
    <xf numFmtId="206" fontId="22" fillId="0" borderId="0"/>
    <xf numFmtId="206" fontId="22" fillId="0" borderId="0"/>
    <xf numFmtId="206" fontId="22" fillId="0" borderId="0"/>
    <xf numFmtId="0" fontId="141" fillId="0" borderId="0" applyNumberFormat="0" applyFill="0" applyBorder="0" applyAlignment="0" applyProtection="0"/>
    <xf numFmtId="0" fontId="142" fillId="0" borderId="37" applyNumberFormat="0" applyFill="0" applyAlignment="0" applyProtection="0"/>
    <xf numFmtId="0" fontId="143" fillId="0" borderId="34" applyNumberFormat="0" applyFill="0" applyAlignment="0" applyProtection="0"/>
    <xf numFmtId="0" fontId="144" fillId="0" borderId="38" applyNumberFormat="0" applyFill="0" applyAlignment="0" applyProtection="0"/>
    <xf numFmtId="0" fontId="144" fillId="0" borderId="0" applyNumberFormat="0" applyFill="0" applyBorder="0" applyAlignment="0" applyProtection="0"/>
    <xf numFmtId="0" fontId="129" fillId="62" borderId="0" applyNumberFormat="0" applyBorder="0" applyAlignment="0" applyProtection="0"/>
    <xf numFmtId="0" fontId="123" fillId="60" borderId="0" applyNumberFormat="0" applyBorder="0" applyAlignment="0" applyProtection="0"/>
    <xf numFmtId="0" fontId="145" fillId="64" borderId="0" applyNumberFormat="0" applyBorder="0" applyAlignment="0" applyProtection="0"/>
    <xf numFmtId="0" fontId="146" fillId="63" borderId="33" applyNumberFormat="0" applyAlignment="0" applyProtection="0"/>
    <xf numFmtId="0" fontId="147" fillId="68" borderId="39" applyNumberFormat="0" applyAlignment="0" applyProtection="0"/>
    <xf numFmtId="0" fontId="125" fillId="68" borderId="33" applyNumberFormat="0" applyAlignment="0" applyProtection="0"/>
    <xf numFmtId="0" fontId="134" fillId="0" borderId="35" applyNumberFormat="0" applyFill="0" applyAlignment="0" applyProtection="0"/>
    <xf numFmtId="0" fontId="127" fillId="61" borderId="40" applyNumberFormat="0" applyAlignment="0" applyProtection="0"/>
    <xf numFmtId="0" fontId="137" fillId="0" borderId="0" applyNumberFormat="0" applyFill="0" applyBorder="0" applyAlignment="0" applyProtection="0"/>
    <xf numFmtId="0" fontId="128" fillId="0" borderId="0" applyNumberFormat="0" applyFill="0" applyBorder="0" applyAlignment="0" applyProtection="0"/>
    <xf numFmtId="0" fontId="122" fillId="69" borderId="0" applyNumberFormat="0" applyBorder="0" applyAlignment="0" applyProtection="0"/>
    <xf numFmtId="0" fontId="6" fillId="70" borderId="0" applyNumberFormat="0" applyBorder="0" applyAlignment="0" applyProtection="0"/>
    <xf numFmtId="0" fontId="6" fillId="71" borderId="0" applyNumberFormat="0" applyBorder="0" applyAlignment="0" applyProtection="0"/>
    <xf numFmtId="0" fontId="122" fillId="72" borderId="0" applyNumberFormat="0" applyBorder="0" applyAlignment="0" applyProtection="0"/>
    <xf numFmtId="0" fontId="122" fillId="73" borderId="0" applyNumberFormat="0" applyBorder="0" applyAlignment="0" applyProtection="0"/>
    <xf numFmtId="0" fontId="6" fillId="74" borderId="0" applyNumberFormat="0" applyBorder="0" applyAlignment="0" applyProtection="0"/>
    <xf numFmtId="0" fontId="6" fillId="75" borderId="0" applyNumberFormat="0" applyBorder="0" applyAlignment="0" applyProtection="0"/>
    <xf numFmtId="0" fontId="122" fillId="76" borderId="0" applyNumberFormat="0" applyBorder="0" applyAlignment="0" applyProtection="0"/>
    <xf numFmtId="0" fontId="122" fillId="77" borderId="0" applyNumberFormat="0" applyBorder="0" applyAlignment="0" applyProtection="0"/>
    <xf numFmtId="0" fontId="6" fillId="78" borderId="0" applyNumberFormat="0" applyBorder="0" applyAlignment="0" applyProtection="0"/>
    <xf numFmtId="0" fontId="6" fillId="79" borderId="0" applyNumberFormat="0" applyBorder="0" applyAlignment="0" applyProtection="0"/>
    <xf numFmtId="0" fontId="122" fillId="80" borderId="0" applyNumberFormat="0" applyBorder="0" applyAlignment="0" applyProtection="0"/>
    <xf numFmtId="0" fontId="122" fillId="81" borderId="0" applyNumberFormat="0" applyBorder="0" applyAlignment="0" applyProtection="0"/>
    <xf numFmtId="0" fontId="6" fillId="82" borderId="0" applyNumberFormat="0" applyBorder="0" applyAlignment="0" applyProtection="0"/>
    <xf numFmtId="0" fontId="6" fillId="83" borderId="0" applyNumberFormat="0" applyBorder="0" applyAlignment="0" applyProtection="0"/>
    <xf numFmtId="0" fontId="122" fillId="84" borderId="0" applyNumberFormat="0" applyBorder="0" applyAlignment="0" applyProtection="0"/>
    <xf numFmtId="0" fontId="122" fillId="59"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122" fillId="58" borderId="0" applyNumberFormat="0" applyBorder="0" applyAlignment="0" applyProtection="0"/>
    <xf numFmtId="0" fontId="122" fillId="85" borderId="0" applyNumberFormat="0" applyBorder="0" applyAlignment="0" applyProtection="0"/>
    <xf numFmtId="0" fontId="6" fillId="56" borderId="0" applyNumberFormat="0" applyBorder="0" applyAlignment="0" applyProtection="0"/>
    <xf numFmtId="0" fontId="6" fillId="86" borderId="0" applyNumberFormat="0" applyBorder="0" applyAlignment="0" applyProtection="0"/>
    <xf numFmtId="0" fontId="122" fillId="87" borderId="0" applyNumberFormat="0" applyBorder="0" applyAlignment="0" applyProtection="0"/>
    <xf numFmtId="0" fontId="6" fillId="0" borderId="0"/>
    <xf numFmtId="0" fontId="6" fillId="65" borderId="36" applyNumberFormat="0" applyFont="0" applyAlignment="0" applyProtection="0"/>
    <xf numFmtId="0" fontId="136" fillId="0" borderId="44" applyNumberFormat="0" applyFill="0" applyAlignment="0" applyProtection="0"/>
    <xf numFmtId="0" fontId="45" fillId="90" borderId="0"/>
    <xf numFmtId="0" fontId="10" fillId="90" borderId="45">
      <alignment horizontal="right"/>
    </xf>
    <xf numFmtId="0" fontId="29" fillId="0" borderId="0" applyNumberFormat="0" applyFont="0" applyFill="0" applyBorder="0" applyAlignment="0" applyProtection="0"/>
    <xf numFmtId="0" fontId="22" fillId="0" borderId="0" applyNumberFormat="0" applyFont="0" applyFill="0" applyBorder="0" applyAlignment="0" applyProtection="0"/>
    <xf numFmtId="0" fontId="22" fillId="0" borderId="0"/>
    <xf numFmtId="0" fontId="22" fillId="0" borderId="0"/>
    <xf numFmtId="0" fontId="156" fillId="0" borderId="0"/>
    <xf numFmtId="37" fontId="22" fillId="0" borderId="0" applyNumberFormat="0" applyFill="0" applyBorder="0" applyAlignment="0" applyProtection="0"/>
    <xf numFmtId="0" fontId="157" fillId="0" borderId="28" applyNumberFormat="0" applyFont="0" applyFill="0" applyAlignment="0" applyProtection="0"/>
    <xf numFmtId="0" fontId="158" fillId="0" borderId="0" applyNumberFormat="0" applyFill="0" applyBorder="0" applyAlignment="0" applyProtection="0"/>
    <xf numFmtId="0" fontId="7" fillId="0" borderId="0" applyNumberFormat="0" applyFill="0" applyBorder="0" applyAlignment="0" applyProtection="0"/>
    <xf numFmtId="0" fontId="159" fillId="0" borderId="0" applyNumberFormat="0" applyFill="0" applyBorder="0" applyAlignment="0" applyProtection="0"/>
    <xf numFmtId="0" fontId="7" fillId="0" borderId="0" applyNumberFormat="0" applyFill="0" applyBorder="0" applyAlignment="0" applyProtection="0"/>
    <xf numFmtId="0" fontId="160" fillId="0" borderId="46" applyNumberFormat="0" applyFill="0" applyBorder="0" applyAlignment="0" applyProtection="0">
      <alignment horizontal="center"/>
    </xf>
    <xf numFmtId="8" fontId="161" fillId="0" borderId="47">
      <protection locked="0"/>
    </xf>
    <xf numFmtId="0" fontId="162" fillId="0" borderId="0" applyNumberFormat="0">
      <alignment horizontal="right"/>
    </xf>
    <xf numFmtId="191" fontId="157" fillId="0" borderId="0" applyFont="0" applyFill="0" applyBorder="0" applyProtection="0">
      <alignment horizontal="right"/>
    </xf>
    <xf numFmtId="5" fontId="22" fillId="0" borderId="29" applyFont="0" applyFill="0" applyBorder="0" applyAlignment="0" applyProtection="0"/>
    <xf numFmtId="212" fontId="22" fillId="0" borderId="0" applyFont="0" applyFill="0" applyBorder="0" applyAlignment="0" applyProtection="0"/>
    <xf numFmtId="37" fontId="22" fillId="0" borderId="0"/>
    <xf numFmtId="7" fontId="22" fillId="0" borderId="0" applyFont="0" applyFill="0" applyBorder="0" applyAlignment="0" applyProtection="0"/>
    <xf numFmtId="39" fontId="22" fillId="0" borderId="0" applyFont="0" applyFill="0" applyBorder="0" applyAlignment="0" applyProtection="0"/>
    <xf numFmtId="37" fontId="163" fillId="0" borderId="0" applyNumberFormat="0" applyFill="0" applyBorder="0" applyAlignment="0" applyProtection="0"/>
    <xf numFmtId="0" fontId="51" fillId="0" borderId="0" applyNumberFormat="0" applyFill="0" applyBorder="0" applyAlignment="0" applyProtection="0"/>
    <xf numFmtId="0" fontId="164" fillId="0" borderId="0">
      <alignment horizontal="center"/>
    </xf>
    <xf numFmtId="0" fontId="164" fillId="0" borderId="0">
      <alignment horizontal="center"/>
    </xf>
    <xf numFmtId="0" fontId="7" fillId="0" borderId="0" applyNumberFormat="0" applyFill="0" applyBorder="0" applyAlignment="0" applyProtection="0"/>
    <xf numFmtId="0" fontId="21" fillId="0" borderId="0" applyNumberFormat="0" applyFill="0" applyBorder="0" applyAlignment="0" applyProtection="0"/>
    <xf numFmtId="0" fontId="7" fillId="0" borderId="0" applyNumberFormat="0" applyFill="0" applyBorder="0" applyAlignment="0" applyProtection="0"/>
    <xf numFmtId="0" fontId="165" fillId="0" borderId="0"/>
    <xf numFmtId="37" fontId="22" fillId="0" borderId="0" applyFont="0" applyFill="0" applyBorder="0" applyAlignment="0" applyProtection="0"/>
    <xf numFmtId="217" fontId="22" fillId="0" borderId="0" applyFont="0" applyFill="0" applyBorder="0" applyAlignment="0" applyProtection="0"/>
    <xf numFmtId="209" fontId="22" fillId="0" borderId="0" applyFont="0" applyFill="0" applyBorder="0" applyAlignment="0" applyProtection="0"/>
    <xf numFmtId="0" fontId="29" fillId="0" borderId="0"/>
    <xf numFmtId="0" fontId="22" fillId="0" borderId="0" applyNumberFormat="0" applyFont="0" applyFill="0" applyBorder="0" applyAlignment="0" applyProtection="0"/>
    <xf numFmtId="168" fontId="22" fillId="0" borderId="0" applyFont="0" applyFill="0" applyBorder="0" applyAlignment="0" applyProtection="0"/>
    <xf numFmtId="0" fontId="7" fillId="0" borderId="0" applyNumberFormat="0" applyFill="0" applyBorder="0" applyAlignment="0" applyProtection="0"/>
    <xf numFmtId="0" fontId="21" fillId="0" borderId="0" applyNumberFormat="0" applyFill="0" applyBorder="0" applyAlignment="0" applyProtection="0"/>
    <xf numFmtId="0" fontId="159" fillId="0" borderId="0" applyNumberFormat="0" applyFill="0" applyBorder="0" applyAlignment="0" applyProtection="0"/>
    <xf numFmtId="0" fontId="21" fillId="0" borderId="0" applyNumberFormat="0" applyFill="0" applyBorder="0" applyAlignment="0" applyProtection="0"/>
    <xf numFmtId="0" fontId="166" fillId="0" borderId="0" applyNumberFormat="0" applyFill="0" applyBorder="0" applyAlignment="0" applyProtection="0"/>
    <xf numFmtId="0" fontId="7" fillId="0" borderId="0" applyNumberFormat="0" applyFill="0" applyBorder="0" applyAlignment="0" applyProtection="0"/>
    <xf numFmtId="218" fontId="22" fillId="0" borderId="7" applyFont="0" applyFill="0" applyBorder="0" applyAlignment="0" applyProtection="0"/>
    <xf numFmtId="172" fontId="22" fillId="0" borderId="7" applyFont="0" applyFill="0" applyBorder="0" applyAlignment="0" applyProtection="0"/>
    <xf numFmtId="0" fontId="167" fillId="0" borderId="0"/>
    <xf numFmtId="219" fontId="22" fillId="0" borderId="0" applyFont="0" applyFill="0" applyBorder="0" applyAlignment="0" applyProtection="0">
      <alignment horizontal="right"/>
    </xf>
    <xf numFmtId="220" fontId="22" fillId="0" borderId="0" applyFont="0" applyFill="0" applyBorder="0" applyAlignment="0" applyProtection="0"/>
    <xf numFmtId="221" fontId="22" fillId="0" borderId="0" applyFont="0" applyFill="0" applyBorder="0" applyAlignment="0" applyProtection="0"/>
    <xf numFmtId="0" fontId="29" fillId="0" borderId="0">
      <alignment vertical="top"/>
    </xf>
    <xf numFmtId="0" fontId="29" fillId="0" borderId="0">
      <alignment vertical="top"/>
    </xf>
    <xf numFmtId="0" fontId="29" fillId="0" borderId="0">
      <alignment vertical="top"/>
    </xf>
    <xf numFmtId="168" fontId="29" fillId="0" borderId="0">
      <alignment vertical="top"/>
    </xf>
    <xf numFmtId="168" fontId="29" fillId="0" borderId="0">
      <alignment vertical="top"/>
    </xf>
    <xf numFmtId="0" fontId="117" fillId="0" borderId="0" applyFill="0" applyBorder="0" applyProtection="0">
      <alignment horizontal="center" vertical="center"/>
    </xf>
    <xf numFmtId="0" fontId="25" fillId="0" borderId="0" applyFill="0" applyBorder="0" applyProtection="0">
      <alignment horizontal="left"/>
    </xf>
    <xf numFmtId="0" fontId="29" fillId="0" borderId="0">
      <alignment horizontal="center"/>
    </xf>
    <xf numFmtId="0" fontId="59" fillId="0" borderId="0" applyNumberFormat="0" applyFill="0" applyBorder="0" applyAlignment="0" applyProtection="0"/>
    <xf numFmtId="0" fontId="168" fillId="0" borderId="0" applyNumberFormat="0" applyFill="0" applyBorder="0" applyAlignment="0" applyProtection="0"/>
    <xf numFmtId="0" fontId="169" fillId="0" borderId="0" applyNumberFormat="0" applyFill="0" applyBorder="0" applyAlignment="0" applyProtection="0"/>
    <xf numFmtId="0" fontId="117" fillId="0" borderId="0" applyNumberFormat="0" applyFill="0" applyBorder="0" applyAlignment="0" applyProtection="0"/>
    <xf numFmtId="222" fontId="22" fillId="0" borderId="0" applyFont="0" applyFill="0" applyBorder="0" applyAlignment="0" applyProtection="0"/>
    <xf numFmtId="0" fontId="166" fillId="91" borderId="48" applyNumberFormat="0" applyFont="0" applyBorder="0" applyAlignment="0" applyProtection="0">
      <alignment horizontal="right"/>
    </xf>
    <xf numFmtId="44" fontId="22" fillId="0" borderId="0" applyFont="0" applyFill="0" applyBorder="0" applyAlignment="0" applyProtection="0"/>
    <xf numFmtId="0" fontId="22" fillId="0" borderId="0"/>
    <xf numFmtId="0" fontId="6" fillId="0" borderId="0"/>
    <xf numFmtId="43" fontId="6"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0" fontId="6" fillId="70" borderId="0" applyNumberFormat="0" applyBorder="0" applyAlignment="0" applyProtection="0"/>
    <xf numFmtId="0" fontId="6" fillId="71" borderId="0" applyNumberFormat="0" applyBorder="0" applyAlignment="0" applyProtection="0"/>
    <xf numFmtId="0" fontId="6" fillId="74" borderId="0" applyNumberFormat="0" applyBorder="0" applyAlignment="0" applyProtection="0"/>
    <xf numFmtId="0" fontId="6" fillId="75" borderId="0" applyNumberFormat="0" applyBorder="0" applyAlignment="0" applyProtection="0"/>
    <xf numFmtId="0" fontId="6" fillId="78" borderId="0" applyNumberFormat="0" applyBorder="0" applyAlignment="0" applyProtection="0"/>
    <xf numFmtId="0" fontId="6" fillId="79" borderId="0" applyNumberFormat="0" applyBorder="0" applyAlignment="0" applyProtection="0"/>
    <xf numFmtId="0" fontId="6" fillId="82" borderId="0" applyNumberFormat="0" applyBorder="0" applyAlignment="0" applyProtection="0"/>
    <xf numFmtId="0" fontId="6" fillId="83"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6" borderId="0" applyNumberFormat="0" applyBorder="0" applyAlignment="0" applyProtection="0"/>
    <xf numFmtId="0" fontId="6" fillId="86" borderId="0" applyNumberFormat="0" applyBorder="0" applyAlignment="0" applyProtection="0"/>
    <xf numFmtId="43" fontId="6" fillId="0" borderId="0" applyFont="0" applyFill="0" applyBorder="0" applyAlignment="0" applyProtection="0"/>
    <xf numFmtId="0" fontId="6" fillId="65" borderId="36" applyNumberFormat="0" applyFont="0" applyAlignment="0" applyProtection="0"/>
    <xf numFmtId="0" fontId="22" fillId="0" borderId="0"/>
    <xf numFmtId="0" fontId="6" fillId="71" borderId="0" applyNumberFormat="0" applyBorder="0" applyAlignment="0" applyProtection="0"/>
    <xf numFmtId="0" fontId="122" fillId="69" borderId="0" applyNumberFormat="0" applyBorder="0" applyAlignment="0" applyProtection="0"/>
    <xf numFmtId="0" fontId="6" fillId="75" borderId="0" applyNumberFormat="0" applyBorder="0" applyAlignment="0" applyProtection="0"/>
    <xf numFmtId="0" fontId="122" fillId="77" borderId="0" applyNumberFormat="0" applyBorder="0" applyAlignment="0" applyProtection="0"/>
    <xf numFmtId="223" fontId="22" fillId="0" borderId="0" applyFont="0" applyFill="0" applyBorder="0" applyAlignment="0" applyProtection="0"/>
    <xf numFmtId="0" fontId="6" fillId="86" borderId="0" applyNumberFormat="0" applyBorder="0" applyAlignment="0" applyProtection="0"/>
    <xf numFmtId="0" fontId="6" fillId="79" borderId="0" applyNumberFormat="0" applyBorder="0" applyAlignment="0" applyProtection="0"/>
    <xf numFmtId="0" fontId="145" fillId="64" borderId="0" applyNumberFormat="0" applyBorder="0" applyAlignment="0" applyProtection="0"/>
    <xf numFmtId="0" fontId="6" fillId="65" borderId="36" applyNumberFormat="0" applyFont="0" applyAlignment="0" applyProtection="0"/>
    <xf numFmtId="0" fontId="144" fillId="0" borderId="38" applyNumberFormat="0" applyFill="0" applyAlignment="0" applyProtection="0"/>
    <xf numFmtId="0" fontId="122" fillId="73" borderId="0" applyNumberFormat="0" applyBorder="0" applyAlignment="0" applyProtection="0"/>
    <xf numFmtId="0" fontId="142" fillId="0" borderId="37" applyNumberFormat="0" applyFill="0" applyAlignment="0" applyProtection="0"/>
    <xf numFmtId="0" fontId="6" fillId="0" borderId="0"/>
    <xf numFmtId="0" fontId="122" fillId="59" borderId="0" applyNumberFormat="0" applyBorder="0" applyAlignment="0" applyProtection="0"/>
    <xf numFmtId="0" fontId="122" fillId="85" borderId="0" applyNumberFormat="0" applyBorder="0" applyAlignment="0" applyProtection="0"/>
    <xf numFmtId="0" fontId="6" fillId="83" borderId="0" applyNumberFormat="0" applyBorder="0" applyAlignment="0" applyProtection="0"/>
    <xf numFmtId="0" fontId="122" fillId="81" borderId="0" applyNumberFormat="0" applyBorder="0" applyAlignment="0" applyProtection="0"/>
    <xf numFmtId="0" fontId="6" fillId="57" borderId="0" applyNumberFormat="0" applyBorder="0" applyAlignment="0" applyProtection="0"/>
    <xf numFmtId="0" fontId="26" fillId="17" borderId="0" applyNumberFormat="0" applyBorder="0" applyAlignment="0" applyProtection="0"/>
    <xf numFmtId="0" fontId="26" fillId="15" borderId="0" applyNumberFormat="0" applyBorder="0" applyAlignment="0" applyProtection="0"/>
    <xf numFmtId="0" fontId="26" fillId="19"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26" fillId="9" borderId="0" applyNumberFormat="0" applyBorder="0" applyAlignment="0" applyProtection="0"/>
    <xf numFmtId="0" fontId="37" fillId="20" borderId="0" applyNumberFormat="0" applyBorder="0" applyAlignment="0" applyProtection="0"/>
    <xf numFmtId="0" fontId="26" fillId="3" borderId="0" applyNumberFormat="0" applyBorder="0" applyAlignment="0" applyProtection="0"/>
    <xf numFmtId="0" fontId="26" fillId="6" borderId="0" applyNumberFormat="0" applyBorder="0" applyAlignment="0" applyProtection="0"/>
    <xf numFmtId="0" fontId="26" fillId="12" borderId="0" applyNumberFormat="0" applyBorder="0" applyAlignment="0" applyProtection="0"/>
    <xf numFmtId="0" fontId="26" fillId="11" borderId="0" applyNumberFormat="0" applyBorder="0" applyAlignment="0" applyProtection="0"/>
    <xf numFmtId="0" fontId="26" fillId="11" borderId="0" applyNumberFormat="0" applyBorder="0" applyAlignment="0" applyProtection="0"/>
    <xf numFmtId="0" fontId="26" fillId="7" borderId="0" applyNumberFormat="0" applyBorder="0" applyAlignment="0" applyProtection="0"/>
    <xf numFmtId="0" fontId="89" fillId="0" borderId="14" applyNumberFormat="0" applyFill="0" applyAlignment="0" applyProtection="0"/>
    <xf numFmtId="0" fontId="58" fillId="0" borderId="12" applyNumberFormat="0" applyFill="0" applyAlignment="0" applyProtection="0"/>
    <xf numFmtId="0" fontId="147" fillId="68" borderId="39" applyNumberFormat="0" applyAlignment="0" applyProtection="0"/>
    <xf numFmtId="0" fontId="22" fillId="10" borderId="15" applyNumberFormat="0" applyFont="0" applyAlignment="0" applyProtection="0"/>
    <xf numFmtId="0" fontId="84" fillId="6" borderId="0" applyNumberFormat="0" applyBorder="0" applyAlignment="0" applyProtection="0"/>
    <xf numFmtId="0" fontId="85" fillId="9" borderId="0" applyNumberFormat="0" applyBorder="0" applyAlignment="0" applyProtection="0"/>
    <xf numFmtId="0" fontId="170" fillId="7" borderId="2" applyNumberFormat="0" applyAlignment="0" applyProtection="0"/>
    <xf numFmtId="0" fontId="90" fillId="0" borderId="24" applyNumberFormat="0" applyFill="0" applyAlignment="0" applyProtection="0"/>
    <xf numFmtId="0" fontId="105" fillId="18" borderId="0" applyNumberFormat="0" applyBorder="0" applyAlignment="0" applyProtection="0"/>
    <xf numFmtId="0" fontId="122" fillId="87" borderId="0" applyNumberFormat="0" applyBorder="0" applyAlignment="0" applyProtection="0"/>
    <xf numFmtId="0" fontId="127" fillId="61" borderId="40" applyNumberFormat="0" applyAlignment="0" applyProtection="0"/>
    <xf numFmtId="0" fontId="144" fillId="0" borderId="0" applyNumberFormat="0" applyFill="0" applyBorder="0" applyAlignment="0" applyProtection="0"/>
    <xf numFmtId="0" fontId="122" fillId="76" borderId="0" applyNumberFormat="0" applyBorder="0" applyAlignment="0" applyProtection="0"/>
    <xf numFmtId="0" fontId="6" fillId="82" borderId="0" applyNumberFormat="0" applyBorder="0" applyAlignment="0" applyProtection="0"/>
    <xf numFmtId="0" fontId="6" fillId="55" borderId="0" applyNumberFormat="0" applyBorder="0" applyAlignment="0" applyProtection="0"/>
    <xf numFmtId="0" fontId="6" fillId="74" borderId="0" applyNumberFormat="0" applyBorder="0" applyAlignment="0" applyProtection="0"/>
    <xf numFmtId="0" fontId="122" fillId="72" borderId="0" applyNumberFormat="0" applyBorder="0" applyAlignment="0" applyProtection="0"/>
    <xf numFmtId="0" fontId="125" fillId="68" borderId="33" applyNumberFormat="0" applyAlignment="0" applyProtection="0"/>
    <xf numFmtId="0" fontId="122" fillId="84" borderId="0" applyNumberFormat="0" applyBorder="0" applyAlignment="0" applyProtection="0"/>
    <xf numFmtId="0" fontId="141" fillId="0" borderId="0" applyNumberFormat="0" applyFill="0" applyBorder="0" applyAlignment="0" applyProtection="0"/>
    <xf numFmtId="0" fontId="122" fillId="80" borderId="0" applyNumberFormat="0" applyBorder="0" applyAlignment="0" applyProtection="0"/>
    <xf numFmtId="0" fontId="146" fillId="63" borderId="33" applyNumberFormat="0" applyAlignment="0" applyProtection="0"/>
    <xf numFmtId="0" fontId="136" fillId="0" borderId="44" applyNumberFormat="0" applyFill="0" applyAlignment="0" applyProtection="0"/>
    <xf numFmtId="0" fontId="6" fillId="78" borderId="0" applyNumberFormat="0" applyBorder="0" applyAlignment="0" applyProtection="0"/>
    <xf numFmtId="0" fontId="6" fillId="70" borderId="0" applyNumberFormat="0" applyBorder="0" applyAlignment="0" applyProtection="0"/>
    <xf numFmtId="0" fontId="6" fillId="56" borderId="0" applyNumberFormat="0" applyBorder="0" applyAlignment="0" applyProtection="0"/>
    <xf numFmtId="0" fontId="143" fillId="0" borderId="34" applyNumberFormat="0" applyFill="0" applyAlignment="0" applyProtection="0"/>
    <xf numFmtId="0" fontId="141" fillId="0" borderId="0" applyNumberFormat="0" applyFill="0" applyBorder="0" applyAlignment="0" applyProtection="0"/>
    <xf numFmtId="0" fontId="160" fillId="0" borderId="46" applyNumberFormat="0" applyFill="0" applyBorder="0" applyAlignment="0" applyProtection="0">
      <alignment horizontal="center"/>
    </xf>
    <xf numFmtId="43" fontId="22" fillId="0" borderId="0" applyFont="0" applyFill="0" applyBorder="0" applyAlignment="0" applyProtection="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29" fillId="0" borderId="0"/>
    <xf numFmtId="0" fontId="6" fillId="70" borderId="0" applyNumberFormat="0" applyBorder="0" applyAlignment="0" applyProtection="0"/>
    <xf numFmtId="0" fontId="6" fillId="71" borderId="0" applyNumberFormat="0" applyBorder="0" applyAlignment="0" applyProtection="0"/>
    <xf numFmtId="0" fontId="6" fillId="74" borderId="0" applyNumberFormat="0" applyBorder="0" applyAlignment="0" applyProtection="0"/>
    <xf numFmtId="0" fontId="6" fillId="75" borderId="0" applyNumberFormat="0" applyBorder="0" applyAlignment="0" applyProtection="0"/>
    <xf numFmtId="0" fontId="6" fillId="78" borderId="0" applyNumberFormat="0" applyBorder="0" applyAlignment="0" applyProtection="0"/>
    <xf numFmtId="0" fontId="6" fillId="79" borderId="0" applyNumberFormat="0" applyBorder="0" applyAlignment="0" applyProtection="0"/>
    <xf numFmtId="0" fontId="6" fillId="82" borderId="0" applyNumberFormat="0" applyBorder="0" applyAlignment="0" applyProtection="0"/>
    <xf numFmtId="0" fontId="6" fillId="83"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6" borderId="0" applyNumberFormat="0" applyBorder="0" applyAlignment="0" applyProtection="0"/>
    <xf numFmtId="0" fontId="6" fillId="86" borderId="0" applyNumberFormat="0" applyBorder="0" applyAlignment="0" applyProtection="0"/>
    <xf numFmtId="0" fontId="6" fillId="65" borderId="36" applyNumberFormat="0" applyFont="0" applyAlignment="0" applyProtection="0"/>
    <xf numFmtId="0" fontId="22" fillId="0" borderId="0"/>
    <xf numFmtId="0" fontId="22" fillId="0" borderId="0"/>
    <xf numFmtId="0" fontId="6" fillId="0" borderId="0"/>
    <xf numFmtId="0" fontId="22" fillId="0" borderId="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6" fillId="0" borderId="0"/>
    <xf numFmtId="0" fontId="141" fillId="0" borderId="0" applyNumberFormat="0" applyFill="0" applyBorder="0" applyAlignment="0" applyProtection="0"/>
    <xf numFmtId="0" fontId="160" fillId="0" borderId="46" applyNumberFormat="0" applyFill="0" applyBorder="0" applyAlignment="0" applyProtection="0">
      <alignment horizontal="center"/>
    </xf>
    <xf numFmtId="0" fontId="6" fillId="0" borderId="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6" fillId="0" borderId="0"/>
    <xf numFmtId="0" fontId="6" fillId="0" borderId="0"/>
    <xf numFmtId="0" fontId="160" fillId="0" borderId="46" applyNumberFormat="0" applyFill="0" applyBorder="0" applyAlignment="0" applyProtection="0">
      <alignment horizontal="center"/>
    </xf>
    <xf numFmtId="0" fontId="171" fillId="0" borderId="0" applyNumberFormat="0" applyFill="0" applyBorder="0" applyAlignment="0" applyProtection="0"/>
    <xf numFmtId="0" fontId="171" fillId="0" borderId="0" applyNumberFormat="0" applyFill="0" applyBorder="0" applyAlignment="0" applyProtection="0"/>
    <xf numFmtId="43" fontId="6" fillId="0" borderId="0" applyFont="0" applyFill="0" applyBorder="0" applyAlignment="0" applyProtection="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22" fillId="0" borderId="0"/>
    <xf numFmtId="0" fontId="22" fillId="0" borderId="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22" fillId="0" borderId="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22" fillId="0" borderId="0"/>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160" fillId="0" borderId="46" applyNumberFormat="0" applyFill="0" applyBorder="0" applyAlignment="0" applyProtection="0">
      <alignment horizontal="center"/>
    </xf>
    <xf numFmtId="0" fontId="26" fillId="0" borderId="0"/>
    <xf numFmtId="9" fontId="175" fillId="0" borderId="0">
      <alignment horizontal="right"/>
    </xf>
    <xf numFmtId="225" fontId="176" fillId="0" borderId="0">
      <alignment horizontal="right"/>
    </xf>
    <xf numFmtId="44" fontId="29" fillId="0" borderId="0" applyFont="0" applyFill="0" applyBorder="0" applyAlignment="0" applyProtection="0"/>
    <xf numFmtId="42" fontId="29" fillId="0" borderId="0" applyFont="0" applyFill="0" applyBorder="0" applyAlignment="0" applyProtection="0"/>
    <xf numFmtId="226" fontId="34" fillId="0" borderId="0" applyFont="0" applyFill="0" applyBorder="0" applyAlignment="0" applyProtection="0"/>
    <xf numFmtId="226" fontId="34" fillId="0" borderId="0" applyFont="0" applyFill="0" applyBorder="0" applyAlignment="0" applyProtection="0"/>
    <xf numFmtId="226" fontId="34" fillId="0" borderId="0" applyFont="0" applyFill="0" applyBorder="0" applyAlignment="0" applyProtection="0"/>
    <xf numFmtId="226" fontId="34" fillId="0" borderId="0" applyFont="0" applyFill="0" applyBorder="0" applyAlignment="0" applyProtection="0"/>
    <xf numFmtId="226" fontId="34" fillId="0" borderId="0" applyFont="0" applyFill="0" applyBorder="0" applyAlignment="0" applyProtection="0"/>
    <xf numFmtId="226" fontId="34" fillId="0" borderId="0" applyFont="0" applyFill="0" applyBorder="0" applyAlignment="0" applyProtection="0"/>
    <xf numFmtId="227" fontId="34" fillId="0" borderId="0" applyFont="0" applyFill="0" applyBorder="0" applyAlignment="0" applyProtection="0"/>
    <xf numFmtId="227" fontId="34" fillId="0" borderId="0" applyFont="0" applyFill="0" applyBorder="0" applyAlignment="0" applyProtection="0"/>
    <xf numFmtId="227" fontId="34" fillId="0" borderId="0" applyFont="0" applyFill="0" applyBorder="0" applyAlignment="0" applyProtection="0"/>
    <xf numFmtId="227" fontId="34" fillId="0" borderId="0" applyFont="0" applyFill="0" applyBorder="0" applyAlignment="0" applyProtection="0"/>
    <xf numFmtId="227" fontId="34" fillId="0" borderId="0" applyFont="0" applyFill="0" applyBorder="0" applyAlignment="0" applyProtection="0"/>
    <xf numFmtId="227" fontId="34" fillId="0" borderId="0" applyFont="0" applyFill="0" applyBorder="0" applyAlignment="0" applyProtection="0"/>
    <xf numFmtId="0" fontId="177" fillId="0" borderId="0"/>
    <xf numFmtId="0" fontId="29" fillId="0" borderId="0"/>
    <xf numFmtId="0" fontId="61" fillId="0" borderId="0"/>
    <xf numFmtId="0" fontId="61" fillId="0" borderId="0"/>
    <xf numFmtId="9" fontId="22" fillId="0" borderId="0"/>
    <xf numFmtId="9" fontId="22" fillId="0" borderId="0"/>
    <xf numFmtId="9" fontId="22" fillId="0" borderId="0"/>
    <xf numFmtId="9" fontId="22" fillId="0" borderId="0"/>
    <xf numFmtId="9" fontId="22" fillId="0" borderId="0"/>
    <xf numFmtId="9" fontId="22" fillId="0" borderId="0"/>
    <xf numFmtId="9" fontId="22" fillId="0" borderId="0"/>
    <xf numFmtId="9" fontId="22" fillId="0" borderId="0"/>
    <xf numFmtId="169" fontId="61" fillId="0" borderId="0"/>
    <xf numFmtId="169" fontId="61" fillId="0" borderId="0"/>
    <xf numFmtId="170" fontId="61" fillId="0" borderId="0"/>
    <xf numFmtId="170" fontId="61" fillId="0" borderId="0"/>
    <xf numFmtId="0" fontId="61" fillId="0" borderId="0"/>
    <xf numFmtId="2" fontId="61" fillId="0" borderId="0"/>
    <xf numFmtId="2" fontId="61" fillId="0" borderId="0"/>
    <xf numFmtId="10" fontId="61" fillId="0" borderId="0"/>
    <xf numFmtId="10" fontId="61" fillId="0" borderId="0"/>
    <xf numFmtId="168" fontId="22" fillId="0" borderId="0"/>
    <xf numFmtId="168" fontId="22" fillId="0" borderId="0"/>
    <xf numFmtId="168" fontId="22" fillId="0" borderId="0"/>
    <xf numFmtId="168" fontId="22" fillId="0" borderId="0"/>
    <xf numFmtId="168" fontId="22" fillId="0" borderId="0"/>
    <xf numFmtId="168" fontId="22" fillId="0" borderId="0"/>
    <xf numFmtId="168" fontId="22" fillId="0" borderId="0"/>
    <xf numFmtId="168" fontId="22" fillId="0" borderId="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24" borderId="0" applyNumberFormat="0" applyBorder="0" applyAlignment="0" applyProtection="0"/>
    <xf numFmtId="0" fontId="26" fillId="24"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17"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39"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93"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7"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26" fillId="10"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17"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93"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37" fontId="167" fillId="0" borderId="0">
      <alignment horizontal="center"/>
    </xf>
    <xf numFmtId="228" fontId="178" fillId="0" borderId="0" applyNumberFormat="0" applyFill="0" applyProtection="0"/>
    <xf numFmtId="168" fontId="179" fillId="43" borderId="0" applyFont="0" applyBorder="0"/>
    <xf numFmtId="0" fontId="30" fillId="95" borderId="0"/>
    <xf numFmtId="168" fontId="179" fillId="96" borderId="0" applyNumberFormat="0" applyFont="0" applyBorder="0" applyAlignment="0" applyProtection="0"/>
    <xf numFmtId="168" fontId="39" fillId="97" borderId="0" applyNumberFormat="0" applyFont="0" applyBorder="0" applyAlignment="0" applyProtection="0"/>
    <xf numFmtId="168" fontId="39" fillId="97" borderId="0" applyNumberFormat="0" applyFont="0" applyBorder="0" applyAlignment="0" applyProtection="0"/>
    <xf numFmtId="168" fontId="7" fillId="98" borderId="0" applyBorder="0"/>
    <xf numFmtId="168" fontId="22" fillId="0" borderId="52" applyNumberFormat="0" applyBorder="0" applyAlignment="0" applyProtection="0"/>
    <xf numFmtId="168" fontId="22" fillId="0" borderId="52" applyNumberFormat="0" applyBorder="0" applyAlignment="0" applyProtection="0"/>
    <xf numFmtId="168" fontId="22" fillId="0" borderId="52" applyNumberFormat="0" applyBorder="0" applyAlignment="0" applyProtection="0"/>
    <xf numFmtId="168" fontId="22" fillId="0" borderId="52" applyNumberFormat="0" applyBorder="0" applyAlignment="0" applyProtection="0"/>
    <xf numFmtId="168" fontId="22" fillId="0" borderId="52" applyNumberFormat="0" applyBorder="0" applyAlignment="0" applyProtection="0"/>
    <xf numFmtId="168" fontId="22" fillId="0" borderId="52" applyNumberFormat="0" applyBorder="0" applyAlignment="0" applyProtection="0"/>
    <xf numFmtId="208" fontId="175" fillId="0" borderId="0" applyBorder="0">
      <alignment horizontal="right"/>
    </xf>
    <xf numFmtId="208" fontId="7" fillId="0" borderId="52" applyBorder="0">
      <alignment horizontal="right"/>
    </xf>
    <xf numFmtId="170" fontId="180" fillId="0" borderId="0" applyBorder="0">
      <alignment horizontal="right"/>
    </xf>
    <xf numFmtId="170" fontId="181" fillId="0" borderId="52" applyBorder="0">
      <alignment horizontal="right"/>
    </xf>
    <xf numFmtId="168" fontId="182" fillId="0" borderId="0">
      <alignment horizontal="left" indent="1"/>
    </xf>
    <xf numFmtId="168" fontId="183" fillId="0" borderId="6" applyBorder="0"/>
    <xf numFmtId="168" fontId="179" fillId="99" borderId="52" applyNumberFormat="0" applyFont="0" applyBorder="0" applyAlignment="0" applyProtection="0"/>
    <xf numFmtId="208" fontId="117" fillId="100" borderId="6" applyBorder="0">
      <alignment horizontal="right"/>
    </xf>
    <xf numFmtId="208" fontId="117" fillId="0" borderId="6" applyBorder="0">
      <alignment horizontal="right"/>
    </xf>
    <xf numFmtId="168" fontId="184" fillId="0" borderId="52" applyNumberFormat="0" applyBorder="0" applyAlignment="0" applyProtection="0"/>
    <xf numFmtId="0" fontId="117" fillId="43" borderId="53" applyBorder="0">
      <alignment horizontal="center"/>
    </xf>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101"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94"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37" fillId="22"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33"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37" fillId="20"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24" borderId="0" applyNumberFormat="0" applyBorder="0" applyAlignment="0" applyProtection="0"/>
    <xf numFmtId="0" fontId="37" fillId="24"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229" fontId="60" fillId="0" borderId="0" applyFont="0" applyFill="0" applyBorder="0" applyAlignment="0" applyProtection="0"/>
    <xf numFmtId="183" fontId="43" fillId="37" borderId="0" applyNumberFormat="0" applyFont="0" applyBorder="0" applyAlignment="0">
      <alignment horizontal="right"/>
    </xf>
    <xf numFmtId="184" fontId="33" fillId="37" borderId="1" applyFont="0">
      <alignment horizontal="right"/>
    </xf>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22" fillId="0" borderId="0" applyFill="0"/>
    <xf numFmtId="0" fontId="22" fillId="0" borderId="0" applyFill="0"/>
    <xf numFmtId="0" fontId="22" fillId="0" borderId="0" applyFill="0"/>
    <xf numFmtId="0" fontId="22" fillId="0" borderId="0" applyFill="0"/>
    <xf numFmtId="0" fontId="157" fillId="0" borderId="0">
      <alignment horizontal="center" wrapText="1"/>
      <protection locked="0"/>
    </xf>
    <xf numFmtId="0" fontId="157" fillId="0" borderId="0">
      <alignment horizontal="center" wrapText="1"/>
      <protection locked="0"/>
    </xf>
    <xf numFmtId="230" fontId="22" fillId="0" borderId="0" applyFont="0" applyFill="0" applyBorder="0" applyAlignment="0" applyProtection="0"/>
    <xf numFmtId="228" fontId="22" fillId="0" borderId="0" applyFont="0" applyFill="0" applyBorder="0" applyAlignment="0" applyProtection="0"/>
    <xf numFmtId="228" fontId="185" fillId="0" borderId="0" applyNumberFormat="0" applyFill="0" applyBorder="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0" fontId="186" fillId="6" borderId="0" applyNumberFormat="0" applyBorder="0" applyAlignment="0" applyProtection="0"/>
    <xf numFmtId="1" fontId="187" fillId="102" borderId="21" applyNumberFormat="0" applyBorder="0" applyAlignment="0">
      <alignment horizontal="center" vertical="top" wrapText="1"/>
      <protection hidden="1"/>
    </xf>
    <xf numFmtId="0" fontId="188" fillId="0" borderId="0" applyNumberFormat="0" applyFill="0" applyBorder="0" applyAlignment="0"/>
    <xf numFmtId="0" fontId="29" fillId="92" borderId="0"/>
    <xf numFmtId="0" fontId="189" fillId="0" borderId="46" applyNumberFormat="0" applyFill="0" applyAlignment="0" applyProtection="0"/>
    <xf numFmtId="228" fontId="190" fillId="0" borderId="0" applyNumberFormat="0" applyFill="0" applyBorder="0" applyAlignment="0" applyProtection="0"/>
    <xf numFmtId="231" fontId="34" fillId="0" borderId="0" applyFont="0" applyFill="0" applyBorder="0" applyAlignment="0" applyProtection="0"/>
    <xf numFmtId="231" fontId="34" fillId="0" borderId="0" applyFont="0" applyFill="0" applyBorder="0" applyAlignment="0" applyProtection="0"/>
    <xf numFmtId="231" fontId="34" fillId="0" borderId="0" applyFont="0" applyFill="0" applyBorder="0" applyAlignment="0" applyProtection="0"/>
    <xf numFmtId="231" fontId="34" fillId="0" borderId="0" applyFont="0" applyFill="0" applyBorder="0" applyAlignment="0" applyProtection="0"/>
    <xf numFmtId="231" fontId="34" fillId="0" borderId="0" applyFont="0" applyFill="0" applyBorder="0" applyAlignment="0" applyProtection="0"/>
    <xf numFmtId="231" fontId="34" fillId="0" borderId="0" applyFont="0" applyFill="0" applyBorder="0" applyAlignment="0" applyProtection="0"/>
    <xf numFmtId="38" fontId="25" fillId="0" borderId="0" applyFont="0" applyBorder="0" applyAlignment="0">
      <alignment horizontal="centerContinuous"/>
    </xf>
    <xf numFmtId="38" fontId="25" fillId="0" borderId="0" applyFont="0" applyBorder="0" applyAlignment="0">
      <alignment horizontal="centerContinuous"/>
    </xf>
    <xf numFmtId="38" fontId="25" fillId="0" borderId="0" applyFont="0" applyBorder="0" applyAlignment="0">
      <alignment horizontal="centerContinuous"/>
    </xf>
    <xf numFmtId="38" fontId="25" fillId="0" borderId="0" applyFont="0" applyBorder="0" applyAlignment="0">
      <alignment horizontal="centerContinuous"/>
    </xf>
    <xf numFmtId="38" fontId="25" fillId="0" borderId="0" applyFont="0" applyBorder="0" applyAlignment="0">
      <alignment horizontal="centerContinuous"/>
    </xf>
    <xf numFmtId="38" fontId="25" fillId="0" borderId="0" applyFont="0" applyBorder="0" applyAlignment="0">
      <alignment horizontal="centerContinuous"/>
    </xf>
    <xf numFmtId="0" fontId="191" fillId="0" borderId="0"/>
    <xf numFmtId="0" fontId="7" fillId="0" borderId="0"/>
    <xf numFmtId="2" fontId="7" fillId="38" borderId="0" applyNumberFormat="0" applyFont="0" applyBorder="0" applyAlignment="0" applyProtection="0"/>
    <xf numFmtId="2" fontId="7" fillId="38" borderId="0" applyNumberFormat="0" applyFont="0" applyBorder="0" applyAlignment="0" applyProtection="0"/>
    <xf numFmtId="2" fontId="7" fillId="38" borderId="0" applyNumberFormat="0" applyFont="0" applyBorder="0" applyAlignment="0" applyProtection="0"/>
    <xf numFmtId="2" fontId="7" fillId="38" borderId="0" applyNumberFormat="0" applyFont="0" applyBorder="0" applyAlignment="0" applyProtection="0"/>
    <xf numFmtId="2" fontId="7" fillId="38" borderId="0" applyNumberFormat="0" applyFont="0" applyBorder="0" applyAlignment="0" applyProtection="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2" fillId="14" borderId="2" applyNumberFormat="0" applyAlignment="0" applyProtection="0"/>
    <xf numFmtId="0" fontId="193"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76" fillId="0" borderId="0">
      <alignment horizontal="right"/>
    </xf>
    <xf numFmtId="1" fontId="195" fillId="0" borderId="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45" fillId="103" borderId="4" applyNumberFormat="0" applyAlignment="0" applyProtection="0"/>
    <xf numFmtId="0" fontId="194" fillId="0" borderId="0"/>
    <xf numFmtId="0" fontId="194" fillId="0" borderId="0"/>
    <xf numFmtId="0" fontId="194" fillId="0" borderId="0"/>
    <xf numFmtId="0" fontId="194" fillId="0" borderId="0"/>
    <xf numFmtId="0" fontId="21" fillId="0" borderId="0" applyNumberFormat="0" applyFill="0" applyBorder="0" applyProtection="0">
      <alignment wrapText="1"/>
    </xf>
    <xf numFmtId="0" fontId="21" fillId="0" borderId="0" applyNumberFormat="0" applyFill="0" applyBorder="0" applyProtection="0">
      <alignment wrapText="1"/>
    </xf>
    <xf numFmtId="0" fontId="21" fillId="0" borderId="0" applyNumberFormat="0" applyFill="0" applyBorder="0" applyProtection="0">
      <alignment wrapText="1"/>
    </xf>
    <xf numFmtId="0" fontId="21" fillId="0" borderId="0" applyNumberFormat="0" applyFill="0" applyBorder="0" applyProtection="0">
      <alignment wrapText="1"/>
    </xf>
    <xf numFmtId="0" fontId="21" fillId="0" borderId="0" applyNumberFormat="0" applyFill="0" applyBorder="0" applyProtection="0">
      <alignment wrapText="1"/>
    </xf>
    <xf numFmtId="0" fontId="21" fillId="0" borderId="0" applyNumberFormat="0" applyFill="0" applyBorder="0" applyProtection="0">
      <alignment wrapText="1"/>
    </xf>
    <xf numFmtId="0" fontId="59" fillId="0" borderId="0" applyNumberFormat="0" applyFill="0" applyBorder="0" applyProtection="0">
      <alignment wrapText="1"/>
    </xf>
    <xf numFmtId="0" fontId="59" fillId="0" borderId="0" applyNumberFormat="0" applyFill="0" applyBorder="0" applyProtection="0">
      <alignment wrapText="1"/>
    </xf>
    <xf numFmtId="0" fontId="21" fillId="0" borderId="0" applyNumberFormat="0" applyFill="0" applyBorder="0" applyProtection="0">
      <alignment horizontal="center" wrapText="1"/>
    </xf>
    <xf numFmtId="0" fontId="21" fillId="0" borderId="0" applyNumberFormat="0" applyFill="0" applyBorder="0" applyProtection="0">
      <alignment horizontal="center" wrapText="1"/>
    </xf>
    <xf numFmtId="0" fontId="21" fillId="0" borderId="0" applyNumberFormat="0" applyFill="0" applyBorder="0" applyProtection="0">
      <alignment horizontal="center" wrapText="1"/>
    </xf>
    <xf numFmtId="0" fontId="21" fillId="0" borderId="0" applyNumberFormat="0" applyFill="0" applyBorder="0" applyProtection="0">
      <alignment horizontal="center" wrapText="1"/>
    </xf>
    <xf numFmtId="0" fontId="21" fillId="0" borderId="0" applyNumberFormat="0" applyFill="0" applyBorder="0" applyProtection="0">
      <alignment horizontal="center" wrapText="1"/>
    </xf>
    <xf numFmtId="0" fontId="21" fillId="0" borderId="0" applyNumberFormat="0" applyFill="0" applyBorder="0" applyProtection="0">
      <alignment horizontal="center" wrapText="1"/>
    </xf>
    <xf numFmtId="169" fontId="21" fillId="0" borderId="0" applyBorder="0">
      <alignment horizontal="right"/>
    </xf>
    <xf numFmtId="169" fontId="21" fillId="0" borderId="28" applyAlignment="0">
      <alignment horizontal="right"/>
    </xf>
    <xf numFmtId="233" fontId="196" fillId="0" borderId="0"/>
    <xf numFmtId="233" fontId="196" fillId="0" borderId="0"/>
    <xf numFmtId="233" fontId="196" fillId="0" borderId="0"/>
    <xf numFmtId="233" fontId="196" fillId="0" borderId="0"/>
    <xf numFmtId="233" fontId="196" fillId="0" borderId="0"/>
    <xf numFmtId="233" fontId="196" fillId="0" borderId="0"/>
    <xf numFmtId="233" fontId="196" fillId="0" borderId="0"/>
    <xf numFmtId="233" fontId="196" fillId="0" borderId="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234" fontId="22" fillId="0" borderId="0" applyFont="0" applyFill="0" applyBorder="0" applyAlignment="0" applyProtection="0"/>
    <xf numFmtId="0" fontId="46" fillId="0" borderId="0" applyFont="0" applyFill="0" applyBorder="0" applyAlignment="0" applyProtection="0">
      <alignment horizontal="right"/>
    </xf>
    <xf numFmtId="0" fontId="46" fillId="0" borderId="0" applyFont="0" applyFill="0" applyBorder="0" applyAlignment="0" applyProtection="0"/>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40" fontId="61" fillId="0" borderId="0" applyFont="0" applyFill="0" applyBorder="0" applyAlignment="0" applyProtection="0"/>
    <xf numFmtId="40" fontId="61"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3" fontId="22" fillId="0" borderId="0" applyFont="0" applyFill="0" applyBorder="0" applyAlignment="0" applyProtection="0"/>
    <xf numFmtId="0" fontId="197" fillId="0" borderId="0"/>
    <xf numFmtId="0" fontId="197" fillId="0" borderId="0"/>
    <xf numFmtId="0" fontId="28" fillId="0" borderId="0" applyFill="0" applyBorder="0">
      <alignment horizontal="left"/>
    </xf>
    <xf numFmtId="0" fontId="28" fillId="0" borderId="0" applyFill="0" applyBorder="0">
      <alignment horizontal="left"/>
    </xf>
    <xf numFmtId="0" fontId="28" fillId="0" borderId="0" applyFill="0" applyBorder="0">
      <alignment horizontal="left"/>
    </xf>
    <xf numFmtId="0" fontId="28" fillId="0" borderId="0" applyFill="0" applyBorder="0">
      <alignment horizontal="left"/>
    </xf>
    <xf numFmtId="0" fontId="28" fillId="0" borderId="0" applyFill="0" applyBorder="0">
      <alignment horizontal="left"/>
    </xf>
    <xf numFmtId="0" fontId="28" fillId="0" borderId="0" applyFill="0" applyBorder="0">
      <alignment horizontal="left"/>
    </xf>
    <xf numFmtId="0" fontId="29" fillId="0" borderId="0">
      <alignment horizontal="center"/>
    </xf>
    <xf numFmtId="0" fontId="29" fillId="0" borderId="0">
      <alignment horizontal="center"/>
    </xf>
    <xf numFmtId="0" fontId="29" fillId="0" borderId="0">
      <alignment horizontal="center"/>
    </xf>
    <xf numFmtId="0" fontId="29" fillId="0" borderId="0">
      <alignment horizontal="center"/>
    </xf>
    <xf numFmtId="0" fontId="29" fillId="0" borderId="0">
      <alignment horizontal="center"/>
    </xf>
    <xf numFmtId="0" fontId="29" fillId="0" borderId="0">
      <alignment horizontal="center"/>
    </xf>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232" fontId="22" fillId="0" borderId="0" applyFont="0" applyFill="0" applyBorder="0" applyAlignment="0" applyProtection="0"/>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0" fontId="46" fillId="0" borderId="0" applyFont="0" applyFill="0" applyBorder="0" applyAlignment="0" applyProtection="0">
      <alignment horizontal="right"/>
    </xf>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5"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6" fontId="22" fillId="0" borderId="0" applyFont="0" applyFill="0" applyBorder="0" applyAlignment="0" applyProtection="0"/>
    <xf numFmtId="237" fontId="22" fillId="43" borderId="0" applyFont="0" applyBorder="0"/>
    <xf numFmtId="237" fontId="22" fillId="43" borderId="0" applyFont="0" applyBorder="0"/>
    <xf numFmtId="237" fontId="22" fillId="43" borderId="0" applyFont="0" applyBorder="0"/>
    <xf numFmtId="237" fontId="22" fillId="43" borderId="0" applyFont="0" applyBorder="0"/>
    <xf numFmtId="237" fontId="22" fillId="43" borderId="0" applyFont="0" applyBorder="0"/>
    <xf numFmtId="237" fontId="22" fillId="43" borderId="0" applyFont="0" applyBorder="0"/>
    <xf numFmtId="237" fontId="22" fillId="43" borderId="0" applyFont="0" applyBorder="0"/>
    <xf numFmtId="237" fontId="22" fillId="43" borderId="0" applyFont="0" applyBorder="0"/>
    <xf numFmtId="228" fontId="198" fillId="0" borderId="1" applyNumberFormat="0" applyFill="0" applyBorder="0" applyProtection="0"/>
    <xf numFmtId="238" fontId="34" fillId="0" borderId="0" applyFont="0" applyFill="0" applyBorder="0" applyAlignment="0" applyProtection="0"/>
    <xf numFmtId="238" fontId="34" fillId="0" borderId="0" applyFont="0" applyFill="0" applyBorder="0" applyAlignment="0" applyProtection="0"/>
    <xf numFmtId="238" fontId="34" fillId="0" borderId="0" applyFont="0" applyFill="0" applyBorder="0" applyAlignment="0" applyProtection="0"/>
    <xf numFmtId="238" fontId="34" fillId="0" borderId="0" applyFont="0" applyFill="0" applyBorder="0" applyAlignment="0" applyProtection="0"/>
    <xf numFmtId="238" fontId="34" fillId="0" borderId="0" applyFont="0" applyFill="0" applyBorder="0" applyAlignment="0" applyProtection="0"/>
    <xf numFmtId="238" fontId="34"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14" fontId="22" fillId="0" borderId="0" applyFont="0" applyFill="0" applyBorder="0" applyAlignment="0" applyProtection="0"/>
    <xf numFmtId="0" fontId="46" fillId="0" borderId="0" applyFont="0" applyFill="0" applyBorder="0" applyAlignment="0" applyProtection="0"/>
    <xf numFmtId="239" fontId="25" fillId="0" borderId="27" applyFont="0" applyFill="0" applyBorder="0" applyAlignment="0" applyProtection="0">
      <alignment horizontal="right"/>
      <protection locked="0"/>
    </xf>
    <xf numFmtId="14" fontId="20" fillId="0" borderId="0" applyFill="0" applyBorder="0" applyAlignment="0"/>
    <xf numFmtId="14" fontId="25" fillId="0" borderId="1" applyFont="0">
      <alignment horizontal="right"/>
    </xf>
    <xf numFmtId="0" fontId="29"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57" fillId="0" borderId="0"/>
    <xf numFmtId="240" fontId="176" fillId="0" borderId="0">
      <alignment horizontal="right"/>
    </xf>
    <xf numFmtId="0" fontId="157" fillId="0" borderId="0"/>
    <xf numFmtId="241" fontId="30" fillId="0" borderId="0" applyFont="0" applyFill="0" applyBorder="0" applyAlignment="0" applyProtection="0">
      <alignment horizontal="right"/>
    </xf>
    <xf numFmtId="241" fontId="30" fillId="0" borderId="0" applyFont="0" applyFill="0" applyBorder="0" applyAlignment="0" applyProtection="0">
      <alignment horizontal="right"/>
    </xf>
    <xf numFmtId="241" fontId="30" fillId="0" borderId="0" applyFont="0" applyFill="0" applyBorder="0" applyAlignment="0" applyProtection="0">
      <alignment horizontal="right"/>
    </xf>
    <xf numFmtId="241" fontId="30" fillId="0" borderId="0" applyFont="0" applyFill="0" applyBorder="0" applyAlignment="0" applyProtection="0">
      <alignment horizontal="right"/>
    </xf>
    <xf numFmtId="241" fontId="30" fillId="0" borderId="0" applyFont="0" applyFill="0" applyBorder="0" applyAlignment="0" applyProtection="0">
      <alignment horizontal="right"/>
    </xf>
    <xf numFmtId="241" fontId="30" fillId="0" borderId="0" applyFont="0" applyFill="0" applyBorder="0" applyAlignment="0" applyProtection="0">
      <alignment horizontal="right"/>
    </xf>
    <xf numFmtId="0" fontId="20" fillId="0" borderId="0" applyFont="0" applyFill="0" applyBorder="0" applyAlignment="0" applyProtection="0">
      <protection locked="0"/>
    </xf>
    <xf numFmtId="0" fontId="46" fillId="0" borderId="5" applyNumberFormat="0" applyFont="0" applyFill="0" applyAlignment="0" applyProtection="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193" fontId="199" fillId="0" borderId="0" applyFont="0" applyFill="0" applyBorder="0" applyAlignment="0" applyProtection="0"/>
    <xf numFmtId="193" fontId="199" fillId="0" borderId="0" applyFont="0" applyFill="0" applyBorder="0" applyAlignment="0" applyProtection="0"/>
    <xf numFmtId="193" fontId="199" fillId="0" borderId="0" applyFont="0" applyFill="0" applyBorder="0" applyAlignment="0" applyProtection="0"/>
    <xf numFmtId="193" fontId="199" fillId="0" borderId="0" applyFont="0" applyFill="0" applyBorder="0" applyAlignment="0" applyProtection="0"/>
    <xf numFmtId="193" fontId="199" fillId="0" borderId="0" applyFont="0" applyFill="0" applyBorder="0" applyAlignment="0" applyProtection="0"/>
    <xf numFmtId="193" fontId="199" fillId="0" borderId="0" applyFont="0" applyFill="0" applyBorder="0" applyAlignment="0" applyProtection="0"/>
    <xf numFmtId="0" fontId="194" fillId="0" borderId="0"/>
    <xf numFmtId="0" fontId="194" fillId="0" borderId="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194" fontId="7" fillId="42" borderId="6" applyNumberFormat="0" applyFont="0" applyBorder="0" applyAlignment="0" applyProtection="0">
      <alignment horizontal="right"/>
    </xf>
    <xf numFmtId="194" fontId="7" fillId="42" borderId="6" applyNumberFormat="0" applyFont="0" applyBorder="0" applyAlignment="0" applyProtection="0">
      <alignment horizontal="right"/>
    </xf>
    <xf numFmtId="194" fontId="7" fillId="42" borderId="6" applyNumberFormat="0" applyFont="0" applyBorder="0" applyAlignment="0" applyProtection="0">
      <alignment horizontal="right"/>
    </xf>
    <xf numFmtId="194" fontId="7" fillId="42" borderId="6" applyNumberFormat="0" applyFont="0" applyBorder="0" applyAlignment="0" applyProtection="0">
      <alignment horizontal="right"/>
    </xf>
    <xf numFmtId="194" fontId="7" fillId="42" borderId="6" applyNumberFormat="0" applyFont="0" applyBorder="0" applyAlignment="0" applyProtection="0">
      <alignment horizontal="right"/>
    </xf>
    <xf numFmtId="168" fontId="184" fillId="0" borderId="0">
      <alignment horizontal="right"/>
    </xf>
    <xf numFmtId="168" fontId="184" fillId="0" borderId="0">
      <alignment horizontal="right"/>
    </xf>
    <xf numFmtId="168" fontId="184" fillId="0" borderId="0">
      <alignment horizontal="right"/>
    </xf>
    <xf numFmtId="168" fontId="184" fillId="0" borderId="0">
      <alignment horizontal="right"/>
    </xf>
    <xf numFmtId="168" fontId="184" fillId="0" borderId="0">
      <alignment horizontal="right"/>
    </xf>
    <xf numFmtId="168" fontId="184" fillId="0" borderId="0">
      <alignment horizontal="right"/>
    </xf>
    <xf numFmtId="1" fontId="200" fillId="104" borderId="25" applyNumberFormat="0" applyBorder="0" applyAlignment="0">
      <alignment horizontal="centerContinuous" vertical="center"/>
      <protection locked="0"/>
    </xf>
    <xf numFmtId="1" fontId="200" fillId="104" borderId="25" applyNumberFormat="0" applyBorder="0" applyAlignment="0">
      <alignment horizontal="centerContinuous" vertical="center"/>
      <protection locked="0"/>
    </xf>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2" fontId="22" fillId="0" borderId="0" applyFont="0" applyFill="0" applyBorder="0" applyAlignment="0" applyProtection="0"/>
    <xf numFmtId="0" fontId="194" fillId="0" borderId="0"/>
    <xf numFmtId="0" fontId="194" fillId="0" borderId="0"/>
    <xf numFmtId="1" fontId="7" fillId="0" borderId="0" applyNumberFormat="0" applyBorder="0" applyAlignment="0" applyProtection="0"/>
    <xf numFmtId="1" fontId="7" fillId="0" borderId="0" applyNumberFormat="0" applyBorder="0" applyAlignment="0" applyProtection="0"/>
    <xf numFmtId="1" fontId="7" fillId="0" borderId="0" applyNumberFormat="0" applyBorder="0" applyAlignment="0" applyProtection="0"/>
    <xf numFmtId="1" fontId="7" fillId="0" borderId="0" applyNumberFormat="0" applyBorder="0" applyAlignment="0" applyProtection="0"/>
    <xf numFmtId="1" fontId="7" fillId="0" borderId="0" applyNumberFormat="0" applyBorder="0" applyAlignment="0" applyProtection="0"/>
    <xf numFmtId="49" fontId="7" fillId="0" borderId="0" applyFill="0" applyBorder="0"/>
    <xf numFmtId="49" fontId="7" fillId="0" borderId="0" applyFill="0" applyBorder="0"/>
    <xf numFmtId="49" fontId="7" fillId="0" borderId="0" applyFill="0" applyBorder="0"/>
    <xf numFmtId="49" fontId="7" fillId="0" borderId="0" applyFill="0" applyBorder="0"/>
    <xf numFmtId="49" fontId="7" fillId="0" borderId="0" applyFill="0" applyBorder="0"/>
    <xf numFmtId="49" fontId="7" fillId="0" borderId="0" applyFill="0" applyBorder="0"/>
    <xf numFmtId="49" fontId="22" fillId="0" borderId="0"/>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49" fontId="22" fillId="0" borderId="0" applyFill="0" applyBorder="0">
      <alignment horizontal="right" vertical="center"/>
    </xf>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7" fillId="0" borderId="0" applyNumberFormat="0" applyFill="0" applyBorder="0" applyProtection="0">
      <alignment wrapText="1"/>
    </xf>
    <xf numFmtId="0" fontId="7" fillId="0" borderId="0" applyNumberFormat="0" applyFill="0" applyBorder="0" applyProtection="0">
      <alignment wrapText="1"/>
    </xf>
    <xf numFmtId="0" fontId="7" fillId="0" borderId="0" applyNumberFormat="0" applyFill="0" applyBorder="0" applyProtection="0">
      <alignment wrapText="1"/>
    </xf>
    <xf numFmtId="0" fontId="7" fillId="0" borderId="0" applyNumberFormat="0" applyFill="0" applyBorder="0" applyProtection="0">
      <alignment wrapText="1"/>
    </xf>
    <xf numFmtId="0" fontId="7" fillId="0" borderId="0" applyNumberFormat="0" applyFill="0" applyBorder="0" applyProtection="0">
      <alignment wrapText="1"/>
    </xf>
    <xf numFmtId="0" fontId="7" fillId="0" borderId="0" applyNumberFormat="0" applyFill="0" applyBorder="0" applyProtection="0">
      <alignment wrapText="1"/>
    </xf>
    <xf numFmtId="0" fontId="201" fillId="0" borderId="0" applyNumberFormat="0" applyFill="0" applyBorder="0" applyProtection="0">
      <alignment wrapText="1"/>
    </xf>
    <xf numFmtId="0" fontId="201" fillId="0" borderId="0" applyNumberFormat="0" applyFill="0" applyBorder="0" applyProtection="0">
      <alignment wrapText="1"/>
    </xf>
    <xf numFmtId="0" fontId="202" fillId="0" borderId="0"/>
    <xf numFmtId="49" fontId="51" fillId="0" borderId="0">
      <alignment horizontal="right"/>
    </xf>
    <xf numFmtId="170" fontId="22" fillId="97" borderId="7" applyNumberFormat="0" applyFont="0" applyBorder="0" applyAlignment="0" applyProtection="0"/>
    <xf numFmtId="170" fontId="22" fillId="97" borderId="7" applyNumberFormat="0" applyFont="0" applyBorder="0" applyAlignment="0" applyProtection="0"/>
    <xf numFmtId="170" fontId="22" fillId="97" borderId="7" applyNumberFormat="0" applyFont="0" applyBorder="0" applyAlignment="0" applyProtection="0"/>
    <xf numFmtId="170" fontId="22" fillId="97" borderId="7" applyNumberFormat="0" applyFont="0" applyBorder="0" applyAlignment="0" applyProtection="0"/>
    <xf numFmtId="170" fontId="22" fillId="97" borderId="7" applyNumberFormat="0" applyFont="0" applyBorder="0" applyAlignment="0" applyProtection="0"/>
    <xf numFmtId="170" fontId="22" fillId="97" borderId="7" applyNumberFormat="0" applyFont="0" applyBorder="0" applyAlignment="0" applyProtection="0"/>
    <xf numFmtId="0" fontId="46" fillId="0" borderId="0" applyFont="0" applyFill="0" applyBorder="0" applyAlignment="0" applyProtection="0">
      <alignment horizontal="right"/>
    </xf>
    <xf numFmtId="168" fontId="203" fillId="97" borderId="0" applyNumberFormat="0" applyFont="0" applyAlignment="0"/>
    <xf numFmtId="0" fontId="204" fillId="0" borderId="0">
      <alignment horizontal="left"/>
    </xf>
    <xf numFmtId="0" fontId="59" fillId="0" borderId="54" applyNumberFormat="0" applyAlignment="0" applyProtection="0">
      <alignment horizontal="left" vertical="center"/>
    </xf>
    <xf numFmtId="0" fontId="59" fillId="0" borderId="54" applyNumberFormat="0" applyAlignment="0" applyProtection="0">
      <alignment horizontal="left" vertical="center"/>
    </xf>
    <xf numFmtId="0" fontId="59" fillId="0" borderId="54" applyNumberFormat="0" applyAlignment="0" applyProtection="0">
      <alignment horizontal="left" vertical="center"/>
    </xf>
    <xf numFmtId="0" fontId="59" fillId="0" borderId="54" applyNumberFormat="0" applyAlignment="0" applyProtection="0">
      <alignment horizontal="left" vertical="center"/>
    </xf>
    <xf numFmtId="0" fontId="59" fillId="0" borderId="54" applyNumberFormat="0" applyAlignment="0" applyProtection="0">
      <alignment horizontal="left" vertical="center"/>
    </xf>
    <xf numFmtId="0" fontId="59" fillId="0" borderId="54" applyNumberFormat="0" applyAlignment="0" applyProtection="0">
      <alignment horizontal="left" vertical="center"/>
    </xf>
    <xf numFmtId="0" fontId="59" fillId="0" borderId="1">
      <alignment horizontal="left" vertical="center"/>
    </xf>
    <xf numFmtId="0" fontId="59" fillId="0" borderId="1">
      <alignment horizontal="left" vertical="center"/>
    </xf>
    <xf numFmtId="0" fontId="59" fillId="0" borderId="1">
      <alignment horizontal="left" vertical="center"/>
    </xf>
    <xf numFmtId="0" fontId="59" fillId="0" borderId="1">
      <alignment horizontal="left" vertical="center"/>
    </xf>
    <xf numFmtId="0" fontId="59" fillId="0" borderId="1">
      <alignment horizontal="left" vertical="center"/>
    </xf>
    <xf numFmtId="0" fontId="59" fillId="0" borderId="1">
      <alignment horizontal="left" vertical="center"/>
    </xf>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6" fillId="0" borderId="0" applyNumberFormat="0" applyFill="0" applyBorder="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6" fillId="0" borderId="0" applyNumberFormat="0" applyFill="0" applyBorder="0" applyAlignment="0" applyProtection="0"/>
    <xf numFmtId="0" fontId="206" fillId="0" borderId="0" applyNumberFormat="0" applyFill="0" applyBorder="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5" fillId="0" borderId="55"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59" fillId="0" borderId="0" applyNumberFormat="0" applyFill="0" applyBorder="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7" fillId="0" borderId="56"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57" fillId="0" borderId="0" applyProtection="0">
      <alignment horizontal="left"/>
    </xf>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57" fillId="0" borderId="0" applyProtection="0">
      <alignment horizontal="left"/>
    </xf>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57" fillId="0" borderId="0" applyProtection="0">
      <alignment horizontal="left"/>
    </xf>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57" fillId="0" borderId="0" applyProtection="0">
      <alignment horizontal="left"/>
    </xf>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57" applyNumberFormat="0" applyFill="0" applyAlignment="0" applyProtection="0"/>
    <xf numFmtId="0" fontId="208" fillId="0" borderId="0" applyNumberFormat="0" applyFill="0" applyBorder="0" applyAlignment="0" applyProtection="0"/>
    <xf numFmtId="0" fontId="208" fillId="0" borderId="0" applyNumberFormat="0" applyFill="0" applyBorder="0" applyAlignment="0" applyProtection="0"/>
    <xf numFmtId="0" fontId="208" fillId="0" borderId="0" applyNumberFormat="0" applyFill="0" applyBorder="0" applyAlignment="0" applyProtection="0"/>
    <xf numFmtId="0" fontId="208" fillId="0" borderId="0" applyNumberFormat="0" applyFill="0" applyBorder="0" applyAlignment="0" applyProtection="0"/>
    <xf numFmtId="0" fontId="208" fillId="0" borderId="0" applyNumberFormat="0" applyFill="0" applyBorder="0" applyAlignment="0" applyProtection="0"/>
    <xf numFmtId="0" fontId="208" fillId="0" borderId="0" applyNumberFormat="0" applyFill="0" applyBorder="0" applyAlignment="0" applyProtection="0"/>
    <xf numFmtId="0" fontId="59" fillId="0" borderId="0"/>
    <xf numFmtId="0" fontId="59" fillId="0" borderId="0"/>
    <xf numFmtId="0" fontId="59" fillId="0" borderId="0"/>
    <xf numFmtId="0" fontId="59" fillId="0" borderId="0"/>
    <xf numFmtId="0" fontId="59" fillId="0" borderId="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7"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1" fontId="209" fillId="0" borderId="0" applyNumberFormat="0">
      <alignment horizontal="right"/>
    </xf>
    <xf numFmtId="0" fontId="170" fillId="10" borderId="2" applyNumberFormat="0" applyAlignment="0" applyProtection="0"/>
    <xf numFmtId="0" fontId="170" fillId="10" borderId="2" applyNumberFormat="0" applyAlignment="0" applyProtection="0"/>
    <xf numFmtId="0" fontId="170" fillId="7"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1" fontId="209" fillId="0" borderId="0" applyNumberFormat="0">
      <alignment horizontal="right"/>
    </xf>
    <xf numFmtId="0" fontId="170" fillId="7" borderId="2" applyNumberFormat="0" applyAlignment="0" applyProtection="0"/>
    <xf numFmtId="0" fontId="170" fillId="7"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1" fontId="209" fillId="0" borderId="0" applyNumberFormat="0">
      <alignment horizontal="right"/>
    </xf>
    <xf numFmtId="0" fontId="170" fillId="7" borderId="2" applyNumberFormat="0" applyAlignment="0" applyProtection="0"/>
    <xf numFmtId="0" fontId="170" fillId="7"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1" fontId="209" fillId="0" borderId="0" applyNumberFormat="0">
      <alignment horizontal="right"/>
    </xf>
    <xf numFmtId="1" fontId="209" fillId="0" borderId="0" applyNumberFormat="0">
      <alignment horizontal="right"/>
    </xf>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170" fillId="10" borderId="2" applyNumberFormat="0" applyAlignment="0" applyProtection="0"/>
    <xf numFmtId="0" fontId="61" fillId="45" borderId="0" applyNumberFormat="0" applyFont="0" applyBorder="0" applyAlignment="0" applyProtection="0"/>
    <xf numFmtId="0" fontId="210" fillId="0" borderId="0" applyNumberFormat="0" applyFill="0" applyBorder="0" applyAlignment="0">
      <protection locked="0"/>
    </xf>
    <xf numFmtId="0" fontId="176"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0" fontId="194" fillId="0" borderId="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0" fontId="211" fillId="0" borderId="58" applyNumberFormat="0" applyFill="0" applyAlignment="0" applyProtection="0"/>
    <xf numFmtId="41" fontId="22" fillId="0" borderId="0" applyFont="0" applyFill="0" applyBorder="0" applyAlignment="0" applyProtection="0"/>
    <xf numFmtId="43" fontId="22" fillId="0" borderId="0" applyFont="0" applyFill="0" applyBorder="0" applyAlignment="0" applyProtection="0"/>
    <xf numFmtId="0" fontId="212" fillId="0" borderId="28"/>
    <xf numFmtId="42" fontId="22" fillId="0" borderId="0" applyFont="0" applyFill="0" applyBorder="0" applyAlignment="0" applyProtection="0"/>
    <xf numFmtId="44" fontId="22" fillId="0" borderId="0" applyFont="0" applyFill="0" applyBorder="0" applyAlignment="0" applyProtection="0"/>
    <xf numFmtId="243" fontId="7" fillId="44" borderId="0">
      <alignment horizontal="center"/>
    </xf>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244" fontId="22" fillId="0" borderId="0" applyFont="0" applyFill="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7"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7"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7" borderId="0" applyNumberFormat="0" applyBorder="0" applyAlignment="0" applyProtection="0"/>
    <xf numFmtId="0" fontId="105" fillId="7"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7" borderId="0" applyNumberFormat="0" applyBorder="0" applyAlignment="0" applyProtection="0"/>
    <xf numFmtId="0" fontId="105" fillId="7"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0" fontId="105" fillId="10" borderId="0" applyNumberFormat="0" applyBorder="0" applyAlignment="0" applyProtection="0"/>
    <xf numFmtId="37" fontId="213" fillId="0" borderId="0"/>
    <xf numFmtId="37" fontId="21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84"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6" fillId="0" borderId="0"/>
    <xf numFmtId="0" fontId="22" fillId="0" borderId="0"/>
    <xf numFmtId="0" fontId="26"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56" fillId="0" borderId="0"/>
    <xf numFmtId="2" fontId="61" fillId="0" borderId="0" applyBorder="0" applyProtection="0"/>
    <xf numFmtId="0" fontId="7" fillId="0" borderId="0" applyNumberFormat="0"/>
    <xf numFmtId="0" fontId="7" fillId="0" borderId="0" applyNumberFormat="0"/>
    <xf numFmtId="0" fontId="7" fillId="0" borderId="0" applyNumberFormat="0"/>
    <xf numFmtId="0" fontId="7" fillId="0" borderId="0" applyNumberFormat="0"/>
    <xf numFmtId="0" fontId="7" fillId="0" borderId="0" applyNumberFormat="0"/>
    <xf numFmtId="0" fontId="7" fillId="0" borderId="0" applyNumberFormat="0"/>
    <xf numFmtId="245" fontId="175" fillId="0" borderId="25" applyBorder="0" applyAlignment="0">
      <protection locked="0"/>
    </xf>
    <xf numFmtId="0" fontId="214" fillId="0" borderId="0"/>
    <xf numFmtId="0" fontId="175" fillId="0" borderId="21" applyNumberFormat="0" applyBorder="0" applyAlignment="0">
      <protection hidden="1"/>
    </xf>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2"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2" fillId="10" borderId="59" applyNumberFormat="0" applyFont="0" applyAlignment="0" applyProtection="0"/>
    <xf numFmtId="0" fontId="22"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2" fillId="10" borderId="59" applyNumberFormat="0" applyFont="0" applyAlignment="0" applyProtection="0"/>
    <xf numFmtId="0" fontId="22"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0" fontId="26" fillId="10" borderId="59" applyNumberFormat="0" applyFont="0" applyAlignment="0" applyProtection="0"/>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3" fontId="7" fillId="0" borderId="0" applyFill="0" applyBorder="0" applyProtection="0">
      <alignment horizontal="right" wrapText="1"/>
    </xf>
    <xf numFmtId="203" fontId="7" fillId="0" borderId="0" applyFill="0" applyBorder="0" applyProtection="0">
      <alignment horizontal="right" wrapText="1"/>
    </xf>
    <xf numFmtId="203" fontId="7" fillId="0" borderId="0" applyFill="0" applyBorder="0" applyProtection="0">
      <alignment horizontal="right" wrapText="1"/>
    </xf>
    <xf numFmtId="203" fontId="7" fillId="0" borderId="0" applyFill="0" applyBorder="0" applyProtection="0">
      <alignment horizontal="right" wrapText="1"/>
    </xf>
    <xf numFmtId="203" fontId="7" fillId="0" borderId="0" applyFill="0" applyBorder="0" applyProtection="0">
      <alignment horizontal="right" wrapText="1"/>
    </xf>
    <xf numFmtId="203" fontId="7" fillId="0" borderId="0" applyFill="0" applyBorder="0" applyProtection="0">
      <alignment horizontal="right" wrapText="1"/>
    </xf>
    <xf numFmtId="203" fontId="21" fillId="0" borderId="0" applyFill="0" applyBorder="0" applyProtection="0">
      <alignment horizontal="right" wrapText="1"/>
    </xf>
    <xf numFmtId="203" fontId="21" fillId="0" borderId="0" applyFill="0" applyBorder="0" applyProtection="0">
      <alignment horizontal="right" wrapText="1"/>
    </xf>
    <xf numFmtId="203" fontId="21" fillId="0" borderId="0" applyFill="0" applyBorder="0" applyProtection="0">
      <alignment horizontal="right" wrapText="1"/>
    </xf>
    <xf numFmtId="203" fontId="21" fillId="0" borderId="0" applyFill="0" applyBorder="0" applyProtection="0">
      <alignment horizontal="right" wrapText="1"/>
    </xf>
    <xf numFmtId="203" fontId="21" fillId="0" borderId="0" applyFill="0" applyBorder="0" applyProtection="0">
      <alignment horizontal="right" wrapText="1"/>
    </xf>
    <xf numFmtId="203" fontId="21" fillId="0" borderId="0" applyFill="0" applyBorder="0" applyProtection="0">
      <alignment horizontal="right" wrapText="1"/>
    </xf>
    <xf numFmtId="246" fontId="175" fillId="0" borderId="0" applyFont="0" applyFill="0" applyBorder="0" applyProtection="0">
      <alignment horizontal="right"/>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7"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04" fontId="21" fillId="0" borderId="0" applyFill="0" applyBorder="0" applyProtection="0">
      <alignment horizontal="right" wrapText="1"/>
    </xf>
    <xf numFmtId="247" fontId="7" fillId="0" borderId="0" applyFill="0" applyBorder="0" applyProtection="0">
      <alignment horizontal="right" wrapText="1"/>
    </xf>
    <xf numFmtId="247" fontId="7" fillId="0" borderId="0" applyFill="0" applyBorder="0" applyProtection="0">
      <alignment horizontal="right" wrapText="1"/>
    </xf>
    <xf numFmtId="247" fontId="7" fillId="0" borderId="0" applyFill="0" applyBorder="0" applyProtection="0">
      <alignment horizontal="right" wrapText="1"/>
    </xf>
    <xf numFmtId="247" fontId="7" fillId="0" borderId="0" applyFill="0" applyBorder="0" applyProtection="0">
      <alignment horizontal="right" wrapText="1"/>
    </xf>
    <xf numFmtId="247" fontId="7" fillId="0" borderId="0" applyFill="0" applyBorder="0" applyProtection="0">
      <alignment horizontal="right" wrapText="1"/>
    </xf>
    <xf numFmtId="247" fontId="7" fillId="0" borderId="0" applyFill="0" applyBorder="0" applyProtection="0">
      <alignment horizontal="right" wrapText="1"/>
    </xf>
    <xf numFmtId="247" fontId="21" fillId="0" borderId="0" applyFill="0" applyBorder="0" applyProtection="0">
      <alignment horizontal="right" wrapText="1"/>
    </xf>
    <xf numFmtId="247" fontId="21" fillId="0" borderId="0" applyFill="0" applyBorder="0" applyProtection="0">
      <alignment horizontal="right" wrapText="1"/>
    </xf>
    <xf numFmtId="247" fontId="21" fillId="0" borderId="0" applyFill="0" applyBorder="0" applyProtection="0">
      <alignment horizontal="right" wrapText="1"/>
    </xf>
    <xf numFmtId="247" fontId="21" fillId="0" borderId="0" applyFill="0" applyBorder="0" applyProtection="0">
      <alignment horizontal="right" wrapText="1"/>
    </xf>
    <xf numFmtId="247" fontId="21" fillId="0" borderId="0" applyFill="0" applyBorder="0" applyProtection="0">
      <alignment horizontal="right" wrapText="1"/>
    </xf>
    <xf numFmtId="247" fontId="21" fillId="0" borderId="0" applyFill="0" applyBorder="0" applyProtection="0">
      <alignment horizontal="right" wrapText="1"/>
    </xf>
    <xf numFmtId="40" fontId="215" fillId="0" borderId="0" applyFont="0" applyFill="0" applyBorder="0" applyAlignment="0" applyProtection="0"/>
    <xf numFmtId="38" fontId="215" fillId="0" borderId="0" applyFont="0" applyFill="0" applyBorder="0" applyAlignment="0" applyProtection="0"/>
    <xf numFmtId="0" fontId="216" fillId="0" borderId="0">
      <alignment horizontal="left"/>
    </xf>
    <xf numFmtId="0" fontId="216" fillId="0" borderId="0">
      <alignment horizontal="left"/>
    </xf>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66" fillId="14" borderId="17" applyNumberFormat="0" applyAlignment="0" applyProtection="0"/>
    <xf numFmtId="0" fontId="41" fillId="0" borderId="0" applyNumberFormat="0" applyFill="0" applyBorder="0">
      <alignment horizontal="left"/>
    </xf>
    <xf numFmtId="14" fontId="157" fillId="0" borderId="0">
      <alignment horizontal="center" wrapText="1"/>
      <protection locked="0"/>
    </xf>
    <xf numFmtId="14" fontId="157" fillId="0" borderId="0">
      <alignment horizontal="center" wrapText="1"/>
      <protection locked="0"/>
    </xf>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8"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249"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10" fontId="22"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10" fontId="61" fillId="0" borderId="0" applyFont="0" applyFill="0" applyBorder="0" applyAlignment="0" applyProtection="0"/>
    <xf numFmtId="10" fontId="61" fillId="0" borderId="0" applyFont="0" applyFill="0" applyBorder="0" applyAlignment="0" applyProtection="0"/>
    <xf numFmtId="250" fontId="32" fillId="0" borderId="32" applyFill="0" applyAlignment="0">
      <alignment horizontal="right"/>
    </xf>
    <xf numFmtId="250" fontId="32" fillId="0" borderId="32" applyFill="0" applyAlignment="0">
      <alignment horizontal="right"/>
    </xf>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34"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4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232" fontId="22" fillId="0" borderId="0" applyFill="0" applyBorder="0" applyAlignment="0"/>
    <xf numFmtId="1" fontId="217" fillId="43" borderId="0">
      <alignment horizontal="center"/>
    </xf>
    <xf numFmtId="0" fontId="61" fillId="0" borderId="0" applyNumberFormat="0" applyFont="0" applyFill="0" applyBorder="0" applyAlignment="0" applyProtection="0">
      <alignment horizontal="left"/>
    </xf>
    <xf numFmtId="0" fontId="61" fillId="0" borderId="0" applyNumberFormat="0" applyFont="0" applyFill="0" applyBorder="0" applyAlignment="0" applyProtection="0">
      <alignment horizontal="left"/>
    </xf>
    <xf numFmtId="15" fontId="61" fillId="0" borderId="0" applyFont="0" applyFill="0" applyBorder="0" applyAlignment="0" applyProtection="0"/>
    <xf numFmtId="15" fontId="61" fillId="0" borderId="0" applyFont="0" applyFill="0" applyBorder="0" applyAlignment="0" applyProtection="0"/>
    <xf numFmtId="4" fontId="61" fillId="0" borderId="0" applyFont="0" applyFill="0" applyBorder="0" applyAlignment="0" applyProtection="0"/>
    <xf numFmtId="4" fontId="61" fillId="0" borderId="0" applyFont="0" applyFill="0" applyBorder="0" applyAlignment="0" applyProtection="0"/>
    <xf numFmtId="0" fontId="218" fillId="0" borderId="28">
      <alignment horizontal="center"/>
    </xf>
    <xf numFmtId="0" fontId="218" fillId="0" borderId="28">
      <alignment horizontal="center"/>
    </xf>
    <xf numFmtId="3" fontId="61" fillId="0" borderId="0" applyFont="0" applyFill="0" applyBorder="0" applyAlignment="0" applyProtection="0"/>
    <xf numFmtId="3" fontId="61" fillId="0" borderId="0" applyFont="0" applyFill="0" applyBorder="0" applyAlignment="0" applyProtection="0"/>
    <xf numFmtId="0" fontId="61" fillId="105" borderId="0" applyNumberFormat="0" applyFont="0" applyBorder="0" applyAlignment="0" applyProtection="0"/>
    <xf numFmtId="0" fontId="61" fillId="105" borderId="0" applyNumberFormat="0" applyFont="0" applyBorder="0" applyAlignment="0" applyProtection="0"/>
    <xf numFmtId="251" fontId="7" fillId="0" borderId="0"/>
    <xf numFmtId="251" fontId="7" fillId="0" borderId="0"/>
    <xf numFmtId="251" fontId="7" fillId="0" borderId="0"/>
    <xf numFmtId="251" fontId="7" fillId="0" borderId="0"/>
    <xf numFmtId="251" fontId="7" fillId="0" borderId="0"/>
    <xf numFmtId="251" fontId="7" fillId="0" borderId="0"/>
    <xf numFmtId="0" fontId="219" fillId="0" borderId="0"/>
    <xf numFmtId="169" fontId="61" fillId="30" borderId="45" applyNumberFormat="0" applyFont="0" applyBorder="0" applyAlignment="0" applyProtection="0">
      <alignment horizontal="center"/>
    </xf>
    <xf numFmtId="169" fontId="61" fillId="30" borderId="45" applyNumberFormat="0" applyFont="0" applyBorder="0" applyAlignment="0" applyProtection="0">
      <alignment horizontal="center"/>
    </xf>
    <xf numFmtId="0" fontId="220" fillId="0" borderId="60">
      <alignment vertical="center"/>
    </xf>
    <xf numFmtId="248" fontId="22" fillId="0" borderId="0">
      <alignment horizontal="center"/>
    </xf>
    <xf numFmtId="248" fontId="22" fillId="0" borderId="0">
      <alignment horizontal="center"/>
    </xf>
    <xf numFmtId="248" fontId="22" fillId="0" borderId="0">
      <alignment horizontal="center"/>
    </xf>
    <xf numFmtId="248" fontId="22" fillId="0" borderId="0">
      <alignment horizontal="center"/>
    </xf>
    <xf numFmtId="248" fontId="22" fillId="0" borderId="0">
      <alignment horizontal="center"/>
    </xf>
    <xf numFmtId="248" fontId="22" fillId="0" borderId="0">
      <alignment horizontal="center"/>
    </xf>
    <xf numFmtId="248" fontId="22" fillId="0" borderId="0">
      <alignment horizontal="center"/>
    </xf>
    <xf numFmtId="248" fontId="22" fillId="0" borderId="0">
      <alignment horizontal="center"/>
    </xf>
    <xf numFmtId="0" fontId="39" fillId="0" borderId="0">
      <alignment vertical="center"/>
    </xf>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90" fillId="0" borderId="61" applyNumberFormat="0" applyFill="0" applyAlignment="0" applyProtection="0"/>
    <xf numFmtId="0" fontId="90" fillId="0" borderId="61" applyNumberFormat="0" applyFill="0" applyAlignment="0" applyProtection="0"/>
    <xf numFmtId="0" fontId="90" fillId="0" borderId="61" applyNumberFormat="0" applyFill="0" applyAlignment="0" applyProtection="0"/>
    <xf numFmtId="0" fontId="90" fillId="0" borderId="61" applyNumberFormat="0" applyFill="0" applyAlignment="0" applyProtection="0"/>
    <xf numFmtId="0" fontId="90" fillId="0" borderId="61" applyNumberFormat="0" applyFill="0" applyAlignment="0" applyProtection="0"/>
    <xf numFmtId="0" fontId="90" fillId="0" borderId="61" applyNumberFormat="0" applyFill="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107" fillId="0" borderId="0" applyNumberFormat="0" applyFill="0" applyBorder="0" applyAlignment="0" applyProtection="0"/>
    <xf numFmtId="0" fontId="22" fillId="0" borderId="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5" fillId="11" borderId="0" applyNumberFormat="0" applyBorder="0" applyAlignment="0" applyProtection="0"/>
    <xf numFmtId="0" fontId="5" fillId="2"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5" borderId="0" applyNumberFormat="0" applyBorder="0" applyAlignment="0" applyProtection="0"/>
    <xf numFmtId="0" fontId="5" fillId="13"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56" borderId="0" applyNumberFormat="0" applyBorder="0" applyAlignment="0" applyProtection="0"/>
    <xf numFmtId="0" fontId="5" fillId="7"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19" borderId="0" applyNumberFormat="0" applyBorder="0" applyAlignment="0" applyProtection="0"/>
    <xf numFmtId="0" fontId="5" fillId="7" borderId="0" applyNumberFormat="0" applyBorder="0" applyAlignment="0" applyProtection="0"/>
    <xf numFmtId="184" fontId="33" fillId="37" borderId="72" applyFont="0">
      <alignment horizontal="right"/>
    </xf>
    <xf numFmtId="43" fontId="26" fillId="0" borderId="0" applyFont="0" applyFill="0" applyBorder="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55" fillId="0" borderId="9" applyNumberFormat="0" applyFill="0" applyAlignment="0" applyProtection="0"/>
    <xf numFmtId="0" fontId="86" fillId="0" borderId="8" applyNumberFormat="0" applyFill="0" applyAlignment="0" applyProtection="0"/>
    <xf numFmtId="0" fontId="86" fillId="0" borderId="8"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58" fillId="0" borderId="12" applyNumberFormat="0" applyFill="0" applyAlignment="0" applyProtection="0"/>
    <xf numFmtId="0" fontId="66" fillId="0" borderId="11" applyNumberFormat="0" applyFill="0" applyAlignment="0" applyProtection="0"/>
    <xf numFmtId="0" fontId="66" fillId="0" borderId="11" applyNumberFormat="0" applyFill="0" applyAlignment="0" applyProtection="0"/>
    <xf numFmtId="0" fontId="66" fillId="0" borderId="0" applyNumberFormat="0" applyFill="0" applyBorder="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89" fillId="0" borderId="14" applyNumberFormat="0" applyFill="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6" fillId="65" borderId="36" applyNumberFormat="0" applyFon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0" fontId="66" fillId="2" borderId="17" applyNumberFormat="0" applyAlignment="0" applyProtection="0"/>
    <xf numFmtId="0" fontId="90" fillId="2" borderId="13" applyNumberFormat="0" applyAlignment="0" applyProtection="0"/>
    <xf numFmtId="0" fontId="90" fillId="2" borderId="13" applyNumberFormat="0" applyAlignment="0" applyProtection="0"/>
    <xf numFmtId="1" fontId="31" fillId="0" borderId="72" applyFill="0" applyProtection="0">
      <alignment horizontal="right"/>
    </xf>
    <xf numFmtId="0" fontId="4" fillId="0" borderId="0"/>
    <xf numFmtId="0" fontId="4" fillId="65" borderId="36" applyNumberFormat="0" applyFont="0" applyAlignment="0" applyProtection="0"/>
    <xf numFmtId="0" fontId="4" fillId="70" borderId="0" applyNumberFormat="0" applyBorder="0" applyAlignment="0" applyProtection="0"/>
    <xf numFmtId="0" fontId="4" fillId="71"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55" borderId="0" applyNumberFormat="0" applyBorder="0" applyAlignment="0" applyProtection="0"/>
    <xf numFmtId="0" fontId="4" fillId="57" borderId="0" applyNumberFormat="0" applyBorder="0" applyAlignment="0" applyProtection="0"/>
    <xf numFmtId="0" fontId="4" fillId="56" borderId="0" applyNumberFormat="0" applyBorder="0" applyAlignment="0" applyProtection="0"/>
    <xf numFmtId="0" fontId="4" fillId="86" borderId="0" applyNumberFormat="0" applyBorder="0" applyAlignment="0" applyProtection="0"/>
    <xf numFmtId="0" fontId="160" fillId="0" borderId="76" applyNumberFormat="0" applyFill="0" applyBorder="0" applyAlignment="0" applyProtection="0">
      <alignment horizontal="center"/>
    </xf>
    <xf numFmtId="43" fontId="4" fillId="0" borderId="0" applyFont="0" applyFill="0" applyBorder="0" applyAlignment="0" applyProtection="0"/>
    <xf numFmtId="0" fontId="4" fillId="0" borderId="0"/>
    <xf numFmtId="43" fontId="4" fillId="0" borderId="0" applyFont="0" applyFill="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55" borderId="0" applyNumberFormat="0" applyBorder="0" applyAlignment="0" applyProtection="0"/>
    <xf numFmtId="0" fontId="4" fillId="57" borderId="0" applyNumberFormat="0" applyBorder="0" applyAlignment="0" applyProtection="0"/>
    <xf numFmtId="0" fontId="4" fillId="56" borderId="0" applyNumberFormat="0" applyBorder="0" applyAlignment="0" applyProtection="0"/>
    <xf numFmtId="0" fontId="4" fillId="86" borderId="0" applyNumberFormat="0" applyBorder="0" applyAlignment="0" applyProtection="0"/>
    <xf numFmtId="43" fontId="4" fillId="0" borderId="0" applyFont="0" applyFill="0" applyBorder="0" applyAlignment="0" applyProtection="0"/>
    <xf numFmtId="0" fontId="4" fillId="65" borderId="36" applyNumberFormat="0" applyFont="0" applyAlignment="0" applyProtection="0"/>
    <xf numFmtId="0" fontId="4" fillId="71" borderId="0" applyNumberFormat="0" applyBorder="0" applyAlignment="0" applyProtection="0"/>
    <xf numFmtId="0" fontId="4" fillId="75" borderId="0" applyNumberFormat="0" applyBorder="0" applyAlignment="0" applyProtection="0"/>
    <xf numFmtId="0" fontId="4" fillId="86" borderId="0" applyNumberFormat="0" applyBorder="0" applyAlignment="0" applyProtection="0"/>
    <xf numFmtId="0" fontId="4" fillId="79" borderId="0" applyNumberFormat="0" applyBorder="0" applyAlignment="0" applyProtection="0"/>
    <xf numFmtId="0" fontId="4" fillId="65" borderId="36" applyNumberFormat="0" applyFont="0" applyAlignment="0" applyProtection="0"/>
    <xf numFmtId="0" fontId="4" fillId="0" borderId="0"/>
    <xf numFmtId="0" fontId="122" fillId="85" borderId="0" applyNumberFormat="0" applyBorder="0" applyAlignment="0" applyProtection="0"/>
    <xf numFmtId="0" fontId="4" fillId="83" borderId="0" applyNumberFormat="0" applyBorder="0" applyAlignment="0" applyProtection="0"/>
    <xf numFmtId="0" fontId="4" fillId="57" borderId="0" applyNumberFormat="0" applyBorder="0" applyAlignment="0" applyProtection="0"/>
    <xf numFmtId="0" fontId="4" fillId="82" borderId="0" applyNumberFormat="0" applyBorder="0" applyAlignment="0" applyProtection="0"/>
    <xf numFmtId="0" fontId="4" fillId="55" borderId="0" applyNumberFormat="0" applyBorder="0" applyAlignment="0" applyProtection="0"/>
    <xf numFmtId="0" fontId="4" fillId="74" borderId="0" applyNumberFormat="0" applyBorder="0" applyAlignment="0" applyProtection="0"/>
    <xf numFmtId="0" fontId="4" fillId="78" borderId="0" applyNumberFormat="0" applyBorder="0" applyAlignment="0" applyProtection="0"/>
    <xf numFmtId="0" fontId="4" fillId="70" borderId="0" applyNumberFormat="0" applyBorder="0" applyAlignment="0" applyProtection="0"/>
    <xf numFmtId="0" fontId="4" fillId="56" borderId="0" applyNumberFormat="0" applyBorder="0" applyAlignment="0" applyProtection="0"/>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4" fillId="70" borderId="0" applyNumberFormat="0" applyBorder="0" applyAlignment="0" applyProtection="0"/>
    <xf numFmtId="0" fontId="4" fillId="71"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55" borderId="0" applyNumberFormat="0" applyBorder="0" applyAlignment="0" applyProtection="0"/>
    <xf numFmtId="0" fontId="4" fillId="57" borderId="0" applyNumberFormat="0" applyBorder="0" applyAlignment="0" applyProtection="0"/>
    <xf numFmtId="0" fontId="4" fillId="56" borderId="0" applyNumberFormat="0" applyBorder="0" applyAlignment="0" applyProtection="0"/>
    <xf numFmtId="0" fontId="4" fillId="86" borderId="0" applyNumberFormat="0" applyBorder="0" applyAlignment="0" applyProtection="0"/>
    <xf numFmtId="0" fontId="4" fillId="65" borderId="36" applyNumberFormat="0" applyFont="0" applyAlignment="0" applyProtection="0"/>
    <xf numFmtId="0" fontId="4" fillId="0" borderId="0"/>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4" fillId="0" borderId="0"/>
    <xf numFmtId="0" fontId="160" fillId="0" borderId="76" applyNumberFormat="0" applyFill="0" applyBorder="0" applyAlignment="0" applyProtection="0">
      <alignment horizontal="center"/>
    </xf>
    <xf numFmtId="0" fontId="4" fillId="0" borderId="0"/>
    <xf numFmtId="0" fontId="4" fillId="0" borderId="0"/>
    <xf numFmtId="0" fontId="4" fillId="0" borderId="0"/>
    <xf numFmtId="0" fontId="160" fillId="0" borderId="76" applyNumberFormat="0" applyFill="0" applyBorder="0" applyAlignment="0" applyProtection="0">
      <alignment horizontal="center"/>
    </xf>
    <xf numFmtId="43" fontId="4" fillId="0" borderId="0" applyFont="0" applyFill="0" applyBorder="0" applyAlignment="0" applyProtection="0"/>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0" fontId="160" fillId="0" borderId="76" applyNumberFormat="0" applyFill="0" applyBorder="0" applyAlignment="0" applyProtection="0">
      <alignment horizontal="center"/>
    </xf>
    <xf numFmtId="184" fontId="33" fillId="37" borderId="72" applyFont="0">
      <alignment horizontal="right"/>
    </xf>
    <xf numFmtId="1" fontId="187" fillId="102" borderId="75" applyNumberFormat="0" applyBorder="0" applyAlignment="0">
      <alignment horizontal="center" vertical="top" wrapText="1"/>
      <protection hidden="1"/>
    </xf>
    <xf numFmtId="0" fontId="189" fillId="0" borderId="76" applyNumberFormat="0" applyFill="0" applyAlignment="0" applyProtection="0"/>
    <xf numFmtId="228" fontId="198" fillId="0" borderId="72" applyNumberFormat="0" applyFill="0" applyBorder="0" applyProtection="0"/>
    <xf numFmtId="0" fontId="59" fillId="0" borderId="72">
      <alignment horizontal="left" vertical="center"/>
    </xf>
    <xf numFmtId="0" fontId="59" fillId="0" borderId="72">
      <alignment horizontal="left" vertical="center"/>
    </xf>
    <xf numFmtId="0" fontId="59" fillId="0" borderId="72">
      <alignment horizontal="left" vertical="center"/>
    </xf>
    <xf numFmtId="0" fontId="59" fillId="0" borderId="72">
      <alignment horizontal="left" vertical="center"/>
    </xf>
    <xf numFmtId="0" fontId="59" fillId="0" borderId="72">
      <alignment horizontal="left" vertical="center"/>
    </xf>
    <xf numFmtId="0" fontId="59" fillId="0" borderId="72">
      <alignment horizontal="left" vertical="center"/>
    </xf>
    <xf numFmtId="0" fontId="175" fillId="0" borderId="75" applyNumberFormat="0" applyBorder="0" applyAlignment="0">
      <protection hidden="1"/>
    </xf>
    <xf numFmtId="0" fontId="122" fillId="85" borderId="0" applyNumberFormat="0" applyBorder="0" applyAlignment="0" applyProtection="0"/>
    <xf numFmtId="169" fontId="61" fillId="30" borderId="74" applyNumberFormat="0" applyFont="0" applyBorder="0" applyAlignment="0" applyProtection="0">
      <alignment horizontal="center"/>
    </xf>
    <xf numFmtId="169" fontId="61" fillId="30" borderId="74" applyNumberFormat="0" applyFont="0" applyBorder="0" applyAlignment="0" applyProtection="0">
      <alignment horizontal="center"/>
    </xf>
    <xf numFmtId="0" fontId="4" fillId="0" borderId="0"/>
  </cellStyleXfs>
  <cellXfs count="802">
    <xf numFmtId="0" fontId="7" fillId="0" borderId="0" xfId="0" applyFont="1"/>
    <xf numFmtId="0" fontId="118" fillId="0" borderId="0" xfId="0" applyFont="1"/>
    <xf numFmtId="0" fontId="37" fillId="0" borderId="0" xfId="2123" applyFont="1" applyAlignment="1"/>
    <xf numFmtId="0" fontId="138" fillId="0" borderId="0" xfId="0" applyFont="1"/>
    <xf numFmtId="0" fontId="97" fillId="0" borderId="0" xfId="2268" applyFont="1" applyFill="1" applyBorder="1" applyAlignment="1">
      <alignment horizontal="right"/>
    </xf>
    <xf numFmtId="0" fontId="140" fillId="0" borderId="0" xfId="2123" applyFont="1" applyAlignment="1"/>
    <xf numFmtId="0" fontId="118" fillId="0" borderId="0" xfId="0" applyFont="1" applyAlignment="1"/>
    <xf numFmtId="0" fontId="140" fillId="0" borderId="0" xfId="0" applyFont="1"/>
    <xf numFmtId="0" fontId="97" fillId="0" borderId="0" xfId="0" applyFont="1" applyAlignment="1"/>
    <xf numFmtId="0" fontId="148" fillId="0" borderId="0" xfId="0" applyFont="1" applyBorder="1" applyAlignment="1">
      <alignment vertical="top"/>
    </xf>
    <xf numFmtId="0" fontId="97" fillId="0" borderId="0" xfId="0" applyFont="1" applyBorder="1" applyAlignment="1">
      <alignment vertical="top"/>
    </xf>
    <xf numFmtId="0" fontId="118" fillId="0" borderId="0" xfId="0" applyFont="1" applyFill="1"/>
    <xf numFmtId="0" fontId="97" fillId="0" borderId="0" xfId="2328" applyFont="1" applyFill="1" applyBorder="1" applyAlignment="1">
      <alignment horizontal="center" vertical="center"/>
    </xf>
    <xf numFmtId="0" fontId="150" fillId="0" borderId="0" xfId="0" applyFont="1" applyFill="1" applyBorder="1" applyAlignment="1">
      <alignment horizontal="center" vertical="top"/>
    </xf>
    <xf numFmtId="0" fontId="97" fillId="0" borderId="0" xfId="0" applyFont="1" applyFill="1" applyBorder="1" applyAlignment="1">
      <alignment vertical="top"/>
    </xf>
    <xf numFmtId="0" fontId="148" fillId="0" borderId="0" xfId="0" applyFont="1" applyFill="1" applyBorder="1" applyAlignment="1">
      <alignment vertical="top"/>
    </xf>
    <xf numFmtId="0" fontId="97" fillId="0" borderId="0" xfId="0" applyFont="1" applyFill="1" applyBorder="1" applyAlignment="1">
      <alignment horizontal="center" vertical="top"/>
    </xf>
    <xf numFmtId="0" fontId="118" fillId="0" borderId="0" xfId="0" applyFont="1" applyBorder="1"/>
    <xf numFmtId="0" fontId="26" fillId="0" borderId="0" xfId="0" applyFont="1" applyBorder="1" applyAlignment="1">
      <alignment horizontal="left" vertical="top"/>
    </xf>
    <xf numFmtId="0" fontId="90" fillId="0" borderId="0" xfId="0" applyFont="1" applyBorder="1" applyAlignment="1">
      <alignment horizontal="left" vertical="top"/>
    </xf>
    <xf numFmtId="43" fontId="118" fillId="0" borderId="0" xfId="0" applyNumberFormat="1" applyFont="1" applyFill="1" applyBorder="1" applyAlignment="1"/>
    <xf numFmtId="0" fontId="118" fillId="0" borderId="0" xfId="0" applyFont="1" applyBorder="1" applyAlignment="1"/>
    <xf numFmtId="0" fontId="153" fillId="0" borderId="0" xfId="2045" applyFont="1" applyAlignment="1" applyProtection="1"/>
    <xf numFmtId="0" fontId="97" fillId="66" borderId="29" xfId="2328" applyFont="1" applyFill="1" applyBorder="1" applyAlignment="1">
      <alignment horizontal="center" vertical="center"/>
    </xf>
    <xf numFmtId="0" fontId="148" fillId="0" borderId="0" xfId="0" applyFont="1" applyBorder="1" applyAlignment="1">
      <alignment horizontal="center" vertical="top"/>
    </xf>
    <xf numFmtId="0" fontId="148" fillId="0" borderId="0" xfId="0" applyFont="1" applyFill="1" applyBorder="1" applyAlignment="1">
      <alignment horizontal="center" vertical="top"/>
    </xf>
    <xf numFmtId="0" fontId="155" fillId="89" borderId="13" xfId="2328" applyFont="1" applyFill="1" applyBorder="1" applyAlignment="1">
      <alignment horizontal="center" vertical="top"/>
    </xf>
    <xf numFmtId="0" fontId="155" fillId="89" borderId="13" xfId="0" applyFont="1" applyFill="1" applyBorder="1" applyAlignment="1">
      <alignment horizontal="center" vertical="top"/>
    </xf>
    <xf numFmtId="0" fontId="97" fillId="0" borderId="0" xfId="0" applyFont="1" applyBorder="1" applyAlignment="1"/>
    <xf numFmtId="0" fontId="148" fillId="0" borderId="0" xfId="0" applyFont="1" applyFill="1" applyAlignment="1">
      <alignment vertical="top"/>
    </xf>
    <xf numFmtId="0" fontId="97" fillId="0" borderId="0" xfId="0" applyFont="1" applyAlignment="1">
      <alignment vertical="top"/>
    </xf>
    <xf numFmtId="0" fontId="148" fillId="0" borderId="0" xfId="0" applyFont="1" applyBorder="1" applyAlignment="1"/>
    <xf numFmtId="43" fontId="221" fillId="0" borderId="0" xfId="0" applyNumberFormat="1" applyFont="1" applyFill="1" applyBorder="1" applyAlignment="1">
      <alignment horizontal="right" vertical="top"/>
    </xf>
    <xf numFmtId="252" fontId="26" fillId="0" borderId="0" xfId="0" applyNumberFormat="1" applyFont="1" applyFill="1" applyBorder="1" applyAlignment="1">
      <alignment horizontal="right" vertical="top"/>
    </xf>
    <xf numFmtId="0" fontId="90" fillId="0" borderId="32" xfId="0" applyFont="1" applyBorder="1" applyAlignment="1">
      <alignment horizontal="left" vertical="top"/>
    </xf>
    <xf numFmtId="252" fontId="90" fillId="0" borderId="32" xfId="0" applyNumberFormat="1" applyFont="1" applyFill="1" applyBorder="1" applyAlignment="1">
      <alignment horizontal="right" vertical="top"/>
    </xf>
    <xf numFmtId="252" fontId="97" fillId="0" borderId="0" xfId="0" applyNumberFormat="1" applyFont="1" applyFill="1" applyBorder="1" applyAlignment="1">
      <alignment horizontal="right" vertical="top"/>
    </xf>
    <xf numFmtId="0" fontId="173" fillId="88" borderId="30" xfId="3304" applyFont="1" applyFill="1" applyBorder="1" applyAlignment="1">
      <alignment horizontal="center" vertical="center"/>
    </xf>
    <xf numFmtId="252" fontId="221" fillId="0" borderId="0" xfId="0" applyNumberFormat="1" applyFont="1" applyFill="1" applyBorder="1" applyAlignment="1">
      <alignment horizontal="left" vertical="top"/>
    </xf>
    <xf numFmtId="252" fontId="221" fillId="0" borderId="31" xfId="0" applyNumberFormat="1" applyFont="1" applyFill="1" applyBorder="1" applyAlignment="1">
      <alignment horizontal="right" vertical="top"/>
    </xf>
    <xf numFmtId="252" fontId="221" fillId="0" borderId="0" xfId="0" applyNumberFormat="1" applyFont="1" applyFill="1" applyBorder="1" applyAlignment="1">
      <alignment horizontal="right" vertical="top"/>
    </xf>
    <xf numFmtId="252" fontId="152" fillId="0" borderId="0" xfId="0" applyNumberFormat="1" applyFont="1" applyFill="1" applyBorder="1" applyAlignment="1">
      <alignment horizontal="left" vertical="top"/>
    </xf>
    <xf numFmtId="252" fontId="118" fillId="0" borderId="0" xfId="0" applyNumberFormat="1" applyFont="1" applyFill="1" applyBorder="1" applyAlignment="1"/>
    <xf numFmtId="252" fontId="90" fillId="0" borderId="0" xfId="0" applyNumberFormat="1" applyFont="1" applyFill="1" applyBorder="1" applyAlignment="1">
      <alignment horizontal="right" vertical="top"/>
    </xf>
    <xf numFmtId="0" fontId="90" fillId="0" borderId="64" xfId="0" applyFont="1" applyBorder="1" applyAlignment="1">
      <alignment horizontal="left" vertical="top"/>
    </xf>
    <xf numFmtId="252" fontId="151" fillId="0" borderId="0" xfId="0" applyNumberFormat="1" applyFont="1" applyFill="1" applyBorder="1" applyAlignment="1">
      <alignment horizontal="right" vertical="top"/>
    </xf>
    <xf numFmtId="0" fontId="148" fillId="0" borderId="0" xfId="0" applyFont="1" applyFill="1" applyAlignment="1">
      <alignment horizontal="center" vertical="top"/>
    </xf>
    <xf numFmtId="0" fontId="148" fillId="0" borderId="0" xfId="0" applyFont="1" applyAlignment="1">
      <alignment horizontal="center" vertical="top"/>
    </xf>
    <xf numFmtId="252" fontId="26" fillId="0" borderId="0" xfId="0" applyNumberFormat="1" applyFont="1" applyFill="1" applyBorder="1" applyAlignment="1">
      <alignment horizontal="left" vertical="top"/>
    </xf>
    <xf numFmtId="252" fontId="222" fillId="0" borderId="30" xfId="0" applyNumberFormat="1" applyFont="1" applyFill="1" applyBorder="1" applyAlignment="1">
      <alignment horizontal="right" vertical="top"/>
    </xf>
    <xf numFmtId="252" fontId="90" fillId="0" borderId="30" xfId="0" applyNumberFormat="1" applyFont="1" applyFill="1" applyBorder="1" applyAlignment="1">
      <alignment horizontal="right" vertical="top"/>
    </xf>
    <xf numFmtId="0" fontId="97" fillId="0" borderId="43" xfId="0" applyFont="1" applyBorder="1" applyAlignment="1"/>
    <xf numFmtId="0" fontId="118" fillId="0" borderId="0" xfId="0" applyFont="1" applyFill="1" applyBorder="1"/>
    <xf numFmtId="0" fontId="90" fillId="0" borderId="0" xfId="0" applyFont="1" applyFill="1" applyBorder="1" applyAlignment="1">
      <alignment vertical="center" wrapText="1"/>
    </xf>
    <xf numFmtId="0" fontId="140" fillId="0" borderId="0" xfId="0" applyFont="1" applyFill="1"/>
    <xf numFmtId="0" fontId="97" fillId="0" borderId="0" xfId="0" applyFont="1" applyFill="1" applyAlignment="1">
      <alignment vertical="top"/>
    </xf>
    <xf numFmtId="0" fontId="148" fillId="0" borderId="0" xfId="0" applyFont="1" applyAlignment="1">
      <alignment vertical="top"/>
    </xf>
    <xf numFmtId="0" fontId="174" fillId="88" borderId="50" xfId="3304" applyFont="1" applyFill="1" applyBorder="1" applyAlignment="1">
      <alignment horizontal="center" vertical="center"/>
    </xf>
    <xf numFmtId="224" fontId="221" fillId="0" borderId="0" xfId="0" applyNumberFormat="1" applyFont="1" applyFill="1" applyBorder="1" applyAlignment="1">
      <alignment horizontal="right" vertical="top"/>
    </xf>
    <xf numFmtId="0" fontId="97" fillId="0" borderId="0" xfId="2268" applyFont="1" applyFill="1" applyBorder="1" applyAlignment="1">
      <alignment horizontal="right"/>
    </xf>
    <xf numFmtId="0" fontId="174" fillId="88" borderId="51" xfId="3304" applyFont="1" applyFill="1" applyBorder="1" applyAlignment="1">
      <alignment horizontal="center" vertical="center"/>
    </xf>
    <xf numFmtId="0" fontId="173" fillId="88" borderId="49" xfId="3304" applyFont="1" applyFill="1" applyBorder="1" applyAlignment="1">
      <alignment horizontal="center" vertical="center"/>
    </xf>
    <xf numFmtId="0" fontId="140" fillId="66" borderId="0" xfId="0" quotePrefix="1" applyFont="1" applyFill="1" applyAlignment="1">
      <alignment horizontal="center"/>
    </xf>
    <xf numFmtId="0" fontId="140" fillId="66" borderId="0" xfId="0" applyFont="1" applyFill="1" applyAlignment="1">
      <alignment horizontal="center"/>
    </xf>
    <xf numFmtId="0" fontId="223" fillId="0" borderId="0" xfId="2268" applyFont="1" applyFill="1" applyBorder="1" applyAlignment="1">
      <alignment horizontal="right"/>
    </xf>
    <xf numFmtId="0" fontId="225" fillId="0" borderId="0" xfId="0" applyFont="1"/>
    <xf numFmtId="0" fontId="225" fillId="0" borderId="0" xfId="0" applyFont="1" applyAlignment="1"/>
    <xf numFmtId="0" fontId="137" fillId="0" borderId="0" xfId="0" applyFont="1"/>
    <xf numFmtId="0" fontId="223" fillId="54" borderId="7" xfId="2328" applyFont="1" applyFill="1" applyBorder="1" applyAlignment="1">
      <alignment horizontal="center" vertical="center"/>
    </xf>
    <xf numFmtId="0" fontId="223" fillId="0" borderId="0" xfId="0" applyFont="1" applyAlignment="1"/>
    <xf numFmtId="0" fontId="127" fillId="0" borderId="0" xfId="0" applyFont="1" applyBorder="1" applyAlignment="1">
      <alignment horizontal="center" vertical="top"/>
    </xf>
    <xf numFmtId="0" fontId="223" fillId="0" borderId="0" xfId="0" applyFont="1" applyBorder="1" applyAlignment="1">
      <alignment vertical="top"/>
    </xf>
    <xf numFmtId="0" fontId="225" fillId="0" borderId="0" xfId="0" applyFont="1" applyFill="1"/>
    <xf numFmtId="0" fontId="223" fillId="0" borderId="0" xfId="2328" applyFont="1" applyFill="1" applyBorder="1" applyAlignment="1">
      <alignment horizontal="center" vertical="center"/>
    </xf>
    <xf numFmtId="0" fontId="223" fillId="0" borderId="0" xfId="0" applyFont="1" applyFill="1" applyBorder="1" applyAlignment="1">
      <alignment vertical="top"/>
    </xf>
    <xf numFmtId="0" fontId="137" fillId="0" borderId="0" xfId="0" applyFont="1" applyFill="1"/>
    <xf numFmtId="0" fontId="227" fillId="0" borderId="0" xfId="2123" applyFont="1" applyAlignment="1"/>
    <xf numFmtId="0" fontId="225" fillId="0" borderId="0" xfId="0" applyFont="1" applyBorder="1"/>
    <xf numFmtId="0" fontId="228" fillId="0" borderId="0" xfId="0" applyFont="1" applyBorder="1" applyAlignment="1">
      <alignment horizontal="left" vertical="top"/>
    </xf>
    <xf numFmtId="0" fontId="229" fillId="0" borderId="0" xfId="0" applyFont="1" applyBorder="1" applyAlignment="1">
      <alignment horizontal="left" vertical="top"/>
    </xf>
    <xf numFmtId="0" fontId="225" fillId="0" borderId="0" xfId="0" applyFont="1" applyBorder="1" applyAlignment="1"/>
    <xf numFmtId="0" fontId="223" fillId="0" borderId="0" xfId="0" applyFont="1" applyFill="1" applyBorder="1" applyAlignment="1">
      <alignment horizontal="center" vertical="top"/>
    </xf>
    <xf numFmtId="0" fontId="223" fillId="0" borderId="0" xfId="0" applyFont="1" applyBorder="1" applyAlignment="1">
      <alignment horizontal="center" vertical="top"/>
    </xf>
    <xf numFmtId="0" fontId="223" fillId="0" borderId="0" xfId="0" applyFont="1" applyFill="1" applyBorder="1" applyAlignment="1"/>
    <xf numFmtId="0" fontId="225" fillId="0" borderId="0" xfId="0" applyFont="1" applyFill="1" applyBorder="1"/>
    <xf numFmtId="0" fontId="140" fillId="66" borderId="0" xfId="0" applyFont="1" applyFill="1" applyBorder="1" applyAlignment="1">
      <alignment horizontal="center"/>
    </xf>
    <xf numFmtId="252" fontId="228" fillId="0" borderId="32" xfId="0" applyNumberFormat="1" applyFont="1" applyFill="1" applyBorder="1" applyAlignment="1">
      <alignment horizontal="right" vertical="top"/>
    </xf>
    <xf numFmtId="252" fontId="229" fillId="0" borderId="0" xfId="0" applyNumberFormat="1" applyFont="1" applyFill="1" applyBorder="1" applyAlignment="1">
      <alignment horizontal="left" vertical="top"/>
    </xf>
    <xf numFmtId="252" fontId="228" fillId="0" borderId="30" xfId="0" applyNumberFormat="1" applyFont="1" applyFill="1" applyBorder="1" applyAlignment="1">
      <alignment horizontal="right" vertical="top"/>
    </xf>
    <xf numFmtId="252" fontId="144" fillId="0" borderId="0" xfId="0" applyNumberFormat="1" applyFont="1" applyFill="1" applyBorder="1" applyAlignment="1">
      <alignment horizontal="right" vertical="top"/>
    </xf>
    <xf numFmtId="252" fontId="144" fillId="0" borderId="30" xfId="0" applyNumberFormat="1" applyFont="1" applyFill="1" applyBorder="1" applyAlignment="1">
      <alignment horizontal="right" vertical="top"/>
    </xf>
    <xf numFmtId="252" fontId="231" fillId="0" borderId="0" xfId="0" applyNumberFormat="1" applyFont="1" applyFill="1" applyBorder="1" applyAlignment="1">
      <alignment horizontal="right" vertical="top"/>
    </xf>
    <xf numFmtId="0" fontId="228" fillId="0" borderId="64" xfId="0" applyFont="1" applyBorder="1" applyAlignment="1">
      <alignment horizontal="left" vertical="top"/>
    </xf>
    <xf numFmtId="0" fontId="228" fillId="0" borderId="32" xfId="0" applyFont="1" applyBorder="1" applyAlignment="1">
      <alignment horizontal="left" vertical="top"/>
    </xf>
    <xf numFmtId="0" fontId="223" fillId="0" borderId="0" xfId="0" applyFont="1" applyBorder="1" applyAlignment="1">
      <alignment vertical="center"/>
    </xf>
    <xf numFmtId="0" fontId="223" fillId="0" borderId="0" xfId="0" applyFont="1" applyFill="1" applyBorder="1" applyAlignment="1">
      <alignment vertical="center"/>
    </xf>
    <xf numFmtId="0" fontId="229" fillId="0" borderId="0" xfId="0" applyFont="1" applyFill="1" applyBorder="1" applyAlignment="1">
      <alignment horizontal="left" vertical="top"/>
    </xf>
    <xf numFmtId="0" fontId="230" fillId="0" borderId="0" xfId="0" applyFont="1" applyFill="1" applyBorder="1" applyAlignment="1">
      <alignment horizontal="left" vertical="top"/>
    </xf>
    <xf numFmtId="166" fontId="230" fillId="0" borderId="0" xfId="0" applyNumberFormat="1" applyFont="1" applyFill="1" applyBorder="1" applyAlignment="1">
      <alignment horizontal="right" vertical="top" wrapText="1"/>
    </xf>
    <xf numFmtId="0" fontId="232" fillId="0" borderId="0" xfId="0" applyFont="1" applyFill="1" applyBorder="1" applyAlignment="1">
      <alignment horizontal="left" vertical="top"/>
    </xf>
    <xf numFmtId="0" fontId="144" fillId="0" borderId="0" xfId="0" applyFont="1" applyAlignment="1"/>
    <xf numFmtId="0" fontId="144" fillId="0" borderId="0" xfId="0" applyFont="1" applyBorder="1" applyAlignment="1">
      <alignment horizontal="center" vertical="center"/>
    </xf>
    <xf numFmtId="214" fontId="231" fillId="0" borderId="0" xfId="0" applyNumberFormat="1" applyFont="1" applyFill="1" applyBorder="1" applyAlignment="1">
      <alignment horizontal="right" vertical="top" wrapText="1"/>
    </xf>
    <xf numFmtId="167" fontId="231" fillId="0" borderId="0" xfId="0" applyNumberFormat="1" applyFont="1" applyFill="1" applyBorder="1" applyAlignment="1">
      <alignment horizontal="right" vertical="top" wrapText="1"/>
    </xf>
    <xf numFmtId="171" fontId="231" fillId="0" borderId="0" xfId="0" applyNumberFormat="1" applyFont="1" applyFill="1" applyBorder="1" applyAlignment="1">
      <alignment horizontal="right" vertical="top" wrapText="1"/>
    </xf>
    <xf numFmtId="0" fontId="118" fillId="0" borderId="0" xfId="0" applyFont="1" applyAlignment="1">
      <alignment horizontal="right"/>
    </xf>
    <xf numFmtId="0" fontId="140" fillId="0" borderId="0" xfId="0" applyFont="1" applyAlignment="1">
      <alignment horizontal="right"/>
    </xf>
    <xf numFmtId="0" fontId="97" fillId="54" borderId="7" xfId="2328" applyFont="1" applyFill="1" applyBorder="1" applyAlignment="1">
      <alignment horizontal="center" vertical="center"/>
    </xf>
    <xf numFmtId="0" fontId="139" fillId="0" borderId="0" xfId="0" applyFont="1" applyBorder="1" applyAlignment="1">
      <alignment horizontal="center" vertical="top"/>
    </xf>
    <xf numFmtId="0" fontId="97" fillId="0" borderId="0" xfId="0" applyFont="1" applyFill="1" applyBorder="1" applyAlignment="1">
      <alignment horizontal="center"/>
    </xf>
    <xf numFmtId="0" fontId="118" fillId="0" borderId="0" xfId="0" applyFont="1" applyAlignment="1">
      <alignment horizontal="center"/>
    </xf>
    <xf numFmtId="0" fontId="118" fillId="0" borderId="0" xfId="0" applyFont="1" applyFill="1" applyAlignment="1">
      <alignment horizontal="right"/>
    </xf>
    <xf numFmtId="0" fontId="118" fillId="0" borderId="0" xfId="0" applyFont="1" applyBorder="1" applyAlignment="1">
      <alignment horizontal="right"/>
    </xf>
    <xf numFmtId="0" fontId="97" fillId="0" borderId="0" xfId="2285" applyFont="1" applyBorder="1" applyAlignment="1">
      <alignment horizontal="left"/>
    </xf>
    <xf numFmtId="0" fontId="118" fillId="0" borderId="0" xfId="2285" applyFont="1" applyBorder="1" applyAlignment="1">
      <alignment horizontal="left"/>
    </xf>
    <xf numFmtId="0" fontId="118" fillId="0" borderId="0" xfId="2305" applyFont="1" applyBorder="1" applyAlignment="1">
      <alignment horizontal="left"/>
    </xf>
    <xf numFmtId="0" fontId="139" fillId="0" borderId="0" xfId="0" applyFont="1" applyBorder="1" applyAlignment="1">
      <alignment vertical="top"/>
    </xf>
    <xf numFmtId="0" fontId="97" fillId="0" borderId="0" xfId="0" applyFont="1" applyFill="1" applyBorder="1" applyAlignment="1"/>
    <xf numFmtId="0" fontId="139" fillId="0" borderId="0" xfId="0" applyFont="1" applyAlignment="1"/>
    <xf numFmtId="0" fontId="97" fillId="0" borderId="27" xfId="2308" applyFont="1" applyBorder="1"/>
    <xf numFmtId="43" fontId="152" fillId="0" borderId="0" xfId="0" applyNumberFormat="1" applyFont="1" applyFill="1" applyBorder="1" applyAlignment="1">
      <alignment horizontal="right"/>
    </xf>
    <xf numFmtId="0" fontId="118" fillId="0" borderId="0" xfId="2308" applyFont="1" applyBorder="1"/>
    <xf numFmtId="0" fontId="97" fillId="0" borderId="0" xfId="2308" applyFont="1" applyBorder="1"/>
    <xf numFmtId="43" fontId="152" fillId="0" borderId="0" xfId="0" applyNumberFormat="1" applyFont="1" applyBorder="1" applyAlignment="1">
      <alignment horizontal="right"/>
    </xf>
    <xf numFmtId="169" fontId="118" fillId="0" borderId="0" xfId="0" applyNumberFormat="1" applyFont="1" applyBorder="1" applyAlignment="1">
      <alignment horizontal="right"/>
    </xf>
    <xf numFmtId="38" fontId="118" fillId="0" borderId="0" xfId="0" applyNumberFormat="1" applyFont="1" applyBorder="1" applyAlignment="1">
      <alignment horizontal="right"/>
    </xf>
    <xf numFmtId="253" fontId="221" fillId="0" borderId="0" xfId="0" applyNumberFormat="1" applyFont="1" applyFill="1" applyBorder="1" applyAlignment="1">
      <alignment horizontal="right"/>
    </xf>
    <xf numFmtId="0" fontId="223" fillId="0" borderId="0" xfId="0" applyFont="1" applyAlignment="1">
      <alignment vertical="center"/>
    </xf>
    <xf numFmtId="0" fontId="223" fillId="0" borderId="0" xfId="0" applyFont="1" applyFill="1" applyAlignment="1"/>
    <xf numFmtId="0" fontId="137" fillId="0" borderId="0" xfId="2286" applyFont="1"/>
    <xf numFmtId="0" fontId="137" fillId="0" borderId="0" xfId="2286" applyFont="1" applyFill="1"/>
    <xf numFmtId="0" fontId="122" fillId="67" borderId="6" xfId="0" applyFont="1" applyFill="1" applyBorder="1"/>
    <xf numFmtId="0" fontId="223" fillId="0" borderId="0" xfId="2286" applyFont="1"/>
    <xf numFmtId="14" fontId="223" fillId="0" borderId="0" xfId="2286" applyNumberFormat="1" applyFont="1" applyFill="1"/>
    <xf numFmtId="14" fontId="223" fillId="0" borderId="0" xfId="2286" applyNumberFormat="1" applyFont="1"/>
    <xf numFmtId="0" fontId="223" fillId="0" borderId="0" xfId="2286" applyFont="1" applyFill="1" applyBorder="1" applyAlignment="1"/>
    <xf numFmtId="0" fontId="223" fillId="0" borderId="0" xfId="2286" applyFont="1" applyBorder="1"/>
    <xf numFmtId="2" fontId="223" fillId="0" borderId="0" xfId="2286" applyNumberFormat="1" applyFont="1"/>
    <xf numFmtId="0" fontId="225" fillId="0" borderId="0" xfId="2286" applyFont="1" applyBorder="1"/>
    <xf numFmtId="0" fontId="225" fillId="0" borderId="0" xfId="2286" applyFont="1"/>
    <xf numFmtId="2" fontId="225" fillId="0" borderId="0" xfId="2286" applyNumberFormat="1" applyFont="1"/>
    <xf numFmtId="0" fontId="223" fillId="0" borderId="0" xfId="2286" applyFont="1" applyFill="1" applyBorder="1"/>
    <xf numFmtId="169" fontId="225" fillId="0" borderId="0" xfId="0" applyNumberFormat="1" applyFont="1"/>
    <xf numFmtId="14" fontId="225" fillId="0" borderId="0" xfId="0" applyNumberFormat="1" applyFont="1"/>
    <xf numFmtId="0" fontId="144" fillId="0" borderId="0" xfId="0" applyFont="1" applyAlignment="1">
      <alignment vertical="center"/>
    </xf>
    <xf numFmtId="14" fontId="223" fillId="0" borderId="0" xfId="2286" applyNumberFormat="1" applyFont="1" applyFill="1" applyBorder="1" applyAlignment="1">
      <alignment horizontal="center" vertical="center"/>
    </xf>
    <xf numFmtId="0" fontId="223" fillId="0" borderId="0" xfId="2268" applyFont="1" applyFill="1" applyBorder="1" applyAlignment="1"/>
    <xf numFmtId="210" fontId="144" fillId="0" borderId="0" xfId="2286" applyNumberFormat="1" applyFont="1" applyFill="1" applyBorder="1" applyAlignment="1">
      <alignment horizontal="center"/>
    </xf>
    <xf numFmtId="210" fontId="231" fillId="0" borderId="0" xfId="2286" applyNumberFormat="1" applyFont="1" applyFill="1" applyBorder="1" applyAlignment="1">
      <alignment horizontal="center"/>
    </xf>
    <xf numFmtId="0" fontId="231" fillId="0" borderId="0" xfId="2286" applyFont="1" applyFill="1" applyBorder="1" applyAlignment="1">
      <alignment horizontal="center"/>
    </xf>
    <xf numFmtId="0" fontId="231" fillId="0" borderId="0" xfId="0" applyFont="1"/>
    <xf numFmtId="169" fontId="144" fillId="0" borderId="0" xfId="2286" applyNumberFormat="1" applyFont="1" applyFill="1" applyBorder="1" applyAlignment="1">
      <alignment horizontal="center"/>
    </xf>
    <xf numFmtId="169" fontId="231" fillId="0" borderId="0" xfId="2286" applyNumberFormat="1" applyFont="1" applyFill="1" applyBorder="1" applyAlignment="1">
      <alignment horizontal="center"/>
    </xf>
    <xf numFmtId="0" fontId="222" fillId="0" borderId="0" xfId="0" applyFont="1" applyBorder="1" applyAlignment="1">
      <alignment horizontal="center" vertical="top"/>
    </xf>
    <xf numFmtId="0" fontId="222" fillId="0" borderId="0" xfId="0" applyFont="1" applyAlignment="1"/>
    <xf numFmtId="0" fontId="222" fillId="0" borderId="0" xfId="0" applyFont="1" applyFill="1" applyBorder="1" applyAlignment="1">
      <alignment horizontal="center" vertical="top"/>
    </xf>
    <xf numFmtId="0" fontId="97" fillId="0" borderId="0" xfId="0" applyFont="1" applyFill="1" applyAlignment="1"/>
    <xf numFmtId="0" fontId="97" fillId="0" borderId="0" xfId="2308" applyFont="1" applyBorder="1" applyAlignment="1">
      <alignment horizontal="left"/>
    </xf>
    <xf numFmtId="0" fontId="118" fillId="0" borderId="0" xfId="0" applyFont="1" applyFill="1" applyBorder="1" applyAlignment="1">
      <alignment horizontal="center"/>
    </xf>
    <xf numFmtId="0" fontId="118" fillId="0" borderId="0" xfId="0" applyFont="1" applyAlignment="1">
      <alignment horizontal="left"/>
    </xf>
    <xf numFmtId="0" fontId="97" fillId="0" borderId="0" xfId="0" quotePrefix="1" applyFont="1" applyAlignment="1">
      <alignment horizontal="left"/>
    </xf>
    <xf numFmtId="214" fontId="118" fillId="0" borderId="0" xfId="0" applyNumberFormat="1" applyFont="1" applyAlignment="1">
      <alignment horizontal="center"/>
    </xf>
    <xf numFmtId="0" fontId="118" fillId="0" borderId="0" xfId="2308" applyFont="1" applyBorder="1" applyAlignment="1">
      <alignment horizontal="left"/>
    </xf>
    <xf numFmtId="0" fontId="97" fillId="0" borderId="0" xfId="2308" quotePrefix="1" applyFont="1" applyBorder="1" applyAlignment="1">
      <alignment horizontal="left"/>
    </xf>
    <xf numFmtId="214" fontId="118" fillId="0" borderId="0" xfId="0" applyNumberFormat="1" applyFont="1" applyFill="1" applyBorder="1" applyAlignment="1">
      <alignment horizontal="center"/>
    </xf>
    <xf numFmtId="169" fontId="118" fillId="0" borderId="0" xfId="0" applyNumberFormat="1" applyFont="1" applyFill="1" applyBorder="1" applyAlignment="1">
      <alignment horizontal="center"/>
    </xf>
    <xf numFmtId="0" fontId="26" fillId="0" borderId="0" xfId="2329" applyFont="1" applyBorder="1" applyAlignment="1">
      <alignment horizontal="left" vertical="top"/>
    </xf>
    <xf numFmtId="170" fontId="234" fillId="0" borderId="0" xfId="0" applyNumberFormat="1" applyFont="1" applyFill="1" applyBorder="1" applyAlignment="1">
      <alignment horizontal="center"/>
    </xf>
    <xf numFmtId="208" fontId="151" fillId="0" borderId="0" xfId="0" applyNumberFormat="1" applyFont="1" applyFill="1" applyBorder="1" applyAlignment="1">
      <alignment horizontal="center"/>
    </xf>
    <xf numFmtId="0" fontId="90" fillId="0" borderId="0" xfId="2329" applyFont="1" applyBorder="1" applyAlignment="1">
      <alignment horizontal="left" vertical="top"/>
    </xf>
    <xf numFmtId="168" fontId="97" fillId="0" borderId="0" xfId="0" applyNumberFormat="1" applyFont="1" applyFill="1" applyBorder="1" applyAlignment="1">
      <alignment horizontal="center"/>
    </xf>
    <xf numFmtId="170" fontId="233" fillId="0" borderId="0" xfId="0" applyNumberFormat="1" applyFont="1" applyFill="1" applyBorder="1" applyAlignment="1">
      <alignment horizontal="center"/>
    </xf>
    <xf numFmtId="208" fontId="97" fillId="0" borderId="0" xfId="0" applyNumberFormat="1" applyFont="1" applyFill="1" applyBorder="1" applyAlignment="1">
      <alignment horizontal="center"/>
    </xf>
    <xf numFmtId="169" fontId="151" fillId="0" borderId="0" xfId="0" applyNumberFormat="1" applyFont="1" applyFill="1" applyBorder="1" applyAlignment="1">
      <alignment horizontal="center"/>
    </xf>
    <xf numFmtId="209" fontId="85" fillId="0" borderId="0" xfId="0" applyNumberFormat="1" applyFont="1" applyFill="1" applyBorder="1" applyAlignment="1"/>
    <xf numFmtId="209" fontId="85" fillId="0" borderId="0" xfId="0" applyNumberFormat="1" applyFont="1" applyFill="1" applyBorder="1" applyAlignment="1">
      <alignment horizontal="center"/>
    </xf>
    <xf numFmtId="0" fontId="118" fillId="0" borderId="0" xfId="2313" applyFont="1" applyBorder="1"/>
    <xf numFmtId="0" fontId="97" fillId="0" borderId="0" xfId="0" applyFont="1" applyBorder="1" applyAlignment="1">
      <alignment horizontal="right"/>
    </xf>
    <xf numFmtId="0" fontId="97" fillId="0" borderId="0" xfId="2313" applyFont="1" applyBorder="1"/>
    <xf numFmtId="0" fontId="97" fillId="0" borderId="0" xfId="0" applyFont="1" applyAlignment="1">
      <alignment horizontal="right"/>
    </xf>
    <xf numFmtId="38" fontId="118" fillId="0" borderId="0" xfId="0" applyNumberFormat="1" applyFont="1" applyFill="1" applyBorder="1" applyAlignment="1">
      <alignment horizontal="center"/>
    </xf>
    <xf numFmtId="0" fontId="118" fillId="0" borderId="0" xfId="2315" applyFont="1" applyBorder="1"/>
    <xf numFmtId="0" fontId="97" fillId="0" borderId="0" xfId="2315" applyFont="1" applyBorder="1"/>
    <xf numFmtId="0" fontId="118" fillId="0" borderId="0" xfId="2317" applyFont="1" applyBorder="1"/>
    <xf numFmtId="0" fontId="97" fillId="0" borderId="0" xfId="2317" applyFont="1" applyBorder="1"/>
    <xf numFmtId="0" fontId="118" fillId="0" borderId="0" xfId="2318" applyFont="1" applyBorder="1"/>
    <xf numFmtId="170" fontId="118" fillId="0" borderId="0" xfId="0" applyNumberFormat="1" applyFont="1" applyFill="1" applyBorder="1" applyAlignment="1">
      <alignment horizontal="center"/>
    </xf>
    <xf numFmtId="0" fontId="97" fillId="0" borderId="0" xfId="2318" applyFont="1" applyBorder="1"/>
    <xf numFmtId="170" fontId="97" fillId="0" borderId="0" xfId="0" applyNumberFormat="1" applyFont="1" applyFill="1" applyBorder="1" applyAlignment="1">
      <alignment horizontal="center"/>
    </xf>
    <xf numFmtId="0" fontId="151" fillId="0" borderId="0" xfId="0" applyFont="1" applyFill="1" applyBorder="1" applyAlignment="1">
      <alignment horizontal="center"/>
    </xf>
    <xf numFmtId="0" fontId="118" fillId="0" borderId="0" xfId="0" applyFont="1" applyBorder="1" applyAlignment="1">
      <alignment horizontal="center"/>
    </xf>
    <xf numFmtId="0" fontId="235" fillId="88" borderId="31" xfId="3304" applyFont="1" applyFill="1" applyBorder="1" applyAlignment="1">
      <alignment horizontal="center" vertical="center"/>
    </xf>
    <xf numFmtId="0" fontId="235" fillId="88" borderId="66" xfId="3304" applyFont="1" applyFill="1" applyBorder="1" applyAlignment="1">
      <alignment horizontal="center" vertical="center"/>
    </xf>
    <xf numFmtId="168" fontId="221" fillId="0" borderId="0" xfId="0" applyNumberFormat="1" applyFont="1" applyFill="1" applyBorder="1" applyAlignment="1">
      <alignment horizontal="center"/>
    </xf>
    <xf numFmtId="208" fontId="221" fillId="0" borderId="0" xfId="0" applyNumberFormat="1" applyFont="1" applyFill="1" applyBorder="1" applyAlignment="1">
      <alignment horizontal="center"/>
    </xf>
    <xf numFmtId="208" fontId="222" fillId="0" borderId="0" xfId="0" applyNumberFormat="1" applyFont="1" applyFill="1" applyBorder="1" applyAlignment="1">
      <alignment horizontal="center"/>
    </xf>
    <xf numFmtId="169" fontId="221" fillId="0" borderId="0" xfId="0" applyNumberFormat="1" applyFont="1" applyFill="1" applyBorder="1" applyAlignment="1">
      <alignment horizontal="center"/>
    </xf>
    <xf numFmtId="209" fontId="221" fillId="0" borderId="0" xfId="0" applyNumberFormat="1" applyFont="1" applyFill="1" applyBorder="1" applyAlignment="1">
      <alignment horizontal="center"/>
    </xf>
    <xf numFmtId="0" fontId="154" fillId="88" borderId="13" xfId="2268" applyFont="1" applyFill="1" applyBorder="1" applyAlignment="1">
      <alignment horizontal="center" vertical="center"/>
    </xf>
    <xf numFmtId="0" fontId="154" fillId="88" borderId="69" xfId="2268" applyFont="1" applyFill="1" applyBorder="1" applyAlignment="1">
      <alignment horizontal="center" vertical="center"/>
    </xf>
    <xf numFmtId="0" fontId="127" fillId="0" borderId="0" xfId="0" applyFont="1" applyBorder="1" applyAlignment="1">
      <alignment vertical="top"/>
    </xf>
    <xf numFmtId="0" fontId="127" fillId="67" borderId="25" xfId="0" applyFont="1" applyFill="1" applyBorder="1"/>
    <xf numFmtId="0" fontId="122" fillId="67" borderId="26" xfId="0" applyFont="1" applyFill="1" applyBorder="1"/>
    <xf numFmtId="0" fontId="228" fillId="0" borderId="0" xfId="0" applyNumberFormat="1" applyFont="1" applyFill="1" applyBorder="1" applyAlignment="1">
      <alignment wrapText="1"/>
    </xf>
    <xf numFmtId="0" fontId="230" fillId="0" borderId="0" xfId="0" applyFont="1" applyFill="1" applyBorder="1"/>
    <xf numFmtId="0" fontId="230" fillId="0" borderId="0" xfId="0" applyFont="1" applyFill="1" applyBorder="1" applyAlignment="1">
      <alignment horizontal="left" indent="1"/>
    </xf>
    <xf numFmtId="0" fontId="127" fillId="67" borderId="25" xfId="0" applyFont="1" applyFill="1" applyBorder="1" applyAlignment="1">
      <alignment horizontal="left"/>
    </xf>
    <xf numFmtId="0" fontId="223" fillId="0" borderId="0" xfId="0" applyFont="1" applyFill="1" applyBorder="1"/>
    <xf numFmtId="0" fontId="230" fillId="0" borderId="0" xfId="0" applyFont="1" applyFill="1"/>
    <xf numFmtId="0" fontId="127" fillId="67" borderId="6" xfId="0" applyFont="1" applyFill="1" applyBorder="1"/>
    <xf numFmtId="0" fontId="127" fillId="67" borderId="26" xfId="0" applyFont="1" applyFill="1" applyBorder="1"/>
    <xf numFmtId="0" fontId="232" fillId="0" borderId="0" xfId="0" applyFont="1" applyFill="1" applyBorder="1"/>
    <xf numFmtId="0" fontId="137" fillId="66" borderId="0" xfId="0" applyFont="1" applyFill="1" applyAlignment="1">
      <alignment horizontal="center"/>
    </xf>
    <xf numFmtId="0" fontId="228" fillId="66" borderId="0" xfId="0" applyNumberFormat="1" applyFont="1" applyFill="1" applyBorder="1" applyAlignment="1">
      <alignment horizontal="center" wrapText="1"/>
    </xf>
    <xf numFmtId="0" fontId="230" fillId="66" borderId="0" xfId="0" applyFont="1" applyFill="1" applyBorder="1" applyAlignment="1">
      <alignment horizontal="center"/>
    </xf>
    <xf numFmtId="0" fontId="225" fillId="66" borderId="0" xfId="0" applyFont="1" applyFill="1" applyBorder="1" applyAlignment="1">
      <alignment horizontal="center"/>
    </xf>
    <xf numFmtId="0" fontId="231" fillId="0" borderId="0" xfId="0" applyFont="1" applyFill="1" applyBorder="1" applyAlignment="1">
      <alignment horizontal="left" indent="1"/>
    </xf>
    <xf numFmtId="0" fontId="137" fillId="0" borderId="0" xfId="0" applyFont="1" applyAlignment="1">
      <alignment horizontal="center"/>
    </xf>
    <xf numFmtId="246" fontId="231" fillId="0" borderId="0" xfId="0" applyNumberFormat="1" applyFont="1" applyFill="1" applyBorder="1" applyAlignment="1">
      <alignment horizontal="right"/>
    </xf>
    <xf numFmtId="0" fontId="127" fillId="67" borderId="0" xfId="0" applyFont="1" applyFill="1" applyBorder="1"/>
    <xf numFmtId="0" fontId="223" fillId="66" borderId="0" xfId="0" applyFont="1" applyFill="1" applyBorder="1" applyAlignment="1">
      <alignment horizontal="center"/>
    </xf>
    <xf numFmtId="0" fontId="223" fillId="0" borderId="0" xfId="0" applyFont="1" applyFill="1" applyBorder="1" applyAlignment="1">
      <alignment horizontal="center"/>
    </xf>
    <xf numFmtId="0" fontId="223" fillId="66" borderId="0" xfId="0" applyNumberFormat="1" applyFont="1" applyFill="1" applyBorder="1" applyAlignment="1">
      <alignment horizontal="center" wrapText="1"/>
    </xf>
    <xf numFmtId="0" fontId="122" fillId="66" borderId="0" xfId="0" applyFont="1" applyFill="1" applyBorder="1" applyAlignment="1">
      <alignment horizontal="center"/>
    </xf>
    <xf numFmtId="0" fontId="127" fillId="66" borderId="0" xfId="0" applyFont="1" applyFill="1" applyBorder="1" applyAlignment="1">
      <alignment horizontal="center"/>
    </xf>
    <xf numFmtId="0" fontId="174" fillId="88" borderId="0" xfId="3304" applyFont="1" applyFill="1" applyBorder="1" applyAlignment="1">
      <alignment horizontal="center" vertical="center"/>
    </xf>
    <xf numFmtId="0" fontId="127" fillId="67" borderId="70" xfId="0" applyFont="1" applyFill="1" applyBorder="1"/>
    <xf numFmtId="0" fontId="173" fillId="88" borderId="64" xfId="3304" applyFont="1" applyFill="1" applyBorder="1" applyAlignment="1">
      <alignment horizontal="center" vertical="center"/>
    </xf>
    <xf numFmtId="0" fontId="173" fillId="88" borderId="71" xfId="3304" applyFont="1" applyFill="1" applyBorder="1" applyAlignment="1">
      <alignment horizontal="center" vertical="center"/>
    </xf>
    <xf numFmtId="0" fontId="239" fillId="67" borderId="71" xfId="3304" applyFont="1" applyFill="1" applyBorder="1" applyAlignment="1">
      <alignment horizontal="center" vertical="center"/>
    </xf>
    <xf numFmtId="0" fontId="239" fillId="67" borderId="64" xfId="3304" applyFont="1" applyFill="1" applyBorder="1" applyAlignment="1">
      <alignment horizontal="center" vertical="center"/>
    </xf>
    <xf numFmtId="0" fontId="224" fillId="67" borderId="0" xfId="3304" applyFont="1" applyFill="1" applyBorder="1" applyAlignment="1">
      <alignment horizontal="center" vertical="center"/>
    </xf>
    <xf numFmtId="0" fontId="239" fillId="67" borderId="0" xfId="3304" applyFont="1" applyFill="1" applyBorder="1" applyAlignment="1">
      <alignment horizontal="center" vertical="center"/>
    </xf>
    <xf numFmtId="0" fontId="127" fillId="67" borderId="0" xfId="0" applyFont="1" applyFill="1" applyBorder="1" applyAlignment="1">
      <alignment horizontal="left" vertical="center"/>
    </xf>
    <xf numFmtId="0" fontId="140" fillId="0" borderId="0" xfId="2204" applyFont="1" applyFill="1" applyAlignment="1">
      <alignment horizontal="center"/>
    </xf>
    <xf numFmtId="209" fontId="221" fillId="0" borderId="0" xfId="2204" applyNumberFormat="1" applyFont="1" applyFill="1" applyBorder="1" applyAlignment="1">
      <alignment horizontal="center" vertical="top"/>
    </xf>
    <xf numFmtId="0" fontId="140" fillId="0" borderId="0" xfId="2204" quotePrefix="1" applyFont="1"/>
    <xf numFmtId="3" fontId="221" fillId="0" borderId="0" xfId="2204" applyNumberFormat="1" applyFont="1"/>
    <xf numFmtId="209" fontId="222" fillId="0" borderId="0" xfId="2204" applyNumberFormat="1" applyFont="1" applyAlignment="1">
      <alignment horizontal="center" vertical="top" wrapText="1"/>
    </xf>
    <xf numFmtId="0" fontId="221" fillId="0" borderId="0" xfId="2204" applyFont="1"/>
    <xf numFmtId="0" fontId="221" fillId="0" borderId="0" xfId="2204" applyFont="1" applyAlignment="1"/>
    <xf numFmtId="0" fontId="221" fillId="0" borderId="0" xfId="2204" applyFont="1" applyFill="1"/>
    <xf numFmtId="208" fontId="222" fillId="0" borderId="0" xfId="2204" applyNumberFormat="1" applyFont="1" applyBorder="1" applyAlignment="1">
      <alignment horizontal="right" vertical="top"/>
    </xf>
    <xf numFmtId="208" fontId="221" fillId="0" borderId="0" xfId="2204" applyNumberFormat="1" applyFont="1" applyBorder="1" applyAlignment="1">
      <alignment horizontal="right" vertical="top"/>
    </xf>
    <xf numFmtId="207" fontId="238" fillId="0" borderId="0" xfId="2204" applyNumberFormat="1" applyFont="1" applyFill="1" applyBorder="1" applyAlignment="1">
      <alignment horizontal="right" vertical="top"/>
    </xf>
    <xf numFmtId="165" fontId="238" fillId="0" borderId="0" xfId="2204" applyNumberFormat="1" applyFont="1" applyFill="1" applyBorder="1" applyAlignment="1">
      <alignment horizontal="right" vertical="top"/>
    </xf>
    <xf numFmtId="254" fontId="222" fillId="0" borderId="0" xfId="2204" applyNumberFormat="1" applyFont="1" applyFill="1" applyBorder="1" applyAlignment="1">
      <alignment horizontal="right" vertical="top"/>
    </xf>
    <xf numFmtId="164" fontId="222" fillId="0" borderId="0" xfId="2204" applyNumberFormat="1" applyFont="1" applyFill="1" applyBorder="1" applyAlignment="1">
      <alignment horizontal="right" vertical="top"/>
    </xf>
    <xf numFmtId="0" fontId="172" fillId="88" borderId="73" xfId="3304" applyFont="1" applyFill="1" applyBorder="1" applyAlignment="1">
      <alignment horizontal="center" vertical="center"/>
    </xf>
    <xf numFmtId="0" fontId="172" fillId="0" borderId="0" xfId="3304" applyFont="1" applyFill="1" applyBorder="1" applyAlignment="1">
      <alignment vertical="center"/>
    </xf>
    <xf numFmtId="0" fontId="172" fillId="88" borderId="0" xfId="3304" applyFont="1" applyFill="1" applyBorder="1" applyAlignment="1">
      <alignment horizontal="center" vertical="center"/>
    </xf>
    <xf numFmtId="0" fontId="140" fillId="0" borderId="0" xfId="2204" quotePrefix="1" applyFont="1" applyFill="1" applyAlignment="1">
      <alignment horizontal="center"/>
    </xf>
    <xf numFmtId="0" fontId="118" fillId="0" borderId="0" xfId="2204" applyFont="1" applyAlignment="1"/>
    <xf numFmtId="0" fontId="151" fillId="0" borderId="0" xfId="2204" applyFont="1" applyFill="1" applyBorder="1" applyAlignment="1">
      <alignment horizontal="center"/>
    </xf>
    <xf numFmtId="0" fontId="237" fillId="0" borderId="0" xfId="2204" applyNumberFormat="1" applyFont="1" applyFill="1" applyAlignment="1">
      <alignment horizontal="right" wrapText="1"/>
    </xf>
    <xf numFmtId="0" fontId="118" fillId="0" borderId="0" xfId="2204" applyFont="1" applyBorder="1"/>
    <xf numFmtId="2" fontId="118" fillId="0" borderId="0" xfId="2204" applyNumberFormat="1" applyFont="1"/>
    <xf numFmtId="0" fontId="26" fillId="0" borderId="0" xfId="2204" applyFont="1" applyAlignment="1">
      <alignment horizontal="left" vertical="top"/>
    </xf>
    <xf numFmtId="170" fontId="118" fillId="0" borderId="0" xfId="2204" applyNumberFormat="1" applyFont="1"/>
    <xf numFmtId="170" fontId="118" fillId="0" borderId="0" xfId="2204" applyNumberFormat="1" applyFont="1" applyFill="1" applyBorder="1" applyAlignment="1"/>
    <xf numFmtId="165" fontId="236" fillId="0" borderId="0" xfId="2204" applyNumberFormat="1" applyFont="1" applyFill="1" applyBorder="1" applyAlignment="1">
      <alignment horizontal="right" vertical="top"/>
    </xf>
    <xf numFmtId="0" fontId="152" fillId="0" borderId="0" xfId="2204" applyFont="1" applyFill="1" applyBorder="1" applyAlignment="1"/>
    <xf numFmtId="0" fontId="152" fillId="0" borderId="0" xfId="2204" applyFont="1" applyFill="1" applyBorder="1" applyAlignment="1">
      <alignment horizontal="left" vertical="top"/>
    </xf>
    <xf numFmtId="0" fontId="26" fillId="0" borderId="0" xfId="2204" applyFont="1" applyBorder="1" applyAlignment="1">
      <alignment horizontal="left" vertical="top"/>
    </xf>
    <xf numFmtId="0" fontId="236" fillId="0" borderId="0" xfId="2204" applyFont="1" applyBorder="1" applyAlignment="1">
      <alignment horizontal="left" vertical="top"/>
    </xf>
    <xf numFmtId="0" fontId="118" fillId="0" borderId="0" xfId="2204" applyFont="1" applyFill="1" applyBorder="1" applyAlignment="1"/>
    <xf numFmtId="0" fontId="37" fillId="0" borderId="0" xfId="2204" applyFont="1" applyFill="1" applyBorder="1" applyAlignment="1">
      <alignment horizontal="left" vertical="top"/>
    </xf>
    <xf numFmtId="0" fontId="26" fillId="0" borderId="0" xfId="2204" applyFont="1" applyFill="1" applyBorder="1" applyAlignment="1">
      <alignment horizontal="left" vertical="top"/>
    </xf>
    <xf numFmtId="0" fontId="90" fillId="0" borderId="0" xfId="2204" applyFont="1" applyBorder="1" applyAlignment="1">
      <alignment horizontal="left" vertical="top"/>
    </xf>
    <xf numFmtId="0" fontId="148" fillId="0" borderId="0" xfId="2204" applyFont="1" applyAlignment="1">
      <alignment vertical="top"/>
    </xf>
    <xf numFmtId="0" fontId="140" fillId="0" borderId="0" xfId="2204" applyFont="1" applyFill="1"/>
    <xf numFmtId="0" fontId="140" fillId="0" borderId="0" xfId="2204" applyFont="1"/>
    <xf numFmtId="0" fontId="97" fillId="0" borderId="0" xfId="2204" applyFont="1" applyAlignment="1">
      <alignment vertical="top"/>
    </xf>
    <xf numFmtId="0" fontId="97" fillId="0" borderId="0" xfId="2204" applyFont="1" applyBorder="1" applyAlignment="1">
      <alignment vertical="top"/>
    </xf>
    <xf numFmtId="0" fontId="97" fillId="0" borderId="0" xfId="2204" applyFont="1" applyAlignment="1"/>
    <xf numFmtId="246" fontId="223" fillId="0" borderId="0" xfId="0" applyNumberFormat="1" applyFont="1" applyFill="1" applyBorder="1"/>
    <xf numFmtId="252" fontId="223" fillId="0" borderId="0" xfId="0" applyNumberFormat="1" applyFont="1" applyFill="1" applyBorder="1"/>
    <xf numFmtId="0" fontId="37" fillId="0" borderId="0" xfId="2123" applyFont="1" applyAlignment="1"/>
    <xf numFmtId="0" fontId="118" fillId="0" borderId="0" xfId="2204" applyFont="1"/>
    <xf numFmtId="0" fontId="139" fillId="67" borderId="25" xfId="2204" applyFont="1" applyFill="1" applyBorder="1" applyAlignment="1"/>
    <xf numFmtId="0" fontId="139" fillId="67" borderId="26" xfId="2204" applyFont="1" applyFill="1" applyBorder="1" applyAlignment="1"/>
    <xf numFmtId="0" fontId="138" fillId="0" borderId="0" xfId="0" applyFont="1" applyAlignment="1"/>
    <xf numFmtId="0" fontId="240" fillId="0" borderId="0" xfId="7819" applyFont="1" applyAlignment="1">
      <alignment vertical="center" wrapText="1"/>
    </xf>
    <xf numFmtId="246" fontId="118" fillId="0" borderId="0" xfId="0" applyNumberFormat="1" applyFont="1"/>
    <xf numFmtId="252" fontId="118" fillId="0" borderId="0" xfId="0" applyNumberFormat="1" applyFont="1"/>
    <xf numFmtId="0" fontId="140" fillId="0" borderId="0" xfId="0" quotePrefix="1" applyFont="1"/>
    <xf numFmtId="43" fontId="118" fillId="0" borderId="0" xfId="0" applyNumberFormat="1" applyFont="1"/>
    <xf numFmtId="0" fontId="26" fillId="0" borderId="76" xfId="0" applyFont="1" applyBorder="1" applyAlignment="1">
      <alignment horizontal="left" vertical="top"/>
    </xf>
    <xf numFmtId="252" fontId="221" fillId="0" borderId="76" xfId="0" applyNumberFormat="1" applyFont="1" applyFill="1" applyBorder="1" applyAlignment="1">
      <alignment horizontal="right" vertical="top"/>
    </xf>
    <xf numFmtId="0" fontId="140" fillId="66" borderId="0" xfId="0" applyFont="1" applyFill="1" applyBorder="1" applyAlignment="1">
      <alignment horizontal="center"/>
    </xf>
    <xf numFmtId="0" fontId="140" fillId="66" borderId="0" xfId="0" applyFont="1" applyFill="1" applyBorder="1" applyAlignment="1">
      <alignment horizontal="center"/>
    </xf>
    <xf numFmtId="0" fontId="118" fillId="0" borderId="0" xfId="2204" quotePrefix="1" applyFont="1"/>
    <xf numFmtId="14" fontId="118" fillId="0" borderId="0" xfId="2204" applyNumberFormat="1" applyFont="1"/>
    <xf numFmtId="14" fontId="174" fillId="88" borderId="0" xfId="3304" applyNumberFormat="1" applyFont="1" applyFill="1" applyBorder="1" applyAlignment="1">
      <alignment horizontal="center" vertical="center"/>
    </xf>
    <xf numFmtId="0" fontId="118" fillId="0" borderId="0" xfId="0" quotePrefix="1" applyFont="1" applyFill="1" applyBorder="1"/>
    <xf numFmtId="14" fontId="174" fillId="88" borderId="51" xfId="3304" applyNumberFormat="1" applyFont="1" applyFill="1" applyBorder="1" applyAlignment="1">
      <alignment horizontal="center" vertical="center"/>
    </xf>
    <xf numFmtId="4" fontId="225" fillId="0" borderId="0" xfId="0" applyNumberFormat="1" applyFont="1"/>
    <xf numFmtId="0" fontId="225" fillId="0" borderId="0" xfId="0" quotePrefix="1" applyFont="1" applyAlignment="1">
      <alignment wrapText="1"/>
    </xf>
    <xf numFmtId="167" fontId="231" fillId="0" borderId="0" xfId="0" quotePrefix="1" applyNumberFormat="1" applyFont="1" applyFill="1" applyBorder="1" applyAlignment="1">
      <alignment horizontal="right" vertical="top" wrapText="1"/>
    </xf>
    <xf numFmtId="0" fontId="223" fillId="0" borderId="0" xfId="0" applyFont="1" applyBorder="1"/>
    <xf numFmtId="14" fontId="172" fillId="88" borderId="50" xfId="3304" applyNumberFormat="1" applyFont="1" applyFill="1" applyBorder="1" applyAlignment="1">
      <alignment horizontal="center" vertical="center"/>
    </xf>
    <xf numFmtId="14" fontId="174" fillId="88" borderId="50" xfId="3304" applyNumberFormat="1" applyFont="1" applyFill="1" applyBorder="1" applyAlignment="1">
      <alignment horizontal="center" vertical="center"/>
    </xf>
    <xf numFmtId="246" fontId="118" fillId="0" borderId="0" xfId="0" applyNumberFormat="1" applyFont="1" applyFill="1"/>
    <xf numFmtId="0" fontId="225" fillId="0" borderId="76" xfId="0" applyFont="1" applyBorder="1"/>
    <xf numFmtId="255" fontId="225" fillId="0" borderId="0" xfId="0" applyNumberFormat="1" applyFont="1" applyBorder="1"/>
    <xf numFmtId="258" fontId="225" fillId="0" borderId="0" xfId="0" applyNumberFormat="1" applyFont="1" applyBorder="1"/>
    <xf numFmtId="0" fontId="225" fillId="0" borderId="6" xfId="0" applyFont="1" applyBorder="1"/>
    <xf numFmtId="0" fontId="225" fillId="0" borderId="25" xfId="0" applyFont="1" applyBorder="1"/>
    <xf numFmtId="0" fontId="225" fillId="0" borderId="75" xfId="0" applyFont="1" applyBorder="1"/>
    <xf numFmtId="0" fontId="225" fillId="0" borderId="77" xfId="0" applyFont="1" applyBorder="1"/>
    <xf numFmtId="0" fontId="172" fillId="88" borderId="80" xfId="2268" applyFont="1" applyFill="1" applyBorder="1" applyAlignment="1">
      <alignment horizontal="center" vertical="center"/>
    </xf>
    <xf numFmtId="0" fontId="225" fillId="0" borderId="78" xfId="0" applyFont="1" applyBorder="1"/>
    <xf numFmtId="0" fontId="225" fillId="0" borderId="16" xfId="0" applyFont="1" applyBorder="1" applyAlignment="1">
      <alignment horizontal="left" indent="1"/>
    </xf>
    <xf numFmtId="0" fontId="225" fillId="0" borderId="85" xfId="0" applyFont="1" applyBorder="1" applyAlignment="1">
      <alignment horizontal="center"/>
    </xf>
    <xf numFmtId="0" fontId="225" fillId="0" borderId="84" xfId="0" applyFont="1" applyBorder="1" applyAlignment="1">
      <alignment horizontal="center"/>
    </xf>
    <xf numFmtId="0" fontId="225" fillId="0" borderId="86" xfId="0" applyFont="1" applyBorder="1" applyAlignment="1">
      <alignment horizontal="left" indent="1"/>
    </xf>
    <xf numFmtId="0" fontId="225" fillId="0" borderId="79" xfId="0" applyFont="1" applyBorder="1"/>
    <xf numFmtId="0" fontId="225" fillId="0" borderId="88" xfId="0" applyFont="1" applyBorder="1" applyAlignment="1">
      <alignment horizontal="center"/>
    </xf>
    <xf numFmtId="0" fontId="225" fillId="0" borderId="87" xfId="0" applyFont="1" applyBorder="1" applyAlignment="1">
      <alignment horizontal="center"/>
    </xf>
    <xf numFmtId="0" fontId="225" fillId="0" borderId="16" xfId="0" applyFont="1" applyBorder="1"/>
    <xf numFmtId="0" fontId="225" fillId="0" borderId="86" xfId="0" applyFont="1" applyBorder="1"/>
    <xf numFmtId="0" fontId="225" fillId="0" borderId="0" xfId="0" applyFont="1" applyBorder="1" applyAlignment="1">
      <alignment horizontal="center"/>
    </xf>
    <xf numFmtId="0" fontId="225" fillId="0" borderId="0" xfId="0" applyFont="1" applyBorder="1" applyAlignment="1">
      <alignment horizontal="center" vertical="center"/>
    </xf>
    <xf numFmtId="257" fontId="225" fillId="0" borderId="0" xfId="0" applyNumberFormat="1" applyFont="1" applyBorder="1" applyAlignment="1">
      <alignment horizontal="center" vertical="center"/>
    </xf>
    <xf numFmtId="0" fontId="225" fillId="0" borderId="6" xfId="0" applyFont="1" applyBorder="1" applyAlignment="1">
      <alignment horizontal="center" vertical="center"/>
    </xf>
    <xf numFmtId="257" fontId="225" fillId="0" borderId="6" xfId="0" applyNumberFormat="1" applyFont="1" applyBorder="1" applyAlignment="1">
      <alignment horizontal="center" vertical="center"/>
    </xf>
    <xf numFmtId="258" fontId="225" fillId="0" borderId="0" xfId="0" applyNumberFormat="1" applyFont="1" applyBorder="1" applyAlignment="1">
      <alignment horizontal="center" vertical="center"/>
    </xf>
    <xf numFmtId="257" fontId="225" fillId="0" borderId="78" xfId="0" applyNumberFormat="1" applyFont="1" applyBorder="1" applyAlignment="1">
      <alignment horizontal="center" vertical="center"/>
    </xf>
    <xf numFmtId="0" fontId="225" fillId="0" borderId="90" xfId="0" applyFont="1" applyBorder="1"/>
    <xf numFmtId="14" fontId="225" fillId="0" borderId="25" xfId="0" applyNumberFormat="1" applyFont="1" applyBorder="1" applyAlignment="1">
      <alignment horizontal="center" vertical="center"/>
    </xf>
    <xf numFmtId="14" fontId="225" fillId="0" borderId="75" xfId="0" applyNumberFormat="1" applyFont="1" applyBorder="1" applyAlignment="1">
      <alignment horizontal="center" vertical="center"/>
    </xf>
    <xf numFmtId="14" fontId="225" fillId="0" borderId="92" xfId="0" applyNumberFormat="1" applyFont="1" applyBorder="1" applyAlignment="1">
      <alignment horizontal="center" vertical="center"/>
    </xf>
    <xf numFmtId="0" fontId="225" fillId="0" borderId="90" xfId="0" applyFont="1" applyBorder="1" applyAlignment="1">
      <alignment horizontal="center" vertical="center"/>
    </xf>
    <xf numFmtId="257" fontId="225" fillId="0" borderId="90" xfId="0" applyNumberFormat="1" applyFont="1" applyBorder="1" applyAlignment="1">
      <alignment horizontal="center" vertical="center"/>
    </xf>
    <xf numFmtId="257" fontId="225" fillId="0" borderId="91" xfId="0" applyNumberFormat="1" applyFont="1" applyBorder="1" applyAlignment="1">
      <alignment horizontal="center" vertical="center"/>
    </xf>
    <xf numFmtId="255" fontId="225" fillId="0" borderId="6" xfId="0" applyNumberFormat="1" applyFont="1" applyBorder="1" applyAlignment="1">
      <alignment horizontal="center" vertical="center"/>
    </xf>
    <xf numFmtId="255" fontId="225" fillId="0" borderId="0" xfId="0" applyNumberFormat="1" applyFont="1" applyBorder="1" applyAlignment="1">
      <alignment horizontal="center" vertical="center"/>
    </xf>
    <xf numFmtId="255" fontId="225" fillId="0" borderId="90" xfId="0" applyNumberFormat="1" applyFont="1" applyBorder="1" applyAlignment="1">
      <alignment horizontal="center" vertical="center"/>
    </xf>
    <xf numFmtId="258" fontId="225" fillId="0" borderId="6" xfId="0" applyNumberFormat="1" applyFont="1" applyBorder="1" applyAlignment="1">
      <alignment horizontal="center" vertical="center"/>
    </xf>
    <xf numFmtId="258" fontId="225" fillId="0" borderId="90" xfId="0" applyNumberFormat="1" applyFont="1" applyBorder="1" applyAlignment="1">
      <alignment horizontal="center" vertical="center"/>
    </xf>
    <xf numFmtId="257" fontId="225" fillId="0" borderId="26" xfId="0" applyNumberFormat="1" applyFont="1" applyBorder="1" applyAlignment="1">
      <alignment horizontal="center" vertical="center"/>
    </xf>
    <xf numFmtId="0" fontId="225" fillId="0" borderId="78" xfId="0" applyFont="1" applyBorder="1" applyAlignment="1">
      <alignment horizontal="center"/>
    </xf>
    <xf numFmtId="0" fontId="225" fillId="0" borderId="75" xfId="0" applyFont="1" applyBorder="1" applyAlignment="1">
      <alignment horizontal="center"/>
    </xf>
    <xf numFmtId="255" fontId="225" fillId="0" borderId="90" xfId="0" applyNumberFormat="1" applyFont="1" applyBorder="1"/>
    <xf numFmtId="0" fontId="225" fillId="0" borderId="25" xfId="0" applyFont="1" applyBorder="1" applyAlignment="1">
      <alignment horizontal="center"/>
    </xf>
    <xf numFmtId="0" fontId="225" fillId="0" borderId="26" xfId="0" applyFont="1" applyBorder="1" applyAlignment="1">
      <alignment horizontal="center"/>
    </xf>
    <xf numFmtId="0" fontId="225" fillId="116" borderId="75" xfId="0" applyFont="1" applyFill="1" applyBorder="1" applyAlignment="1">
      <alignment horizontal="left" indent="1"/>
    </xf>
    <xf numFmtId="0" fontId="225" fillId="116" borderId="0" xfId="0" applyFont="1" applyFill="1" applyBorder="1"/>
    <xf numFmtId="0" fontId="225" fillId="116" borderId="77" xfId="0" applyFont="1" applyFill="1" applyBorder="1" applyAlignment="1">
      <alignment horizontal="left" indent="1"/>
    </xf>
    <xf numFmtId="0" fontId="225" fillId="116" borderId="76" xfId="0" applyFont="1" applyFill="1" applyBorder="1"/>
    <xf numFmtId="246" fontId="225" fillId="0" borderId="0" xfId="0" applyNumberFormat="1" applyFont="1"/>
    <xf numFmtId="0" fontId="173" fillId="88" borderId="30" xfId="3304" applyFont="1" applyFill="1" applyBorder="1" applyAlignment="1">
      <alignment horizontal="center" vertical="center"/>
    </xf>
    <xf numFmtId="255" fontId="225" fillId="0" borderId="6" xfId="0" applyNumberFormat="1" applyFont="1" applyBorder="1" applyAlignment="1">
      <alignment horizontal="center"/>
    </xf>
    <xf numFmtId="258" fontId="225" fillId="0" borderId="6" xfId="0" applyNumberFormat="1" applyFont="1" applyBorder="1" applyAlignment="1">
      <alignment horizontal="center"/>
    </xf>
    <xf numFmtId="257" fontId="225" fillId="0" borderId="6" xfId="0" applyNumberFormat="1" applyFont="1" applyBorder="1" applyAlignment="1">
      <alignment horizontal="center"/>
    </xf>
    <xf numFmtId="257" fontId="225" fillId="0" borderId="26" xfId="0" applyNumberFormat="1" applyFont="1" applyBorder="1" applyAlignment="1">
      <alignment horizontal="center"/>
    </xf>
    <xf numFmtId="255" fontId="225" fillId="0" borderId="0" xfId="0" applyNumberFormat="1" applyFont="1" applyBorder="1" applyAlignment="1">
      <alignment horizontal="center"/>
    </xf>
    <xf numFmtId="258" fontId="225" fillId="0" borderId="0" xfId="0" applyNumberFormat="1" applyFont="1" applyBorder="1" applyAlignment="1">
      <alignment horizontal="center"/>
    </xf>
    <xf numFmtId="257" fontId="225" fillId="0" borderId="0" xfId="0" applyNumberFormat="1" applyFont="1" applyBorder="1" applyAlignment="1">
      <alignment horizontal="center"/>
    </xf>
    <xf numFmtId="257" fontId="225" fillId="0" borderId="78" xfId="0" applyNumberFormat="1" applyFont="1" applyBorder="1" applyAlignment="1">
      <alignment horizontal="center"/>
    </xf>
    <xf numFmtId="255" fontId="225" fillId="0" borderId="90" xfId="0" applyNumberFormat="1" applyFont="1" applyBorder="1" applyAlignment="1">
      <alignment horizontal="center"/>
    </xf>
    <xf numFmtId="258" fontId="225" fillId="0" borderId="90" xfId="0" applyNumberFormat="1" applyFont="1" applyBorder="1" applyAlignment="1">
      <alignment horizontal="center"/>
    </xf>
    <xf numFmtId="257" fontId="225" fillId="0" borderId="90" xfId="0" applyNumberFormat="1" applyFont="1" applyBorder="1" applyAlignment="1">
      <alignment horizontal="center"/>
    </xf>
    <xf numFmtId="257" fontId="225" fillId="0" borderId="91" xfId="0" applyNumberFormat="1" applyFont="1" applyBorder="1" applyAlignment="1">
      <alignment horizontal="center"/>
    </xf>
    <xf numFmtId="0" fontId="225" fillId="0" borderId="88" xfId="0" applyFont="1" applyBorder="1" applyAlignment="1">
      <alignment horizontal="center" vertical="center"/>
    </xf>
    <xf numFmtId="256" fontId="223" fillId="0" borderId="0" xfId="0" applyNumberFormat="1" applyFont="1" applyBorder="1" applyAlignment="1">
      <alignment horizontal="center"/>
    </xf>
    <xf numFmtId="258" fontId="225" fillId="0" borderId="92" xfId="0" applyNumberFormat="1" applyFont="1" applyBorder="1" applyAlignment="1">
      <alignment horizontal="center"/>
    </xf>
    <xf numFmtId="255" fontId="225" fillId="0" borderId="76" xfId="0" applyNumberFormat="1" applyFont="1" applyBorder="1" applyAlignment="1">
      <alignment horizontal="center"/>
    </xf>
    <xf numFmtId="256" fontId="223" fillId="0" borderId="76" xfId="0" applyNumberFormat="1" applyFont="1" applyBorder="1" applyAlignment="1">
      <alignment horizontal="center"/>
    </xf>
    <xf numFmtId="256" fontId="225" fillId="0" borderId="0" xfId="0" applyNumberFormat="1" applyFont="1" applyBorder="1" applyAlignment="1">
      <alignment horizontal="center"/>
    </xf>
    <xf numFmtId="258" fontId="225" fillId="0" borderId="78" xfId="0" applyNumberFormat="1" applyFont="1" applyBorder="1" applyAlignment="1">
      <alignment horizontal="center"/>
    </xf>
    <xf numFmtId="256" fontId="225" fillId="0" borderId="76" xfId="0" applyNumberFormat="1" applyFont="1" applyBorder="1" applyAlignment="1">
      <alignment horizontal="center"/>
    </xf>
    <xf numFmtId="257" fontId="225" fillId="0" borderId="76" xfId="0" applyNumberFormat="1" applyFont="1" applyBorder="1" applyAlignment="1">
      <alignment horizontal="center"/>
    </xf>
    <xf numFmtId="258" fontId="225" fillId="0" borderId="76" xfId="0" applyNumberFormat="1" applyFont="1" applyBorder="1" applyAlignment="1">
      <alignment horizontal="center"/>
    </xf>
    <xf numFmtId="258" fontId="225" fillId="0" borderId="79" xfId="0" applyNumberFormat="1" applyFont="1" applyBorder="1" applyAlignment="1">
      <alignment horizontal="center"/>
    </xf>
    <xf numFmtId="256" fontId="225" fillId="0" borderId="6" xfId="0" applyNumberFormat="1" applyFont="1" applyBorder="1" applyAlignment="1">
      <alignment horizontal="center"/>
    </xf>
    <xf numFmtId="258" fontId="225" fillId="0" borderId="26" xfId="0" applyNumberFormat="1" applyFont="1" applyBorder="1" applyAlignment="1">
      <alignment horizontal="center"/>
    </xf>
    <xf numFmtId="7" fontId="223" fillId="0" borderId="78" xfId="0" applyNumberFormat="1" applyFont="1" applyBorder="1" applyAlignment="1">
      <alignment horizontal="center"/>
    </xf>
    <xf numFmtId="7" fontId="223" fillId="0" borderId="79" xfId="0" applyNumberFormat="1" applyFont="1" applyBorder="1" applyAlignment="1">
      <alignment horizontal="center"/>
    </xf>
    <xf numFmtId="0" fontId="3" fillId="0" borderId="0" xfId="0" applyFont="1" applyAlignment="1">
      <alignment vertical="center"/>
    </xf>
    <xf numFmtId="0" fontId="3" fillId="0" borderId="75" xfId="0" applyFont="1" applyBorder="1" applyAlignment="1">
      <alignment vertical="center"/>
    </xf>
    <xf numFmtId="0" fontId="3" fillId="0" borderId="0" xfId="0" applyFont="1" applyBorder="1" applyAlignment="1">
      <alignment vertical="center"/>
    </xf>
    <xf numFmtId="0" fontId="241" fillId="0" borderId="93" xfId="0" applyFont="1" applyBorder="1" applyAlignment="1">
      <alignment horizontal="centerContinuous" vertical="center"/>
    </xf>
    <xf numFmtId="0" fontId="136" fillId="0" borderId="94" xfId="0" applyFont="1" applyBorder="1" applyAlignment="1">
      <alignment horizontal="centerContinuous" vertical="center"/>
    </xf>
    <xf numFmtId="0" fontId="136" fillId="0" borderId="90" xfId="0" applyFont="1" applyBorder="1" applyAlignment="1">
      <alignment horizontal="centerContinuous" vertical="center"/>
    </xf>
    <xf numFmtId="0" fontId="136" fillId="0" borderId="91" xfId="0" applyFont="1" applyBorder="1" applyAlignment="1">
      <alignment horizontal="centerContinuous" vertical="center"/>
    </xf>
    <xf numFmtId="0" fontId="3" fillId="0" borderId="75" xfId="0" applyFont="1" applyBorder="1"/>
    <xf numFmtId="0" fontId="3" fillId="0" borderId="0" xfId="0" applyFont="1" applyBorder="1"/>
    <xf numFmtId="256" fontId="242" fillId="0" borderId="95" xfId="0" applyNumberFormat="1" applyFont="1" applyBorder="1"/>
    <xf numFmtId="259" fontId="242" fillId="0" borderId="0" xfId="0" applyNumberFormat="1" applyFont="1" applyBorder="1"/>
    <xf numFmtId="259" fontId="242" fillId="0" borderId="95" xfId="0" applyNumberFormat="1" applyFont="1" applyBorder="1"/>
    <xf numFmtId="257" fontId="243" fillId="0" borderId="95" xfId="0" applyNumberFormat="1" applyFont="1" applyBorder="1"/>
    <xf numFmtId="255" fontId="244" fillId="0" borderId="0" xfId="0" applyNumberFormat="1" applyFont="1" applyBorder="1"/>
    <xf numFmtId="255" fontId="244" fillId="0" borderId="92" xfId="0" applyNumberFormat="1" applyFont="1" applyBorder="1"/>
    <xf numFmtId="255" fontId="244" fillId="0" borderId="90" xfId="0" applyNumberFormat="1" applyFont="1" applyBorder="1"/>
    <xf numFmtId="255" fontId="244" fillId="0" borderId="91" xfId="0" applyNumberFormat="1" applyFont="1" applyBorder="1"/>
    <xf numFmtId="0" fontId="3" fillId="0" borderId="0" xfId="0" applyFont="1"/>
    <xf numFmtId="0" fontId="3" fillId="0" borderId="70" xfId="0" applyFont="1" applyBorder="1" applyAlignment="1">
      <alignment horizontal="left" indent="1"/>
    </xf>
    <xf numFmtId="0" fontId="3" fillId="0" borderId="64" xfId="0" applyFont="1" applyBorder="1"/>
    <xf numFmtId="256" fontId="3" fillId="0" borderId="71" xfId="0" applyNumberFormat="1" applyFont="1" applyBorder="1"/>
    <xf numFmtId="259" fontId="242" fillId="0" borderId="64" xfId="0" applyNumberFormat="1" applyFont="1" applyBorder="1"/>
    <xf numFmtId="259" fontId="242" fillId="0" borderId="71" xfId="0" applyNumberFormat="1" applyFont="1" applyBorder="1"/>
    <xf numFmtId="0" fontId="3" fillId="0" borderId="90" xfId="0" applyFont="1" applyBorder="1"/>
    <xf numFmtId="255" fontId="242" fillId="0" borderId="0" xfId="0" applyNumberFormat="1" applyFont="1" applyBorder="1"/>
    <xf numFmtId="259" fontId="3" fillId="0" borderId="71" xfId="0" applyNumberFormat="1" applyFont="1" applyBorder="1"/>
    <xf numFmtId="259" fontId="3" fillId="0" borderId="64" xfId="0" applyNumberFormat="1" applyFont="1" applyBorder="1"/>
    <xf numFmtId="259" fontId="3" fillId="0" borderId="70" xfId="0" applyNumberFormat="1" applyFont="1" applyBorder="1"/>
    <xf numFmtId="255" fontId="242" fillId="0" borderId="95" xfId="0" applyNumberFormat="1" applyFont="1" applyBorder="1"/>
    <xf numFmtId="257" fontId="243" fillId="0" borderId="0" xfId="0" applyNumberFormat="1" applyFont="1" applyBorder="1"/>
    <xf numFmtId="255" fontId="3" fillId="0" borderId="0" xfId="0" applyNumberFormat="1" applyFont="1" applyBorder="1"/>
    <xf numFmtId="255" fontId="3" fillId="0" borderId="92" xfId="0" applyNumberFormat="1" applyFont="1" applyBorder="1"/>
    <xf numFmtId="255" fontId="3" fillId="0" borderId="90" xfId="0" applyNumberFormat="1" applyFont="1" applyBorder="1"/>
    <xf numFmtId="255" fontId="3" fillId="0" borderId="91" xfId="0" applyNumberFormat="1" applyFont="1" applyBorder="1"/>
    <xf numFmtId="0" fontId="3" fillId="0" borderId="95" xfId="0" applyFont="1" applyBorder="1"/>
    <xf numFmtId="259" fontId="3" fillId="0" borderId="95" xfId="0" applyNumberFormat="1" applyFont="1" applyBorder="1"/>
    <xf numFmtId="255" fontId="242" fillId="0" borderId="95" xfId="0" applyNumberFormat="1" applyFont="1" applyBorder="1" applyAlignment="1">
      <alignment vertical="center"/>
    </xf>
    <xf numFmtId="255" fontId="242" fillId="0" borderId="0" xfId="0" applyNumberFormat="1" applyFont="1" applyBorder="1" applyAlignment="1">
      <alignment vertical="center"/>
    </xf>
    <xf numFmtId="0" fontId="3" fillId="0" borderId="92" xfId="0" applyFont="1" applyBorder="1" applyAlignment="1">
      <alignment vertical="center"/>
    </xf>
    <xf numFmtId="0" fontId="3" fillId="0" borderId="90" xfId="0" applyFont="1" applyBorder="1" applyAlignment="1">
      <alignment vertical="center"/>
    </xf>
    <xf numFmtId="258" fontId="3" fillId="0" borderId="91" xfId="0" applyNumberFormat="1" applyFont="1" applyBorder="1" applyAlignment="1">
      <alignment vertical="center"/>
    </xf>
    <xf numFmtId="0" fontId="3" fillId="0" borderId="71" xfId="0" applyFont="1" applyBorder="1"/>
    <xf numFmtId="0" fontId="245" fillId="0" borderId="0" xfId="0" applyFont="1" applyBorder="1" applyAlignment="1">
      <alignment horizontal="centerContinuous" vertical="center"/>
    </xf>
    <xf numFmtId="0" fontId="245" fillId="0" borderId="95" xfId="0" applyFont="1" applyBorder="1" applyAlignment="1">
      <alignment horizontal="centerContinuous" vertical="center"/>
    </xf>
    <xf numFmtId="255" fontId="3" fillId="0" borderId="0" xfId="0" quotePrefix="1" applyNumberFormat="1" applyFont="1" applyBorder="1"/>
    <xf numFmtId="255" fontId="3" fillId="0" borderId="95" xfId="0" quotePrefix="1" applyNumberFormat="1" applyFont="1" applyBorder="1"/>
    <xf numFmtId="258" fontId="243" fillId="0" borderId="0" xfId="0" applyNumberFormat="1" applyFont="1"/>
    <xf numFmtId="260" fontId="243" fillId="0" borderId="0" xfId="0" applyNumberFormat="1" applyFont="1" applyBorder="1"/>
    <xf numFmtId="257" fontId="3" fillId="0" borderId="0" xfId="0" applyNumberFormat="1" applyFont="1" applyBorder="1"/>
    <xf numFmtId="259" fontId="244" fillId="0" borderId="95" xfId="0" applyNumberFormat="1" applyFont="1" applyBorder="1"/>
    <xf numFmtId="255" fontId="244" fillId="0" borderId="95" xfId="0" applyNumberFormat="1" applyFont="1" applyBorder="1"/>
    <xf numFmtId="258" fontId="3" fillId="0" borderId="0" xfId="0" applyNumberFormat="1" applyFont="1"/>
    <xf numFmtId="257" fontId="3" fillId="0" borderId="90" xfId="0" applyNumberFormat="1" applyFont="1" applyBorder="1"/>
    <xf numFmtId="0" fontId="246" fillId="0" borderId="75" xfId="0" applyFont="1" applyBorder="1"/>
    <xf numFmtId="258" fontId="3" fillId="0" borderId="64" xfId="0" applyNumberFormat="1" applyFont="1" applyBorder="1"/>
    <xf numFmtId="259" fontId="3" fillId="0" borderId="0" xfId="0" applyNumberFormat="1" applyFont="1" applyBorder="1"/>
    <xf numFmtId="255" fontId="243" fillId="0" borderId="95" xfId="0" applyNumberFormat="1" applyFont="1" applyBorder="1"/>
    <xf numFmtId="259" fontId="244" fillId="0" borderId="0" xfId="0" applyNumberFormat="1" applyFont="1" applyBorder="1"/>
    <xf numFmtId="0" fontId="3" fillId="0" borderId="92" xfId="0" applyFont="1" applyBorder="1"/>
    <xf numFmtId="258" fontId="3" fillId="0" borderId="91" xfId="0" applyNumberFormat="1" applyFont="1" applyBorder="1"/>
    <xf numFmtId="0" fontId="3" fillId="0" borderId="70" xfId="0" applyFont="1" applyBorder="1"/>
    <xf numFmtId="0" fontId="136" fillId="0" borderId="96" xfId="0" applyFont="1" applyBorder="1" applyAlignment="1">
      <alignment horizontal="centerContinuous" vertical="center"/>
    </xf>
    <xf numFmtId="0" fontId="136" fillId="0" borderId="93" xfId="0" applyFont="1" applyBorder="1" applyAlignment="1">
      <alignment horizontal="centerContinuous" vertical="center"/>
    </xf>
    <xf numFmtId="260" fontId="243" fillId="0" borderId="95" xfId="0" applyNumberFormat="1" applyFont="1" applyBorder="1"/>
    <xf numFmtId="0" fontId="3" fillId="0" borderId="75" xfId="0" applyFont="1" applyBorder="1" applyAlignment="1">
      <alignment horizontal="left" indent="1"/>
    </xf>
    <xf numFmtId="258" fontId="243" fillId="0" borderId="0" xfId="0" applyNumberFormat="1" applyFont="1" applyBorder="1" applyAlignment="1">
      <alignment horizontal="right"/>
    </xf>
    <xf numFmtId="258" fontId="243" fillId="0" borderId="91" xfId="0" applyNumberFormat="1" applyFont="1" applyBorder="1" applyAlignment="1">
      <alignment horizontal="right"/>
    </xf>
    <xf numFmtId="5" fontId="3" fillId="0" borderId="64" xfId="0" applyNumberFormat="1" applyFont="1" applyBorder="1"/>
    <xf numFmtId="5" fontId="3" fillId="0" borderId="71" xfId="0" applyNumberFormat="1" applyFont="1" applyBorder="1"/>
    <xf numFmtId="5" fontId="3" fillId="0" borderId="0" xfId="0" applyNumberFormat="1" applyFont="1" applyBorder="1"/>
    <xf numFmtId="5" fontId="3" fillId="0" borderId="95" xfId="0" applyNumberFormat="1" applyFont="1" applyBorder="1"/>
    <xf numFmtId="257" fontId="3" fillId="0" borderId="95" xfId="0" applyNumberFormat="1" applyFont="1" applyBorder="1"/>
    <xf numFmtId="257" fontId="243" fillId="0" borderId="91" xfId="0" applyNumberFormat="1" applyFont="1" applyBorder="1"/>
    <xf numFmtId="258" fontId="3" fillId="0" borderId="90" xfId="0" applyNumberFormat="1" applyFont="1" applyBorder="1"/>
    <xf numFmtId="257" fontId="3" fillId="0" borderId="64" xfId="0" applyNumberFormat="1" applyFont="1" applyBorder="1"/>
    <xf numFmtId="257" fontId="3" fillId="0" borderId="71" xfId="0" applyNumberFormat="1" applyFont="1" applyBorder="1"/>
    <xf numFmtId="0" fontId="136" fillId="0" borderId="64" xfId="0" applyFont="1" applyBorder="1" applyAlignment="1">
      <alignment horizontal="centerContinuous" vertical="center"/>
    </xf>
    <xf numFmtId="258" fontId="3" fillId="0" borderId="0" xfId="0" applyNumberFormat="1" applyFont="1" applyBorder="1"/>
    <xf numFmtId="258" fontId="3" fillId="0" borderId="71" xfId="0" applyNumberFormat="1" applyFont="1" applyBorder="1"/>
    <xf numFmtId="0" fontId="3" fillId="0" borderId="94" xfId="0" applyFont="1" applyBorder="1" applyAlignment="1">
      <alignment horizontal="left" indent="1"/>
    </xf>
    <xf numFmtId="0" fontId="3" fillId="0" borderId="96" xfId="0" applyFont="1" applyBorder="1"/>
    <xf numFmtId="259" fontId="3" fillId="0" borderId="96" xfId="0" applyNumberFormat="1" applyFont="1" applyBorder="1"/>
    <xf numFmtId="259" fontId="3" fillId="0" borderId="93" xfId="0" applyNumberFormat="1" applyFont="1" applyBorder="1"/>
    <xf numFmtId="256" fontId="225" fillId="0" borderId="0" xfId="0" applyNumberFormat="1" applyFont="1"/>
    <xf numFmtId="257" fontId="7" fillId="0" borderId="0" xfId="0" applyNumberFormat="1" applyFont="1"/>
    <xf numFmtId="208" fontId="140" fillId="0" borderId="0" xfId="2204" applyNumberFormat="1" applyFont="1"/>
    <xf numFmtId="208" fontId="37" fillId="0" borderId="0" xfId="2123" applyNumberFormat="1" applyFont="1" applyAlignment="1"/>
    <xf numFmtId="208" fontId="118" fillId="0" borderId="0" xfId="2204" applyNumberFormat="1" applyFont="1"/>
    <xf numFmtId="164" fontId="118" fillId="0" borderId="0" xfId="2204" applyNumberFormat="1" applyFont="1"/>
    <xf numFmtId="261" fontId="225" fillId="0" borderId="0" xfId="0" applyNumberFormat="1" applyFont="1" applyBorder="1" applyAlignment="1">
      <alignment horizontal="center"/>
    </xf>
    <xf numFmtId="261" fontId="225" fillId="0" borderId="76" xfId="0" applyNumberFormat="1" applyFont="1" applyBorder="1" applyAlignment="1">
      <alignment horizontal="center"/>
    </xf>
    <xf numFmtId="0" fontId="173" fillId="88" borderId="101" xfId="3304" applyFont="1" applyFill="1" applyBorder="1" applyAlignment="1">
      <alignment horizontal="center" vertical="center"/>
    </xf>
    <xf numFmtId="0" fontId="173" fillId="88" borderId="104" xfId="3304" applyFont="1" applyFill="1" applyBorder="1" applyAlignment="1">
      <alignment horizontal="center" vertical="center"/>
    </xf>
    <xf numFmtId="224" fontId="242" fillId="0" borderId="0" xfId="0" applyNumberFormat="1" applyFont="1"/>
    <xf numFmtId="224" fontId="242" fillId="0" borderId="26" xfId="0" applyNumberFormat="1" applyFont="1" applyBorder="1"/>
    <xf numFmtId="257" fontId="225" fillId="0" borderId="0" xfId="0" applyNumberFormat="1" applyFont="1"/>
    <xf numFmtId="257" fontId="243" fillId="0" borderId="0" xfId="0" applyNumberFormat="1" applyFont="1"/>
    <xf numFmtId="257" fontId="243" fillId="0" borderId="90" xfId="0" applyNumberFormat="1" applyFont="1" applyBorder="1"/>
    <xf numFmtId="0" fontId="225" fillId="0" borderId="107" xfId="0" applyFont="1" applyBorder="1"/>
    <xf numFmtId="0" fontId="229" fillId="0" borderId="75" xfId="0" applyFont="1" applyBorder="1" applyAlignment="1">
      <alignment horizontal="left" vertical="top"/>
    </xf>
    <xf numFmtId="224" fontId="231" fillId="0" borderId="0" xfId="0" applyNumberFormat="1" applyFont="1" applyFill="1" applyBorder="1" applyAlignment="1">
      <alignment horizontal="right" vertical="top"/>
    </xf>
    <xf numFmtId="224" fontId="231" fillId="0" borderId="100" xfId="0" applyNumberFormat="1" applyFont="1" applyFill="1" applyBorder="1" applyAlignment="1">
      <alignment horizontal="right" vertical="top"/>
    </xf>
    <xf numFmtId="224" fontId="231" fillId="0" borderId="103" xfId="0" applyNumberFormat="1" applyFont="1" applyFill="1" applyBorder="1" applyAlignment="1">
      <alignment horizontal="right" vertical="top"/>
    </xf>
    <xf numFmtId="0" fontId="228" fillId="0" borderId="70" xfId="0" applyFont="1" applyBorder="1" applyAlignment="1">
      <alignment horizontal="left" vertical="top"/>
    </xf>
    <xf numFmtId="224" fontId="228" fillId="0" borderId="30" xfId="0" applyNumberFormat="1" applyFont="1" applyFill="1" applyBorder="1" applyAlignment="1">
      <alignment horizontal="right" vertical="top"/>
    </xf>
    <xf numFmtId="224" fontId="228" fillId="0" borderId="101" xfId="0" applyNumberFormat="1" applyFont="1" applyFill="1" applyBorder="1" applyAlignment="1">
      <alignment horizontal="right" vertical="top"/>
    </xf>
    <xf numFmtId="224" fontId="229" fillId="0" borderId="0" xfId="0" applyNumberFormat="1" applyFont="1" applyFill="1" applyBorder="1" applyAlignment="1">
      <alignment horizontal="left" vertical="top"/>
    </xf>
    <xf numFmtId="0" fontId="228" fillId="0" borderId="75" xfId="0" applyFont="1" applyBorder="1" applyAlignment="1">
      <alignment horizontal="left" vertical="top"/>
    </xf>
    <xf numFmtId="224" fontId="228" fillId="0" borderId="0" xfId="0" applyNumberFormat="1" applyFont="1" applyFill="1" applyBorder="1" applyAlignment="1">
      <alignment horizontal="right" vertical="top"/>
    </xf>
    <xf numFmtId="224" fontId="228" fillId="0" borderId="78" xfId="0" applyNumberFormat="1" applyFont="1" applyFill="1" applyBorder="1" applyAlignment="1">
      <alignment horizontal="right" vertical="top"/>
    </xf>
    <xf numFmtId="0" fontId="228" fillId="0" borderId="75" xfId="0" applyFont="1" applyBorder="1" applyAlignment="1">
      <alignment horizontal="left" vertical="top" indent="1"/>
    </xf>
    <xf numFmtId="0" fontId="229" fillId="0" borderId="92" xfId="0" applyFont="1" applyBorder="1" applyAlignment="1">
      <alignment horizontal="left" vertical="top"/>
    </xf>
    <xf numFmtId="0" fontId="229" fillId="0" borderId="75" xfId="0" applyFont="1" applyBorder="1" applyAlignment="1">
      <alignment horizontal="left" vertical="top" indent="1"/>
    </xf>
    <xf numFmtId="257" fontId="231" fillId="0" borderId="0" xfId="0" applyNumberFormat="1" applyFont="1" applyFill="1" applyBorder="1" applyAlignment="1">
      <alignment horizontal="right" vertical="top"/>
    </xf>
    <xf numFmtId="257" fontId="242" fillId="0" borderId="0" xfId="0" applyNumberFormat="1" applyFont="1" applyFill="1" applyBorder="1" applyAlignment="1">
      <alignment horizontal="right" vertical="top"/>
    </xf>
    <xf numFmtId="257" fontId="243" fillId="0" borderId="0" xfId="0" applyNumberFormat="1" applyFont="1" applyFill="1" applyBorder="1" applyAlignment="1">
      <alignment horizontal="right" vertical="top"/>
    </xf>
    <xf numFmtId="257" fontId="243" fillId="0" borderId="78" xfId="0" applyNumberFormat="1" applyFont="1" applyFill="1" applyBorder="1" applyAlignment="1">
      <alignment horizontal="right" vertical="top"/>
    </xf>
    <xf numFmtId="0" fontId="229" fillId="0" borderId="92" xfId="0" applyFont="1" applyBorder="1" applyAlignment="1">
      <alignment horizontal="left" vertical="top" indent="1"/>
    </xf>
    <xf numFmtId="43" fontId="231" fillId="0" borderId="90" xfId="0" applyNumberFormat="1" applyFont="1" applyFill="1" applyBorder="1" applyAlignment="1">
      <alignment horizontal="right" vertical="top"/>
    </xf>
    <xf numFmtId="257" fontId="243" fillId="0" borderId="90" xfId="0" applyNumberFormat="1" applyFont="1" applyFill="1" applyBorder="1" applyAlignment="1">
      <alignment horizontal="right" vertical="top"/>
    </xf>
    <xf numFmtId="257" fontId="243" fillId="0" borderId="91" xfId="0" applyNumberFormat="1" applyFont="1" applyFill="1" applyBorder="1" applyAlignment="1">
      <alignment horizontal="right" vertical="top"/>
    </xf>
    <xf numFmtId="0" fontId="229" fillId="0" borderId="77" xfId="0" applyFont="1" applyBorder="1" applyAlignment="1">
      <alignment horizontal="left" vertical="top"/>
    </xf>
    <xf numFmtId="0" fontId="229" fillId="0" borderId="77" xfId="0" applyFont="1" applyBorder="1" applyAlignment="1">
      <alignment horizontal="left" vertical="top" indent="1"/>
    </xf>
    <xf numFmtId="14" fontId="172" fillId="88" borderId="102" xfId="3304" applyNumberFormat="1" applyFont="1" applyFill="1" applyBorder="1" applyAlignment="1">
      <alignment horizontal="center" vertical="center"/>
    </xf>
    <xf numFmtId="224" fontId="225" fillId="0" borderId="90" xfId="0" applyNumberFormat="1" applyFont="1" applyBorder="1"/>
    <xf numFmtId="224" fontId="225" fillId="0" borderId="100" xfId="0" applyNumberFormat="1" applyFont="1" applyBorder="1"/>
    <xf numFmtId="224" fontId="225" fillId="0" borderId="0" xfId="0" applyNumberFormat="1" applyFont="1"/>
    <xf numFmtId="224" fontId="225" fillId="0" borderId="78" xfId="0" applyNumberFormat="1" applyFont="1" applyBorder="1"/>
    <xf numFmtId="0" fontId="225" fillId="0" borderId="91" xfId="0" applyFont="1" applyBorder="1"/>
    <xf numFmtId="14" fontId="172" fillId="88" borderId="105" xfId="3304" applyNumberFormat="1" applyFont="1" applyFill="1" applyBorder="1" applyAlignment="1">
      <alignment horizontal="center" vertical="center"/>
    </xf>
    <xf numFmtId="0" fontId="225" fillId="0" borderId="106" xfId="0" applyFont="1" applyBorder="1"/>
    <xf numFmtId="0" fontId="225" fillId="0" borderId="21" xfId="0" applyFont="1" applyBorder="1"/>
    <xf numFmtId="0" fontId="225" fillId="0" borderId="21" xfId="0" applyFont="1" applyBorder="1" applyAlignment="1">
      <alignment horizontal="left" indent="1"/>
    </xf>
    <xf numFmtId="0" fontId="225" fillId="0" borderId="77" xfId="0" applyFont="1" applyBorder="1" applyAlignment="1">
      <alignment horizontal="left" indent="1"/>
    </xf>
    <xf numFmtId="0" fontId="225" fillId="0" borderId="95" xfId="0" applyFont="1" applyBorder="1"/>
    <xf numFmtId="224" fontId="242" fillId="0" borderId="95" xfId="0" applyNumberFormat="1" applyFont="1" applyBorder="1"/>
    <xf numFmtId="255" fontId="225" fillId="0" borderId="0" xfId="0" applyNumberFormat="1" applyFont="1"/>
    <xf numFmtId="255" fontId="243" fillId="0" borderId="0" xfId="0" applyNumberFormat="1" applyFont="1"/>
    <xf numFmtId="255" fontId="243" fillId="0" borderId="90" xfId="0" applyNumberFormat="1" applyFont="1" applyBorder="1"/>
    <xf numFmtId="255" fontId="243" fillId="0" borderId="91" xfId="0" applyNumberFormat="1" applyFont="1" applyBorder="1"/>
    <xf numFmtId="224" fontId="225" fillId="0" borderId="108" xfId="0" applyNumberFormat="1" applyFont="1" applyBorder="1"/>
    <xf numFmtId="43" fontId="225" fillId="0" borderId="95" xfId="0" applyNumberFormat="1" applyFont="1" applyBorder="1"/>
    <xf numFmtId="255" fontId="225" fillId="0" borderId="108" xfId="0" applyNumberFormat="1" applyFont="1" applyBorder="1"/>
    <xf numFmtId="255" fontId="225" fillId="0" borderId="95" xfId="0" applyNumberFormat="1" applyFont="1" applyBorder="1"/>
    <xf numFmtId="255" fontId="225" fillId="0" borderId="91" xfId="0" applyNumberFormat="1" applyFont="1" applyBorder="1"/>
    <xf numFmtId="255" fontId="225" fillId="0" borderId="26" xfId="0" applyNumberFormat="1" applyFont="1" applyBorder="1"/>
    <xf numFmtId="224" fontId="225" fillId="0" borderId="95" xfId="0" applyNumberFormat="1" applyFont="1" applyBorder="1"/>
    <xf numFmtId="255" fontId="225" fillId="0" borderId="106" xfId="0" applyNumberFormat="1" applyFont="1" applyBorder="1"/>
    <xf numFmtId="224" fontId="225" fillId="0" borderId="6" xfId="0" applyNumberFormat="1" applyFont="1" applyBorder="1"/>
    <xf numFmtId="263" fontId="225" fillId="0" borderId="95" xfId="0" applyNumberFormat="1" applyFont="1" applyBorder="1"/>
    <xf numFmtId="259" fontId="225" fillId="0" borderId="95" xfId="0" applyNumberFormat="1" applyFont="1" applyBorder="1"/>
    <xf numFmtId="0" fontId="223" fillId="0" borderId="25" xfId="0" applyFont="1" applyBorder="1"/>
    <xf numFmtId="0" fontId="223" fillId="0" borderId="21" xfId="0" applyFont="1" applyBorder="1"/>
    <xf numFmtId="262" fontId="242" fillId="0" borderId="91" xfId="0" applyNumberFormat="1" applyFont="1" applyBorder="1"/>
    <xf numFmtId="258" fontId="223" fillId="0" borderId="95" xfId="0" applyNumberFormat="1" applyFont="1" applyBorder="1"/>
    <xf numFmtId="0" fontId="247" fillId="120" borderId="0" xfId="0" applyFont="1" applyFill="1" applyBorder="1" applyAlignment="1">
      <alignment vertical="center" textRotation="180"/>
    </xf>
    <xf numFmtId="259" fontId="242" fillId="0" borderId="25" xfId="0" applyNumberFormat="1" applyFont="1" applyBorder="1"/>
    <xf numFmtId="259" fontId="242" fillId="0" borderId="6" xfId="0" applyNumberFormat="1" applyFont="1" applyBorder="1"/>
    <xf numFmtId="259" fontId="242" fillId="0" borderId="26" xfId="0" applyNumberFormat="1" applyFont="1" applyBorder="1"/>
    <xf numFmtId="259" fontId="242" fillId="0" borderId="21" xfId="0" applyNumberFormat="1" applyFont="1" applyBorder="1"/>
    <xf numFmtId="224" fontId="242" fillId="0" borderId="0" xfId="0" applyNumberFormat="1" applyFont="1" applyFill="1" applyBorder="1" applyAlignment="1">
      <alignment horizontal="right" vertical="top"/>
    </xf>
    <xf numFmtId="224" fontId="244" fillId="0" borderId="0" xfId="0" applyNumberFormat="1" applyFont="1" applyFill="1" applyBorder="1" applyAlignment="1">
      <alignment horizontal="right" vertical="top"/>
    </xf>
    <xf numFmtId="224" fontId="244" fillId="0" borderId="78" xfId="0" applyNumberFormat="1" applyFont="1" applyFill="1" applyBorder="1" applyAlignment="1">
      <alignment horizontal="right" vertical="top"/>
    </xf>
    <xf numFmtId="255" fontId="242" fillId="0" borderId="0" xfId="0" applyNumberFormat="1" applyFont="1"/>
    <xf numFmtId="255" fontId="242" fillId="0" borderId="90" xfId="0" applyNumberFormat="1" applyFont="1" applyBorder="1"/>
    <xf numFmtId="257" fontId="225" fillId="0" borderId="95" xfId="0" applyNumberFormat="1" applyFont="1" applyBorder="1"/>
    <xf numFmtId="261" fontId="3" fillId="0" borderId="0" xfId="0" applyNumberFormat="1" applyFont="1" applyBorder="1"/>
    <xf numFmtId="0" fontId="223" fillId="0" borderId="0" xfId="0" applyFont="1" applyAlignment="1">
      <alignment vertical="center" textRotation="90"/>
    </xf>
    <xf numFmtId="265" fontId="223" fillId="0" borderId="112" xfId="0" applyNumberFormat="1" applyFont="1" applyBorder="1" applyAlignment="1">
      <alignment horizontal="center"/>
    </xf>
    <xf numFmtId="255" fontId="225" fillId="0" borderId="106" xfId="0" applyNumberFormat="1" applyFont="1" applyBorder="1" applyAlignment="1">
      <alignment horizontal="center"/>
    </xf>
    <xf numFmtId="255" fontId="223" fillId="121" borderId="0" xfId="0" applyNumberFormat="1" applyFont="1" applyFill="1" applyBorder="1" applyAlignment="1">
      <alignment horizontal="center"/>
    </xf>
    <xf numFmtId="255" fontId="225" fillId="0" borderId="112" xfId="0" applyNumberFormat="1" applyFont="1" applyBorder="1" applyAlignment="1">
      <alignment horizontal="center"/>
    </xf>
    <xf numFmtId="255" fontId="225" fillId="0" borderId="107" xfId="0" applyNumberFormat="1" applyFont="1" applyBorder="1" applyAlignment="1">
      <alignment horizontal="center"/>
    </xf>
    <xf numFmtId="0" fontId="225" fillId="0" borderId="25" xfId="0" applyFont="1" applyBorder="1" applyAlignment="1">
      <alignment horizontal="left" indent="1"/>
    </xf>
    <xf numFmtId="0" fontId="225" fillId="0" borderId="92" xfId="0" applyFont="1" applyBorder="1" applyAlignment="1">
      <alignment horizontal="left" indent="1"/>
    </xf>
    <xf numFmtId="265" fontId="223" fillId="0" borderId="29" xfId="0" applyNumberFormat="1" applyFont="1" applyBorder="1" applyAlignment="1">
      <alignment horizontal="center"/>
    </xf>
    <xf numFmtId="0" fontId="225" fillId="0" borderId="0" xfId="0" applyFont="1" applyBorder="1" applyAlignment="1">
      <alignment horizontal="center"/>
    </xf>
    <xf numFmtId="255" fontId="225" fillId="0" borderId="0" xfId="0" applyNumberFormat="1" applyFont="1" applyAlignment="1">
      <alignment horizontal="center" vertical="center"/>
    </xf>
    <xf numFmtId="255" fontId="225" fillId="0" borderId="95" xfId="0" applyNumberFormat="1" applyFont="1" applyBorder="1" applyAlignment="1">
      <alignment horizontal="center" vertical="center"/>
    </xf>
    <xf numFmtId="263" fontId="225" fillId="0" borderId="0" xfId="0" applyNumberFormat="1" applyFont="1" applyAlignment="1">
      <alignment horizontal="center" vertical="center"/>
    </xf>
    <xf numFmtId="263" fontId="225" fillId="0" borderId="95" xfId="0" applyNumberFormat="1" applyFont="1" applyBorder="1" applyAlignment="1">
      <alignment horizontal="center" vertical="center"/>
    </xf>
    <xf numFmtId="259" fontId="223" fillId="0" borderId="90" xfId="0" applyNumberFormat="1" applyFont="1" applyBorder="1" applyAlignment="1">
      <alignment horizontal="center" vertical="center"/>
    </xf>
    <xf numFmtId="259" fontId="223" fillId="0" borderId="91" xfId="0" applyNumberFormat="1" applyFont="1" applyBorder="1" applyAlignment="1">
      <alignment horizontal="center" vertical="center"/>
    </xf>
    <xf numFmtId="2" fontId="223" fillId="0" borderId="16" xfId="0" applyNumberFormat="1" applyFont="1" applyBorder="1" applyAlignment="1">
      <alignment horizontal="center"/>
    </xf>
    <xf numFmtId="2" fontId="223" fillId="0" borderId="86" xfId="0" applyNumberFormat="1" applyFont="1" applyBorder="1" applyAlignment="1">
      <alignment horizontal="center"/>
    </xf>
    <xf numFmtId="2" fontId="249" fillId="0" borderId="16" xfId="0" applyNumberFormat="1" applyFont="1" applyBorder="1" applyAlignment="1">
      <alignment horizontal="center"/>
    </xf>
    <xf numFmtId="265" fontId="249" fillId="0" borderId="112" xfId="0" applyNumberFormat="1" applyFont="1" applyBorder="1" applyAlignment="1">
      <alignment horizontal="center"/>
    </xf>
    <xf numFmtId="258" fontId="225" fillId="0" borderId="106" xfId="0" applyNumberFormat="1" applyFont="1" applyBorder="1" applyAlignment="1">
      <alignment horizontal="center"/>
    </xf>
    <xf numFmtId="258" fontId="223" fillId="121" borderId="0" xfId="0" applyNumberFormat="1" applyFont="1" applyFill="1" applyBorder="1" applyAlignment="1">
      <alignment horizontal="center"/>
    </xf>
    <xf numFmtId="258" fontId="225" fillId="0" borderId="112" xfId="0" applyNumberFormat="1" applyFont="1" applyBorder="1" applyAlignment="1">
      <alignment horizontal="center"/>
    </xf>
    <xf numFmtId="258" fontId="225" fillId="0" borderId="107" xfId="0" applyNumberFormat="1" applyFont="1" applyBorder="1" applyAlignment="1">
      <alignment horizontal="center"/>
    </xf>
    <xf numFmtId="256" fontId="225" fillId="0" borderId="106" xfId="0" applyNumberFormat="1" applyFont="1" applyBorder="1" applyAlignment="1">
      <alignment horizontal="center"/>
    </xf>
    <xf numFmtId="256" fontId="223" fillId="121" borderId="0" xfId="0" applyNumberFormat="1" applyFont="1" applyFill="1" applyBorder="1" applyAlignment="1">
      <alignment horizontal="center"/>
    </xf>
    <xf numFmtId="256" fontId="225" fillId="0" borderId="112" xfId="0" applyNumberFormat="1" applyFont="1" applyBorder="1" applyAlignment="1">
      <alignment horizontal="center"/>
    </xf>
    <xf numFmtId="256" fontId="225" fillId="0" borderId="107" xfId="0" applyNumberFormat="1" applyFont="1" applyBorder="1" applyAlignment="1">
      <alignment horizontal="center"/>
    </xf>
    <xf numFmtId="264" fontId="223" fillId="0" borderId="16" xfId="0" applyNumberFormat="1" applyFont="1" applyBorder="1" applyAlignment="1">
      <alignment horizontal="center"/>
    </xf>
    <xf numFmtId="264" fontId="249" fillId="0" borderId="16" xfId="0" applyNumberFormat="1" applyFont="1" applyBorder="1" applyAlignment="1">
      <alignment horizontal="center"/>
    </xf>
    <xf numFmtId="264" fontId="223" fillId="0" borderId="86" xfId="0" applyNumberFormat="1" applyFont="1" applyBorder="1" applyAlignment="1">
      <alignment horizontal="center"/>
    </xf>
    <xf numFmtId="262" fontId="243" fillId="0" borderId="107" xfId="0" applyNumberFormat="1" applyFont="1" applyBorder="1"/>
    <xf numFmtId="264" fontId="243" fillId="0" borderId="26" xfId="0" applyNumberFormat="1" applyFont="1" applyBorder="1"/>
    <xf numFmtId="256" fontId="223" fillId="0" borderId="95" xfId="0" applyNumberFormat="1" applyFont="1" applyBorder="1"/>
    <xf numFmtId="0" fontId="223" fillId="120" borderId="6" xfId="0" applyFont="1" applyFill="1" applyBorder="1" applyAlignment="1">
      <alignment horizontal="right"/>
    </xf>
    <xf numFmtId="255" fontId="250" fillId="0" borderId="75" xfId="0" applyNumberFormat="1" applyFont="1" applyBorder="1" applyAlignment="1">
      <alignment horizontal="center" vertical="center"/>
    </xf>
    <xf numFmtId="258" fontId="250" fillId="0" borderId="75" xfId="0" applyNumberFormat="1" applyFont="1" applyBorder="1" applyAlignment="1">
      <alignment horizontal="center" vertical="center"/>
    </xf>
    <xf numFmtId="256" fontId="250" fillId="0" borderId="75" xfId="0" applyNumberFormat="1" applyFont="1" applyBorder="1" applyAlignment="1">
      <alignment horizontal="center" vertical="center"/>
    </xf>
    <xf numFmtId="0" fontId="225" fillId="0" borderId="92" xfId="0" applyFont="1" applyBorder="1"/>
    <xf numFmtId="0" fontId="225" fillId="0" borderId="112" xfId="0" applyFont="1" applyBorder="1"/>
    <xf numFmtId="258" fontId="225" fillId="0" borderId="106" xfId="0" applyNumberFormat="1" applyFont="1" applyBorder="1"/>
    <xf numFmtId="0" fontId="225" fillId="0" borderId="112" xfId="0" applyFont="1" applyBorder="1" applyAlignment="1">
      <alignment horizontal="center"/>
    </xf>
    <xf numFmtId="1" fontId="225" fillId="0" borderId="107" xfId="0" applyNumberFormat="1" applyFont="1" applyBorder="1" applyAlignment="1">
      <alignment horizontal="center"/>
    </xf>
    <xf numFmtId="0" fontId="225" fillId="0" borderId="75" xfId="0" applyFont="1" applyBorder="1" applyAlignment="1">
      <alignment horizontal="left"/>
    </xf>
    <xf numFmtId="0" fontId="225" fillId="0" borderId="106" xfId="0" applyFont="1" applyBorder="1" applyAlignment="1">
      <alignment horizontal="center" vertical="center"/>
    </xf>
    <xf numFmtId="255" fontId="225" fillId="0" borderId="106" xfId="0" applyNumberFormat="1" applyFont="1" applyBorder="1" applyAlignment="1">
      <alignment horizontal="center" vertical="center"/>
    </xf>
    <xf numFmtId="258" fontId="243" fillId="0" borderId="0" xfId="0" applyNumberFormat="1" applyFont="1" applyBorder="1" applyAlignment="1">
      <alignment horizontal="center" vertical="center"/>
    </xf>
    <xf numFmtId="258" fontId="243" fillId="0" borderId="106" xfId="0" applyNumberFormat="1" applyFont="1" applyBorder="1" applyAlignment="1">
      <alignment horizontal="center" vertical="center"/>
    </xf>
    <xf numFmtId="256" fontId="223" fillId="0" borderId="112" xfId="0" applyNumberFormat="1" applyFont="1" applyBorder="1" applyAlignment="1">
      <alignment horizontal="center" vertical="center"/>
    </xf>
    <xf numFmtId="256" fontId="223" fillId="0" borderId="107" xfId="0" applyNumberFormat="1" applyFont="1" applyBorder="1" applyAlignment="1">
      <alignment horizontal="center" vertical="center"/>
    </xf>
    <xf numFmtId="258" fontId="225" fillId="0" borderId="112" xfId="0" applyNumberFormat="1" applyFont="1" applyBorder="1"/>
    <xf numFmtId="255" fontId="225" fillId="0" borderId="112" xfId="0" applyNumberFormat="1" applyFont="1" applyBorder="1"/>
    <xf numFmtId="255" fontId="225" fillId="0" borderId="107" xfId="0" applyNumberFormat="1" applyFont="1" applyBorder="1"/>
    <xf numFmtId="0" fontId="2" fillId="0" borderId="75" xfId="0" applyFont="1" applyBorder="1" applyAlignment="1">
      <alignment horizontal="left" indent="1"/>
    </xf>
    <xf numFmtId="7" fontId="3" fillId="0" borderId="0" xfId="0" applyNumberFormat="1" applyFont="1" applyBorder="1"/>
    <xf numFmtId="7" fontId="3" fillId="0" borderId="106" xfId="0" applyNumberFormat="1" applyFont="1" applyBorder="1"/>
    <xf numFmtId="0" fontId="1" fillId="0" borderId="75" xfId="0" applyFont="1" applyBorder="1"/>
    <xf numFmtId="0" fontId="7" fillId="0" borderId="106" xfId="0" applyFont="1" applyBorder="1"/>
    <xf numFmtId="14" fontId="174" fillId="88" borderId="0" xfId="3304" applyNumberFormat="1" applyFont="1" applyFill="1" applyBorder="1" applyAlignment="1">
      <alignment vertical="center"/>
    </xf>
    <xf numFmtId="0" fontId="251" fillId="0" borderId="75" xfId="0" applyFont="1" applyBorder="1" applyAlignment="1">
      <alignment horizontal="left" indent="1"/>
    </xf>
    <xf numFmtId="0" fontId="251" fillId="0" borderId="0" xfId="0" applyFont="1" applyBorder="1"/>
    <xf numFmtId="256" fontId="251" fillId="0" borderId="0" xfId="0" applyNumberFormat="1" applyFont="1" applyBorder="1" applyAlignment="1">
      <alignment horizontal="center" vertical="center"/>
    </xf>
    <xf numFmtId="264" fontId="251" fillId="0" borderId="0" xfId="0" applyNumberFormat="1" applyFont="1" applyBorder="1" applyAlignment="1">
      <alignment horizontal="center" vertical="center"/>
    </xf>
    <xf numFmtId="0" fontId="251" fillId="0" borderId="92" xfId="0" applyFont="1" applyBorder="1" applyAlignment="1">
      <alignment horizontal="left" indent="1"/>
    </xf>
    <xf numFmtId="0" fontId="251" fillId="0" borderId="112" xfId="0" applyFont="1" applyBorder="1"/>
    <xf numFmtId="256" fontId="251" fillId="0" borderId="112" xfId="0" applyNumberFormat="1" applyFont="1" applyBorder="1" applyAlignment="1">
      <alignment horizontal="center" vertical="center"/>
    </xf>
    <xf numFmtId="0" fontId="251" fillId="0" borderId="6" xfId="0" applyFont="1" applyBorder="1"/>
    <xf numFmtId="0" fontId="7" fillId="0" borderId="107" xfId="0" applyFont="1" applyBorder="1"/>
    <xf numFmtId="0" fontId="252" fillId="0" borderId="106" xfId="0" applyFont="1" applyBorder="1"/>
    <xf numFmtId="0" fontId="225" fillId="0" borderId="0" xfId="0" applyFont="1" applyBorder="1" applyAlignment="1">
      <alignment horizontal="center"/>
    </xf>
    <xf numFmtId="256" fontId="7" fillId="0" borderId="0" xfId="0" applyNumberFormat="1" applyFont="1"/>
    <xf numFmtId="260" fontId="243" fillId="0" borderId="106" xfId="0" applyNumberFormat="1" applyFont="1" applyBorder="1"/>
    <xf numFmtId="258" fontId="243" fillId="0" borderId="106" xfId="0" applyNumberFormat="1" applyFont="1" applyBorder="1"/>
    <xf numFmtId="258" fontId="243" fillId="0" borderId="26" xfId="0" applyNumberFormat="1" applyFont="1" applyBorder="1" applyAlignment="1">
      <alignment horizontal="center"/>
    </xf>
    <xf numFmtId="256" fontId="252" fillId="0" borderId="106" xfId="0" applyNumberFormat="1" applyFont="1" applyBorder="1"/>
    <xf numFmtId="255" fontId="251" fillId="0" borderId="0" xfId="0" applyNumberFormat="1" applyFont="1"/>
    <xf numFmtId="0" fontId="251" fillId="0" borderId="0" xfId="0" applyFont="1"/>
    <xf numFmtId="169" fontId="251" fillId="0" borderId="0" xfId="0" applyNumberFormat="1" applyFont="1" applyBorder="1" applyAlignment="1">
      <alignment horizontal="right"/>
    </xf>
    <xf numFmtId="246" fontId="251" fillId="0" borderId="0" xfId="0" applyNumberFormat="1" applyFont="1" applyFill="1" applyBorder="1" applyAlignment="1">
      <alignment horizontal="right"/>
    </xf>
    <xf numFmtId="209" fontId="251" fillId="0" borderId="0" xfId="0" applyNumberFormat="1" applyFont="1" applyFill="1" applyBorder="1" applyAlignment="1">
      <alignment horizontal="center"/>
    </xf>
    <xf numFmtId="0" fontId="251" fillId="0" borderId="0" xfId="0" applyFont="1" applyBorder="1" applyAlignment="1">
      <alignment horizontal="left" vertical="top"/>
    </xf>
    <xf numFmtId="210" fontId="251" fillId="0" borderId="0" xfId="2286" applyNumberFormat="1" applyFont="1" applyFill="1" applyBorder="1" applyAlignment="1">
      <alignment horizontal="center"/>
    </xf>
    <xf numFmtId="0" fontId="251" fillId="0" borderId="0" xfId="0" applyFont="1" applyAlignment="1"/>
    <xf numFmtId="252" fontId="252" fillId="0" borderId="32" xfId="0" applyNumberFormat="1" applyFont="1" applyFill="1" applyBorder="1" applyAlignment="1">
      <alignment horizontal="right" vertical="top"/>
    </xf>
    <xf numFmtId="252" fontId="251" fillId="0" borderId="0" xfId="0" applyNumberFormat="1" applyFont="1" applyFill="1" applyBorder="1" applyAlignment="1">
      <alignment horizontal="left" vertical="top"/>
    </xf>
    <xf numFmtId="0" fontId="251" fillId="0" borderId="0" xfId="2204" applyFont="1" applyFill="1" applyBorder="1" applyAlignment="1">
      <alignment horizontal="center"/>
    </xf>
    <xf numFmtId="14" fontId="90" fillId="0" borderId="0" xfId="0" applyNumberFormat="1" applyFont="1" applyFill="1" applyBorder="1" applyAlignment="1">
      <alignment vertical="center" wrapText="1"/>
    </xf>
    <xf numFmtId="264" fontId="251" fillId="0" borderId="112" xfId="0" applyNumberFormat="1" applyFont="1" applyBorder="1" applyAlignment="1">
      <alignment horizontal="center" vertical="center"/>
    </xf>
    <xf numFmtId="264" fontId="249" fillId="0" borderId="0" xfId="0" applyNumberFormat="1" applyFont="1" applyBorder="1"/>
    <xf numFmtId="224" fontId="244" fillId="0" borderId="108" xfId="0" applyNumberFormat="1" applyFont="1" applyFill="1" applyBorder="1" applyAlignment="1">
      <alignment horizontal="right" vertical="top"/>
    </xf>
    <xf numFmtId="224" fontId="244" fillId="0" borderId="95" xfId="0" applyNumberFormat="1" applyFont="1" applyFill="1" applyBorder="1" applyAlignment="1">
      <alignment horizontal="right" vertical="top"/>
    </xf>
    <xf numFmtId="257" fontId="243" fillId="0" borderId="106" xfId="0" applyNumberFormat="1" applyFont="1" applyBorder="1"/>
    <xf numFmtId="0" fontId="225" fillId="0" borderId="75" xfId="0" applyFont="1" applyBorder="1" applyAlignment="1">
      <alignment horizontal="left" indent="1"/>
    </xf>
    <xf numFmtId="257" fontId="243" fillId="0" borderId="107" xfId="0" applyNumberFormat="1" applyFont="1" applyBorder="1"/>
    <xf numFmtId="0" fontId="251" fillId="0" borderId="25" xfId="0" applyFont="1" applyBorder="1" applyAlignment="1">
      <alignment horizontal="left" indent="1"/>
    </xf>
    <xf numFmtId="258" fontId="243" fillId="0" borderId="107" xfId="0" applyNumberFormat="1" applyFont="1" applyBorder="1"/>
    <xf numFmtId="224" fontId="225" fillId="0" borderId="106" xfId="0" applyNumberFormat="1" applyFont="1" applyBorder="1"/>
    <xf numFmtId="258" fontId="244" fillId="0" borderId="95" xfId="0" applyNumberFormat="1" applyFont="1" applyBorder="1"/>
    <xf numFmtId="9" fontId="225" fillId="0" borderId="0" xfId="0" applyNumberFormat="1" applyFont="1"/>
    <xf numFmtId="0" fontId="253" fillId="0" borderId="21" xfId="0" applyFont="1" applyBorder="1" applyAlignment="1">
      <alignment horizontal="left" indent="1"/>
    </xf>
    <xf numFmtId="259" fontId="3" fillId="0" borderId="106" xfId="0" applyNumberFormat="1" applyFont="1" applyBorder="1"/>
    <xf numFmtId="255" fontId="3" fillId="0" borderId="107" xfId="0" applyNumberFormat="1" applyFont="1" applyBorder="1"/>
    <xf numFmtId="170" fontId="243" fillId="0" borderId="0" xfId="0" applyNumberFormat="1" applyFont="1"/>
    <xf numFmtId="170" fontId="243" fillId="0" borderId="95" xfId="0" applyNumberFormat="1" applyFont="1" applyBorder="1"/>
    <xf numFmtId="258" fontId="243" fillId="0" borderId="112" xfId="0" applyNumberFormat="1" applyFont="1" applyBorder="1" applyAlignment="1">
      <alignment horizontal="center" vertical="center"/>
    </xf>
    <xf numFmtId="258" fontId="243" fillId="0" borderId="107" xfId="0" applyNumberFormat="1" applyFont="1" applyBorder="1" applyAlignment="1">
      <alignment horizontal="center" vertical="center"/>
    </xf>
    <xf numFmtId="256" fontId="225" fillId="0" borderId="107" xfId="0" applyNumberFormat="1" applyFont="1" applyBorder="1"/>
    <xf numFmtId="257" fontId="254" fillId="0" borderId="0" xfId="0" applyNumberFormat="1" applyFont="1"/>
    <xf numFmtId="257" fontId="254" fillId="0" borderId="107" xfId="0" applyNumberFormat="1" applyFont="1" applyBorder="1"/>
    <xf numFmtId="258" fontId="3" fillId="0" borderId="107" xfId="0" applyNumberFormat="1" applyFont="1" applyBorder="1"/>
    <xf numFmtId="0" fontId="256" fillId="88" borderId="30" xfId="3304" applyFont="1" applyFill="1" applyBorder="1" applyAlignment="1">
      <alignment horizontal="center" vertical="center"/>
    </xf>
    <xf numFmtId="0" fontId="251" fillId="0" borderId="75" xfId="0" applyFont="1" applyBorder="1"/>
    <xf numFmtId="256" fontId="257" fillId="0" borderId="0" xfId="0" applyNumberFormat="1" applyFont="1" applyBorder="1"/>
    <xf numFmtId="0" fontId="251" fillId="0" borderId="106" xfId="0" applyFont="1" applyBorder="1"/>
    <xf numFmtId="0" fontId="251" fillId="0" borderId="113" xfId="0" applyFont="1" applyBorder="1"/>
    <xf numFmtId="257" fontId="251" fillId="0" borderId="0" xfId="0" applyNumberFormat="1" applyFont="1" applyBorder="1"/>
    <xf numFmtId="0" fontId="251" fillId="0" borderId="75" xfId="0" applyFont="1" applyBorder="1" applyAlignment="1">
      <alignment horizontal="left"/>
    </xf>
    <xf numFmtId="262" fontId="255" fillId="0" borderId="0" xfId="0" applyNumberFormat="1" applyFont="1" applyBorder="1"/>
    <xf numFmtId="0" fontId="251" fillId="0" borderId="92" xfId="0" applyFont="1" applyBorder="1"/>
    <xf numFmtId="256" fontId="251" fillId="0" borderId="112" xfId="0" applyNumberFormat="1" applyFont="1" applyBorder="1"/>
    <xf numFmtId="14" fontId="251" fillId="0" borderId="112" xfId="0" applyNumberFormat="1" applyFont="1" applyBorder="1"/>
    <xf numFmtId="0" fontId="251" fillId="0" borderId="107" xfId="0" applyFont="1" applyBorder="1"/>
    <xf numFmtId="0" fontId="251" fillId="0" borderId="114" xfId="0" applyFont="1" applyBorder="1"/>
    <xf numFmtId="14" fontId="251" fillId="0" borderId="0" xfId="0" applyNumberFormat="1" applyFont="1"/>
    <xf numFmtId="0" fontId="258" fillId="0" borderId="75" xfId="0" applyFont="1" applyBorder="1" applyAlignment="1">
      <alignment horizontal="left" indent="1"/>
    </xf>
    <xf numFmtId="0" fontId="258" fillId="0" borderId="0" xfId="0" applyFont="1" applyBorder="1"/>
    <xf numFmtId="257" fontId="258" fillId="0" borderId="0" xfId="0" applyNumberFormat="1" applyFont="1" applyBorder="1"/>
    <xf numFmtId="257" fontId="259" fillId="0" borderId="0" xfId="0" applyNumberFormat="1" applyFont="1" applyBorder="1"/>
    <xf numFmtId="257" fontId="259" fillId="0" borderId="75" xfId="0" applyNumberFormat="1" applyFont="1" applyBorder="1"/>
    <xf numFmtId="257" fontId="259" fillId="0" borderId="106" xfId="0" applyNumberFormat="1" applyFont="1" applyBorder="1"/>
    <xf numFmtId="256" fontId="251" fillId="0" borderId="0" xfId="0" applyNumberFormat="1" applyFont="1" applyBorder="1"/>
    <xf numFmtId="256" fontId="251" fillId="0" borderId="75" xfId="0" applyNumberFormat="1" applyFont="1" applyBorder="1"/>
    <xf numFmtId="256" fontId="251" fillId="0" borderId="16" xfId="0" applyNumberFormat="1" applyFont="1" applyBorder="1"/>
    <xf numFmtId="256" fontId="251" fillId="0" borderId="106" xfId="0" applyNumberFormat="1" applyFont="1" applyBorder="1"/>
    <xf numFmtId="0" fontId="256" fillId="88" borderId="104" xfId="3304" applyFont="1" applyFill="1" applyBorder="1" applyAlignment="1">
      <alignment horizontal="center" vertical="center"/>
    </xf>
    <xf numFmtId="0" fontId="252" fillId="115" borderId="115" xfId="0" applyFont="1" applyFill="1" applyBorder="1" applyAlignment="1">
      <alignment horizontal="center"/>
    </xf>
    <xf numFmtId="0" fontId="252" fillId="0" borderId="107" xfId="0" applyFont="1" applyFill="1" applyBorder="1" applyAlignment="1"/>
    <xf numFmtId="0" fontId="247" fillId="0" borderId="112" xfId="0" applyFont="1" applyFill="1" applyBorder="1" applyAlignment="1">
      <alignment vertical="center" textRotation="90" wrapText="1"/>
    </xf>
    <xf numFmtId="260" fontId="259" fillId="0" borderId="0" xfId="0" applyNumberFormat="1" applyFont="1" applyBorder="1"/>
    <xf numFmtId="260" fontId="259" fillId="0" borderId="75" xfId="0" applyNumberFormat="1" applyFont="1" applyBorder="1"/>
    <xf numFmtId="260" fontId="259" fillId="0" borderId="106" xfId="0" applyNumberFormat="1" applyFont="1" applyBorder="1"/>
    <xf numFmtId="260" fontId="255" fillId="0" borderId="16" xfId="0" applyNumberFormat="1" applyFont="1" applyBorder="1"/>
    <xf numFmtId="265" fontId="223" fillId="0" borderId="16" xfId="0" applyNumberFormat="1" applyFont="1" applyBorder="1" applyAlignment="1">
      <alignment horizontal="center"/>
    </xf>
    <xf numFmtId="265" fontId="249" fillId="0" borderId="16" xfId="0" applyNumberFormat="1" applyFont="1" applyBorder="1" applyAlignment="1">
      <alignment horizontal="center"/>
    </xf>
    <xf numFmtId="265" fontId="223" fillId="0" borderId="86" xfId="0" applyNumberFormat="1" applyFont="1" applyBorder="1" applyAlignment="1">
      <alignment horizontal="center"/>
    </xf>
    <xf numFmtId="262" fontId="243" fillId="0" borderId="26" xfId="0" applyNumberFormat="1" applyFont="1" applyBorder="1"/>
    <xf numFmtId="260" fontId="258" fillId="0" borderId="0" xfId="0" applyNumberFormat="1" applyFont="1" applyBorder="1"/>
    <xf numFmtId="264" fontId="257" fillId="0" borderId="0" xfId="0" applyNumberFormat="1" applyFont="1" applyBorder="1"/>
    <xf numFmtId="14" fontId="7" fillId="0" borderId="0" xfId="0" applyNumberFormat="1" applyFont="1"/>
    <xf numFmtId="14" fontId="7" fillId="0" borderId="114" xfId="0" applyNumberFormat="1" applyFont="1" applyBorder="1"/>
    <xf numFmtId="14" fontId="7" fillId="0" borderId="113" xfId="0" applyNumberFormat="1" applyFont="1" applyBorder="1"/>
    <xf numFmtId="0" fontId="7" fillId="0" borderId="75" xfId="0" applyFont="1" applyBorder="1"/>
    <xf numFmtId="0" fontId="7" fillId="0" borderId="77" xfId="0" applyFont="1" applyBorder="1"/>
    <xf numFmtId="0" fontId="7" fillId="0" borderId="116" xfId="0" applyFont="1" applyBorder="1"/>
    <xf numFmtId="0" fontId="251" fillId="0" borderId="0" xfId="0" applyFont="1" applyAlignment="1">
      <alignment wrapText="1"/>
    </xf>
    <xf numFmtId="0" fontId="251" fillId="0" borderId="0" xfId="0" applyFont="1" applyBorder="1" applyAlignment="1"/>
    <xf numFmtId="0" fontId="251" fillId="0" borderId="112" xfId="0" applyFont="1" applyBorder="1" applyAlignment="1"/>
    <xf numFmtId="0" fontId="251" fillId="0" borderId="113" xfId="0" applyFont="1" applyBorder="1" applyAlignment="1"/>
    <xf numFmtId="0" fontId="251" fillId="0" borderId="114" xfId="0" applyFont="1" applyBorder="1" applyAlignment="1"/>
    <xf numFmtId="0" fontId="251" fillId="0" borderId="75" xfId="0" applyFont="1" applyBorder="1" applyAlignment="1"/>
    <xf numFmtId="0" fontId="251" fillId="0" borderId="77" xfId="0" applyFont="1" applyBorder="1" applyAlignment="1"/>
    <xf numFmtId="0" fontId="251" fillId="0" borderId="77" xfId="0" applyFont="1" applyBorder="1" applyAlignment="1">
      <alignment horizontal="left" indent="1"/>
    </xf>
    <xf numFmtId="0" fontId="251" fillId="0" borderId="119" xfId="0" applyFont="1" applyBorder="1" applyAlignment="1"/>
    <xf numFmtId="0" fontId="261" fillId="0" borderId="118" xfId="0" applyFont="1" applyBorder="1"/>
    <xf numFmtId="0" fontId="251" fillId="0" borderId="123" xfId="0" applyFont="1" applyBorder="1" applyAlignment="1"/>
    <xf numFmtId="0" fontId="252" fillId="0" borderId="0" xfId="0" applyFont="1" applyAlignment="1">
      <alignment textRotation="90" wrapText="1"/>
    </xf>
    <xf numFmtId="0" fontId="172" fillId="88" borderId="73" xfId="3304" applyFont="1" applyFill="1" applyBorder="1" applyAlignment="1">
      <alignment horizontal="center" vertical="center"/>
    </xf>
    <xf numFmtId="0" fontId="172" fillId="88" borderId="0" xfId="3304" applyFont="1" applyFill="1" applyBorder="1" applyAlignment="1">
      <alignment horizontal="center" vertical="center" wrapText="1"/>
    </xf>
    <xf numFmtId="0" fontId="154" fillId="88" borderId="67" xfId="2268" applyFont="1" applyFill="1" applyBorder="1" applyAlignment="1">
      <alignment horizontal="center" vertical="center"/>
    </xf>
    <xf numFmtId="0" fontId="154" fillId="88" borderId="68" xfId="2268" applyFont="1" applyFill="1" applyBorder="1" applyAlignment="1">
      <alignment horizontal="center" vertical="center"/>
    </xf>
    <xf numFmtId="0" fontId="172" fillId="88" borderId="0" xfId="3304" applyFont="1" applyFill="1" applyBorder="1" applyAlignment="1">
      <alignment horizontal="center" vertical="center"/>
    </xf>
    <xf numFmtId="0" fontId="172" fillId="88" borderId="49" xfId="3304" applyFont="1" applyFill="1" applyBorder="1" applyAlignment="1">
      <alignment horizontal="center" vertical="center"/>
    </xf>
    <xf numFmtId="0" fontId="172" fillId="88" borderId="62" xfId="3304" applyFont="1" applyFill="1" applyBorder="1" applyAlignment="1">
      <alignment horizontal="center" vertical="center"/>
    </xf>
    <xf numFmtId="0" fontId="149" fillId="0" borderId="0" xfId="0" applyFont="1" applyBorder="1" applyAlignment="1">
      <alignment horizontal="center" vertical="top"/>
    </xf>
    <xf numFmtId="0" fontId="149" fillId="0" borderId="0" xfId="0" applyFont="1" applyAlignment="1">
      <alignment horizontal="center" vertical="top"/>
    </xf>
    <xf numFmtId="0" fontId="97" fillId="0" borderId="0" xfId="2268" applyFont="1" applyFill="1" applyBorder="1" applyAlignment="1">
      <alignment horizontal="right"/>
    </xf>
    <xf numFmtId="0" fontId="226" fillId="0" borderId="0" xfId="0" applyFont="1" applyBorder="1" applyAlignment="1">
      <alignment horizontal="center" vertical="top"/>
    </xf>
    <xf numFmtId="0" fontId="226" fillId="0" borderId="0" xfId="0" applyFont="1" applyAlignment="1">
      <alignment horizontal="center" vertical="top"/>
    </xf>
    <xf numFmtId="0" fontId="223" fillId="0" borderId="0" xfId="2268" applyFont="1" applyFill="1" applyBorder="1" applyAlignment="1">
      <alignment horizontal="right"/>
    </xf>
    <xf numFmtId="0" fontId="174" fillId="88" borderId="0" xfId="3304" applyFont="1" applyFill="1" applyBorder="1" applyAlignment="1">
      <alignment horizontal="center" vertical="center"/>
    </xf>
    <xf numFmtId="0" fontId="174" fillId="88" borderId="63" xfId="3304" applyFont="1" applyFill="1" applyBorder="1" applyAlignment="1">
      <alignment horizontal="center" vertical="center"/>
    </xf>
    <xf numFmtId="216" fontId="221" fillId="0" borderId="0" xfId="0" applyNumberFormat="1" applyFont="1" applyFill="1" applyBorder="1" applyAlignment="1">
      <alignment horizontal="center"/>
    </xf>
    <xf numFmtId="214" fontId="118" fillId="0" borderId="0" xfId="0" applyNumberFormat="1" applyFont="1" applyAlignment="1">
      <alignment horizontal="center"/>
    </xf>
    <xf numFmtId="0" fontId="173" fillId="88" borderId="30" xfId="3304" applyFont="1" applyFill="1" applyBorder="1" applyAlignment="1">
      <alignment horizontal="center" vertical="center"/>
    </xf>
    <xf numFmtId="214" fontId="97" fillId="0" borderId="0" xfId="0" applyNumberFormat="1" applyFont="1" applyFill="1" applyBorder="1" applyAlignment="1">
      <alignment horizontal="center"/>
    </xf>
    <xf numFmtId="214" fontId="118" fillId="0" borderId="0" xfId="0" applyNumberFormat="1" applyFont="1" applyFill="1" applyBorder="1" applyAlignment="1">
      <alignment horizontal="center"/>
    </xf>
    <xf numFmtId="0" fontId="173" fillId="88" borderId="47" xfId="3304" applyFont="1" applyFill="1" applyBorder="1" applyAlignment="1">
      <alignment horizontal="center" vertical="center"/>
    </xf>
    <xf numFmtId="0" fontId="174" fillId="88" borderId="31" xfId="3304" applyFont="1" applyFill="1" applyBorder="1" applyAlignment="1">
      <alignment horizontal="center" vertical="center"/>
    </xf>
    <xf numFmtId="0" fontId="174" fillId="88" borderId="66" xfId="3304" applyFont="1" applyFill="1" applyBorder="1" applyAlignment="1">
      <alignment horizontal="center" vertical="center"/>
    </xf>
    <xf numFmtId="0" fontId="140" fillId="66" borderId="0" xfId="0" applyFont="1" applyFill="1" applyBorder="1" applyAlignment="1">
      <alignment horizontal="center"/>
    </xf>
    <xf numFmtId="0" fontId="172" fillId="88" borderId="65" xfId="3304" applyFont="1" applyFill="1" applyBorder="1" applyAlignment="1">
      <alignment horizontal="center" vertical="center"/>
    </xf>
    <xf numFmtId="0" fontId="172" fillId="88" borderId="43" xfId="3304" applyFont="1" applyFill="1" applyBorder="1" applyAlignment="1">
      <alignment horizontal="center" vertical="center"/>
    </xf>
    <xf numFmtId="0" fontId="154" fillId="88" borderId="41" xfId="2268" applyFont="1" applyFill="1" applyBorder="1" applyAlignment="1">
      <alignment horizontal="center" vertical="center"/>
    </xf>
    <xf numFmtId="0" fontId="154" fillId="88" borderId="42" xfId="2268" applyFont="1" applyFill="1" applyBorder="1" applyAlignment="1">
      <alignment horizontal="center" vertical="center"/>
    </xf>
    <xf numFmtId="0" fontId="172" fillId="88" borderId="81" xfId="2268" applyFont="1" applyFill="1" applyBorder="1" applyAlignment="1">
      <alignment horizontal="center" vertical="center"/>
    </xf>
    <xf numFmtId="0" fontId="172" fillId="88" borderId="82" xfId="2268" applyFont="1" applyFill="1" applyBorder="1" applyAlignment="1">
      <alignment horizontal="center" vertical="center"/>
    </xf>
    <xf numFmtId="0" fontId="172" fillId="88" borderId="83" xfId="2268" applyFont="1" applyFill="1" applyBorder="1" applyAlignment="1">
      <alignment horizontal="center" vertical="center"/>
    </xf>
    <xf numFmtId="0" fontId="247" fillId="118" borderId="111" xfId="0" applyFont="1" applyFill="1" applyBorder="1" applyAlignment="1">
      <alignment horizontal="left" vertical="center" textRotation="90" wrapText="1"/>
    </xf>
    <xf numFmtId="0" fontId="247" fillId="118" borderId="16" xfId="0" applyFont="1" applyFill="1" applyBorder="1" applyAlignment="1">
      <alignment horizontal="left" vertical="center" textRotation="90" wrapText="1"/>
    </xf>
    <xf numFmtId="0" fontId="247" fillId="118" borderId="74" xfId="0" applyFont="1" applyFill="1" applyBorder="1" applyAlignment="1">
      <alignment horizontal="left" vertical="center" textRotation="90" wrapText="1"/>
    </xf>
    <xf numFmtId="0" fontId="223" fillId="115" borderId="70" xfId="0" applyFont="1" applyFill="1" applyBorder="1" applyAlignment="1">
      <alignment horizontal="center"/>
    </xf>
    <xf numFmtId="0" fontId="223" fillId="115" borderId="64" xfId="0" applyFont="1" applyFill="1" applyBorder="1" applyAlignment="1">
      <alignment horizontal="center"/>
    </xf>
    <xf numFmtId="0" fontId="223" fillId="115" borderId="71" xfId="0" applyFont="1" applyFill="1" applyBorder="1" applyAlignment="1">
      <alignment horizontal="center"/>
    </xf>
    <xf numFmtId="0" fontId="225" fillId="0" borderId="0" xfId="0" applyFont="1" applyBorder="1" applyAlignment="1">
      <alignment horizontal="center"/>
    </xf>
    <xf numFmtId="0" fontId="225" fillId="0" borderId="78" xfId="0" applyFont="1" applyBorder="1" applyAlignment="1">
      <alignment horizontal="center"/>
    </xf>
    <xf numFmtId="0" fontId="223" fillId="115" borderId="89" xfId="0" applyFont="1" applyFill="1" applyBorder="1" applyAlignment="1">
      <alignment horizontal="center"/>
    </xf>
    <xf numFmtId="0" fontId="223" fillId="115" borderId="72" xfId="0" applyFont="1" applyFill="1" applyBorder="1" applyAlignment="1">
      <alignment horizontal="center"/>
    </xf>
    <xf numFmtId="0" fontId="223" fillId="115" borderId="29" xfId="0" applyFont="1" applyFill="1" applyBorder="1" applyAlignment="1">
      <alignment horizontal="center"/>
    </xf>
    <xf numFmtId="0" fontId="172" fillId="88" borderId="43" xfId="2268" applyFont="1" applyFill="1" applyBorder="1" applyAlignment="1">
      <alignment horizontal="center" vertical="center"/>
    </xf>
    <xf numFmtId="0" fontId="172" fillId="88" borderId="0" xfId="2268" applyFont="1" applyFill="1" applyBorder="1" applyAlignment="1">
      <alignment horizontal="center" vertical="center"/>
    </xf>
    <xf numFmtId="0" fontId="172" fillId="88" borderId="63" xfId="2268" applyFont="1" applyFill="1" applyBorder="1" applyAlignment="1">
      <alignment horizontal="center" vertical="center"/>
    </xf>
    <xf numFmtId="14" fontId="172" fillId="88" borderId="6" xfId="3304" applyNumberFormat="1" applyFont="1" applyFill="1" applyBorder="1" applyAlignment="1">
      <alignment horizontal="center" vertical="center"/>
    </xf>
    <xf numFmtId="14" fontId="172" fillId="88" borderId="26" xfId="3304" applyNumberFormat="1" applyFont="1" applyFill="1" applyBorder="1" applyAlignment="1">
      <alignment horizontal="center" vertical="center"/>
    </xf>
    <xf numFmtId="0" fontId="223" fillId="0" borderId="89" xfId="0" applyFont="1" applyBorder="1" applyAlignment="1">
      <alignment horizontal="center"/>
    </xf>
    <xf numFmtId="0" fontId="223" fillId="0" borderId="72" xfId="0" applyFont="1" applyBorder="1" applyAlignment="1">
      <alignment horizontal="center"/>
    </xf>
    <xf numFmtId="0" fontId="223" fillId="0" borderId="29" xfId="0" applyFont="1" applyBorder="1" applyAlignment="1">
      <alignment horizontal="center"/>
    </xf>
    <xf numFmtId="0" fontId="223" fillId="0" borderId="0" xfId="0" applyFont="1" applyAlignment="1">
      <alignment horizontal="right" vertical="center" textRotation="90"/>
    </xf>
    <xf numFmtId="0" fontId="173" fillId="88" borderId="109" xfId="3304" applyFont="1" applyFill="1" applyBorder="1" applyAlignment="1">
      <alignment horizontal="center" vertical="center"/>
    </xf>
    <xf numFmtId="0" fontId="173" fillId="88" borderId="110" xfId="3304" applyFont="1" applyFill="1" applyBorder="1" applyAlignment="1">
      <alignment horizontal="center" vertical="center"/>
    </xf>
    <xf numFmtId="0" fontId="223" fillId="115" borderId="99" xfId="0" applyFont="1" applyFill="1" applyBorder="1" applyAlignment="1">
      <alignment horizontal="center"/>
    </xf>
    <xf numFmtId="0" fontId="223" fillId="115" borderId="97" xfId="0" applyFont="1" applyFill="1" applyBorder="1" applyAlignment="1">
      <alignment horizontal="center"/>
    </xf>
    <xf numFmtId="0" fontId="223" fillId="115" borderId="98" xfId="0" applyFont="1" applyFill="1" applyBorder="1" applyAlignment="1">
      <alignment horizontal="center"/>
    </xf>
    <xf numFmtId="14" fontId="172" fillId="88" borderId="0" xfId="3304" applyNumberFormat="1" applyFont="1" applyFill="1" applyBorder="1" applyAlignment="1">
      <alignment horizontal="center" vertical="center"/>
    </xf>
    <xf numFmtId="0" fontId="247" fillId="117" borderId="0" xfId="0" applyFont="1" applyFill="1" applyBorder="1" applyAlignment="1">
      <alignment horizontal="left" vertical="center" textRotation="180"/>
    </xf>
    <xf numFmtId="0" fontId="248" fillId="119" borderId="21" xfId="0" applyFont="1" applyFill="1" applyBorder="1" applyAlignment="1">
      <alignment horizontal="center" vertical="center" textRotation="180"/>
    </xf>
    <xf numFmtId="14" fontId="172" fillId="88" borderId="95" xfId="3304" applyNumberFormat="1" applyFont="1" applyFill="1" applyBorder="1" applyAlignment="1">
      <alignment horizontal="center" vertical="center"/>
    </xf>
    <xf numFmtId="0" fontId="223" fillId="0" borderId="0" xfId="0" applyFont="1" applyBorder="1" applyAlignment="1">
      <alignment horizontal="center"/>
    </xf>
    <xf numFmtId="0" fontId="251" fillId="0" borderId="89" xfId="0" applyFont="1" applyBorder="1" applyAlignment="1">
      <alignment horizontal="center"/>
    </xf>
    <xf numFmtId="0" fontId="251" fillId="0" borderId="72" xfId="0" applyFont="1" applyBorder="1" applyAlignment="1">
      <alignment horizontal="center"/>
    </xf>
    <xf numFmtId="0" fontId="251" fillId="0" borderId="29" xfId="0" applyFont="1" applyBorder="1" applyAlignment="1">
      <alignment horizontal="center"/>
    </xf>
    <xf numFmtId="0" fontId="252" fillId="115" borderId="70" xfId="0" applyFont="1" applyFill="1" applyBorder="1" applyAlignment="1">
      <alignment horizontal="center"/>
    </xf>
    <xf numFmtId="0" fontId="252" fillId="115" borderId="64" xfId="0" applyFont="1" applyFill="1" applyBorder="1" applyAlignment="1">
      <alignment horizontal="center"/>
    </xf>
    <xf numFmtId="0" fontId="252" fillId="115" borderId="99" xfId="0" applyFont="1" applyFill="1" applyBorder="1" applyAlignment="1">
      <alignment horizontal="center"/>
    </xf>
    <xf numFmtId="0" fontId="252" fillId="115" borderId="97" xfId="0" applyFont="1" applyFill="1" applyBorder="1" applyAlignment="1">
      <alignment horizontal="center"/>
    </xf>
    <xf numFmtId="0" fontId="252" fillId="0" borderId="123" xfId="0" applyFont="1" applyBorder="1" applyAlignment="1">
      <alignment horizontal="center" textRotation="90" wrapText="1"/>
    </xf>
    <xf numFmtId="14" fontId="174" fillId="88" borderId="116" xfId="3304" applyNumberFormat="1" applyFont="1" applyFill="1" applyBorder="1" applyAlignment="1">
      <alignment horizontal="center" vertical="center"/>
    </xf>
    <xf numFmtId="14" fontId="174" fillId="88" borderId="117" xfId="3304" applyNumberFormat="1" applyFont="1" applyFill="1" applyBorder="1" applyAlignment="1">
      <alignment horizontal="center" vertical="center"/>
    </xf>
    <xf numFmtId="14" fontId="174" fillId="88" borderId="118" xfId="3304" applyNumberFormat="1" applyFont="1" applyFill="1" applyBorder="1" applyAlignment="1">
      <alignment horizontal="center" vertical="center"/>
    </xf>
    <xf numFmtId="14" fontId="174" fillId="88" borderId="89" xfId="3304" applyNumberFormat="1" applyFont="1" applyFill="1" applyBorder="1" applyAlignment="1">
      <alignment horizontal="center" vertical="center"/>
    </xf>
    <xf numFmtId="14" fontId="174" fillId="88" borderId="72" xfId="3304" applyNumberFormat="1" applyFont="1" applyFill="1" applyBorder="1" applyAlignment="1">
      <alignment horizontal="center" vertical="center"/>
    </xf>
    <xf numFmtId="14" fontId="174" fillId="88" borderId="29" xfId="3304" applyNumberFormat="1" applyFont="1" applyFill="1" applyBorder="1" applyAlignment="1">
      <alignment horizontal="center" vertical="center"/>
    </xf>
    <xf numFmtId="0" fontId="252" fillId="115" borderId="120" xfId="0" applyFont="1" applyFill="1" applyBorder="1" applyAlignment="1">
      <alignment horizontal="center"/>
    </xf>
    <xf numFmtId="0" fontId="252" fillId="115" borderId="121" xfId="0" applyFont="1" applyFill="1" applyBorder="1" applyAlignment="1">
      <alignment horizontal="center"/>
    </xf>
    <xf numFmtId="0" fontId="252" fillId="115" borderId="122" xfId="0" applyFont="1" applyFill="1" applyBorder="1" applyAlignment="1">
      <alignment horizontal="center"/>
    </xf>
    <xf numFmtId="0" fontId="138" fillId="112" borderId="0" xfId="0" applyFont="1" applyFill="1" applyAlignment="1"/>
    <xf numFmtId="0" fontId="7" fillId="0" borderId="0" xfId="0" applyFont="1" applyAlignment="1"/>
    <xf numFmtId="0" fontId="138" fillId="113" borderId="0" xfId="0" applyFont="1" applyFill="1" applyAlignment="1"/>
    <xf numFmtId="0" fontId="138" fillId="106" borderId="0" xfId="0" applyFont="1" applyFill="1" applyAlignment="1"/>
    <xf numFmtId="0" fontId="138" fillId="114" borderId="0" xfId="0" applyFont="1" applyFill="1" applyAlignment="1"/>
    <xf numFmtId="0" fontId="240" fillId="0" borderId="0" xfId="7819" applyFont="1" applyAlignment="1">
      <alignment horizontal="center" vertical="center" wrapText="1"/>
    </xf>
    <xf numFmtId="0" fontId="138" fillId="107" borderId="0" xfId="0" applyFont="1" applyFill="1" applyAlignment="1"/>
    <xf numFmtId="0" fontId="138" fillId="108" borderId="0" xfId="0" applyFont="1" applyFill="1" applyAlignment="1"/>
    <xf numFmtId="0" fontId="138" fillId="109" borderId="0" xfId="0" applyFont="1" applyFill="1" applyAlignment="1"/>
    <xf numFmtId="0" fontId="138" fillId="110" borderId="0" xfId="0" applyFont="1" applyFill="1" applyAlignment="1"/>
    <xf numFmtId="0" fontId="138" fillId="111" borderId="0" xfId="0" applyFont="1" applyFill="1" applyAlignment="1"/>
    <xf numFmtId="0" fontId="260" fillId="116" borderId="89" xfId="0" applyFont="1" applyFill="1" applyBorder="1" applyAlignment="1">
      <alignment horizontal="left"/>
    </xf>
  </cellXfs>
  <cellStyles count="7820">
    <cellStyle name="-" xfId="3515"/>
    <cellStyle name="$ 1 decimal" xfId="3516"/>
    <cellStyle name="******************************************" xfId="3309"/>
    <cellStyle name="****************************************** 2" xfId="3310"/>
    <cellStyle name="]_x000a__x000a_Extension=conv.dll_x000a__x000a_MS-DOS Tools Extentions=C:\DOS\MSTOOLS.DLL_x000a__x000a__x000a__x000a_[Settings]_x000a__x000a_UNDELETE.DLL=C:\DOS\MSTOOLS.DLL_x000a__x000a_W" xfId="1"/>
    <cellStyle name="]_x000a__x000a_Extension=conv.dll_x000a__x000a_MS-DOS Tools Extentions=C:\DOS\MSTOOLS.DLL_x000a__x000a__x000a__x000a_[Settings]_x000a__x000a_UNDELETE.DLL=C:\DOS\MSTOOLS.DLL_x000a__x000a_W 2" xfId="2"/>
    <cellStyle name="]_x000a__x000a_Extension=conv.dll_x000a__x000a_MS-DOS Tools Extentions=C:\DOS\MSTOOLS.DLL_x000a__x000a__x000a__x000a_[Settings]_x000a__x000a_UNDELETE.DLL=C:\DOS\MSTOOLS.DLL_x000a__x000a_W 3" xfId="3"/>
    <cellStyle name="]_x000a__x000a_Extension=conv.dll_x000a__x000a_MS-DOS Tools Extentions=C:\DOS\MSTOOLS.DLL_x000a__x000a__x000a__x000a_[Settings]_x000a__x000a_UNDELETE.DLL=C:\DOS\MSTOOLS.DLL_x000a__x000a_W 4" xfId="4"/>
    <cellStyle name="]_x000a__x000a_Extension=conv.dll_x000a__x000a_MS-DOS Tools Extentions=C:\DOS\MSTOOLS.DLL_x000a__x000a__x000a__x000a_[Settings]_x000a__x000a_UNDELETE.DLL=C:\DOS\MSTOOLS.DLL_x000a__x000a_W 5" xfId="5"/>
    <cellStyle name="]_x000a__x000a_Extension=conv.dll_x000a__x000a_MS-DOS Tools Extentions=C:\DOS\MSTOOLS.DLL_x000a__x000a__x000a__x000a_[Settings]_x000a__x000a_UNDELETE.DLL=C:\DOS\MSTOOLS.DLL_x000a__x000a_W 6" xfId="6"/>
    <cellStyle name="_Comma" xfId="7"/>
    <cellStyle name="_Comma 2" xfId="8"/>
    <cellStyle name="_Comma 3" xfId="9"/>
    <cellStyle name="_Comma 4" xfId="10"/>
    <cellStyle name="_Comma 5" xfId="11"/>
    <cellStyle name="_Comma 6" xfId="12"/>
    <cellStyle name="_Currency" xfId="13"/>
    <cellStyle name="_Currency 2" xfId="14"/>
    <cellStyle name="_Currency 3" xfId="15"/>
    <cellStyle name="_Currency 4" xfId="16"/>
    <cellStyle name="_Currency 5" xfId="17"/>
    <cellStyle name="_Currency 6" xfId="18"/>
    <cellStyle name="_Currency 7" xfId="19"/>
    <cellStyle name="_CurrencySpace" xfId="20"/>
    <cellStyle name="_CurrencySpace 2" xfId="21"/>
    <cellStyle name="_CurrencySpace 3" xfId="22"/>
    <cellStyle name="_CurrencySpace 4" xfId="23"/>
    <cellStyle name="_CurrencySpace 5" xfId="24"/>
    <cellStyle name="_CurrencySpace 6" xfId="25"/>
    <cellStyle name="_Multiple" xfId="26"/>
    <cellStyle name="_Multiple 2" xfId="27"/>
    <cellStyle name="_Multiple 3" xfId="28"/>
    <cellStyle name="_Multiple 4" xfId="29"/>
    <cellStyle name="_Multiple 5" xfId="30"/>
    <cellStyle name="_Multiple 6" xfId="31"/>
    <cellStyle name="_MultipleSpace" xfId="32"/>
    <cellStyle name="_MultipleSpace 2" xfId="33"/>
    <cellStyle name="_MultipleSpace 3" xfId="34"/>
    <cellStyle name="_MultipleSpace 4" xfId="35"/>
    <cellStyle name="_MultipleSpace 5" xfId="36"/>
    <cellStyle name="_MultipleSpace 6" xfId="37"/>
    <cellStyle name="_Percent" xfId="38"/>
    <cellStyle name="_Percent 2" xfId="39"/>
    <cellStyle name="_Percent 3" xfId="40"/>
    <cellStyle name="_Percent 4" xfId="41"/>
    <cellStyle name="_Percent 5" xfId="42"/>
    <cellStyle name="_Percent 6" xfId="43"/>
    <cellStyle name="_PercentSpace" xfId="44"/>
    <cellStyle name="_PercentSpace 2" xfId="45"/>
    <cellStyle name="_PercentSpace 3" xfId="46"/>
    <cellStyle name="_PercentSpace 4" xfId="47"/>
    <cellStyle name="_PercentSpace 5" xfId="48"/>
    <cellStyle name="_PercentSpace 6" xfId="49"/>
    <cellStyle name="_PMC - analysis_08.08.07" xfId="50"/>
    <cellStyle name="_PMC - analysis_08.08.07 2" xfId="51"/>
    <cellStyle name="_PMC - analysis_08.08.07 3" xfId="52"/>
    <cellStyle name="_PMC - analysis_08.08.07 4" xfId="53"/>
    <cellStyle name="_PMC - analysis_08.08.07 5" xfId="54"/>
    <cellStyle name="_PMC - analysis_08.08.07 6" xfId="55"/>
    <cellStyle name="_TGT_Live_" xfId="56"/>
    <cellStyle name="’Ê‰Ý [0.00]_GE 3 MINIMUM" xfId="3517"/>
    <cellStyle name="’Ê‰Ý_GE 3 MINIMUM" xfId="3518"/>
    <cellStyle name="£ BP" xfId="3519"/>
    <cellStyle name="£ BP 2" xfId="3520"/>
    <cellStyle name="£ BP 3" xfId="3521"/>
    <cellStyle name="£ BP 4" xfId="3522"/>
    <cellStyle name="£ BP 5" xfId="3523"/>
    <cellStyle name="£ BP 6" xfId="3524"/>
    <cellStyle name="¥ JY" xfId="3525"/>
    <cellStyle name="¥ JY 2" xfId="3526"/>
    <cellStyle name="¥ JY 3" xfId="3527"/>
    <cellStyle name="¥ JY 4" xfId="3528"/>
    <cellStyle name="¥ JY 5" xfId="3529"/>
    <cellStyle name="¥ JY 6" xfId="3530"/>
    <cellStyle name="=C:\WINNT35\SYSTEM32\COMMAND.COM" xfId="3311"/>
    <cellStyle name="•W€_Comparables" xfId="3531"/>
    <cellStyle name="•W_GE 3 MINIMUM" xfId="3532"/>
    <cellStyle name="0" xfId="3533"/>
    <cellStyle name="0 2" xfId="3534"/>
    <cellStyle name="0%" xfId="3535"/>
    <cellStyle name="0% 2" xfId="3536"/>
    <cellStyle name="0% 3" xfId="3537"/>
    <cellStyle name="0% 4" xfId="3538"/>
    <cellStyle name="0% 5" xfId="3539"/>
    <cellStyle name="0% 6" xfId="3540"/>
    <cellStyle name="0% 7" xfId="3541"/>
    <cellStyle name="0% 8" xfId="3542"/>
    <cellStyle name="0.0" xfId="3543"/>
    <cellStyle name="0.0 2" xfId="3544"/>
    <cellStyle name="0.0%" xfId="3545"/>
    <cellStyle name="0.0% 2" xfId="3546"/>
    <cellStyle name="0.0_Diageo FRS 17 and Capacity" xfId="3547"/>
    <cellStyle name="0.00" xfId="3548"/>
    <cellStyle name="0.00 2" xfId="3549"/>
    <cellStyle name="0.00%" xfId="3550"/>
    <cellStyle name="0.00% 2" xfId="3551"/>
    <cellStyle name="1,comma" xfId="3552"/>
    <cellStyle name="1,comma 2" xfId="3553"/>
    <cellStyle name="1,comma 3" xfId="3554"/>
    <cellStyle name="1,comma 4" xfId="3555"/>
    <cellStyle name="1,comma 5" xfId="3556"/>
    <cellStyle name="1,comma 6" xfId="3557"/>
    <cellStyle name="1,comma 7" xfId="3558"/>
    <cellStyle name="1,comma 8" xfId="3559"/>
    <cellStyle name="20% - Accent1" xfId="3281" builtinId="30" customBuiltin="1"/>
    <cellStyle name="20% - Accent1 10" xfId="57"/>
    <cellStyle name="20% - Accent1 10 2" xfId="58"/>
    <cellStyle name="20% - Accent1 10 2 2" xfId="59"/>
    <cellStyle name="20% - Accent1 10 2 2 2" xfId="7160"/>
    <cellStyle name="20% - Accent1 10 2 3" xfId="60"/>
    <cellStyle name="20% - Accent1 10 2 3 2" xfId="7161"/>
    <cellStyle name="20% - Accent1 10 2 4" xfId="3560"/>
    <cellStyle name="20% - Accent1 10 2 5" xfId="7159"/>
    <cellStyle name="20% - Accent1 10 3" xfId="61"/>
    <cellStyle name="20% - Accent1 10 3 2" xfId="3561"/>
    <cellStyle name="20% - Accent1 10 4" xfId="3562"/>
    <cellStyle name="20% - Accent1 10 5" xfId="3563"/>
    <cellStyle name="20% - Accent1 10 6" xfId="3564"/>
    <cellStyle name="20% - Accent1 10 7" xfId="3565"/>
    <cellStyle name="20% - Accent1 11" xfId="62"/>
    <cellStyle name="20% - Accent1 11 2" xfId="63"/>
    <cellStyle name="20% - Accent1 11 2 2" xfId="64"/>
    <cellStyle name="20% - Accent1 11 2 2 2" xfId="7163"/>
    <cellStyle name="20% - Accent1 11 2 3" xfId="65"/>
    <cellStyle name="20% - Accent1 11 2 3 2" xfId="7164"/>
    <cellStyle name="20% - Accent1 11 2 4" xfId="3566"/>
    <cellStyle name="20% - Accent1 11 2 5" xfId="7162"/>
    <cellStyle name="20% - Accent1 11 3" xfId="66"/>
    <cellStyle name="20% - Accent1 11 3 2" xfId="3567"/>
    <cellStyle name="20% - Accent1 11 4" xfId="3568"/>
    <cellStyle name="20% - Accent1 11 5" xfId="3569"/>
    <cellStyle name="20% - Accent1 11 6" xfId="3570"/>
    <cellStyle name="20% - Accent1 11 7" xfId="3571"/>
    <cellStyle name="20% - Accent1 12" xfId="67"/>
    <cellStyle name="20% - Accent1 12 2" xfId="68"/>
    <cellStyle name="20% - Accent1 12 2 2" xfId="69"/>
    <cellStyle name="20% - Accent1 12 2 2 2" xfId="7166"/>
    <cellStyle name="20% - Accent1 12 2 3" xfId="70"/>
    <cellStyle name="20% - Accent1 12 2 3 2" xfId="7167"/>
    <cellStyle name="20% - Accent1 12 2 4" xfId="3572"/>
    <cellStyle name="20% - Accent1 12 2 5" xfId="7165"/>
    <cellStyle name="20% - Accent1 12 3" xfId="71"/>
    <cellStyle name="20% - Accent1 12 3 2" xfId="3573"/>
    <cellStyle name="20% - Accent1 12 4" xfId="3574"/>
    <cellStyle name="20% - Accent1 12 5" xfId="3575"/>
    <cellStyle name="20% - Accent1 12 6" xfId="3576"/>
    <cellStyle name="20% - Accent1 12 7" xfId="3577"/>
    <cellStyle name="20% - Accent1 13" xfId="72"/>
    <cellStyle name="20% - Accent1 13 2" xfId="73"/>
    <cellStyle name="20% - Accent1 13 2 2" xfId="3578"/>
    <cellStyle name="20% - Accent1 14" xfId="74"/>
    <cellStyle name="20% - Accent1 14 2" xfId="75"/>
    <cellStyle name="20% - Accent1 14 2 2" xfId="3579"/>
    <cellStyle name="20% - Accent1 15" xfId="76"/>
    <cellStyle name="20% - Accent1 15 2" xfId="77"/>
    <cellStyle name="20% - Accent1 15 2 2" xfId="3580"/>
    <cellStyle name="20% - Accent1 16" xfId="78"/>
    <cellStyle name="20% - Accent1 16 2" xfId="79"/>
    <cellStyle name="20% - Accent1 16 2 2" xfId="3581"/>
    <cellStyle name="20% - Accent1 17" xfId="80"/>
    <cellStyle name="20% - Accent1 17 2" xfId="81"/>
    <cellStyle name="20% - Accent1 17 2 2" xfId="3582"/>
    <cellStyle name="20% - Accent1 18" xfId="82"/>
    <cellStyle name="20% - Accent1 18 2" xfId="83"/>
    <cellStyle name="20% - Accent1 18 2 2" xfId="3583"/>
    <cellStyle name="20% - Accent1 19" xfId="84"/>
    <cellStyle name="20% - Accent1 19 2" xfId="85"/>
    <cellStyle name="20% - Accent1 19 2 2" xfId="3584"/>
    <cellStyle name="20% - Accent1 2" xfId="86"/>
    <cellStyle name="20% - Accent1 2 2" xfId="87"/>
    <cellStyle name="20% - Accent1 2 2 2" xfId="88"/>
    <cellStyle name="20% - Accent1 2 2 2 2" xfId="89"/>
    <cellStyle name="20% - Accent1 2 2 2 2 2" xfId="7170"/>
    <cellStyle name="20% - Accent1 2 2 2 3" xfId="90"/>
    <cellStyle name="20% - Accent1 2 2 2 3 2" xfId="7171"/>
    <cellStyle name="20% - Accent1 2 2 2 4" xfId="7169"/>
    <cellStyle name="20% - Accent1 2 2 3" xfId="91"/>
    <cellStyle name="20% - Accent1 2 2 3 2" xfId="7172"/>
    <cellStyle name="20% - Accent1 2 2 4" xfId="92"/>
    <cellStyle name="20% - Accent1 2 2 4 2" xfId="7173"/>
    <cellStyle name="20% - Accent1 2 2 5" xfId="3419"/>
    <cellStyle name="20% - Accent1 2 2 6" xfId="7168"/>
    <cellStyle name="20% - Accent1 2 3" xfId="93"/>
    <cellStyle name="20% - Accent1 2 3 2" xfId="3458"/>
    <cellStyle name="20% - Accent1 2 3 3" xfId="7762"/>
    <cellStyle name="20% - Accent1 2 4" xfId="3585"/>
    <cellStyle name="20% - Accent1 2 5" xfId="3586"/>
    <cellStyle name="20% - Accent1 2 6" xfId="3587"/>
    <cellStyle name="20% - Accent1 2 7" xfId="3588"/>
    <cellStyle name="20% - Accent1 2 8" xfId="3379"/>
    <cellStyle name="20% - Accent1 2 9" xfId="7730"/>
    <cellStyle name="20% - Accent1 20" xfId="94"/>
    <cellStyle name="20% - Accent1 20 2" xfId="95"/>
    <cellStyle name="20% - Accent1 20 2 2" xfId="3589"/>
    <cellStyle name="20% - Accent1 21" xfId="96"/>
    <cellStyle name="20% - Accent1 21 2" xfId="97"/>
    <cellStyle name="20% - Accent1 21 2 2" xfId="3590"/>
    <cellStyle name="20% - Accent1 22" xfId="98"/>
    <cellStyle name="20% - Accent1 22 2" xfId="99"/>
    <cellStyle name="20% - Accent1 23" xfId="100"/>
    <cellStyle name="20% - Accent1 23 2" xfId="101"/>
    <cellStyle name="20% - Accent1 24" xfId="102"/>
    <cellStyle name="20% - Accent1 24 2" xfId="103"/>
    <cellStyle name="20% - Accent1 25" xfId="104"/>
    <cellStyle name="20% - Accent1 26" xfId="105"/>
    <cellStyle name="20% - Accent1 26 2" xfId="7174"/>
    <cellStyle name="20% - Accent1 27" xfId="7714"/>
    <cellStyle name="20% - Accent1 3" xfId="106"/>
    <cellStyle name="20% - Accent1 3 2" xfId="107"/>
    <cellStyle name="20% - Accent1 3 2 2" xfId="108"/>
    <cellStyle name="20% - Accent1 3 2 2 2" xfId="7176"/>
    <cellStyle name="20% - Accent1 3 2 3" xfId="109"/>
    <cellStyle name="20% - Accent1 3 2 3 2" xfId="7177"/>
    <cellStyle name="20% - Accent1 3 2 4" xfId="3591"/>
    <cellStyle name="20% - Accent1 3 2 5" xfId="7175"/>
    <cellStyle name="20% - Accent1 3 3" xfId="110"/>
    <cellStyle name="20% - Accent1 3 3 2" xfId="3592"/>
    <cellStyle name="20% - Accent1 3 4" xfId="3593"/>
    <cellStyle name="20% - Accent1 3 5" xfId="3594"/>
    <cellStyle name="20% - Accent1 3 6" xfId="3595"/>
    <cellStyle name="20% - Accent1 3 7" xfId="3596"/>
    <cellStyle name="20% - Accent1 3 8" xfId="3449"/>
    <cellStyle name="20% - Accent1 3 9" xfId="7757"/>
    <cellStyle name="20% - Accent1 4" xfId="111"/>
    <cellStyle name="20% - Accent1 4 2" xfId="112"/>
    <cellStyle name="20% - Accent1 4 2 2" xfId="113"/>
    <cellStyle name="20% - Accent1 4 2 2 2" xfId="7179"/>
    <cellStyle name="20% - Accent1 4 2 3" xfId="114"/>
    <cellStyle name="20% - Accent1 4 2 3 2" xfId="7180"/>
    <cellStyle name="20% - Accent1 4 2 4" xfId="3598"/>
    <cellStyle name="20% - Accent1 4 2 5" xfId="7178"/>
    <cellStyle name="20% - Accent1 4 3" xfId="115"/>
    <cellStyle name="20% - Accent1 4 3 2" xfId="3599"/>
    <cellStyle name="20% - Accent1 4 4" xfId="3600"/>
    <cellStyle name="20% - Accent1 4 5" xfId="3601"/>
    <cellStyle name="20% - Accent1 4 6" xfId="3602"/>
    <cellStyle name="20% - Accent1 4 7" xfId="3603"/>
    <cellStyle name="20% - Accent1 4 8" xfId="3597"/>
    <cellStyle name="20% - Accent1 5" xfId="116"/>
    <cellStyle name="20% - Accent1 5 2" xfId="117"/>
    <cellStyle name="20% - Accent1 5 2 2" xfId="118"/>
    <cellStyle name="20% - Accent1 5 2 2 2" xfId="7182"/>
    <cellStyle name="20% - Accent1 5 2 3" xfId="119"/>
    <cellStyle name="20% - Accent1 5 2 3 2" xfId="7183"/>
    <cellStyle name="20% - Accent1 5 2 4" xfId="3605"/>
    <cellStyle name="20% - Accent1 5 2 5" xfId="7181"/>
    <cellStyle name="20% - Accent1 5 3" xfId="120"/>
    <cellStyle name="20% - Accent1 5 3 2" xfId="3606"/>
    <cellStyle name="20% - Accent1 5 4" xfId="3607"/>
    <cellStyle name="20% - Accent1 5 5" xfId="3608"/>
    <cellStyle name="20% - Accent1 5 6" xfId="3609"/>
    <cellStyle name="20% - Accent1 5 7" xfId="3610"/>
    <cellStyle name="20% - Accent1 5 8" xfId="3604"/>
    <cellStyle name="20% - Accent1 6" xfId="121"/>
    <cellStyle name="20% - Accent1 6 2" xfId="122"/>
    <cellStyle name="20% - Accent1 6 2 2" xfId="123"/>
    <cellStyle name="20% - Accent1 6 2 2 2" xfId="7185"/>
    <cellStyle name="20% - Accent1 6 2 3" xfId="124"/>
    <cellStyle name="20% - Accent1 6 2 3 2" xfId="7186"/>
    <cellStyle name="20% - Accent1 6 2 4" xfId="3611"/>
    <cellStyle name="20% - Accent1 6 2 5" xfId="7184"/>
    <cellStyle name="20% - Accent1 6 3" xfId="125"/>
    <cellStyle name="20% - Accent1 6 3 2" xfId="3612"/>
    <cellStyle name="20% - Accent1 6 4" xfId="3613"/>
    <cellStyle name="20% - Accent1 6 5" xfId="3614"/>
    <cellStyle name="20% - Accent1 6 6" xfId="3615"/>
    <cellStyle name="20% - Accent1 6 7" xfId="3616"/>
    <cellStyle name="20% - Accent1 7" xfId="126"/>
    <cellStyle name="20% - Accent1 7 2" xfId="127"/>
    <cellStyle name="20% - Accent1 7 2 2" xfId="128"/>
    <cellStyle name="20% - Accent1 7 2 2 2" xfId="7188"/>
    <cellStyle name="20% - Accent1 7 2 3" xfId="129"/>
    <cellStyle name="20% - Accent1 7 2 3 2" xfId="7189"/>
    <cellStyle name="20% - Accent1 7 2 4" xfId="3617"/>
    <cellStyle name="20% - Accent1 7 2 5" xfId="7187"/>
    <cellStyle name="20% - Accent1 7 3" xfId="130"/>
    <cellStyle name="20% - Accent1 7 3 2" xfId="3618"/>
    <cellStyle name="20% - Accent1 7 4" xfId="3619"/>
    <cellStyle name="20% - Accent1 7 5" xfId="3620"/>
    <cellStyle name="20% - Accent1 7 6" xfId="3621"/>
    <cellStyle name="20% - Accent1 7 7" xfId="3622"/>
    <cellStyle name="20% - Accent1 8" xfId="131"/>
    <cellStyle name="20% - Accent1 8 2" xfId="132"/>
    <cellStyle name="20% - Accent1 8 2 2" xfId="133"/>
    <cellStyle name="20% - Accent1 8 2 2 2" xfId="7191"/>
    <cellStyle name="20% - Accent1 8 2 3" xfId="134"/>
    <cellStyle name="20% - Accent1 8 2 3 2" xfId="7192"/>
    <cellStyle name="20% - Accent1 8 2 4" xfId="3623"/>
    <cellStyle name="20% - Accent1 8 2 5" xfId="7190"/>
    <cellStyle name="20% - Accent1 8 3" xfId="135"/>
    <cellStyle name="20% - Accent1 8 3 2" xfId="3624"/>
    <cellStyle name="20% - Accent1 8 4" xfId="3625"/>
    <cellStyle name="20% - Accent1 8 5" xfId="3626"/>
    <cellStyle name="20% - Accent1 8 6" xfId="3627"/>
    <cellStyle name="20% - Accent1 8 7" xfId="3628"/>
    <cellStyle name="20% - Accent1 9" xfId="136"/>
    <cellStyle name="20% - Accent1 9 2" xfId="137"/>
    <cellStyle name="20% - Accent1 9 2 2" xfId="138"/>
    <cellStyle name="20% - Accent1 9 2 2 2" xfId="7194"/>
    <cellStyle name="20% - Accent1 9 2 3" xfId="139"/>
    <cellStyle name="20% - Accent1 9 2 3 2" xfId="7195"/>
    <cellStyle name="20% - Accent1 9 2 4" xfId="3629"/>
    <cellStyle name="20% - Accent1 9 2 5" xfId="7193"/>
    <cellStyle name="20% - Accent1 9 3" xfId="140"/>
    <cellStyle name="20% - Accent1 9 3 2" xfId="3630"/>
    <cellStyle name="20% - Accent1 9 4" xfId="3631"/>
    <cellStyle name="20% - Accent1 9 5" xfId="3632"/>
    <cellStyle name="20% - Accent1 9 6" xfId="3633"/>
    <cellStyle name="20% - Accent1 9 7" xfId="3634"/>
    <cellStyle name="20% - Accent2" xfId="3285" builtinId="34" customBuiltin="1"/>
    <cellStyle name="20% - Accent2 10" xfId="141"/>
    <cellStyle name="20% - Accent2 10 2" xfId="142"/>
    <cellStyle name="20% - Accent2 10 2 2" xfId="143"/>
    <cellStyle name="20% - Accent2 10 2 2 2" xfId="7197"/>
    <cellStyle name="20% - Accent2 10 2 3" xfId="144"/>
    <cellStyle name="20% - Accent2 10 2 3 2" xfId="7198"/>
    <cellStyle name="20% - Accent2 10 2 4" xfId="3635"/>
    <cellStyle name="20% - Accent2 10 2 5" xfId="7196"/>
    <cellStyle name="20% - Accent2 10 3" xfId="145"/>
    <cellStyle name="20% - Accent2 10 3 2" xfId="3636"/>
    <cellStyle name="20% - Accent2 10 4" xfId="3637"/>
    <cellStyle name="20% - Accent2 10 5" xfId="3638"/>
    <cellStyle name="20% - Accent2 10 6" xfId="3639"/>
    <cellStyle name="20% - Accent2 10 7" xfId="3640"/>
    <cellStyle name="20% - Accent2 11" xfId="146"/>
    <cellStyle name="20% - Accent2 11 2" xfId="147"/>
    <cellStyle name="20% - Accent2 11 2 2" xfId="148"/>
    <cellStyle name="20% - Accent2 11 2 2 2" xfId="7200"/>
    <cellStyle name="20% - Accent2 11 2 3" xfId="149"/>
    <cellStyle name="20% - Accent2 11 2 3 2" xfId="7201"/>
    <cellStyle name="20% - Accent2 11 2 4" xfId="3641"/>
    <cellStyle name="20% - Accent2 11 2 5" xfId="7199"/>
    <cellStyle name="20% - Accent2 11 3" xfId="150"/>
    <cellStyle name="20% - Accent2 11 3 2" xfId="3642"/>
    <cellStyle name="20% - Accent2 11 4" xfId="3643"/>
    <cellStyle name="20% - Accent2 11 5" xfId="3644"/>
    <cellStyle name="20% - Accent2 11 6" xfId="3645"/>
    <cellStyle name="20% - Accent2 11 7" xfId="3646"/>
    <cellStyle name="20% - Accent2 12" xfId="151"/>
    <cellStyle name="20% - Accent2 12 2" xfId="152"/>
    <cellStyle name="20% - Accent2 12 2 2" xfId="153"/>
    <cellStyle name="20% - Accent2 12 2 2 2" xfId="7203"/>
    <cellStyle name="20% - Accent2 12 2 3" xfId="154"/>
    <cellStyle name="20% - Accent2 12 2 3 2" xfId="7204"/>
    <cellStyle name="20% - Accent2 12 2 4" xfId="3647"/>
    <cellStyle name="20% - Accent2 12 2 5" xfId="7202"/>
    <cellStyle name="20% - Accent2 12 3" xfId="155"/>
    <cellStyle name="20% - Accent2 12 3 2" xfId="3648"/>
    <cellStyle name="20% - Accent2 12 4" xfId="3649"/>
    <cellStyle name="20% - Accent2 12 5" xfId="3650"/>
    <cellStyle name="20% - Accent2 12 6" xfId="3651"/>
    <cellStyle name="20% - Accent2 12 7" xfId="3652"/>
    <cellStyle name="20% - Accent2 13" xfId="156"/>
    <cellStyle name="20% - Accent2 13 2" xfId="157"/>
    <cellStyle name="20% - Accent2 13 2 2" xfId="3653"/>
    <cellStyle name="20% - Accent2 14" xfId="158"/>
    <cellStyle name="20% - Accent2 14 2" xfId="159"/>
    <cellStyle name="20% - Accent2 14 2 2" xfId="3654"/>
    <cellStyle name="20% - Accent2 15" xfId="160"/>
    <cellStyle name="20% - Accent2 15 2" xfId="161"/>
    <cellStyle name="20% - Accent2 15 2 2" xfId="3655"/>
    <cellStyle name="20% - Accent2 16" xfId="162"/>
    <cellStyle name="20% - Accent2 16 2" xfId="163"/>
    <cellStyle name="20% - Accent2 16 2 2" xfId="3656"/>
    <cellStyle name="20% - Accent2 17" xfId="164"/>
    <cellStyle name="20% - Accent2 17 2" xfId="165"/>
    <cellStyle name="20% - Accent2 17 2 2" xfId="3657"/>
    <cellStyle name="20% - Accent2 18" xfId="166"/>
    <cellStyle name="20% - Accent2 18 2" xfId="167"/>
    <cellStyle name="20% - Accent2 18 2 2" xfId="3658"/>
    <cellStyle name="20% - Accent2 19" xfId="168"/>
    <cellStyle name="20% - Accent2 19 2" xfId="169"/>
    <cellStyle name="20% - Accent2 19 2 2" xfId="3659"/>
    <cellStyle name="20% - Accent2 2" xfId="170"/>
    <cellStyle name="20% - Accent2 2 2" xfId="171"/>
    <cellStyle name="20% - Accent2 2 2 2" xfId="172"/>
    <cellStyle name="20% - Accent2 2 2 2 2" xfId="173"/>
    <cellStyle name="20% - Accent2 2 2 2 2 2" xfId="7207"/>
    <cellStyle name="20% - Accent2 2 2 2 3" xfId="174"/>
    <cellStyle name="20% - Accent2 2 2 2 3 2" xfId="7208"/>
    <cellStyle name="20% - Accent2 2 2 2 4" xfId="7206"/>
    <cellStyle name="20% - Accent2 2 2 3" xfId="175"/>
    <cellStyle name="20% - Accent2 2 2 3 2" xfId="7209"/>
    <cellStyle name="20% - Accent2 2 2 4" xfId="176"/>
    <cellStyle name="20% - Accent2 2 2 4 2" xfId="7210"/>
    <cellStyle name="20% - Accent2 2 2 5" xfId="3420"/>
    <cellStyle name="20% - Accent2 2 2 6" xfId="7205"/>
    <cellStyle name="20% - Accent2 2 3" xfId="177"/>
    <cellStyle name="20% - Accent2 2 3 2" xfId="3460"/>
    <cellStyle name="20% - Accent2 2 3 3" xfId="7764"/>
    <cellStyle name="20% - Accent2 2 4" xfId="3660"/>
    <cellStyle name="20% - Accent2 2 5" xfId="3661"/>
    <cellStyle name="20% - Accent2 2 6" xfId="3662"/>
    <cellStyle name="20% - Accent2 2 7" xfId="3663"/>
    <cellStyle name="20% - Accent2 2 8" xfId="3381"/>
    <cellStyle name="20% - Accent2 2 9" xfId="7732"/>
    <cellStyle name="20% - Accent2 20" xfId="178"/>
    <cellStyle name="20% - Accent2 20 2" xfId="179"/>
    <cellStyle name="20% - Accent2 20 2 2" xfId="3664"/>
    <cellStyle name="20% - Accent2 21" xfId="180"/>
    <cellStyle name="20% - Accent2 21 2" xfId="181"/>
    <cellStyle name="20% - Accent2 21 2 2" xfId="3665"/>
    <cellStyle name="20% - Accent2 22" xfId="182"/>
    <cellStyle name="20% - Accent2 22 2" xfId="183"/>
    <cellStyle name="20% - Accent2 23" xfId="184"/>
    <cellStyle name="20% - Accent2 23 2" xfId="185"/>
    <cellStyle name="20% - Accent2 24" xfId="186"/>
    <cellStyle name="20% - Accent2 24 2" xfId="187"/>
    <cellStyle name="20% - Accent2 25" xfId="188"/>
    <cellStyle name="20% - Accent2 26" xfId="189"/>
    <cellStyle name="20% - Accent2 26 2" xfId="7211"/>
    <cellStyle name="20% - Accent2 27" xfId="7716"/>
    <cellStyle name="20% - Accent2 3" xfId="190"/>
    <cellStyle name="20% - Accent2 3 2" xfId="191"/>
    <cellStyle name="20% - Accent2 3 2 2" xfId="192"/>
    <cellStyle name="20% - Accent2 3 2 2 2" xfId="7213"/>
    <cellStyle name="20% - Accent2 3 2 3" xfId="193"/>
    <cellStyle name="20% - Accent2 3 2 3 2" xfId="7214"/>
    <cellStyle name="20% - Accent2 3 2 4" xfId="3666"/>
    <cellStyle name="20% - Accent2 3 2 5" xfId="7212"/>
    <cellStyle name="20% - Accent2 3 3" xfId="194"/>
    <cellStyle name="20% - Accent2 3 3 2" xfId="3667"/>
    <cellStyle name="20% - Accent2 3 4" xfId="3668"/>
    <cellStyle name="20% - Accent2 3 5" xfId="3669"/>
    <cellStyle name="20% - Accent2 3 6" xfId="3670"/>
    <cellStyle name="20% - Accent2 3 7" xfId="3671"/>
    <cellStyle name="20% - Accent2 3 8" xfId="3440"/>
    <cellStyle name="20% - Accent2 3 9" xfId="7755"/>
    <cellStyle name="20% - Accent2 4" xfId="195"/>
    <cellStyle name="20% - Accent2 4 2" xfId="196"/>
    <cellStyle name="20% - Accent2 4 2 2" xfId="197"/>
    <cellStyle name="20% - Accent2 4 2 2 2" xfId="7216"/>
    <cellStyle name="20% - Accent2 4 2 3" xfId="198"/>
    <cellStyle name="20% - Accent2 4 2 3 2" xfId="7217"/>
    <cellStyle name="20% - Accent2 4 2 4" xfId="3673"/>
    <cellStyle name="20% - Accent2 4 2 5" xfId="7215"/>
    <cellStyle name="20% - Accent2 4 3" xfId="199"/>
    <cellStyle name="20% - Accent2 4 3 2" xfId="3674"/>
    <cellStyle name="20% - Accent2 4 4" xfId="3675"/>
    <cellStyle name="20% - Accent2 4 5" xfId="3676"/>
    <cellStyle name="20% - Accent2 4 6" xfId="3677"/>
    <cellStyle name="20% - Accent2 4 7" xfId="3678"/>
    <cellStyle name="20% - Accent2 4 8" xfId="3672"/>
    <cellStyle name="20% - Accent2 5" xfId="200"/>
    <cellStyle name="20% - Accent2 5 2" xfId="201"/>
    <cellStyle name="20% - Accent2 5 2 2" xfId="202"/>
    <cellStyle name="20% - Accent2 5 2 2 2" xfId="7219"/>
    <cellStyle name="20% - Accent2 5 2 3" xfId="203"/>
    <cellStyle name="20% - Accent2 5 2 3 2" xfId="7220"/>
    <cellStyle name="20% - Accent2 5 2 4" xfId="3680"/>
    <cellStyle name="20% - Accent2 5 2 5" xfId="7218"/>
    <cellStyle name="20% - Accent2 5 3" xfId="204"/>
    <cellStyle name="20% - Accent2 5 3 2" xfId="3681"/>
    <cellStyle name="20% - Accent2 5 4" xfId="3682"/>
    <cellStyle name="20% - Accent2 5 5" xfId="3683"/>
    <cellStyle name="20% - Accent2 5 6" xfId="3684"/>
    <cellStyle name="20% - Accent2 5 7" xfId="3685"/>
    <cellStyle name="20% - Accent2 5 8" xfId="3679"/>
    <cellStyle name="20% - Accent2 6" xfId="205"/>
    <cellStyle name="20% - Accent2 6 2" xfId="206"/>
    <cellStyle name="20% - Accent2 6 2 2" xfId="207"/>
    <cellStyle name="20% - Accent2 6 2 2 2" xfId="7222"/>
    <cellStyle name="20% - Accent2 6 2 3" xfId="208"/>
    <cellStyle name="20% - Accent2 6 2 3 2" xfId="7223"/>
    <cellStyle name="20% - Accent2 6 2 4" xfId="3686"/>
    <cellStyle name="20% - Accent2 6 2 5" xfId="7221"/>
    <cellStyle name="20% - Accent2 6 3" xfId="209"/>
    <cellStyle name="20% - Accent2 6 3 2" xfId="3687"/>
    <cellStyle name="20% - Accent2 6 4" xfId="3688"/>
    <cellStyle name="20% - Accent2 6 5" xfId="3689"/>
    <cellStyle name="20% - Accent2 6 6" xfId="3690"/>
    <cellStyle name="20% - Accent2 6 7" xfId="3691"/>
    <cellStyle name="20% - Accent2 7" xfId="210"/>
    <cellStyle name="20% - Accent2 7 2" xfId="211"/>
    <cellStyle name="20% - Accent2 7 2 2" xfId="212"/>
    <cellStyle name="20% - Accent2 7 2 2 2" xfId="7225"/>
    <cellStyle name="20% - Accent2 7 2 3" xfId="213"/>
    <cellStyle name="20% - Accent2 7 2 3 2" xfId="7226"/>
    <cellStyle name="20% - Accent2 7 2 4" xfId="3692"/>
    <cellStyle name="20% - Accent2 7 2 5" xfId="7224"/>
    <cellStyle name="20% - Accent2 7 3" xfId="214"/>
    <cellStyle name="20% - Accent2 7 3 2" xfId="3693"/>
    <cellStyle name="20% - Accent2 7 4" xfId="3694"/>
    <cellStyle name="20% - Accent2 7 5" xfId="3695"/>
    <cellStyle name="20% - Accent2 7 6" xfId="3696"/>
    <cellStyle name="20% - Accent2 7 7" xfId="3697"/>
    <cellStyle name="20% - Accent2 8" xfId="215"/>
    <cellStyle name="20% - Accent2 8 2" xfId="216"/>
    <cellStyle name="20% - Accent2 8 2 2" xfId="217"/>
    <cellStyle name="20% - Accent2 8 2 2 2" xfId="7228"/>
    <cellStyle name="20% - Accent2 8 2 3" xfId="218"/>
    <cellStyle name="20% - Accent2 8 2 3 2" xfId="7229"/>
    <cellStyle name="20% - Accent2 8 2 4" xfId="3698"/>
    <cellStyle name="20% - Accent2 8 2 5" xfId="7227"/>
    <cellStyle name="20% - Accent2 8 3" xfId="219"/>
    <cellStyle name="20% - Accent2 8 3 2" xfId="3699"/>
    <cellStyle name="20% - Accent2 8 4" xfId="3700"/>
    <cellStyle name="20% - Accent2 8 5" xfId="3701"/>
    <cellStyle name="20% - Accent2 8 6" xfId="3702"/>
    <cellStyle name="20% - Accent2 8 7" xfId="3703"/>
    <cellStyle name="20% - Accent2 9" xfId="220"/>
    <cellStyle name="20% - Accent2 9 2" xfId="221"/>
    <cellStyle name="20% - Accent2 9 2 2" xfId="222"/>
    <cellStyle name="20% - Accent2 9 2 2 2" xfId="7231"/>
    <cellStyle name="20% - Accent2 9 2 3" xfId="223"/>
    <cellStyle name="20% - Accent2 9 2 3 2" xfId="7232"/>
    <cellStyle name="20% - Accent2 9 2 4" xfId="3704"/>
    <cellStyle name="20% - Accent2 9 2 5" xfId="7230"/>
    <cellStyle name="20% - Accent2 9 3" xfId="224"/>
    <cellStyle name="20% - Accent2 9 3 2" xfId="3705"/>
    <cellStyle name="20% - Accent2 9 4" xfId="3706"/>
    <cellStyle name="20% - Accent2 9 5" xfId="3707"/>
    <cellStyle name="20% - Accent2 9 6" xfId="3708"/>
    <cellStyle name="20% - Accent2 9 7" xfId="3709"/>
    <cellStyle name="20% - Accent3" xfId="3289" builtinId="38" customBuiltin="1"/>
    <cellStyle name="20% - Accent3 10" xfId="225"/>
    <cellStyle name="20% - Accent3 10 2" xfId="226"/>
    <cellStyle name="20% - Accent3 10 2 2" xfId="227"/>
    <cellStyle name="20% - Accent3 10 2 2 2" xfId="7234"/>
    <cellStyle name="20% - Accent3 10 2 3" xfId="228"/>
    <cellStyle name="20% - Accent3 10 2 3 2" xfId="7235"/>
    <cellStyle name="20% - Accent3 10 2 4" xfId="3710"/>
    <cellStyle name="20% - Accent3 10 2 5" xfId="7233"/>
    <cellStyle name="20% - Accent3 10 3" xfId="229"/>
    <cellStyle name="20% - Accent3 10 4" xfId="3711"/>
    <cellStyle name="20% - Accent3 10 5" xfId="3712"/>
    <cellStyle name="20% - Accent3 10 6" xfId="3713"/>
    <cellStyle name="20% - Accent3 10 7" xfId="3714"/>
    <cellStyle name="20% - Accent3 11" xfId="230"/>
    <cellStyle name="20% - Accent3 11 2" xfId="231"/>
    <cellStyle name="20% - Accent3 11 2 2" xfId="232"/>
    <cellStyle name="20% - Accent3 11 2 2 2" xfId="7237"/>
    <cellStyle name="20% - Accent3 11 2 3" xfId="233"/>
    <cellStyle name="20% - Accent3 11 2 3 2" xfId="7238"/>
    <cellStyle name="20% - Accent3 11 2 4" xfId="3715"/>
    <cellStyle name="20% - Accent3 11 2 5" xfId="7236"/>
    <cellStyle name="20% - Accent3 11 3" xfId="234"/>
    <cellStyle name="20% - Accent3 11 4" xfId="3716"/>
    <cellStyle name="20% - Accent3 11 5" xfId="3717"/>
    <cellStyle name="20% - Accent3 11 6" xfId="3718"/>
    <cellStyle name="20% - Accent3 11 7" xfId="3719"/>
    <cellStyle name="20% - Accent3 12" xfId="235"/>
    <cellStyle name="20% - Accent3 12 2" xfId="236"/>
    <cellStyle name="20% - Accent3 12 2 2" xfId="237"/>
    <cellStyle name="20% - Accent3 12 2 2 2" xfId="7240"/>
    <cellStyle name="20% - Accent3 12 2 3" xfId="238"/>
    <cellStyle name="20% - Accent3 12 2 3 2" xfId="7241"/>
    <cellStyle name="20% - Accent3 12 2 4" xfId="3720"/>
    <cellStyle name="20% - Accent3 12 2 5" xfId="7239"/>
    <cellStyle name="20% - Accent3 12 3" xfId="239"/>
    <cellStyle name="20% - Accent3 12 4" xfId="3721"/>
    <cellStyle name="20% - Accent3 12 5" xfId="3722"/>
    <cellStyle name="20% - Accent3 12 6" xfId="3723"/>
    <cellStyle name="20% - Accent3 12 7" xfId="3724"/>
    <cellStyle name="20% - Accent3 13" xfId="240"/>
    <cellStyle name="20% - Accent3 13 2" xfId="241"/>
    <cellStyle name="20% - Accent3 14" xfId="242"/>
    <cellStyle name="20% - Accent3 14 2" xfId="243"/>
    <cellStyle name="20% - Accent3 15" xfId="244"/>
    <cellStyle name="20% - Accent3 15 2" xfId="245"/>
    <cellStyle name="20% - Accent3 16" xfId="246"/>
    <cellStyle name="20% - Accent3 16 2" xfId="247"/>
    <cellStyle name="20% - Accent3 17" xfId="248"/>
    <cellStyle name="20% - Accent3 17 2" xfId="249"/>
    <cellStyle name="20% - Accent3 18" xfId="250"/>
    <cellStyle name="20% - Accent3 18 2" xfId="251"/>
    <cellStyle name="20% - Accent3 19" xfId="252"/>
    <cellStyle name="20% - Accent3 19 2" xfId="253"/>
    <cellStyle name="20% - Accent3 2" xfId="254"/>
    <cellStyle name="20% - Accent3 2 2" xfId="255"/>
    <cellStyle name="20% - Accent3 2 2 2" xfId="256"/>
    <cellStyle name="20% - Accent3 2 2 2 2" xfId="257"/>
    <cellStyle name="20% - Accent3 2 2 2 2 2" xfId="7244"/>
    <cellStyle name="20% - Accent3 2 2 2 3" xfId="258"/>
    <cellStyle name="20% - Accent3 2 2 2 3 2" xfId="7245"/>
    <cellStyle name="20% - Accent3 2 2 2 4" xfId="7243"/>
    <cellStyle name="20% - Accent3 2 2 3" xfId="259"/>
    <cellStyle name="20% - Accent3 2 2 3 2" xfId="7246"/>
    <cellStyle name="20% - Accent3 2 2 4" xfId="260"/>
    <cellStyle name="20% - Accent3 2 2 4 2" xfId="7247"/>
    <cellStyle name="20% - Accent3 2 2 5" xfId="3417"/>
    <cellStyle name="20% - Accent3 2 2 6" xfId="7242"/>
    <cellStyle name="20% - Accent3 2 3" xfId="261"/>
    <cellStyle name="20% - Accent3 2 3 2" xfId="3462"/>
    <cellStyle name="20% - Accent3 2 3 3" xfId="7766"/>
    <cellStyle name="20% - Accent3 2 4" xfId="3725"/>
    <cellStyle name="20% - Accent3 2 5" xfId="3726"/>
    <cellStyle name="20% - Accent3 2 6" xfId="3727"/>
    <cellStyle name="20% - Accent3 2 7" xfId="3728"/>
    <cellStyle name="20% - Accent3 2 8" xfId="3383"/>
    <cellStyle name="20% - Accent3 2 9" xfId="7734"/>
    <cellStyle name="20% - Accent3 20" xfId="262"/>
    <cellStyle name="20% - Accent3 20 2" xfId="263"/>
    <cellStyle name="20% - Accent3 21" xfId="264"/>
    <cellStyle name="20% - Accent3 21 2" xfId="265"/>
    <cellStyle name="20% - Accent3 22" xfId="266"/>
    <cellStyle name="20% - Accent3 22 2" xfId="267"/>
    <cellStyle name="20% - Accent3 23" xfId="268"/>
    <cellStyle name="20% - Accent3 23 2" xfId="269"/>
    <cellStyle name="20% - Accent3 24" xfId="270"/>
    <cellStyle name="20% - Accent3 24 2" xfId="271"/>
    <cellStyle name="20% - Accent3 25" xfId="272"/>
    <cellStyle name="20% - Accent3 26" xfId="273"/>
    <cellStyle name="20% - Accent3 26 2" xfId="7248"/>
    <cellStyle name="20% - Accent3 27" xfId="7718"/>
    <cellStyle name="20% - Accent3 3" xfId="274"/>
    <cellStyle name="20% - Accent3 3 2" xfId="275"/>
    <cellStyle name="20% - Accent3 3 2 2" xfId="276"/>
    <cellStyle name="20% - Accent3 3 2 2 2" xfId="7250"/>
    <cellStyle name="20% - Accent3 3 2 3" xfId="277"/>
    <cellStyle name="20% - Accent3 3 2 3 2" xfId="7251"/>
    <cellStyle name="20% - Accent3 3 2 4" xfId="3729"/>
    <cellStyle name="20% - Accent3 3 2 5" xfId="7249"/>
    <cellStyle name="20% - Accent3 3 3" xfId="278"/>
    <cellStyle name="20% - Accent3 3 4" xfId="3730"/>
    <cellStyle name="20% - Accent3 3 5" xfId="3731"/>
    <cellStyle name="20% - Accent3 3 6" xfId="3732"/>
    <cellStyle name="20% - Accent3 3 7" xfId="3733"/>
    <cellStyle name="20% - Accent3 3 8" xfId="3448"/>
    <cellStyle name="20% - Accent3 3 9" xfId="7756"/>
    <cellStyle name="20% - Accent3 4" xfId="279"/>
    <cellStyle name="20% - Accent3 4 2" xfId="280"/>
    <cellStyle name="20% - Accent3 4 2 2" xfId="281"/>
    <cellStyle name="20% - Accent3 4 2 2 2" xfId="7253"/>
    <cellStyle name="20% - Accent3 4 2 3" xfId="282"/>
    <cellStyle name="20% - Accent3 4 2 3 2" xfId="7254"/>
    <cellStyle name="20% - Accent3 4 2 4" xfId="3734"/>
    <cellStyle name="20% - Accent3 4 2 5" xfId="7252"/>
    <cellStyle name="20% - Accent3 4 3" xfId="283"/>
    <cellStyle name="20% - Accent3 4 4" xfId="3735"/>
    <cellStyle name="20% - Accent3 4 5" xfId="3736"/>
    <cellStyle name="20% - Accent3 4 6" xfId="3737"/>
    <cellStyle name="20% - Accent3 4 7" xfId="3738"/>
    <cellStyle name="20% - Accent3 5" xfId="284"/>
    <cellStyle name="20% - Accent3 5 2" xfId="285"/>
    <cellStyle name="20% - Accent3 5 2 2" xfId="286"/>
    <cellStyle name="20% - Accent3 5 2 2 2" xfId="7256"/>
    <cellStyle name="20% - Accent3 5 2 3" xfId="287"/>
    <cellStyle name="20% - Accent3 5 2 3 2" xfId="7257"/>
    <cellStyle name="20% - Accent3 5 2 4" xfId="3739"/>
    <cellStyle name="20% - Accent3 5 2 5" xfId="7255"/>
    <cellStyle name="20% - Accent3 5 3" xfId="288"/>
    <cellStyle name="20% - Accent3 5 4" xfId="3740"/>
    <cellStyle name="20% - Accent3 5 5" xfId="3741"/>
    <cellStyle name="20% - Accent3 5 6" xfId="3742"/>
    <cellStyle name="20% - Accent3 5 7" xfId="3743"/>
    <cellStyle name="20% - Accent3 6" xfId="289"/>
    <cellStyle name="20% - Accent3 6 2" xfId="290"/>
    <cellStyle name="20% - Accent3 6 2 2" xfId="291"/>
    <cellStyle name="20% - Accent3 6 2 2 2" xfId="7259"/>
    <cellStyle name="20% - Accent3 6 2 3" xfId="292"/>
    <cellStyle name="20% - Accent3 6 2 3 2" xfId="7260"/>
    <cellStyle name="20% - Accent3 6 2 4" xfId="3744"/>
    <cellStyle name="20% - Accent3 6 2 5" xfId="7258"/>
    <cellStyle name="20% - Accent3 6 3" xfId="293"/>
    <cellStyle name="20% - Accent3 6 4" xfId="3745"/>
    <cellStyle name="20% - Accent3 6 5" xfId="3746"/>
    <cellStyle name="20% - Accent3 6 6" xfId="3747"/>
    <cellStyle name="20% - Accent3 6 7" xfId="3748"/>
    <cellStyle name="20% - Accent3 7" xfId="294"/>
    <cellStyle name="20% - Accent3 7 2" xfId="295"/>
    <cellStyle name="20% - Accent3 7 2 2" xfId="296"/>
    <cellStyle name="20% - Accent3 7 2 2 2" xfId="7262"/>
    <cellStyle name="20% - Accent3 7 2 3" xfId="297"/>
    <cellStyle name="20% - Accent3 7 2 3 2" xfId="7263"/>
    <cellStyle name="20% - Accent3 7 2 4" xfId="3749"/>
    <cellStyle name="20% - Accent3 7 2 5" xfId="7261"/>
    <cellStyle name="20% - Accent3 7 3" xfId="298"/>
    <cellStyle name="20% - Accent3 7 4" xfId="3750"/>
    <cellStyle name="20% - Accent3 7 5" xfId="3751"/>
    <cellStyle name="20% - Accent3 7 6" xfId="3752"/>
    <cellStyle name="20% - Accent3 7 7" xfId="3753"/>
    <cellStyle name="20% - Accent3 8" xfId="299"/>
    <cellStyle name="20% - Accent3 8 2" xfId="300"/>
    <cellStyle name="20% - Accent3 8 2 2" xfId="301"/>
    <cellStyle name="20% - Accent3 8 2 2 2" xfId="7265"/>
    <cellStyle name="20% - Accent3 8 2 3" xfId="302"/>
    <cellStyle name="20% - Accent3 8 2 3 2" xfId="7266"/>
    <cellStyle name="20% - Accent3 8 2 4" xfId="3754"/>
    <cellStyle name="20% - Accent3 8 2 5" xfId="7264"/>
    <cellStyle name="20% - Accent3 8 3" xfId="303"/>
    <cellStyle name="20% - Accent3 8 4" xfId="3755"/>
    <cellStyle name="20% - Accent3 8 5" xfId="3756"/>
    <cellStyle name="20% - Accent3 8 6" xfId="3757"/>
    <cellStyle name="20% - Accent3 8 7" xfId="3758"/>
    <cellStyle name="20% - Accent3 9" xfId="304"/>
    <cellStyle name="20% - Accent3 9 2" xfId="305"/>
    <cellStyle name="20% - Accent3 9 2 2" xfId="306"/>
    <cellStyle name="20% - Accent3 9 2 2 2" xfId="7268"/>
    <cellStyle name="20% - Accent3 9 2 3" xfId="307"/>
    <cellStyle name="20% - Accent3 9 2 3 2" xfId="7269"/>
    <cellStyle name="20% - Accent3 9 2 4" xfId="3759"/>
    <cellStyle name="20% - Accent3 9 2 5" xfId="7267"/>
    <cellStyle name="20% - Accent3 9 3" xfId="308"/>
    <cellStyle name="20% - Accent3 9 4" xfId="3760"/>
    <cellStyle name="20% - Accent3 9 5" xfId="3761"/>
    <cellStyle name="20% - Accent3 9 6" xfId="3762"/>
    <cellStyle name="20% - Accent3 9 7" xfId="3763"/>
    <cellStyle name="20% - Accent4" xfId="3293" builtinId="42" customBuiltin="1"/>
    <cellStyle name="20% - Accent4 10" xfId="309"/>
    <cellStyle name="20% - Accent4 10 2" xfId="310"/>
    <cellStyle name="20% - Accent4 10 2 2" xfId="311"/>
    <cellStyle name="20% - Accent4 10 2 2 2" xfId="7271"/>
    <cellStyle name="20% - Accent4 10 2 3" xfId="312"/>
    <cellStyle name="20% - Accent4 10 2 3 2" xfId="7272"/>
    <cellStyle name="20% - Accent4 10 2 4" xfId="3764"/>
    <cellStyle name="20% - Accent4 10 2 5" xfId="7270"/>
    <cellStyle name="20% - Accent4 10 3" xfId="313"/>
    <cellStyle name="20% - Accent4 10 3 2" xfId="3765"/>
    <cellStyle name="20% - Accent4 10 4" xfId="3766"/>
    <cellStyle name="20% - Accent4 10 5" xfId="3767"/>
    <cellStyle name="20% - Accent4 10 6" xfId="3768"/>
    <cellStyle name="20% - Accent4 10 7" xfId="3769"/>
    <cellStyle name="20% - Accent4 11" xfId="314"/>
    <cellStyle name="20% - Accent4 11 2" xfId="315"/>
    <cellStyle name="20% - Accent4 11 2 2" xfId="316"/>
    <cellStyle name="20% - Accent4 11 2 2 2" xfId="7274"/>
    <cellStyle name="20% - Accent4 11 2 3" xfId="317"/>
    <cellStyle name="20% - Accent4 11 2 3 2" xfId="7275"/>
    <cellStyle name="20% - Accent4 11 2 4" xfId="3770"/>
    <cellStyle name="20% - Accent4 11 2 5" xfId="7273"/>
    <cellStyle name="20% - Accent4 11 3" xfId="318"/>
    <cellStyle name="20% - Accent4 11 3 2" xfId="3771"/>
    <cellStyle name="20% - Accent4 11 4" xfId="3772"/>
    <cellStyle name="20% - Accent4 11 5" xfId="3773"/>
    <cellStyle name="20% - Accent4 11 6" xfId="3774"/>
    <cellStyle name="20% - Accent4 11 7" xfId="3775"/>
    <cellStyle name="20% - Accent4 12" xfId="319"/>
    <cellStyle name="20% - Accent4 12 2" xfId="320"/>
    <cellStyle name="20% - Accent4 12 2 2" xfId="321"/>
    <cellStyle name="20% - Accent4 12 2 2 2" xfId="7277"/>
    <cellStyle name="20% - Accent4 12 2 3" xfId="322"/>
    <cellStyle name="20% - Accent4 12 2 3 2" xfId="7278"/>
    <cellStyle name="20% - Accent4 12 2 4" xfId="3776"/>
    <cellStyle name="20% - Accent4 12 2 5" xfId="7276"/>
    <cellStyle name="20% - Accent4 12 3" xfId="323"/>
    <cellStyle name="20% - Accent4 12 3 2" xfId="3777"/>
    <cellStyle name="20% - Accent4 12 4" xfId="3778"/>
    <cellStyle name="20% - Accent4 12 5" xfId="3779"/>
    <cellStyle name="20% - Accent4 12 6" xfId="3780"/>
    <cellStyle name="20% - Accent4 12 7" xfId="3781"/>
    <cellStyle name="20% - Accent4 13" xfId="324"/>
    <cellStyle name="20% - Accent4 13 2" xfId="325"/>
    <cellStyle name="20% - Accent4 13 2 2" xfId="3782"/>
    <cellStyle name="20% - Accent4 14" xfId="326"/>
    <cellStyle name="20% - Accent4 14 2" xfId="327"/>
    <cellStyle name="20% - Accent4 14 2 2" xfId="3783"/>
    <cellStyle name="20% - Accent4 15" xfId="328"/>
    <cellStyle name="20% - Accent4 15 2" xfId="329"/>
    <cellStyle name="20% - Accent4 15 2 2" xfId="3784"/>
    <cellStyle name="20% - Accent4 16" xfId="330"/>
    <cellStyle name="20% - Accent4 16 2" xfId="331"/>
    <cellStyle name="20% - Accent4 16 2 2" xfId="3785"/>
    <cellStyle name="20% - Accent4 17" xfId="332"/>
    <cellStyle name="20% - Accent4 17 2" xfId="333"/>
    <cellStyle name="20% - Accent4 17 2 2" xfId="3786"/>
    <cellStyle name="20% - Accent4 18" xfId="334"/>
    <cellStyle name="20% - Accent4 18 2" xfId="335"/>
    <cellStyle name="20% - Accent4 18 2 2" xfId="3787"/>
    <cellStyle name="20% - Accent4 19" xfId="336"/>
    <cellStyle name="20% - Accent4 19 2" xfId="337"/>
    <cellStyle name="20% - Accent4 19 2 2" xfId="3788"/>
    <cellStyle name="20% - Accent4 2" xfId="338"/>
    <cellStyle name="20% - Accent4 2 2" xfId="339"/>
    <cellStyle name="20% - Accent4 2 2 2" xfId="340"/>
    <cellStyle name="20% - Accent4 2 2 2 2" xfId="341"/>
    <cellStyle name="20% - Accent4 2 2 2 2 2" xfId="7281"/>
    <cellStyle name="20% - Accent4 2 2 2 3" xfId="342"/>
    <cellStyle name="20% - Accent4 2 2 2 3 2" xfId="7282"/>
    <cellStyle name="20% - Accent4 2 2 2 4" xfId="7280"/>
    <cellStyle name="20% - Accent4 2 2 3" xfId="343"/>
    <cellStyle name="20% - Accent4 2 2 3 2" xfId="7283"/>
    <cellStyle name="20% - Accent4 2 2 4" xfId="344"/>
    <cellStyle name="20% - Accent4 2 2 4 2" xfId="7284"/>
    <cellStyle name="20% - Accent4 2 2 5" xfId="3423"/>
    <cellStyle name="20% - Accent4 2 2 6" xfId="7279"/>
    <cellStyle name="20% - Accent4 2 3" xfId="345"/>
    <cellStyle name="20% - Accent4 2 3 2" xfId="3464"/>
    <cellStyle name="20% - Accent4 2 3 3" xfId="7768"/>
    <cellStyle name="20% - Accent4 2 4" xfId="3789"/>
    <cellStyle name="20% - Accent4 2 5" xfId="3790"/>
    <cellStyle name="20% - Accent4 2 6" xfId="3791"/>
    <cellStyle name="20% - Accent4 2 7" xfId="3792"/>
    <cellStyle name="20% - Accent4 2 8" xfId="3385"/>
    <cellStyle name="20% - Accent4 2 9" xfId="7736"/>
    <cellStyle name="20% - Accent4 20" xfId="346"/>
    <cellStyle name="20% - Accent4 20 2" xfId="347"/>
    <cellStyle name="20% - Accent4 20 2 2" xfId="3793"/>
    <cellStyle name="20% - Accent4 21" xfId="348"/>
    <cellStyle name="20% - Accent4 21 2" xfId="349"/>
    <cellStyle name="20% - Accent4 21 2 2" xfId="3794"/>
    <cellStyle name="20% - Accent4 22" xfId="350"/>
    <cellStyle name="20% - Accent4 22 2" xfId="351"/>
    <cellStyle name="20% - Accent4 23" xfId="352"/>
    <cellStyle name="20% - Accent4 23 2" xfId="353"/>
    <cellStyle name="20% - Accent4 24" xfId="354"/>
    <cellStyle name="20% - Accent4 24 2" xfId="355"/>
    <cellStyle name="20% - Accent4 25" xfId="356"/>
    <cellStyle name="20% - Accent4 26" xfId="357"/>
    <cellStyle name="20% - Accent4 26 2" xfId="7285"/>
    <cellStyle name="20% - Accent4 27" xfId="7720"/>
    <cellStyle name="20% - Accent4 3" xfId="358"/>
    <cellStyle name="20% - Accent4 3 2" xfId="359"/>
    <cellStyle name="20% - Accent4 3 2 2" xfId="360"/>
    <cellStyle name="20% - Accent4 3 2 2 2" xfId="7287"/>
    <cellStyle name="20% - Accent4 3 2 3" xfId="361"/>
    <cellStyle name="20% - Accent4 3 2 3 2" xfId="7288"/>
    <cellStyle name="20% - Accent4 3 2 4" xfId="3795"/>
    <cellStyle name="20% - Accent4 3 2 5" xfId="7286"/>
    <cellStyle name="20% - Accent4 3 3" xfId="362"/>
    <cellStyle name="20% - Accent4 3 3 2" xfId="3796"/>
    <cellStyle name="20% - Accent4 3 4" xfId="3797"/>
    <cellStyle name="20% - Accent4 3 5" xfId="3798"/>
    <cellStyle name="20% - Accent4 3 6" xfId="3799"/>
    <cellStyle name="20% - Accent4 3 7" xfId="3800"/>
    <cellStyle name="20% - Accent4 3 8" xfId="3438"/>
    <cellStyle name="20% - Accent4 3 9" xfId="7753"/>
    <cellStyle name="20% - Accent4 4" xfId="363"/>
    <cellStyle name="20% - Accent4 4 2" xfId="364"/>
    <cellStyle name="20% - Accent4 4 2 2" xfId="365"/>
    <cellStyle name="20% - Accent4 4 2 2 2" xfId="7290"/>
    <cellStyle name="20% - Accent4 4 2 3" xfId="366"/>
    <cellStyle name="20% - Accent4 4 2 3 2" xfId="7291"/>
    <cellStyle name="20% - Accent4 4 2 4" xfId="3802"/>
    <cellStyle name="20% - Accent4 4 2 5" xfId="7289"/>
    <cellStyle name="20% - Accent4 4 3" xfId="367"/>
    <cellStyle name="20% - Accent4 4 3 2" xfId="3803"/>
    <cellStyle name="20% - Accent4 4 4" xfId="3804"/>
    <cellStyle name="20% - Accent4 4 5" xfId="3805"/>
    <cellStyle name="20% - Accent4 4 6" xfId="3806"/>
    <cellStyle name="20% - Accent4 4 7" xfId="3807"/>
    <cellStyle name="20% - Accent4 4 8" xfId="3801"/>
    <cellStyle name="20% - Accent4 5" xfId="368"/>
    <cellStyle name="20% - Accent4 5 2" xfId="369"/>
    <cellStyle name="20% - Accent4 5 2 2" xfId="370"/>
    <cellStyle name="20% - Accent4 5 2 2 2" xfId="7293"/>
    <cellStyle name="20% - Accent4 5 2 3" xfId="371"/>
    <cellStyle name="20% - Accent4 5 2 3 2" xfId="7294"/>
    <cellStyle name="20% - Accent4 5 2 4" xfId="3809"/>
    <cellStyle name="20% - Accent4 5 2 5" xfId="7292"/>
    <cellStyle name="20% - Accent4 5 3" xfId="372"/>
    <cellStyle name="20% - Accent4 5 3 2" xfId="3810"/>
    <cellStyle name="20% - Accent4 5 4" xfId="3811"/>
    <cellStyle name="20% - Accent4 5 5" xfId="3812"/>
    <cellStyle name="20% - Accent4 5 6" xfId="3813"/>
    <cellStyle name="20% - Accent4 5 7" xfId="3814"/>
    <cellStyle name="20% - Accent4 5 8" xfId="3808"/>
    <cellStyle name="20% - Accent4 6" xfId="373"/>
    <cellStyle name="20% - Accent4 6 2" xfId="374"/>
    <cellStyle name="20% - Accent4 6 2 2" xfId="375"/>
    <cellStyle name="20% - Accent4 6 2 2 2" xfId="7296"/>
    <cellStyle name="20% - Accent4 6 2 3" xfId="376"/>
    <cellStyle name="20% - Accent4 6 2 3 2" xfId="7297"/>
    <cellStyle name="20% - Accent4 6 2 4" xfId="3815"/>
    <cellStyle name="20% - Accent4 6 2 5" xfId="7295"/>
    <cellStyle name="20% - Accent4 6 3" xfId="377"/>
    <cellStyle name="20% - Accent4 6 3 2" xfId="3816"/>
    <cellStyle name="20% - Accent4 6 4" xfId="3817"/>
    <cellStyle name="20% - Accent4 6 5" xfId="3818"/>
    <cellStyle name="20% - Accent4 6 6" xfId="3819"/>
    <cellStyle name="20% - Accent4 6 7" xfId="3820"/>
    <cellStyle name="20% - Accent4 7" xfId="378"/>
    <cellStyle name="20% - Accent4 7 2" xfId="379"/>
    <cellStyle name="20% - Accent4 7 2 2" xfId="380"/>
    <cellStyle name="20% - Accent4 7 2 2 2" xfId="7299"/>
    <cellStyle name="20% - Accent4 7 2 3" xfId="381"/>
    <cellStyle name="20% - Accent4 7 2 3 2" xfId="7300"/>
    <cellStyle name="20% - Accent4 7 2 4" xfId="3821"/>
    <cellStyle name="20% - Accent4 7 2 5" xfId="7298"/>
    <cellStyle name="20% - Accent4 7 3" xfId="382"/>
    <cellStyle name="20% - Accent4 7 3 2" xfId="3822"/>
    <cellStyle name="20% - Accent4 7 4" xfId="3823"/>
    <cellStyle name="20% - Accent4 7 5" xfId="3824"/>
    <cellStyle name="20% - Accent4 7 6" xfId="3825"/>
    <cellStyle name="20% - Accent4 7 7" xfId="3826"/>
    <cellStyle name="20% - Accent4 8" xfId="383"/>
    <cellStyle name="20% - Accent4 8 2" xfId="384"/>
    <cellStyle name="20% - Accent4 8 2 2" xfId="385"/>
    <cellStyle name="20% - Accent4 8 2 2 2" xfId="7302"/>
    <cellStyle name="20% - Accent4 8 2 3" xfId="386"/>
    <cellStyle name="20% - Accent4 8 2 3 2" xfId="7303"/>
    <cellStyle name="20% - Accent4 8 2 4" xfId="3827"/>
    <cellStyle name="20% - Accent4 8 2 5" xfId="7301"/>
    <cellStyle name="20% - Accent4 8 3" xfId="387"/>
    <cellStyle name="20% - Accent4 8 3 2" xfId="3828"/>
    <cellStyle name="20% - Accent4 8 4" xfId="3829"/>
    <cellStyle name="20% - Accent4 8 5" xfId="3830"/>
    <cellStyle name="20% - Accent4 8 6" xfId="3831"/>
    <cellStyle name="20% - Accent4 8 7" xfId="3832"/>
    <cellStyle name="20% - Accent4 9" xfId="388"/>
    <cellStyle name="20% - Accent4 9 2" xfId="389"/>
    <cellStyle name="20% - Accent4 9 2 2" xfId="390"/>
    <cellStyle name="20% - Accent4 9 2 2 2" xfId="7305"/>
    <cellStyle name="20% - Accent4 9 2 3" xfId="391"/>
    <cellStyle name="20% - Accent4 9 2 3 2" xfId="7306"/>
    <cellStyle name="20% - Accent4 9 2 4" xfId="3833"/>
    <cellStyle name="20% - Accent4 9 2 5" xfId="7304"/>
    <cellStyle name="20% - Accent4 9 3" xfId="392"/>
    <cellStyle name="20% - Accent4 9 3 2" xfId="3834"/>
    <cellStyle name="20% - Accent4 9 4" xfId="3835"/>
    <cellStyle name="20% - Accent4 9 5" xfId="3836"/>
    <cellStyle name="20% - Accent4 9 6" xfId="3837"/>
    <cellStyle name="20% - Accent4 9 7" xfId="3838"/>
    <cellStyle name="20% - Accent5" xfId="3297" builtinId="46" customBuiltin="1"/>
    <cellStyle name="20% - Accent5 10" xfId="393"/>
    <cellStyle name="20% - Accent5 10 2" xfId="394"/>
    <cellStyle name="20% - Accent5 10 2 2" xfId="3839"/>
    <cellStyle name="20% - Accent5 10 2 3" xfId="7308"/>
    <cellStyle name="20% - Accent5 10 3" xfId="3840"/>
    <cellStyle name="20% - Accent5 10 4" xfId="3841"/>
    <cellStyle name="20% - Accent5 10 5" xfId="3842"/>
    <cellStyle name="20% - Accent5 10 6" xfId="3843"/>
    <cellStyle name="20% - Accent5 10 7" xfId="3844"/>
    <cellStyle name="20% - Accent5 10 8" xfId="7307"/>
    <cellStyle name="20% - Accent5 11" xfId="395"/>
    <cellStyle name="20% - Accent5 11 2" xfId="396"/>
    <cellStyle name="20% - Accent5 11 2 2" xfId="3845"/>
    <cellStyle name="20% - Accent5 11 2 3" xfId="7310"/>
    <cellStyle name="20% - Accent5 11 3" xfId="3846"/>
    <cellStyle name="20% - Accent5 11 4" xfId="3847"/>
    <cellStyle name="20% - Accent5 11 5" xfId="3848"/>
    <cellStyle name="20% - Accent5 11 6" xfId="3849"/>
    <cellStyle name="20% - Accent5 11 7" xfId="3850"/>
    <cellStyle name="20% - Accent5 11 8" xfId="7309"/>
    <cellStyle name="20% - Accent5 12" xfId="397"/>
    <cellStyle name="20% - Accent5 12 2" xfId="398"/>
    <cellStyle name="20% - Accent5 12 2 2" xfId="3851"/>
    <cellStyle name="20% - Accent5 12 2 3" xfId="7312"/>
    <cellStyle name="20% - Accent5 12 3" xfId="3852"/>
    <cellStyle name="20% - Accent5 12 4" xfId="3853"/>
    <cellStyle name="20% - Accent5 12 5" xfId="3854"/>
    <cellStyle name="20% - Accent5 12 6" xfId="3855"/>
    <cellStyle name="20% - Accent5 12 7" xfId="3856"/>
    <cellStyle name="20% - Accent5 12 8" xfId="7311"/>
    <cellStyle name="20% - Accent5 13" xfId="399"/>
    <cellStyle name="20% - Accent5 13 2" xfId="3857"/>
    <cellStyle name="20% - Accent5 14" xfId="7722"/>
    <cellStyle name="20% - Accent5 14 2" xfId="3858"/>
    <cellStyle name="20% - Accent5 15 2" xfId="3859"/>
    <cellStyle name="20% - Accent5 16 2" xfId="3860"/>
    <cellStyle name="20% - Accent5 17 2" xfId="3861"/>
    <cellStyle name="20% - Accent5 18 2" xfId="3862"/>
    <cellStyle name="20% - Accent5 19 2" xfId="3863"/>
    <cellStyle name="20% - Accent5 2" xfId="400"/>
    <cellStyle name="20% - Accent5 2 10" xfId="7738"/>
    <cellStyle name="20% - Accent5 2 2" xfId="401"/>
    <cellStyle name="20% - Accent5 2 2 2" xfId="402"/>
    <cellStyle name="20% - Accent5 2 2 2 2" xfId="7315"/>
    <cellStyle name="20% - Accent5 2 2 3" xfId="3416"/>
    <cellStyle name="20% - Accent5 2 2 4" xfId="7314"/>
    <cellStyle name="20% - Accent5 2 3" xfId="403"/>
    <cellStyle name="20% - Accent5 2 3 2" xfId="3466"/>
    <cellStyle name="20% - Accent5 2 3 3" xfId="7316"/>
    <cellStyle name="20% - Accent5 2 3 4" xfId="7770"/>
    <cellStyle name="20% - Accent5 2 4" xfId="3864"/>
    <cellStyle name="20% - Accent5 2 5" xfId="3865"/>
    <cellStyle name="20% - Accent5 2 6" xfId="3866"/>
    <cellStyle name="20% - Accent5 2 7" xfId="3867"/>
    <cellStyle name="20% - Accent5 2 8" xfId="3387"/>
    <cellStyle name="20% - Accent5 2 9" xfId="7313"/>
    <cellStyle name="20% - Accent5 20 2" xfId="3868"/>
    <cellStyle name="20% - Accent5 21 2" xfId="3869"/>
    <cellStyle name="20% - Accent5 3" xfId="404"/>
    <cellStyle name="20% - Accent5 3 10" xfId="7754"/>
    <cellStyle name="20% - Accent5 3 2" xfId="405"/>
    <cellStyle name="20% - Accent5 3 2 2" xfId="3870"/>
    <cellStyle name="20% - Accent5 3 2 3" xfId="7318"/>
    <cellStyle name="20% - Accent5 3 3" xfId="3871"/>
    <cellStyle name="20% - Accent5 3 4" xfId="3872"/>
    <cellStyle name="20% - Accent5 3 5" xfId="3873"/>
    <cellStyle name="20% - Accent5 3 6" xfId="3874"/>
    <cellStyle name="20% - Accent5 3 7" xfId="3875"/>
    <cellStyle name="20% - Accent5 3 8" xfId="3439"/>
    <cellStyle name="20% - Accent5 3 9" xfId="7317"/>
    <cellStyle name="20% - Accent5 4" xfId="406"/>
    <cellStyle name="20% - Accent5 4 2" xfId="407"/>
    <cellStyle name="20% - Accent5 4 2 2" xfId="3877"/>
    <cellStyle name="20% - Accent5 4 2 3" xfId="7320"/>
    <cellStyle name="20% - Accent5 4 3" xfId="3878"/>
    <cellStyle name="20% - Accent5 4 4" xfId="3879"/>
    <cellStyle name="20% - Accent5 4 5" xfId="3880"/>
    <cellStyle name="20% - Accent5 4 6" xfId="3881"/>
    <cellStyle name="20% - Accent5 4 7" xfId="3882"/>
    <cellStyle name="20% - Accent5 4 8" xfId="3876"/>
    <cellStyle name="20% - Accent5 4 9" xfId="7319"/>
    <cellStyle name="20% - Accent5 5" xfId="408"/>
    <cellStyle name="20% - Accent5 5 2" xfId="409"/>
    <cellStyle name="20% - Accent5 5 2 2" xfId="3884"/>
    <cellStyle name="20% - Accent5 5 2 3" xfId="7322"/>
    <cellStyle name="20% - Accent5 5 3" xfId="3885"/>
    <cellStyle name="20% - Accent5 5 4" xfId="3886"/>
    <cellStyle name="20% - Accent5 5 5" xfId="3887"/>
    <cellStyle name="20% - Accent5 5 6" xfId="3888"/>
    <cellStyle name="20% - Accent5 5 7" xfId="3889"/>
    <cellStyle name="20% - Accent5 5 8" xfId="3883"/>
    <cellStyle name="20% - Accent5 5 9" xfId="7321"/>
    <cellStyle name="20% - Accent5 6" xfId="410"/>
    <cellStyle name="20% - Accent5 6 2" xfId="411"/>
    <cellStyle name="20% - Accent5 6 2 2" xfId="3890"/>
    <cellStyle name="20% - Accent5 6 2 3" xfId="7324"/>
    <cellStyle name="20% - Accent5 6 3" xfId="3891"/>
    <cellStyle name="20% - Accent5 6 4" xfId="3892"/>
    <cellStyle name="20% - Accent5 6 5" xfId="3893"/>
    <cellStyle name="20% - Accent5 6 6" xfId="3894"/>
    <cellStyle name="20% - Accent5 6 7" xfId="3895"/>
    <cellStyle name="20% - Accent5 6 8" xfId="7323"/>
    <cellStyle name="20% - Accent5 7" xfId="412"/>
    <cellStyle name="20% - Accent5 7 2" xfId="413"/>
    <cellStyle name="20% - Accent5 7 2 2" xfId="3896"/>
    <cellStyle name="20% - Accent5 7 2 3" xfId="7326"/>
    <cellStyle name="20% - Accent5 7 3" xfId="3897"/>
    <cellStyle name="20% - Accent5 7 4" xfId="3898"/>
    <cellStyle name="20% - Accent5 7 5" xfId="3899"/>
    <cellStyle name="20% - Accent5 7 6" xfId="3900"/>
    <cellStyle name="20% - Accent5 7 7" xfId="3901"/>
    <cellStyle name="20% - Accent5 7 8" xfId="7325"/>
    <cellStyle name="20% - Accent5 8" xfId="414"/>
    <cellStyle name="20% - Accent5 8 2" xfId="415"/>
    <cellStyle name="20% - Accent5 8 2 2" xfId="3902"/>
    <cellStyle name="20% - Accent5 8 2 3" xfId="7328"/>
    <cellStyle name="20% - Accent5 8 3" xfId="3903"/>
    <cellStyle name="20% - Accent5 8 4" xfId="3904"/>
    <cellStyle name="20% - Accent5 8 5" xfId="3905"/>
    <cellStyle name="20% - Accent5 8 6" xfId="3906"/>
    <cellStyle name="20% - Accent5 8 7" xfId="3907"/>
    <cellStyle name="20% - Accent5 8 8" xfId="7327"/>
    <cellStyle name="20% - Accent5 9" xfId="416"/>
    <cellStyle name="20% - Accent5 9 2" xfId="417"/>
    <cellStyle name="20% - Accent5 9 2 2" xfId="3908"/>
    <cellStyle name="20% - Accent5 9 2 3" xfId="7330"/>
    <cellStyle name="20% - Accent5 9 3" xfId="3909"/>
    <cellStyle name="20% - Accent5 9 4" xfId="3910"/>
    <cellStyle name="20% - Accent5 9 5" xfId="3911"/>
    <cellStyle name="20% - Accent5 9 6" xfId="3912"/>
    <cellStyle name="20% - Accent5 9 7" xfId="3913"/>
    <cellStyle name="20% - Accent5 9 8" xfId="7329"/>
    <cellStyle name="20% - Accent6" xfId="3301" builtinId="50" customBuiltin="1"/>
    <cellStyle name="20% - Accent6 10" xfId="418"/>
    <cellStyle name="20% - Accent6 10 2" xfId="419"/>
    <cellStyle name="20% - Accent6 10 2 2" xfId="3914"/>
    <cellStyle name="20% - Accent6 10 2 3" xfId="7332"/>
    <cellStyle name="20% - Accent6 10 3" xfId="3915"/>
    <cellStyle name="20% - Accent6 10 4" xfId="3916"/>
    <cellStyle name="20% - Accent6 10 5" xfId="3917"/>
    <cellStyle name="20% - Accent6 10 6" xfId="3918"/>
    <cellStyle name="20% - Accent6 10 7" xfId="3919"/>
    <cellStyle name="20% - Accent6 10 8" xfId="7331"/>
    <cellStyle name="20% - Accent6 11" xfId="420"/>
    <cellStyle name="20% - Accent6 11 2" xfId="421"/>
    <cellStyle name="20% - Accent6 11 2 2" xfId="3920"/>
    <cellStyle name="20% - Accent6 11 2 3" xfId="7334"/>
    <cellStyle name="20% - Accent6 11 3" xfId="3921"/>
    <cellStyle name="20% - Accent6 11 4" xfId="3922"/>
    <cellStyle name="20% - Accent6 11 5" xfId="3923"/>
    <cellStyle name="20% - Accent6 11 6" xfId="3924"/>
    <cellStyle name="20% - Accent6 11 7" xfId="3925"/>
    <cellStyle name="20% - Accent6 11 8" xfId="7333"/>
    <cellStyle name="20% - Accent6 12" xfId="422"/>
    <cellStyle name="20% - Accent6 12 2" xfId="423"/>
    <cellStyle name="20% - Accent6 12 2 2" xfId="3926"/>
    <cellStyle name="20% - Accent6 12 2 3" xfId="7336"/>
    <cellStyle name="20% - Accent6 12 3" xfId="3927"/>
    <cellStyle name="20% - Accent6 12 4" xfId="3928"/>
    <cellStyle name="20% - Accent6 12 5" xfId="3929"/>
    <cellStyle name="20% - Accent6 12 6" xfId="3930"/>
    <cellStyle name="20% - Accent6 12 7" xfId="3931"/>
    <cellStyle name="20% - Accent6 12 8" xfId="7335"/>
    <cellStyle name="20% - Accent6 13" xfId="424"/>
    <cellStyle name="20% - Accent6 13 2" xfId="3932"/>
    <cellStyle name="20% - Accent6 14" xfId="7724"/>
    <cellStyle name="20% - Accent6 14 2" xfId="3933"/>
    <cellStyle name="20% - Accent6 15 2" xfId="3934"/>
    <cellStyle name="20% - Accent6 16 2" xfId="3935"/>
    <cellStyle name="20% - Accent6 17 2" xfId="3936"/>
    <cellStyle name="20% - Accent6 18 2" xfId="3937"/>
    <cellStyle name="20% - Accent6 19 2" xfId="3938"/>
    <cellStyle name="20% - Accent6 2" xfId="425"/>
    <cellStyle name="20% - Accent6 2 10" xfId="7740"/>
    <cellStyle name="20% - Accent6 2 2" xfId="426"/>
    <cellStyle name="20% - Accent6 2 2 2" xfId="427"/>
    <cellStyle name="20% - Accent6 2 2 2 2" xfId="7339"/>
    <cellStyle name="20% - Accent6 2 2 3" xfId="3424"/>
    <cellStyle name="20% - Accent6 2 2 4" xfId="7338"/>
    <cellStyle name="20% - Accent6 2 3" xfId="428"/>
    <cellStyle name="20% - Accent6 2 3 2" xfId="3468"/>
    <cellStyle name="20% - Accent6 2 3 3" xfId="7340"/>
    <cellStyle name="20% - Accent6 2 3 4" xfId="7772"/>
    <cellStyle name="20% - Accent6 2 4" xfId="3939"/>
    <cellStyle name="20% - Accent6 2 5" xfId="3940"/>
    <cellStyle name="20% - Accent6 2 6" xfId="3941"/>
    <cellStyle name="20% - Accent6 2 7" xfId="3942"/>
    <cellStyle name="20% - Accent6 2 8" xfId="3389"/>
    <cellStyle name="20% - Accent6 2 9" xfId="7337"/>
    <cellStyle name="20% - Accent6 20 2" xfId="3943"/>
    <cellStyle name="20% - Accent6 21 2" xfId="3944"/>
    <cellStyle name="20% - Accent6 3" xfId="429"/>
    <cellStyle name="20% - Accent6 3 10" xfId="7758"/>
    <cellStyle name="20% - Accent6 3 2" xfId="430"/>
    <cellStyle name="20% - Accent6 3 2 2" xfId="3945"/>
    <cellStyle name="20% - Accent6 3 2 3" xfId="7342"/>
    <cellStyle name="20% - Accent6 3 3" xfId="3946"/>
    <cellStyle name="20% - Accent6 3 4" xfId="3947"/>
    <cellStyle name="20% - Accent6 3 5" xfId="3948"/>
    <cellStyle name="20% - Accent6 3 6" xfId="3949"/>
    <cellStyle name="20% - Accent6 3 7" xfId="3950"/>
    <cellStyle name="20% - Accent6 3 8" xfId="3450"/>
    <cellStyle name="20% - Accent6 3 9" xfId="7341"/>
    <cellStyle name="20% - Accent6 4" xfId="431"/>
    <cellStyle name="20% - Accent6 4 2" xfId="432"/>
    <cellStyle name="20% - Accent6 4 2 2" xfId="3952"/>
    <cellStyle name="20% - Accent6 4 2 3" xfId="7344"/>
    <cellStyle name="20% - Accent6 4 3" xfId="3953"/>
    <cellStyle name="20% - Accent6 4 4" xfId="3954"/>
    <cellStyle name="20% - Accent6 4 5" xfId="3955"/>
    <cellStyle name="20% - Accent6 4 6" xfId="3956"/>
    <cellStyle name="20% - Accent6 4 7" xfId="3957"/>
    <cellStyle name="20% - Accent6 4 8" xfId="3951"/>
    <cellStyle name="20% - Accent6 4 9" xfId="7343"/>
    <cellStyle name="20% - Accent6 5" xfId="433"/>
    <cellStyle name="20% - Accent6 5 2" xfId="434"/>
    <cellStyle name="20% - Accent6 5 2 2" xfId="3959"/>
    <cellStyle name="20% - Accent6 5 2 3" xfId="7346"/>
    <cellStyle name="20% - Accent6 5 3" xfId="3960"/>
    <cellStyle name="20% - Accent6 5 4" xfId="3961"/>
    <cellStyle name="20% - Accent6 5 5" xfId="3962"/>
    <cellStyle name="20% - Accent6 5 6" xfId="3963"/>
    <cellStyle name="20% - Accent6 5 7" xfId="3964"/>
    <cellStyle name="20% - Accent6 5 8" xfId="3958"/>
    <cellStyle name="20% - Accent6 5 9" xfId="7345"/>
    <cellStyle name="20% - Accent6 6" xfId="435"/>
    <cellStyle name="20% - Accent6 6 2" xfId="436"/>
    <cellStyle name="20% - Accent6 6 2 2" xfId="3965"/>
    <cellStyle name="20% - Accent6 6 2 3" xfId="7348"/>
    <cellStyle name="20% - Accent6 6 3" xfId="3966"/>
    <cellStyle name="20% - Accent6 6 4" xfId="3967"/>
    <cellStyle name="20% - Accent6 6 5" xfId="3968"/>
    <cellStyle name="20% - Accent6 6 6" xfId="3969"/>
    <cellStyle name="20% - Accent6 6 7" xfId="3970"/>
    <cellStyle name="20% - Accent6 6 8" xfId="7347"/>
    <cellStyle name="20% - Accent6 7" xfId="437"/>
    <cellStyle name="20% - Accent6 7 2" xfId="438"/>
    <cellStyle name="20% - Accent6 7 2 2" xfId="3971"/>
    <cellStyle name="20% - Accent6 7 2 3" xfId="7350"/>
    <cellStyle name="20% - Accent6 7 3" xfId="3972"/>
    <cellStyle name="20% - Accent6 7 4" xfId="3973"/>
    <cellStyle name="20% - Accent6 7 5" xfId="3974"/>
    <cellStyle name="20% - Accent6 7 6" xfId="3975"/>
    <cellStyle name="20% - Accent6 7 7" xfId="3976"/>
    <cellStyle name="20% - Accent6 7 8" xfId="7349"/>
    <cellStyle name="20% - Accent6 8" xfId="439"/>
    <cellStyle name="20% - Accent6 8 2" xfId="440"/>
    <cellStyle name="20% - Accent6 8 2 2" xfId="3977"/>
    <cellStyle name="20% - Accent6 8 2 3" xfId="7352"/>
    <cellStyle name="20% - Accent6 8 3" xfId="3978"/>
    <cellStyle name="20% - Accent6 8 4" xfId="3979"/>
    <cellStyle name="20% - Accent6 8 5" xfId="3980"/>
    <cellStyle name="20% - Accent6 8 6" xfId="3981"/>
    <cellStyle name="20% - Accent6 8 7" xfId="3982"/>
    <cellStyle name="20% - Accent6 8 8" xfId="7351"/>
    <cellStyle name="20% - Accent6 9" xfId="441"/>
    <cellStyle name="20% - Accent6 9 2" xfId="442"/>
    <cellStyle name="20% - Accent6 9 2 2" xfId="3983"/>
    <cellStyle name="20% - Accent6 9 2 3" xfId="7354"/>
    <cellStyle name="20% - Accent6 9 3" xfId="3984"/>
    <cellStyle name="20% - Accent6 9 4" xfId="3985"/>
    <cellStyle name="20% - Accent6 9 5" xfId="3986"/>
    <cellStyle name="20% - Accent6 9 6" xfId="3987"/>
    <cellStyle name="20% - Accent6 9 7" xfId="3988"/>
    <cellStyle name="20% - Accent6 9 8" xfId="7353"/>
    <cellStyle name="40% - Accent1" xfId="3282" builtinId="31" customBuiltin="1"/>
    <cellStyle name="40% - Accent1 10" xfId="443"/>
    <cellStyle name="40% - Accent1 10 2" xfId="444"/>
    <cellStyle name="40% - Accent1 10 2 2" xfId="445"/>
    <cellStyle name="40% - Accent1 10 2 2 2" xfId="7356"/>
    <cellStyle name="40% - Accent1 10 2 3" xfId="446"/>
    <cellStyle name="40% - Accent1 10 2 3 2" xfId="7357"/>
    <cellStyle name="40% - Accent1 10 2 4" xfId="3989"/>
    <cellStyle name="40% - Accent1 10 2 5" xfId="7355"/>
    <cellStyle name="40% - Accent1 10 3" xfId="447"/>
    <cellStyle name="40% - Accent1 10 3 2" xfId="3990"/>
    <cellStyle name="40% - Accent1 10 4" xfId="3991"/>
    <cellStyle name="40% - Accent1 10 5" xfId="3992"/>
    <cellStyle name="40% - Accent1 10 6" xfId="3993"/>
    <cellStyle name="40% - Accent1 10 7" xfId="3994"/>
    <cellStyle name="40% - Accent1 11" xfId="448"/>
    <cellStyle name="40% - Accent1 11 2" xfId="449"/>
    <cellStyle name="40% - Accent1 11 2 2" xfId="450"/>
    <cellStyle name="40% - Accent1 11 2 2 2" xfId="7359"/>
    <cellStyle name="40% - Accent1 11 2 3" xfId="451"/>
    <cellStyle name="40% - Accent1 11 2 3 2" xfId="7360"/>
    <cellStyle name="40% - Accent1 11 2 4" xfId="3995"/>
    <cellStyle name="40% - Accent1 11 2 5" xfId="7358"/>
    <cellStyle name="40% - Accent1 11 3" xfId="452"/>
    <cellStyle name="40% - Accent1 11 3 2" xfId="3996"/>
    <cellStyle name="40% - Accent1 11 4" xfId="3997"/>
    <cellStyle name="40% - Accent1 11 5" xfId="3998"/>
    <cellStyle name="40% - Accent1 11 6" xfId="3999"/>
    <cellStyle name="40% - Accent1 11 7" xfId="4000"/>
    <cellStyle name="40% - Accent1 12" xfId="453"/>
    <cellStyle name="40% - Accent1 12 2" xfId="454"/>
    <cellStyle name="40% - Accent1 12 2 2" xfId="455"/>
    <cellStyle name="40% - Accent1 12 2 2 2" xfId="7362"/>
    <cellStyle name="40% - Accent1 12 2 3" xfId="456"/>
    <cellStyle name="40% - Accent1 12 2 3 2" xfId="7363"/>
    <cellStyle name="40% - Accent1 12 2 4" xfId="4001"/>
    <cellStyle name="40% - Accent1 12 2 5" xfId="7361"/>
    <cellStyle name="40% - Accent1 12 3" xfId="457"/>
    <cellStyle name="40% - Accent1 12 3 2" xfId="4002"/>
    <cellStyle name="40% - Accent1 12 4" xfId="4003"/>
    <cellStyle name="40% - Accent1 12 5" xfId="4004"/>
    <cellStyle name="40% - Accent1 12 6" xfId="4005"/>
    <cellStyle name="40% - Accent1 12 7" xfId="4006"/>
    <cellStyle name="40% - Accent1 13" xfId="458"/>
    <cellStyle name="40% - Accent1 13 2" xfId="459"/>
    <cellStyle name="40% - Accent1 13 2 2" xfId="4007"/>
    <cellStyle name="40% - Accent1 14" xfId="460"/>
    <cellStyle name="40% - Accent1 14 2" xfId="461"/>
    <cellStyle name="40% - Accent1 14 2 2" xfId="4008"/>
    <cellStyle name="40% - Accent1 15" xfId="462"/>
    <cellStyle name="40% - Accent1 15 2" xfId="463"/>
    <cellStyle name="40% - Accent1 15 2 2" xfId="4009"/>
    <cellStyle name="40% - Accent1 16" xfId="464"/>
    <cellStyle name="40% - Accent1 16 2" xfId="465"/>
    <cellStyle name="40% - Accent1 16 2 2" xfId="4010"/>
    <cellStyle name="40% - Accent1 17" xfId="466"/>
    <cellStyle name="40% - Accent1 17 2" xfId="467"/>
    <cellStyle name="40% - Accent1 17 2 2" xfId="4011"/>
    <cellStyle name="40% - Accent1 18" xfId="468"/>
    <cellStyle name="40% - Accent1 18 2" xfId="469"/>
    <cellStyle name="40% - Accent1 18 2 2" xfId="4012"/>
    <cellStyle name="40% - Accent1 19" xfId="470"/>
    <cellStyle name="40% - Accent1 19 2" xfId="471"/>
    <cellStyle name="40% - Accent1 19 2 2" xfId="4013"/>
    <cellStyle name="40% - Accent1 2" xfId="472"/>
    <cellStyle name="40% - Accent1 2 2" xfId="473"/>
    <cellStyle name="40% - Accent1 2 2 2" xfId="474"/>
    <cellStyle name="40% - Accent1 2 2 2 2" xfId="475"/>
    <cellStyle name="40% - Accent1 2 2 2 2 2" xfId="7366"/>
    <cellStyle name="40% - Accent1 2 2 2 3" xfId="476"/>
    <cellStyle name="40% - Accent1 2 2 2 3 2" xfId="7367"/>
    <cellStyle name="40% - Accent1 2 2 2 4" xfId="7365"/>
    <cellStyle name="40% - Accent1 2 2 3" xfId="477"/>
    <cellStyle name="40% - Accent1 2 2 3 2" xfId="7368"/>
    <cellStyle name="40% - Accent1 2 2 4" xfId="478"/>
    <cellStyle name="40% - Accent1 2 2 4 2" xfId="7369"/>
    <cellStyle name="40% - Accent1 2 2 5" xfId="3415"/>
    <cellStyle name="40% - Accent1 2 2 6" xfId="7364"/>
    <cellStyle name="40% - Accent1 2 3" xfId="479"/>
    <cellStyle name="40% - Accent1 2 3 2" xfId="3459"/>
    <cellStyle name="40% - Accent1 2 3 3" xfId="7763"/>
    <cellStyle name="40% - Accent1 2 4" xfId="4014"/>
    <cellStyle name="40% - Accent1 2 5" xfId="4015"/>
    <cellStyle name="40% - Accent1 2 6" xfId="4016"/>
    <cellStyle name="40% - Accent1 2 7" xfId="4017"/>
    <cellStyle name="40% - Accent1 2 8" xfId="3380"/>
    <cellStyle name="40% - Accent1 2 9" xfId="7731"/>
    <cellStyle name="40% - Accent1 20" xfId="480"/>
    <cellStyle name="40% - Accent1 20 2" xfId="481"/>
    <cellStyle name="40% - Accent1 20 2 2" xfId="4018"/>
    <cellStyle name="40% - Accent1 21" xfId="482"/>
    <cellStyle name="40% - Accent1 21 2" xfId="483"/>
    <cellStyle name="40% - Accent1 21 2 2" xfId="4019"/>
    <cellStyle name="40% - Accent1 22" xfId="484"/>
    <cellStyle name="40% - Accent1 22 2" xfId="485"/>
    <cellStyle name="40% - Accent1 23" xfId="486"/>
    <cellStyle name="40% - Accent1 23 2" xfId="487"/>
    <cellStyle name="40% - Accent1 24" xfId="488"/>
    <cellStyle name="40% - Accent1 24 2" xfId="489"/>
    <cellStyle name="40% - Accent1 25" xfId="490"/>
    <cellStyle name="40% - Accent1 26" xfId="491"/>
    <cellStyle name="40% - Accent1 26 2" xfId="7370"/>
    <cellStyle name="40% - Accent1 27" xfId="7715"/>
    <cellStyle name="40% - Accent1 3" xfId="492"/>
    <cellStyle name="40% - Accent1 3 2" xfId="493"/>
    <cellStyle name="40% - Accent1 3 2 2" xfId="494"/>
    <cellStyle name="40% - Accent1 3 2 2 2" xfId="7372"/>
    <cellStyle name="40% - Accent1 3 2 3" xfId="495"/>
    <cellStyle name="40% - Accent1 3 2 3 2" xfId="7373"/>
    <cellStyle name="40% - Accent1 3 2 4" xfId="4020"/>
    <cellStyle name="40% - Accent1 3 2 5" xfId="7371"/>
    <cellStyle name="40% - Accent1 3 3" xfId="496"/>
    <cellStyle name="40% - Accent1 3 3 2" xfId="4021"/>
    <cellStyle name="40% - Accent1 3 4" xfId="4022"/>
    <cellStyle name="40% - Accent1 3 5" xfId="4023"/>
    <cellStyle name="40% - Accent1 3 6" xfId="4024"/>
    <cellStyle name="40% - Accent1 3 7" xfId="4025"/>
    <cellStyle name="40% - Accent1 3 8" xfId="3394"/>
    <cellStyle name="40% - Accent1 3 9" xfId="7744"/>
    <cellStyle name="40% - Accent1 4" xfId="497"/>
    <cellStyle name="40% - Accent1 4 2" xfId="498"/>
    <cellStyle name="40% - Accent1 4 2 2" xfId="499"/>
    <cellStyle name="40% - Accent1 4 2 2 2" xfId="7375"/>
    <cellStyle name="40% - Accent1 4 2 3" xfId="500"/>
    <cellStyle name="40% - Accent1 4 2 3 2" xfId="7376"/>
    <cellStyle name="40% - Accent1 4 2 4" xfId="4027"/>
    <cellStyle name="40% - Accent1 4 2 5" xfId="7374"/>
    <cellStyle name="40% - Accent1 4 3" xfId="501"/>
    <cellStyle name="40% - Accent1 4 3 2" xfId="4028"/>
    <cellStyle name="40% - Accent1 4 4" xfId="4029"/>
    <cellStyle name="40% - Accent1 4 5" xfId="4030"/>
    <cellStyle name="40% - Accent1 4 6" xfId="4031"/>
    <cellStyle name="40% - Accent1 4 7" xfId="4032"/>
    <cellStyle name="40% - Accent1 4 8" xfId="4026"/>
    <cellStyle name="40% - Accent1 5" xfId="502"/>
    <cellStyle name="40% - Accent1 5 2" xfId="503"/>
    <cellStyle name="40% - Accent1 5 2 2" xfId="504"/>
    <cellStyle name="40% - Accent1 5 2 2 2" xfId="7378"/>
    <cellStyle name="40% - Accent1 5 2 3" xfId="505"/>
    <cellStyle name="40% - Accent1 5 2 3 2" xfId="7379"/>
    <cellStyle name="40% - Accent1 5 2 4" xfId="4034"/>
    <cellStyle name="40% - Accent1 5 2 5" xfId="7377"/>
    <cellStyle name="40% - Accent1 5 3" xfId="506"/>
    <cellStyle name="40% - Accent1 5 3 2" xfId="4035"/>
    <cellStyle name="40% - Accent1 5 4" xfId="4036"/>
    <cellStyle name="40% - Accent1 5 5" xfId="4037"/>
    <cellStyle name="40% - Accent1 5 6" xfId="4038"/>
    <cellStyle name="40% - Accent1 5 7" xfId="4039"/>
    <cellStyle name="40% - Accent1 5 8" xfId="4033"/>
    <cellStyle name="40% - Accent1 6" xfId="507"/>
    <cellStyle name="40% - Accent1 6 2" xfId="508"/>
    <cellStyle name="40% - Accent1 6 2 2" xfId="509"/>
    <cellStyle name="40% - Accent1 6 2 2 2" xfId="7381"/>
    <cellStyle name="40% - Accent1 6 2 3" xfId="510"/>
    <cellStyle name="40% - Accent1 6 2 3 2" xfId="7382"/>
    <cellStyle name="40% - Accent1 6 2 4" xfId="4040"/>
    <cellStyle name="40% - Accent1 6 2 5" xfId="7380"/>
    <cellStyle name="40% - Accent1 6 3" xfId="511"/>
    <cellStyle name="40% - Accent1 6 3 2" xfId="4041"/>
    <cellStyle name="40% - Accent1 6 4" xfId="4042"/>
    <cellStyle name="40% - Accent1 6 5" xfId="4043"/>
    <cellStyle name="40% - Accent1 6 6" xfId="4044"/>
    <cellStyle name="40% - Accent1 6 7" xfId="4045"/>
    <cellStyle name="40% - Accent1 7" xfId="512"/>
    <cellStyle name="40% - Accent1 7 2" xfId="513"/>
    <cellStyle name="40% - Accent1 7 2 2" xfId="514"/>
    <cellStyle name="40% - Accent1 7 2 2 2" xfId="7384"/>
    <cellStyle name="40% - Accent1 7 2 3" xfId="515"/>
    <cellStyle name="40% - Accent1 7 2 3 2" xfId="7385"/>
    <cellStyle name="40% - Accent1 7 2 4" xfId="4046"/>
    <cellStyle name="40% - Accent1 7 2 5" xfId="7383"/>
    <cellStyle name="40% - Accent1 7 3" xfId="516"/>
    <cellStyle name="40% - Accent1 7 3 2" xfId="4047"/>
    <cellStyle name="40% - Accent1 7 4" xfId="4048"/>
    <cellStyle name="40% - Accent1 7 5" xfId="4049"/>
    <cellStyle name="40% - Accent1 7 6" xfId="4050"/>
    <cellStyle name="40% - Accent1 7 7" xfId="4051"/>
    <cellStyle name="40% - Accent1 8" xfId="517"/>
    <cellStyle name="40% - Accent1 8 2" xfId="518"/>
    <cellStyle name="40% - Accent1 8 2 2" xfId="519"/>
    <cellStyle name="40% - Accent1 8 2 2 2" xfId="7387"/>
    <cellStyle name="40% - Accent1 8 2 3" xfId="520"/>
    <cellStyle name="40% - Accent1 8 2 3 2" xfId="7388"/>
    <cellStyle name="40% - Accent1 8 2 4" xfId="4052"/>
    <cellStyle name="40% - Accent1 8 2 5" xfId="7386"/>
    <cellStyle name="40% - Accent1 8 3" xfId="521"/>
    <cellStyle name="40% - Accent1 8 3 2" xfId="4053"/>
    <cellStyle name="40% - Accent1 8 4" xfId="4054"/>
    <cellStyle name="40% - Accent1 8 5" xfId="4055"/>
    <cellStyle name="40% - Accent1 8 6" xfId="4056"/>
    <cellStyle name="40% - Accent1 8 7" xfId="4057"/>
    <cellStyle name="40% - Accent1 9" xfId="522"/>
    <cellStyle name="40% - Accent1 9 2" xfId="523"/>
    <cellStyle name="40% - Accent1 9 2 2" xfId="524"/>
    <cellStyle name="40% - Accent1 9 2 2 2" xfId="7390"/>
    <cellStyle name="40% - Accent1 9 2 3" xfId="525"/>
    <cellStyle name="40% - Accent1 9 2 3 2" xfId="7391"/>
    <cellStyle name="40% - Accent1 9 2 4" xfId="4058"/>
    <cellStyle name="40% - Accent1 9 2 5" xfId="7389"/>
    <cellStyle name="40% - Accent1 9 3" xfId="526"/>
    <cellStyle name="40% - Accent1 9 3 2" xfId="4059"/>
    <cellStyle name="40% - Accent1 9 4" xfId="4060"/>
    <cellStyle name="40% - Accent1 9 5" xfId="4061"/>
    <cellStyle name="40% - Accent1 9 6" xfId="4062"/>
    <cellStyle name="40% - Accent1 9 7" xfId="4063"/>
    <cellStyle name="40% - Accent2" xfId="3286" builtinId="35" customBuiltin="1"/>
    <cellStyle name="40% - Accent2 10" xfId="527"/>
    <cellStyle name="40% - Accent2 10 2" xfId="528"/>
    <cellStyle name="40% - Accent2 10 2 2" xfId="529"/>
    <cellStyle name="40% - Accent2 10 2 2 2" xfId="7393"/>
    <cellStyle name="40% - Accent2 10 2 3" xfId="530"/>
    <cellStyle name="40% - Accent2 10 2 3 2" xfId="7394"/>
    <cellStyle name="40% - Accent2 10 2 4" xfId="4064"/>
    <cellStyle name="40% - Accent2 10 2 5" xfId="7392"/>
    <cellStyle name="40% - Accent2 10 3" xfId="531"/>
    <cellStyle name="40% - Accent2 10 3 2" xfId="4065"/>
    <cellStyle name="40% - Accent2 10 4" xfId="4066"/>
    <cellStyle name="40% - Accent2 10 5" xfId="4067"/>
    <cellStyle name="40% - Accent2 10 6" xfId="4068"/>
    <cellStyle name="40% - Accent2 10 7" xfId="4069"/>
    <cellStyle name="40% - Accent2 11" xfId="532"/>
    <cellStyle name="40% - Accent2 11 2" xfId="533"/>
    <cellStyle name="40% - Accent2 11 2 2" xfId="534"/>
    <cellStyle name="40% - Accent2 11 2 2 2" xfId="7396"/>
    <cellStyle name="40% - Accent2 11 2 3" xfId="535"/>
    <cellStyle name="40% - Accent2 11 2 3 2" xfId="7397"/>
    <cellStyle name="40% - Accent2 11 2 4" xfId="4070"/>
    <cellStyle name="40% - Accent2 11 2 5" xfId="7395"/>
    <cellStyle name="40% - Accent2 11 3" xfId="536"/>
    <cellStyle name="40% - Accent2 11 3 2" xfId="4071"/>
    <cellStyle name="40% - Accent2 11 4" xfId="4072"/>
    <cellStyle name="40% - Accent2 11 5" xfId="4073"/>
    <cellStyle name="40% - Accent2 11 6" xfId="4074"/>
    <cellStyle name="40% - Accent2 11 7" xfId="4075"/>
    <cellStyle name="40% - Accent2 12" xfId="537"/>
    <cellStyle name="40% - Accent2 12 2" xfId="538"/>
    <cellStyle name="40% - Accent2 12 2 2" xfId="539"/>
    <cellStyle name="40% - Accent2 12 2 2 2" xfId="7399"/>
    <cellStyle name="40% - Accent2 12 2 3" xfId="540"/>
    <cellStyle name="40% - Accent2 12 2 3 2" xfId="7400"/>
    <cellStyle name="40% - Accent2 12 2 4" xfId="4076"/>
    <cellStyle name="40% - Accent2 12 2 5" xfId="7398"/>
    <cellStyle name="40% - Accent2 12 3" xfId="541"/>
    <cellStyle name="40% - Accent2 12 3 2" xfId="4077"/>
    <cellStyle name="40% - Accent2 12 4" xfId="4078"/>
    <cellStyle name="40% - Accent2 12 5" xfId="4079"/>
    <cellStyle name="40% - Accent2 12 6" xfId="4080"/>
    <cellStyle name="40% - Accent2 12 7" xfId="4081"/>
    <cellStyle name="40% - Accent2 13" xfId="542"/>
    <cellStyle name="40% - Accent2 13 2" xfId="543"/>
    <cellStyle name="40% - Accent2 13 2 2" xfId="4082"/>
    <cellStyle name="40% - Accent2 14" xfId="544"/>
    <cellStyle name="40% - Accent2 14 2" xfId="545"/>
    <cellStyle name="40% - Accent2 14 2 2" xfId="4083"/>
    <cellStyle name="40% - Accent2 15" xfId="546"/>
    <cellStyle name="40% - Accent2 15 2" xfId="547"/>
    <cellStyle name="40% - Accent2 15 2 2" xfId="4084"/>
    <cellStyle name="40% - Accent2 16" xfId="548"/>
    <cellStyle name="40% - Accent2 16 2" xfId="549"/>
    <cellStyle name="40% - Accent2 16 2 2" xfId="4085"/>
    <cellStyle name="40% - Accent2 17" xfId="550"/>
    <cellStyle name="40% - Accent2 17 2" xfId="551"/>
    <cellStyle name="40% - Accent2 17 2 2" xfId="4086"/>
    <cellStyle name="40% - Accent2 18" xfId="552"/>
    <cellStyle name="40% - Accent2 18 2" xfId="553"/>
    <cellStyle name="40% - Accent2 18 2 2" xfId="4087"/>
    <cellStyle name="40% - Accent2 19" xfId="554"/>
    <cellStyle name="40% - Accent2 19 2" xfId="555"/>
    <cellStyle name="40% - Accent2 19 2 2" xfId="4088"/>
    <cellStyle name="40% - Accent2 2" xfId="556"/>
    <cellStyle name="40% - Accent2 2 2" xfId="557"/>
    <cellStyle name="40% - Accent2 2 2 2" xfId="558"/>
    <cellStyle name="40% - Accent2 2 2 2 2" xfId="559"/>
    <cellStyle name="40% - Accent2 2 2 2 2 2" xfId="7403"/>
    <cellStyle name="40% - Accent2 2 2 2 3" xfId="560"/>
    <cellStyle name="40% - Accent2 2 2 2 3 2" xfId="7404"/>
    <cellStyle name="40% - Accent2 2 2 2 4" xfId="7402"/>
    <cellStyle name="40% - Accent2 2 2 3" xfId="561"/>
    <cellStyle name="40% - Accent2 2 2 3 2" xfId="7405"/>
    <cellStyle name="40% - Accent2 2 2 4" xfId="562"/>
    <cellStyle name="40% - Accent2 2 2 4 2" xfId="7406"/>
    <cellStyle name="40% - Accent2 2 2 5" xfId="3413"/>
    <cellStyle name="40% - Accent2 2 2 6" xfId="7401"/>
    <cellStyle name="40% - Accent2 2 3" xfId="563"/>
    <cellStyle name="40% - Accent2 2 3 2" xfId="3461"/>
    <cellStyle name="40% - Accent2 2 3 3" xfId="7765"/>
    <cellStyle name="40% - Accent2 2 4" xfId="4089"/>
    <cellStyle name="40% - Accent2 2 5" xfId="4090"/>
    <cellStyle name="40% - Accent2 2 6" xfId="4091"/>
    <cellStyle name="40% - Accent2 2 7" xfId="4092"/>
    <cellStyle name="40% - Accent2 2 8" xfId="3382"/>
    <cellStyle name="40% - Accent2 2 9" xfId="7733"/>
    <cellStyle name="40% - Accent2 20" xfId="564"/>
    <cellStyle name="40% - Accent2 20 2" xfId="565"/>
    <cellStyle name="40% - Accent2 20 2 2" xfId="4093"/>
    <cellStyle name="40% - Accent2 21" xfId="566"/>
    <cellStyle name="40% - Accent2 21 2" xfId="567"/>
    <cellStyle name="40% - Accent2 21 2 2" xfId="4094"/>
    <cellStyle name="40% - Accent2 22" xfId="568"/>
    <cellStyle name="40% - Accent2 22 2" xfId="569"/>
    <cellStyle name="40% - Accent2 23" xfId="570"/>
    <cellStyle name="40% - Accent2 23 2" xfId="571"/>
    <cellStyle name="40% - Accent2 24" xfId="572"/>
    <cellStyle name="40% - Accent2 24 2" xfId="573"/>
    <cellStyle name="40% - Accent2 25" xfId="574"/>
    <cellStyle name="40% - Accent2 26" xfId="575"/>
    <cellStyle name="40% - Accent2 26 2" xfId="7407"/>
    <cellStyle name="40% - Accent2 27" xfId="7717"/>
    <cellStyle name="40% - Accent2 3" xfId="576"/>
    <cellStyle name="40% - Accent2 3 2" xfId="577"/>
    <cellStyle name="40% - Accent2 3 2 2" xfId="578"/>
    <cellStyle name="40% - Accent2 3 2 2 2" xfId="7409"/>
    <cellStyle name="40% - Accent2 3 2 3" xfId="579"/>
    <cellStyle name="40% - Accent2 3 2 3 2" xfId="7410"/>
    <cellStyle name="40% - Accent2 3 2 4" xfId="4095"/>
    <cellStyle name="40% - Accent2 3 2 5" xfId="7408"/>
    <cellStyle name="40% - Accent2 3 3" xfId="580"/>
    <cellStyle name="40% - Accent2 3 3 2" xfId="4096"/>
    <cellStyle name="40% - Accent2 3 4" xfId="4097"/>
    <cellStyle name="40% - Accent2 3 5" xfId="4098"/>
    <cellStyle name="40% - Accent2 3 6" xfId="4099"/>
    <cellStyle name="40% - Accent2 3 7" xfId="4100"/>
    <cellStyle name="40% - Accent2 3 8" xfId="3396"/>
    <cellStyle name="40% - Accent2 3 9" xfId="7745"/>
    <cellStyle name="40% - Accent2 4" xfId="581"/>
    <cellStyle name="40% - Accent2 4 2" xfId="582"/>
    <cellStyle name="40% - Accent2 4 2 2" xfId="583"/>
    <cellStyle name="40% - Accent2 4 2 2 2" xfId="7412"/>
    <cellStyle name="40% - Accent2 4 2 3" xfId="584"/>
    <cellStyle name="40% - Accent2 4 2 3 2" xfId="7413"/>
    <cellStyle name="40% - Accent2 4 2 4" xfId="4102"/>
    <cellStyle name="40% - Accent2 4 2 5" xfId="7411"/>
    <cellStyle name="40% - Accent2 4 3" xfId="585"/>
    <cellStyle name="40% - Accent2 4 3 2" xfId="4103"/>
    <cellStyle name="40% - Accent2 4 4" xfId="4104"/>
    <cellStyle name="40% - Accent2 4 5" xfId="4105"/>
    <cellStyle name="40% - Accent2 4 6" xfId="4106"/>
    <cellStyle name="40% - Accent2 4 7" xfId="4107"/>
    <cellStyle name="40% - Accent2 4 8" xfId="4101"/>
    <cellStyle name="40% - Accent2 5" xfId="586"/>
    <cellStyle name="40% - Accent2 5 2" xfId="587"/>
    <cellStyle name="40% - Accent2 5 2 2" xfId="588"/>
    <cellStyle name="40% - Accent2 5 2 2 2" xfId="7415"/>
    <cellStyle name="40% - Accent2 5 2 3" xfId="589"/>
    <cellStyle name="40% - Accent2 5 2 3 2" xfId="7416"/>
    <cellStyle name="40% - Accent2 5 2 4" xfId="4109"/>
    <cellStyle name="40% - Accent2 5 2 5" xfId="7414"/>
    <cellStyle name="40% - Accent2 5 3" xfId="590"/>
    <cellStyle name="40% - Accent2 5 3 2" xfId="4110"/>
    <cellStyle name="40% - Accent2 5 4" xfId="4111"/>
    <cellStyle name="40% - Accent2 5 5" xfId="4112"/>
    <cellStyle name="40% - Accent2 5 6" xfId="4113"/>
    <cellStyle name="40% - Accent2 5 7" xfId="4114"/>
    <cellStyle name="40% - Accent2 5 8" xfId="4108"/>
    <cellStyle name="40% - Accent2 6" xfId="591"/>
    <cellStyle name="40% - Accent2 6 2" xfId="592"/>
    <cellStyle name="40% - Accent2 6 2 2" xfId="593"/>
    <cellStyle name="40% - Accent2 6 2 2 2" xfId="7418"/>
    <cellStyle name="40% - Accent2 6 2 3" xfId="594"/>
    <cellStyle name="40% - Accent2 6 2 3 2" xfId="7419"/>
    <cellStyle name="40% - Accent2 6 2 4" xfId="4115"/>
    <cellStyle name="40% - Accent2 6 2 5" xfId="7417"/>
    <cellStyle name="40% - Accent2 6 3" xfId="595"/>
    <cellStyle name="40% - Accent2 6 3 2" xfId="4116"/>
    <cellStyle name="40% - Accent2 6 4" xfId="4117"/>
    <cellStyle name="40% - Accent2 6 5" xfId="4118"/>
    <cellStyle name="40% - Accent2 6 6" xfId="4119"/>
    <cellStyle name="40% - Accent2 6 7" xfId="4120"/>
    <cellStyle name="40% - Accent2 7" xfId="596"/>
    <cellStyle name="40% - Accent2 7 2" xfId="597"/>
    <cellStyle name="40% - Accent2 7 2 2" xfId="598"/>
    <cellStyle name="40% - Accent2 7 2 2 2" xfId="7421"/>
    <cellStyle name="40% - Accent2 7 2 3" xfId="599"/>
    <cellStyle name="40% - Accent2 7 2 3 2" xfId="7422"/>
    <cellStyle name="40% - Accent2 7 2 4" xfId="4121"/>
    <cellStyle name="40% - Accent2 7 2 5" xfId="7420"/>
    <cellStyle name="40% - Accent2 7 3" xfId="600"/>
    <cellStyle name="40% - Accent2 7 3 2" xfId="4122"/>
    <cellStyle name="40% - Accent2 7 4" xfId="4123"/>
    <cellStyle name="40% - Accent2 7 5" xfId="4124"/>
    <cellStyle name="40% - Accent2 7 6" xfId="4125"/>
    <cellStyle name="40% - Accent2 7 7" xfId="4126"/>
    <cellStyle name="40% - Accent2 8" xfId="601"/>
    <cellStyle name="40% - Accent2 8 2" xfId="602"/>
    <cellStyle name="40% - Accent2 8 2 2" xfId="603"/>
    <cellStyle name="40% - Accent2 8 2 2 2" xfId="7424"/>
    <cellStyle name="40% - Accent2 8 2 3" xfId="604"/>
    <cellStyle name="40% - Accent2 8 2 3 2" xfId="7425"/>
    <cellStyle name="40% - Accent2 8 2 4" xfId="4127"/>
    <cellStyle name="40% - Accent2 8 2 5" xfId="7423"/>
    <cellStyle name="40% - Accent2 8 3" xfId="605"/>
    <cellStyle name="40% - Accent2 8 3 2" xfId="4128"/>
    <cellStyle name="40% - Accent2 8 4" xfId="4129"/>
    <cellStyle name="40% - Accent2 8 5" xfId="4130"/>
    <cellStyle name="40% - Accent2 8 6" xfId="4131"/>
    <cellStyle name="40% - Accent2 8 7" xfId="4132"/>
    <cellStyle name="40% - Accent2 9" xfId="606"/>
    <cellStyle name="40% - Accent2 9 2" xfId="607"/>
    <cellStyle name="40% - Accent2 9 2 2" xfId="608"/>
    <cellStyle name="40% - Accent2 9 2 2 2" xfId="7427"/>
    <cellStyle name="40% - Accent2 9 2 3" xfId="609"/>
    <cellStyle name="40% - Accent2 9 2 3 2" xfId="7428"/>
    <cellStyle name="40% - Accent2 9 2 4" xfId="4133"/>
    <cellStyle name="40% - Accent2 9 2 5" xfId="7426"/>
    <cellStyle name="40% - Accent2 9 3" xfId="610"/>
    <cellStyle name="40% - Accent2 9 3 2" xfId="4134"/>
    <cellStyle name="40% - Accent2 9 4" xfId="4135"/>
    <cellStyle name="40% - Accent2 9 5" xfId="4136"/>
    <cellStyle name="40% - Accent2 9 6" xfId="4137"/>
    <cellStyle name="40% - Accent2 9 7" xfId="4138"/>
    <cellStyle name="40% - Accent3" xfId="3290" builtinId="39" customBuiltin="1"/>
    <cellStyle name="40% - Accent3 10" xfId="611"/>
    <cellStyle name="40% - Accent3 10 2" xfId="612"/>
    <cellStyle name="40% - Accent3 10 2 2" xfId="613"/>
    <cellStyle name="40% - Accent3 10 2 2 2" xfId="7430"/>
    <cellStyle name="40% - Accent3 10 2 3" xfId="614"/>
    <cellStyle name="40% - Accent3 10 2 3 2" xfId="7431"/>
    <cellStyle name="40% - Accent3 10 2 4" xfId="4139"/>
    <cellStyle name="40% - Accent3 10 2 5" xfId="7429"/>
    <cellStyle name="40% - Accent3 10 3" xfId="615"/>
    <cellStyle name="40% - Accent3 10 4" xfId="4140"/>
    <cellStyle name="40% - Accent3 10 5" xfId="4141"/>
    <cellStyle name="40% - Accent3 10 6" xfId="4142"/>
    <cellStyle name="40% - Accent3 10 7" xfId="4143"/>
    <cellStyle name="40% - Accent3 11" xfId="616"/>
    <cellStyle name="40% - Accent3 11 2" xfId="617"/>
    <cellStyle name="40% - Accent3 11 2 2" xfId="618"/>
    <cellStyle name="40% - Accent3 11 2 2 2" xfId="7433"/>
    <cellStyle name="40% - Accent3 11 2 3" xfId="619"/>
    <cellStyle name="40% - Accent3 11 2 3 2" xfId="7434"/>
    <cellStyle name="40% - Accent3 11 2 4" xfId="4144"/>
    <cellStyle name="40% - Accent3 11 2 5" xfId="7432"/>
    <cellStyle name="40% - Accent3 11 3" xfId="620"/>
    <cellStyle name="40% - Accent3 11 4" xfId="4145"/>
    <cellStyle name="40% - Accent3 11 5" xfId="4146"/>
    <cellStyle name="40% - Accent3 11 6" xfId="4147"/>
    <cellStyle name="40% - Accent3 11 7" xfId="4148"/>
    <cellStyle name="40% - Accent3 12" xfId="621"/>
    <cellStyle name="40% - Accent3 12 2" xfId="622"/>
    <cellStyle name="40% - Accent3 12 2 2" xfId="623"/>
    <cellStyle name="40% - Accent3 12 2 2 2" xfId="7436"/>
    <cellStyle name="40% - Accent3 12 2 3" xfId="624"/>
    <cellStyle name="40% - Accent3 12 2 3 2" xfId="7437"/>
    <cellStyle name="40% - Accent3 12 2 4" xfId="4149"/>
    <cellStyle name="40% - Accent3 12 2 5" xfId="7435"/>
    <cellStyle name="40% - Accent3 12 3" xfId="625"/>
    <cellStyle name="40% - Accent3 12 4" xfId="4150"/>
    <cellStyle name="40% - Accent3 12 5" xfId="4151"/>
    <cellStyle name="40% - Accent3 12 6" xfId="4152"/>
    <cellStyle name="40% - Accent3 12 7" xfId="4153"/>
    <cellStyle name="40% - Accent3 13" xfId="626"/>
    <cellStyle name="40% - Accent3 13 2" xfId="627"/>
    <cellStyle name="40% - Accent3 14" xfId="628"/>
    <cellStyle name="40% - Accent3 14 2" xfId="629"/>
    <cellStyle name="40% - Accent3 15" xfId="630"/>
    <cellStyle name="40% - Accent3 15 2" xfId="631"/>
    <cellStyle name="40% - Accent3 16" xfId="632"/>
    <cellStyle name="40% - Accent3 16 2" xfId="633"/>
    <cellStyle name="40% - Accent3 17" xfId="634"/>
    <cellStyle name="40% - Accent3 17 2" xfId="635"/>
    <cellStyle name="40% - Accent3 18" xfId="636"/>
    <cellStyle name="40% - Accent3 18 2" xfId="637"/>
    <cellStyle name="40% - Accent3 19" xfId="638"/>
    <cellStyle name="40% - Accent3 19 2" xfId="639"/>
    <cellStyle name="40% - Accent3 2" xfId="640"/>
    <cellStyle name="40% - Accent3 2 2" xfId="641"/>
    <cellStyle name="40% - Accent3 2 2 2" xfId="642"/>
    <cellStyle name="40% - Accent3 2 2 2 2" xfId="643"/>
    <cellStyle name="40% - Accent3 2 2 2 2 2" xfId="7440"/>
    <cellStyle name="40% - Accent3 2 2 2 3" xfId="644"/>
    <cellStyle name="40% - Accent3 2 2 2 3 2" xfId="7441"/>
    <cellStyle name="40% - Accent3 2 2 2 4" xfId="7439"/>
    <cellStyle name="40% - Accent3 2 2 3" xfId="645"/>
    <cellStyle name="40% - Accent3 2 2 3 2" xfId="7442"/>
    <cellStyle name="40% - Accent3 2 2 4" xfId="646"/>
    <cellStyle name="40% - Accent3 2 2 4 2" xfId="7443"/>
    <cellStyle name="40% - Accent3 2 2 5" xfId="3412"/>
    <cellStyle name="40% - Accent3 2 2 6" xfId="7438"/>
    <cellStyle name="40% - Accent3 2 3" xfId="647"/>
    <cellStyle name="40% - Accent3 2 3 2" xfId="3463"/>
    <cellStyle name="40% - Accent3 2 3 3" xfId="7767"/>
    <cellStyle name="40% - Accent3 2 4" xfId="4154"/>
    <cellStyle name="40% - Accent3 2 5" xfId="4155"/>
    <cellStyle name="40% - Accent3 2 6" xfId="4156"/>
    <cellStyle name="40% - Accent3 2 7" xfId="4157"/>
    <cellStyle name="40% - Accent3 2 8" xfId="3384"/>
    <cellStyle name="40% - Accent3 2 9" xfId="7735"/>
    <cellStyle name="40% - Accent3 20" xfId="648"/>
    <cellStyle name="40% - Accent3 20 2" xfId="649"/>
    <cellStyle name="40% - Accent3 21" xfId="650"/>
    <cellStyle name="40% - Accent3 21 2" xfId="651"/>
    <cellStyle name="40% - Accent3 22" xfId="652"/>
    <cellStyle name="40% - Accent3 22 2" xfId="653"/>
    <cellStyle name="40% - Accent3 23" xfId="654"/>
    <cellStyle name="40% - Accent3 23 2" xfId="655"/>
    <cellStyle name="40% - Accent3 24" xfId="656"/>
    <cellStyle name="40% - Accent3 24 2" xfId="657"/>
    <cellStyle name="40% - Accent3 25" xfId="658"/>
    <cellStyle name="40% - Accent3 26" xfId="659"/>
    <cellStyle name="40% - Accent3 26 2" xfId="7444"/>
    <cellStyle name="40% - Accent3 27" xfId="7719"/>
    <cellStyle name="40% - Accent3 3" xfId="660"/>
    <cellStyle name="40% - Accent3 3 2" xfId="661"/>
    <cellStyle name="40% - Accent3 3 2 2" xfId="662"/>
    <cellStyle name="40% - Accent3 3 2 2 2" xfId="7446"/>
    <cellStyle name="40% - Accent3 3 2 3" xfId="663"/>
    <cellStyle name="40% - Accent3 3 2 3 2" xfId="7447"/>
    <cellStyle name="40% - Accent3 3 2 4" xfId="4158"/>
    <cellStyle name="40% - Accent3 3 2 5" xfId="7445"/>
    <cellStyle name="40% - Accent3 3 3" xfId="664"/>
    <cellStyle name="40% - Accent3 3 4" xfId="4159"/>
    <cellStyle name="40% - Accent3 3 5" xfId="4160"/>
    <cellStyle name="40% - Accent3 3 6" xfId="4161"/>
    <cellStyle name="40% - Accent3 3 7" xfId="4162"/>
    <cellStyle name="40% - Accent3 3 8" xfId="3400"/>
    <cellStyle name="40% - Accent3 3 9" xfId="7747"/>
    <cellStyle name="40% - Accent3 4" xfId="665"/>
    <cellStyle name="40% - Accent3 4 2" xfId="666"/>
    <cellStyle name="40% - Accent3 4 2 2" xfId="667"/>
    <cellStyle name="40% - Accent3 4 2 2 2" xfId="7449"/>
    <cellStyle name="40% - Accent3 4 2 3" xfId="668"/>
    <cellStyle name="40% - Accent3 4 2 3 2" xfId="7450"/>
    <cellStyle name="40% - Accent3 4 2 4" xfId="4163"/>
    <cellStyle name="40% - Accent3 4 2 5" xfId="7448"/>
    <cellStyle name="40% - Accent3 4 3" xfId="669"/>
    <cellStyle name="40% - Accent3 4 4" xfId="4164"/>
    <cellStyle name="40% - Accent3 4 5" xfId="4165"/>
    <cellStyle name="40% - Accent3 4 6" xfId="4166"/>
    <cellStyle name="40% - Accent3 4 7" xfId="4167"/>
    <cellStyle name="40% - Accent3 5" xfId="670"/>
    <cellStyle name="40% - Accent3 5 2" xfId="671"/>
    <cellStyle name="40% - Accent3 5 2 2" xfId="672"/>
    <cellStyle name="40% - Accent3 5 2 2 2" xfId="7452"/>
    <cellStyle name="40% - Accent3 5 2 3" xfId="673"/>
    <cellStyle name="40% - Accent3 5 2 3 2" xfId="7453"/>
    <cellStyle name="40% - Accent3 5 2 4" xfId="4168"/>
    <cellStyle name="40% - Accent3 5 2 5" xfId="7451"/>
    <cellStyle name="40% - Accent3 5 3" xfId="674"/>
    <cellStyle name="40% - Accent3 5 4" xfId="4169"/>
    <cellStyle name="40% - Accent3 5 5" xfId="4170"/>
    <cellStyle name="40% - Accent3 5 6" xfId="4171"/>
    <cellStyle name="40% - Accent3 5 7" xfId="4172"/>
    <cellStyle name="40% - Accent3 6" xfId="675"/>
    <cellStyle name="40% - Accent3 6 2" xfId="676"/>
    <cellStyle name="40% - Accent3 6 2 2" xfId="677"/>
    <cellStyle name="40% - Accent3 6 2 2 2" xfId="7455"/>
    <cellStyle name="40% - Accent3 6 2 3" xfId="678"/>
    <cellStyle name="40% - Accent3 6 2 3 2" xfId="7456"/>
    <cellStyle name="40% - Accent3 6 2 4" xfId="4173"/>
    <cellStyle name="40% - Accent3 6 2 5" xfId="7454"/>
    <cellStyle name="40% - Accent3 6 3" xfId="679"/>
    <cellStyle name="40% - Accent3 6 4" xfId="4174"/>
    <cellStyle name="40% - Accent3 6 5" xfId="4175"/>
    <cellStyle name="40% - Accent3 6 6" xfId="4176"/>
    <cellStyle name="40% - Accent3 6 7" xfId="4177"/>
    <cellStyle name="40% - Accent3 7" xfId="680"/>
    <cellStyle name="40% - Accent3 7 2" xfId="681"/>
    <cellStyle name="40% - Accent3 7 2 2" xfId="682"/>
    <cellStyle name="40% - Accent3 7 2 2 2" xfId="7458"/>
    <cellStyle name="40% - Accent3 7 2 3" xfId="683"/>
    <cellStyle name="40% - Accent3 7 2 3 2" xfId="7459"/>
    <cellStyle name="40% - Accent3 7 2 4" xfId="4178"/>
    <cellStyle name="40% - Accent3 7 2 5" xfId="7457"/>
    <cellStyle name="40% - Accent3 7 3" xfId="684"/>
    <cellStyle name="40% - Accent3 7 4" xfId="4179"/>
    <cellStyle name="40% - Accent3 7 5" xfId="4180"/>
    <cellStyle name="40% - Accent3 7 6" xfId="4181"/>
    <cellStyle name="40% - Accent3 7 7" xfId="4182"/>
    <cellStyle name="40% - Accent3 8" xfId="685"/>
    <cellStyle name="40% - Accent3 8 2" xfId="686"/>
    <cellStyle name="40% - Accent3 8 2 2" xfId="687"/>
    <cellStyle name="40% - Accent3 8 2 2 2" xfId="7461"/>
    <cellStyle name="40% - Accent3 8 2 3" xfId="688"/>
    <cellStyle name="40% - Accent3 8 2 3 2" xfId="7462"/>
    <cellStyle name="40% - Accent3 8 2 4" xfId="4183"/>
    <cellStyle name="40% - Accent3 8 2 5" xfId="7460"/>
    <cellStyle name="40% - Accent3 8 3" xfId="689"/>
    <cellStyle name="40% - Accent3 8 4" xfId="4184"/>
    <cellStyle name="40% - Accent3 8 5" xfId="4185"/>
    <cellStyle name="40% - Accent3 8 6" xfId="4186"/>
    <cellStyle name="40% - Accent3 8 7" xfId="4187"/>
    <cellStyle name="40% - Accent3 9" xfId="690"/>
    <cellStyle name="40% - Accent3 9 2" xfId="691"/>
    <cellStyle name="40% - Accent3 9 2 2" xfId="692"/>
    <cellStyle name="40% - Accent3 9 2 2 2" xfId="7464"/>
    <cellStyle name="40% - Accent3 9 2 3" xfId="693"/>
    <cellStyle name="40% - Accent3 9 2 3 2" xfId="7465"/>
    <cellStyle name="40% - Accent3 9 2 4" xfId="4188"/>
    <cellStyle name="40% - Accent3 9 2 5" xfId="7463"/>
    <cellStyle name="40% - Accent3 9 3" xfId="694"/>
    <cellStyle name="40% - Accent3 9 4" xfId="4189"/>
    <cellStyle name="40% - Accent3 9 5" xfId="4190"/>
    <cellStyle name="40% - Accent3 9 6" xfId="4191"/>
    <cellStyle name="40% - Accent3 9 7" xfId="4192"/>
    <cellStyle name="40% - Accent4" xfId="3294" builtinId="43" customBuiltin="1"/>
    <cellStyle name="40% - Accent4 10" xfId="695"/>
    <cellStyle name="40% - Accent4 10 2" xfId="696"/>
    <cellStyle name="40% - Accent4 10 2 2" xfId="697"/>
    <cellStyle name="40% - Accent4 10 2 2 2" xfId="7467"/>
    <cellStyle name="40% - Accent4 10 2 3" xfId="698"/>
    <cellStyle name="40% - Accent4 10 2 3 2" xfId="7468"/>
    <cellStyle name="40% - Accent4 10 2 4" xfId="4193"/>
    <cellStyle name="40% - Accent4 10 2 5" xfId="7466"/>
    <cellStyle name="40% - Accent4 10 3" xfId="699"/>
    <cellStyle name="40% - Accent4 10 3 2" xfId="4194"/>
    <cellStyle name="40% - Accent4 10 4" xfId="4195"/>
    <cellStyle name="40% - Accent4 10 5" xfId="4196"/>
    <cellStyle name="40% - Accent4 10 6" xfId="4197"/>
    <cellStyle name="40% - Accent4 10 7" xfId="4198"/>
    <cellStyle name="40% - Accent4 11" xfId="700"/>
    <cellStyle name="40% - Accent4 11 2" xfId="701"/>
    <cellStyle name="40% - Accent4 11 2 2" xfId="702"/>
    <cellStyle name="40% - Accent4 11 2 2 2" xfId="7470"/>
    <cellStyle name="40% - Accent4 11 2 3" xfId="703"/>
    <cellStyle name="40% - Accent4 11 2 3 2" xfId="7471"/>
    <cellStyle name="40% - Accent4 11 2 4" xfId="4199"/>
    <cellStyle name="40% - Accent4 11 2 5" xfId="7469"/>
    <cellStyle name="40% - Accent4 11 3" xfId="704"/>
    <cellStyle name="40% - Accent4 11 3 2" xfId="4200"/>
    <cellStyle name="40% - Accent4 11 4" xfId="4201"/>
    <cellStyle name="40% - Accent4 11 5" xfId="4202"/>
    <cellStyle name="40% - Accent4 11 6" xfId="4203"/>
    <cellStyle name="40% - Accent4 11 7" xfId="4204"/>
    <cellStyle name="40% - Accent4 12" xfId="705"/>
    <cellStyle name="40% - Accent4 12 2" xfId="706"/>
    <cellStyle name="40% - Accent4 12 2 2" xfId="707"/>
    <cellStyle name="40% - Accent4 12 2 2 2" xfId="7473"/>
    <cellStyle name="40% - Accent4 12 2 3" xfId="708"/>
    <cellStyle name="40% - Accent4 12 2 3 2" xfId="7474"/>
    <cellStyle name="40% - Accent4 12 2 4" xfId="4205"/>
    <cellStyle name="40% - Accent4 12 2 5" xfId="7472"/>
    <cellStyle name="40% - Accent4 12 3" xfId="709"/>
    <cellStyle name="40% - Accent4 12 3 2" xfId="4206"/>
    <cellStyle name="40% - Accent4 12 4" xfId="4207"/>
    <cellStyle name="40% - Accent4 12 5" xfId="4208"/>
    <cellStyle name="40% - Accent4 12 6" xfId="4209"/>
    <cellStyle name="40% - Accent4 12 7" xfId="4210"/>
    <cellStyle name="40% - Accent4 13" xfId="710"/>
    <cellStyle name="40% - Accent4 13 2" xfId="711"/>
    <cellStyle name="40% - Accent4 13 2 2" xfId="4211"/>
    <cellStyle name="40% - Accent4 14" xfId="712"/>
    <cellStyle name="40% - Accent4 14 2" xfId="713"/>
    <cellStyle name="40% - Accent4 14 2 2" xfId="4212"/>
    <cellStyle name="40% - Accent4 15" xfId="714"/>
    <cellStyle name="40% - Accent4 15 2" xfId="715"/>
    <cellStyle name="40% - Accent4 15 2 2" xfId="4213"/>
    <cellStyle name="40% - Accent4 16" xfId="716"/>
    <cellStyle name="40% - Accent4 16 2" xfId="717"/>
    <cellStyle name="40% - Accent4 16 2 2" xfId="4214"/>
    <cellStyle name="40% - Accent4 17" xfId="718"/>
    <cellStyle name="40% - Accent4 17 2" xfId="719"/>
    <cellStyle name="40% - Accent4 17 2 2" xfId="4215"/>
    <cellStyle name="40% - Accent4 18" xfId="720"/>
    <cellStyle name="40% - Accent4 18 2" xfId="721"/>
    <cellStyle name="40% - Accent4 18 2 2" xfId="4216"/>
    <cellStyle name="40% - Accent4 19" xfId="722"/>
    <cellStyle name="40% - Accent4 19 2" xfId="723"/>
    <cellStyle name="40% - Accent4 19 2 2" xfId="4217"/>
    <cellStyle name="40% - Accent4 2" xfId="724"/>
    <cellStyle name="40% - Accent4 2 2" xfId="725"/>
    <cellStyle name="40% - Accent4 2 2 2" xfId="726"/>
    <cellStyle name="40% - Accent4 2 2 2 2" xfId="727"/>
    <cellStyle name="40% - Accent4 2 2 2 2 2" xfId="7477"/>
    <cellStyle name="40% - Accent4 2 2 2 3" xfId="728"/>
    <cellStyle name="40% - Accent4 2 2 2 3 2" xfId="7478"/>
    <cellStyle name="40% - Accent4 2 2 2 4" xfId="7476"/>
    <cellStyle name="40% - Accent4 2 2 3" xfId="729"/>
    <cellStyle name="40% - Accent4 2 2 3 2" xfId="7479"/>
    <cellStyle name="40% - Accent4 2 2 4" xfId="730"/>
    <cellStyle name="40% - Accent4 2 2 4 2" xfId="7480"/>
    <cellStyle name="40% - Accent4 2 2 5" xfId="3422"/>
    <cellStyle name="40% - Accent4 2 2 6" xfId="7475"/>
    <cellStyle name="40% - Accent4 2 3" xfId="731"/>
    <cellStyle name="40% - Accent4 2 3 2" xfId="3465"/>
    <cellStyle name="40% - Accent4 2 3 3" xfId="7769"/>
    <cellStyle name="40% - Accent4 2 4" xfId="4218"/>
    <cellStyle name="40% - Accent4 2 5" xfId="4219"/>
    <cellStyle name="40% - Accent4 2 6" xfId="4220"/>
    <cellStyle name="40% - Accent4 2 7" xfId="4221"/>
    <cellStyle name="40% - Accent4 2 8" xfId="3386"/>
    <cellStyle name="40% - Accent4 2 9" xfId="7737"/>
    <cellStyle name="40% - Accent4 20" xfId="732"/>
    <cellStyle name="40% - Accent4 20 2" xfId="733"/>
    <cellStyle name="40% - Accent4 20 2 2" xfId="4222"/>
    <cellStyle name="40% - Accent4 21" xfId="734"/>
    <cellStyle name="40% - Accent4 21 2" xfId="735"/>
    <cellStyle name="40% - Accent4 21 2 2" xfId="4223"/>
    <cellStyle name="40% - Accent4 22" xfId="736"/>
    <cellStyle name="40% - Accent4 22 2" xfId="737"/>
    <cellStyle name="40% - Accent4 23" xfId="738"/>
    <cellStyle name="40% - Accent4 23 2" xfId="739"/>
    <cellStyle name="40% - Accent4 24" xfId="740"/>
    <cellStyle name="40% - Accent4 24 2" xfId="741"/>
    <cellStyle name="40% - Accent4 25" xfId="742"/>
    <cellStyle name="40% - Accent4 26" xfId="743"/>
    <cellStyle name="40% - Accent4 26 2" xfId="7481"/>
    <cellStyle name="40% - Accent4 27" xfId="7721"/>
    <cellStyle name="40% - Accent4 3" xfId="744"/>
    <cellStyle name="40% - Accent4 3 2" xfId="745"/>
    <cellStyle name="40% - Accent4 3 2 2" xfId="746"/>
    <cellStyle name="40% - Accent4 3 2 2 2" xfId="7483"/>
    <cellStyle name="40% - Accent4 3 2 3" xfId="747"/>
    <cellStyle name="40% - Accent4 3 2 3 2" xfId="7484"/>
    <cellStyle name="40% - Accent4 3 2 4" xfId="4224"/>
    <cellStyle name="40% - Accent4 3 2 5" xfId="7482"/>
    <cellStyle name="40% - Accent4 3 3" xfId="748"/>
    <cellStyle name="40% - Accent4 3 3 2" xfId="4225"/>
    <cellStyle name="40% - Accent4 3 4" xfId="4226"/>
    <cellStyle name="40% - Accent4 3 5" xfId="4227"/>
    <cellStyle name="40% - Accent4 3 6" xfId="4228"/>
    <cellStyle name="40% - Accent4 3 7" xfId="4229"/>
    <cellStyle name="40% - Accent4 3 8" xfId="3409"/>
    <cellStyle name="40% - Accent4 3 9" xfId="7751"/>
    <cellStyle name="40% - Accent4 4" xfId="749"/>
    <cellStyle name="40% - Accent4 4 2" xfId="750"/>
    <cellStyle name="40% - Accent4 4 2 2" xfId="751"/>
    <cellStyle name="40% - Accent4 4 2 2 2" xfId="7486"/>
    <cellStyle name="40% - Accent4 4 2 3" xfId="752"/>
    <cellStyle name="40% - Accent4 4 2 3 2" xfId="7487"/>
    <cellStyle name="40% - Accent4 4 2 4" xfId="4231"/>
    <cellStyle name="40% - Accent4 4 2 5" xfId="7485"/>
    <cellStyle name="40% - Accent4 4 3" xfId="753"/>
    <cellStyle name="40% - Accent4 4 3 2" xfId="4232"/>
    <cellStyle name="40% - Accent4 4 4" xfId="4233"/>
    <cellStyle name="40% - Accent4 4 5" xfId="4234"/>
    <cellStyle name="40% - Accent4 4 6" xfId="4235"/>
    <cellStyle name="40% - Accent4 4 7" xfId="4236"/>
    <cellStyle name="40% - Accent4 4 8" xfId="4230"/>
    <cellStyle name="40% - Accent4 5" xfId="754"/>
    <cellStyle name="40% - Accent4 5 2" xfId="755"/>
    <cellStyle name="40% - Accent4 5 2 2" xfId="756"/>
    <cellStyle name="40% - Accent4 5 2 2 2" xfId="7489"/>
    <cellStyle name="40% - Accent4 5 2 3" xfId="757"/>
    <cellStyle name="40% - Accent4 5 2 3 2" xfId="7490"/>
    <cellStyle name="40% - Accent4 5 2 4" xfId="4238"/>
    <cellStyle name="40% - Accent4 5 2 5" xfId="7488"/>
    <cellStyle name="40% - Accent4 5 3" xfId="758"/>
    <cellStyle name="40% - Accent4 5 3 2" xfId="4239"/>
    <cellStyle name="40% - Accent4 5 4" xfId="4240"/>
    <cellStyle name="40% - Accent4 5 5" xfId="4241"/>
    <cellStyle name="40% - Accent4 5 6" xfId="4242"/>
    <cellStyle name="40% - Accent4 5 7" xfId="4243"/>
    <cellStyle name="40% - Accent4 5 8" xfId="4237"/>
    <cellStyle name="40% - Accent4 6" xfId="759"/>
    <cellStyle name="40% - Accent4 6 2" xfId="760"/>
    <cellStyle name="40% - Accent4 6 2 2" xfId="761"/>
    <cellStyle name="40% - Accent4 6 2 2 2" xfId="7492"/>
    <cellStyle name="40% - Accent4 6 2 3" xfId="762"/>
    <cellStyle name="40% - Accent4 6 2 3 2" xfId="7493"/>
    <cellStyle name="40% - Accent4 6 2 4" xfId="4244"/>
    <cellStyle name="40% - Accent4 6 2 5" xfId="7491"/>
    <cellStyle name="40% - Accent4 6 3" xfId="763"/>
    <cellStyle name="40% - Accent4 6 3 2" xfId="4245"/>
    <cellStyle name="40% - Accent4 6 4" xfId="4246"/>
    <cellStyle name="40% - Accent4 6 5" xfId="4247"/>
    <cellStyle name="40% - Accent4 6 6" xfId="4248"/>
    <cellStyle name="40% - Accent4 6 7" xfId="4249"/>
    <cellStyle name="40% - Accent4 7" xfId="764"/>
    <cellStyle name="40% - Accent4 7 2" xfId="765"/>
    <cellStyle name="40% - Accent4 7 2 2" xfId="766"/>
    <cellStyle name="40% - Accent4 7 2 2 2" xfId="7495"/>
    <cellStyle name="40% - Accent4 7 2 3" xfId="767"/>
    <cellStyle name="40% - Accent4 7 2 3 2" xfId="7496"/>
    <cellStyle name="40% - Accent4 7 2 4" xfId="4250"/>
    <cellStyle name="40% - Accent4 7 2 5" xfId="7494"/>
    <cellStyle name="40% - Accent4 7 3" xfId="768"/>
    <cellStyle name="40% - Accent4 7 3 2" xfId="4251"/>
    <cellStyle name="40% - Accent4 7 4" xfId="4252"/>
    <cellStyle name="40% - Accent4 7 5" xfId="4253"/>
    <cellStyle name="40% - Accent4 7 6" xfId="4254"/>
    <cellStyle name="40% - Accent4 7 7" xfId="4255"/>
    <cellStyle name="40% - Accent4 8" xfId="769"/>
    <cellStyle name="40% - Accent4 8 2" xfId="770"/>
    <cellStyle name="40% - Accent4 8 2 2" xfId="771"/>
    <cellStyle name="40% - Accent4 8 2 2 2" xfId="7498"/>
    <cellStyle name="40% - Accent4 8 2 3" xfId="772"/>
    <cellStyle name="40% - Accent4 8 2 3 2" xfId="7499"/>
    <cellStyle name="40% - Accent4 8 2 4" xfId="4256"/>
    <cellStyle name="40% - Accent4 8 2 5" xfId="7497"/>
    <cellStyle name="40% - Accent4 8 3" xfId="773"/>
    <cellStyle name="40% - Accent4 8 3 2" xfId="4257"/>
    <cellStyle name="40% - Accent4 8 4" xfId="4258"/>
    <cellStyle name="40% - Accent4 8 5" xfId="4259"/>
    <cellStyle name="40% - Accent4 8 6" xfId="4260"/>
    <cellStyle name="40% - Accent4 8 7" xfId="4261"/>
    <cellStyle name="40% - Accent4 9" xfId="774"/>
    <cellStyle name="40% - Accent4 9 2" xfId="775"/>
    <cellStyle name="40% - Accent4 9 2 2" xfId="776"/>
    <cellStyle name="40% - Accent4 9 2 2 2" xfId="7501"/>
    <cellStyle name="40% - Accent4 9 2 3" xfId="777"/>
    <cellStyle name="40% - Accent4 9 2 3 2" xfId="7502"/>
    <cellStyle name="40% - Accent4 9 2 4" xfId="4262"/>
    <cellStyle name="40% - Accent4 9 2 5" xfId="7500"/>
    <cellStyle name="40% - Accent4 9 3" xfId="778"/>
    <cellStyle name="40% - Accent4 9 3 2" xfId="4263"/>
    <cellStyle name="40% - Accent4 9 4" xfId="4264"/>
    <cellStyle name="40% - Accent4 9 5" xfId="4265"/>
    <cellStyle name="40% - Accent4 9 6" xfId="4266"/>
    <cellStyle name="40% - Accent4 9 7" xfId="4267"/>
    <cellStyle name="40% - Accent5" xfId="3298" builtinId="47" customBuiltin="1"/>
    <cellStyle name="40% - Accent5 10" xfId="779"/>
    <cellStyle name="40% - Accent5 10 2" xfId="780"/>
    <cellStyle name="40% - Accent5 10 2 2" xfId="4268"/>
    <cellStyle name="40% - Accent5 10 2 3" xfId="7504"/>
    <cellStyle name="40% - Accent5 10 3" xfId="4269"/>
    <cellStyle name="40% - Accent5 10 4" xfId="4270"/>
    <cellStyle name="40% - Accent5 10 5" xfId="4271"/>
    <cellStyle name="40% - Accent5 10 6" xfId="4272"/>
    <cellStyle name="40% - Accent5 10 7" xfId="4273"/>
    <cellStyle name="40% - Accent5 10 8" xfId="7503"/>
    <cellStyle name="40% - Accent5 11" xfId="781"/>
    <cellStyle name="40% - Accent5 11 2" xfId="782"/>
    <cellStyle name="40% - Accent5 11 2 2" xfId="4274"/>
    <cellStyle name="40% - Accent5 11 2 3" xfId="7506"/>
    <cellStyle name="40% - Accent5 11 3" xfId="4275"/>
    <cellStyle name="40% - Accent5 11 4" xfId="4276"/>
    <cellStyle name="40% - Accent5 11 5" xfId="4277"/>
    <cellStyle name="40% - Accent5 11 6" xfId="4278"/>
    <cellStyle name="40% - Accent5 11 7" xfId="4279"/>
    <cellStyle name="40% - Accent5 11 8" xfId="7505"/>
    <cellStyle name="40% - Accent5 12" xfId="783"/>
    <cellStyle name="40% - Accent5 12 2" xfId="784"/>
    <cellStyle name="40% - Accent5 12 2 2" xfId="4280"/>
    <cellStyle name="40% - Accent5 12 2 3" xfId="7508"/>
    <cellStyle name="40% - Accent5 12 3" xfId="4281"/>
    <cellStyle name="40% - Accent5 12 4" xfId="4282"/>
    <cellStyle name="40% - Accent5 12 5" xfId="4283"/>
    <cellStyle name="40% - Accent5 12 6" xfId="4284"/>
    <cellStyle name="40% - Accent5 12 7" xfId="4285"/>
    <cellStyle name="40% - Accent5 12 8" xfId="7507"/>
    <cellStyle name="40% - Accent5 13" xfId="785"/>
    <cellStyle name="40% - Accent5 13 2" xfId="4286"/>
    <cellStyle name="40% - Accent5 14" xfId="7723"/>
    <cellStyle name="40% - Accent5 14 2" xfId="4287"/>
    <cellStyle name="40% - Accent5 15 2" xfId="4288"/>
    <cellStyle name="40% - Accent5 16 2" xfId="4289"/>
    <cellStyle name="40% - Accent5 17 2" xfId="4290"/>
    <cellStyle name="40% - Accent5 18 2" xfId="4291"/>
    <cellStyle name="40% - Accent5 19 2" xfId="4292"/>
    <cellStyle name="40% - Accent5 2" xfId="786"/>
    <cellStyle name="40% - Accent5 2 10" xfId="7739"/>
    <cellStyle name="40% - Accent5 2 2" xfId="787"/>
    <cellStyle name="40% - Accent5 2 2 2" xfId="788"/>
    <cellStyle name="40% - Accent5 2 2 2 2" xfId="7511"/>
    <cellStyle name="40% - Accent5 2 2 3" xfId="3421"/>
    <cellStyle name="40% - Accent5 2 2 4" xfId="7510"/>
    <cellStyle name="40% - Accent5 2 3" xfId="789"/>
    <cellStyle name="40% - Accent5 2 3 2" xfId="3467"/>
    <cellStyle name="40% - Accent5 2 3 3" xfId="7512"/>
    <cellStyle name="40% - Accent5 2 3 4" xfId="7771"/>
    <cellStyle name="40% - Accent5 2 4" xfId="4293"/>
    <cellStyle name="40% - Accent5 2 5" xfId="4294"/>
    <cellStyle name="40% - Accent5 2 6" xfId="4295"/>
    <cellStyle name="40% - Accent5 2 7" xfId="4296"/>
    <cellStyle name="40% - Accent5 2 8" xfId="3388"/>
    <cellStyle name="40% - Accent5 2 9" xfId="7509"/>
    <cellStyle name="40% - Accent5 20 2" xfId="4297"/>
    <cellStyle name="40% - Accent5 21 2" xfId="4298"/>
    <cellStyle name="40% - Accent5 3" xfId="790"/>
    <cellStyle name="40% - Accent5 3 10" xfId="7752"/>
    <cellStyle name="40% - Accent5 3 2" xfId="791"/>
    <cellStyle name="40% - Accent5 3 2 2" xfId="4299"/>
    <cellStyle name="40% - Accent5 3 2 3" xfId="7514"/>
    <cellStyle name="40% - Accent5 3 3" xfId="4300"/>
    <cellStyle name="40% - Accent5 3 4" xfId="4301"/>
    <cellStyle name="40% - Accent5 3 5" xfId="4302"/>
    <cellStyle name="40% - Accent5 3 6" xfId="4303"/>
    <cellStyle name="40% - Accent5 3 7" xfId="4304"/>
    <cellStyle name="40% - Accent5 3 8" xfId="3411"/>
    <cellStyle name="40% - Accent5 3 9" xfId="7513"/>
    <cellStyle name="40% - Accent5 4" xfId="792"/>
    <cellStyle name="40% - Accent5 4 2" xfId="793"/>
    <cellStyle name="40% - Accent5 4 2 2" xfId="4306"/>
    <cellStyle name="40% - Accent5 4 2 3" xfId="7516"/>
    <cellStyle name="40% - Accent5 4 3" xfId="4307"/>
    <cellStyle name="40% - Accent5 4 4" xfId="4308"/>
    <cellStyle name="40% - Accent5 4 5" xfId="4309"/>
    <cellStyle name="40% - Accent5 4 6" xfId="4310"/>
    <cellStyle name="40% - Accent5 4 7" xfId="4311"/>
    <cellStyle name="40% - Accent5 4 8" xfId="4305"/>
    <cellStyle name="40% - Accent5 4 9" xfId="7515"/>
    <cellStyle name="40% - Accent5 5" xfId="794"/>
    <cellStyle name="40% - Accent5 5 2" xfId="795"/>
    <cellStyle name="40% - Accent5 5 2 2" xfId="4313"/>
    <cellStyle name="40% - Accent5 5 2 3" xfId="7518"/>
    <cellStyle name="40% - Accent5 5 3" xfId="4314"/>
    <cellStyle name="40% - Accent5 5 4" xfId="4315"/>
    <cellStyle name="40% - Accent5 5 5" xfId="4316"/>
    <cellStyle name="40% - Accent5 5 6" xfId="4317"/>
    <cellStyle name="40% - Accent5 5 7" xfId="4318"/>
    <cellStyle name="40% - Accent5 5 8" xfId="4312"/>
    <cellStyle name="40% - Accent5 5 9" xfId="7517"/>
    <cellStyle name="40% - Accent5 6" xfId="796"/>
    <cellStyle name="40% - Accent5 6 2" xfId="797"/>
    <cellStyle name="40% - Accent5 6 2 2" xfId="4319"/>
    <cellStyle name="40% - Accent5 6 2 3" xfId="7520"/>
    <cellStyle name="40% - Accent5 6 3" xfId="4320"/>
    <cellStyle name="40% - Accent5 6 4" xfId="4321"/>
    <cellStyle name="40% - Accent5 6 5" xfId="4322"/>
    <cellStyle name="40% - Accent5 6 6" xfId="4323"/>
    <cellStyle name="40% - Accent5 6 7" xfId="4324"/>
    <cellStyle name="40% - Accent5 6 8" xfId="7519"/>
    <cellStyle name="40% - Accent5 7" xfId="798"/>
    <cellStyle name="40% - Accent5 7 2" xfId="799"/>
    <cellStyle name="40% - Accent5 7 2 2" xfId="4325"/>
    <cellStyle name="40% - Accent5 7 2 3" xfId="7522"/>
    <cellStyle name="40% - Accent5 7 3" xfId="4326"/>
    <cellStyle name="40% - Accent5 7 4" xfId="4327"/>
    <cellStyle name="40% - Accent5 7 5" xfId="4328"/>
    <cellStyle name="40% - Accent5 7 6" xfId="4329"/>
    <cellStyle name="40% - Accent5 7 7" xfId="4330"/>
    <cellStyle name="40% - Accent5 7 8" xfId="7521"/>
    <cellStyle name="40% - Accent5 8" xfId="800"/>
    <cellStyle name="40% - Accent5 8 2" xfId="801"/>
    <cellStyle name="40% - Accent5 8 2 2" xfId="4331"/>
    <cellStyle name="40% - Accent5 8 2 3" xfId="7524"/>
    <cellStyle name="40% - Accent5 8 3" xfId="4332"/>
    <cellStyle name="40% - Accent5 8 4" xfId="4333"/>
    <cellStyle name="40% - Accent5 8 5" xfId="4334"/>
    <cellStyle name="40% - Accent5 8 6" xfId="4335"/>
    <cellStyle name="40% - Accent5 8 7" xfId="4336"/>
    <cellStyle name="40% - Accent5 8 8" xfId="7523"/>
    <cellStyle name="40% - Accent5 9" xfId="802"/>
    <cellStyle name="40% - Accent5 9 2" xfId="803"/>
    <cellStyle name="40% - Accent5 9 2 2" xfId="4337"/>
    <cellStyle name="40% - Accent5 9 2 3" xfId="7526"/>
    <cellStyle name="40% - Accent5 9 3" xfId="4338"/>
    <cellStyle name="40% - Accent5 9 4" xfId="4339"/>
    <cellStyle name="40% - Accent5 9 5" xfId="4340"/>
    <cellStyle name="40% - Accent5 9 6" xfId="4341"/>
    <cellStyle name="40% - Accent5 9 7" xfId="4342"/>
    <cellStyle name="40% - Accent5 9 8" xfId="7525"/>
    <cellStyle name="40% - Accent6" xfId="3302" builtinId="51" customBuiltin="1"/>
    <cellStyle name="40% - Accent6 10" xfId="804"/>
    <cellStyle name="40% - Accent6 10 2" xfId="805"/>
    <cellStyle name="40% - Accent6 10 2 2" xfId="806"/>
    <cellStyle name="40% - Accent6 10 2 2 2" xfId="7528"/>
    <cellStyle name="40% - Accent6 10 2 3" xfId="807"/>
    <cellStyle name="40% - Accent6 10 2 3 2" xfId="7529"/>
    <cellStyle name="40% - Accent6 10 2 4" xfId="4343"/>
    <cellStyle name="40% - Accent6 10 2 5" xfId="7527"/>
    <cellStyle name="40% - Accent6 10 3" xfId="808"/>
    <cellStyle name="40% - Accent6 10 3 2" xfId="4344"/>
    <cellStyle name="40% - Accent6 10 4" xfId="4345"/>
    <cellStyle name="40% - Accent6 10 5" xfId="4346"/>
    <cellStyle name="40% - Accent6 10 6" xfId="4347"/>
    <cellStyle name="40% - Accent6 10 7" xfId="4348"/>
    <cellStyle name="40% - Accent6 11" xfId="809"/>
    <cellStyle name="40% - Accent6 11 2" xfId="810"/>
    <cellStyle name="40% - Accent6 11 2 2" xfId="811"/>
    <cellStyle name="40% - Accent6 11 2 2 2" xfId="7531"/>
    <cellStyle name="40% - Accent6 11 2 3" xfId="812"/>
    <cellStyle name="40% - Accent6 11 2 3 2" xfId="7532"/>
    <cellStyle name="40% - Accent6 11 2 4" xfId="4349"/>
    <cellStyle name="40% - Accent6 11 2 5" xfId="7530"/>
    <cellStyle name="40% - Accent6 11 3" xfId="813"/>
    <cellStyle name="40% - Accent6 11 3 2" xfId="4350"/>
    <cellStyle name="40% - Accent6 11 4" xfId="4351"/>
    <cellStyle name="40% - Accent6 11 5" xfId="4352"/>
    <cellStyle name="40% - Accent6 11 6" xfId="4353"/>
    <cellStyle name="40% - Accent6 11 7" xfId="4354"/>
    <cellStyle name="40% - Accent6 12" xfId="814"/>
    <cellStyle name="40% - Accent6 12 2" xfId="815"/>
    <cellStyle name="40% - Accent6 12 2 2" xfId="816"/>
    <cellStyle name="40% - Accent6 12 2 2 2" xfId="7534"/>
    <cellStyle name="40% - Accent6 12 2 3" xfId="817"/>
    <cellStyle name="40% - Accent6 12 2 3 2" xfId="7535"/>
    <cellStyle name="40% - Accent6 12 2 4" xfId="4355"/>
    <cellStyle name="40% - Accent6 12 2 5" xfId="7533"/>
    <cellStyle name="40% - Accent6 12 3" xfId="818"/>
    <cellStyle name="40% - Accent6 12 3 2" xfId="4356"/>
    <cellStyle name="40% - Accent6 12 4" xfId="4357"/>
    <cellStyle name="40% - Accent6 12 5" xfId="4358"/>
    <cellStyle name="40% - Accent6 12 6" xfId="4359"/>
    <cellStyle name="40% - Accent6 12 7" xfId="4360"/>
    <cellStyle name="40% - Accent6 13" xfId="819"/>
    <cellStyle name="40% - Accent6 13 2" xfId="820"/>
    <cellStyle name="40% - Accent6 13 2 2" xfId="4361"/>
    <cellStyle name="40% - Accent6 14" xfId="821"/>
    <cellStyle name="40% - Accent6 14 2" xfId="822"/>
    <cellStyle name="40% - Accent6 14 2 2" xfId="4362"/>
    <cellStyle name="40% - Accent6 15" xfId="823"/>
    <cellStyle name="40% - Accent6 15 2" xfId="824"/>
    <cellStyle name="40% - Accent6 15 2 2" xfId="4363"/>
    <cellStyle name="40% - Accent6 16" xfId="825"/>
    <cellStyle name="40% - Accent6 16 2" xfId="826"/>
    <cellStyle name="40% - Accent6 16 2 2" xfId="4364"/>
    <cellStyle name="40% - Accent6 17" xfId="827"/>
    <cellStyle name="40% - Accent6 17 2" xfId="828"/>
    <cellStyle name="40% - Accent6 17 2 2" xfId="4365"/>
    <cellStyle name="40% - Accent6 18" xfId="829"/>
    <cellStyle name="40% - Accent6 18 2" xfId="830"/>
    <cellStyle name="40% - Accent6 18 2 2" xfId="4366"/>
    <cellStyle name="40% - Accent6 19" xfId="831"/>
    <cellStyle name="40% - Accent6 19 2" xfId="832"/>
    <cellStyle name="40% - Accent6 19 2 2" xfId="4367"/>
    <cellStyle name="40% - Accent6 2" xfId="833"/>
    <cellStyle name="40% - Accent6 2 2" xfId="834"/>
    <cellStyle name="40% - Accent6 2 2 2" xfId="835"/>
    <cellStyle name="40% - Accent6 2 2 2 2" xfId="836"/>
    <cellStyle name="40% - Accent6 2 2 2 2 2" xfId="7538"/>
    <cellStyle name="40% - Accent6 2 2 2 3" xfId="837"/>
    <cellStyle name="40% - Accent6 2 2 2 3 2" xfId="7539"/>
    <cellStyle name="40% - Accent6 2 2 2 4" xfId="7537"/>
    <cellStyle name="40% - Accent6 2 2 3" xfId="838"/>
    <cellStyle name="40% - Accent6 2 2 3 2" xfId="7540"/>
    <cellStyle name="40% - Accent6 2 2 4" xfId="839"/>
    <cellStyle name="40% - Accent6 2 2 4 2" xfId="7541"/>
    <cellStyle name="40% - Accent6 2 2 5" xfId="3414"/>
    <cellStyle name="40% - Accent6 2 2 6" xfId="7536"/>
    <cellStyle name="40% - Accent6 2 3" xfId="840"/>
    <cellStyle name="40% - Accent6 2 3 2" xfId="3469"/>
    <cellStyle name="40% - Accent6 2 3 3" xfId="7773"/>
    <cellStyle name="40% - Accent6 2 4" xfId="4368"/>
    <cellStyle name="40% - Accent6 2 5" xfId="4369"/>
    <cellStyle name="40% - Accent6 2 6" xfId="4370"/>
    <cellStyle name="40% - Accent6 2 7" xfId="4371"/>
    <cellStyle name="40% - Accent6 2 8" xfId="3390"/>
    <cellStyle name="40% - Accent6 2 9" xfId="7741"/>
    <cellStyle name="40% - Accent6 20" xfId="841"/>
    <cellStyle name="40% - Accent6 20 2" xfId="842"/>
    <cellStyle name="40% - Accent6 20 2 2" xfId="4372"/>
    <cellStyle name="40% - Accent6 21" xfId="843"/>
    <cellStyle name="40% - Accent6 21 2" xfId="844"/>
    <cellStyle name="40% - Accent6 21 2 2" xfId="4373"/>
    <cellStyle name="40% - Accent6 22" xfId="845"/>
    <cellStyle name="40% - Accent6 22 2" xfId="846"/>
    <cellStyle name="40% - Accent6 23" xfId="847"/>
    <cellStyle name="40% - Accent6 23 2" xfId="848"/>
    <cellStyle name="40% - Accent6 24" xfId="849"/>
    <cellStyle name="40% - Accent6 24 2" xfId="850"/>
    <cellStyle name="40% - Accent6 25" xfId="851"/>
    <cellStyle name="40% - Accent6 26" xfId="852"/>
    <cellStyle name="40% - Accent6 26 2" xfId="7542"/>
    <cellStyle name="40% - Accent6 27" xfId="7725"/>
    <cellStyle name="40% - Accent6 3" xfId="853"/>
    <cellStyle name="40% - Accent6 3 2" xfId="854"/>
    <cellStyle name="40% - Accent6 3 2 2" xfId="855"/>
    <cellStyle name="40% - Accent6 3 2 2 2" xfId="7544"/>
    <cellStyle name="40% - Accent6 3 2 3" xfId="856"/>
    <cellStyle name="40% - Accent6 3 2 3 2" xfId="7545"/>
    <cellStyle name="40% - Accent6 3 2 4" xfId="4374"/>
    <cellStyle name="40% - Accent6 3 2 5" xfId="7543"/>
    <cellStyle name="40% - Accent6 3 3" xfId="857"/>
    <cellStyle name="40% - Accent6 3 3 2" xfId="4375"/>
    <cellStyle name="40% - Accent6 3 4" xfId="4376"/>
    <cellStyle name="40% - Accent6 3 5" xfId="4377"/>
    <cellStyle name="40% - Accent6 3 6" xfId="4378"/>
    <cellStyle name="40% - Accent6 3 7" xfId="4379"/>
    <cellStyle name="40% - Accent6 3 8" xfId="3399"/>
    <cellStyle name="40% - Accent6 3 9" xfId="7746"/>
    <cellStyle name="40% - Accent6 4" xfId="858"/>
    <cellStyle name="40% - Accent6 4 2" xfId="859"/>
    <cellStyle name="40% - Accent6 4 2 2" xfId="860"/>
    <cellStyle name="40% - Accent6 4 2 2 2" xfId="7547"/>
    <cellStyle name="40% - Accent6 4 2 3" xfId="861"/>
    <cellStyle name="40% - Accent6 4 2 3 2" xfId="7548"/>
    <cellStyle name="40% - Accent6 4 2 4" xfId="4381"/>
    <cellStyle name="40% - Accent6 4 2 5" xfId="7546"/>
    <cellStyle name="40% - Accent6 4 3" xfId="862"/>
    <cellStyle name="40% - Accent6 4 3 2" xfId="4382"/>
    <cellStyle name="40% - Accent6 4 4" xfId="4383"/>
    <cellStyle name="40% - Accent6 4 5" xfId="4384"/>
    <cellStyle name="40% - Accent6 4 6" xfId="4385"/>
    <cellStyle name="40% - Accent6 4 7" xfId="4386"/>
    <cellStyle name="40% - Accent6 4 8" xfId="4380"/>
    <cellStyle name="40% - Accent6 5" xfId="863"/>
    <cellStyle name="40% - Accent6 5 2" xfId="864"/>
    <cellStyle name="40% - Accent6 5 2 2" xfId="865"/>
    <cellStyle name="40% - Accent6 5 2 2 2" xfId="7550"/>
    <cellStyle name="40% - Accent6 5 2 3" xfId="866"/>
    <cellStyle name="40% - Accent6 5 2 3 2" xfId="7551"/>
    <cellStyle name="40% - Accent6 5 2 4" xfId="4388"/>
    <cellStyle name="40% - Accent6 5 2 5" xfId="7549"/>
    <cellStyle name="40% - Accent6 5 3" xfId="867"/>
    <cellStyle name="40% - Accent6 5 3 2" xfId="4389"/>
    <cellStyle name="40% - Accent6 5 4" xfId="4390"/>
    <cellStyle name="40% - Accent6 5 5" xfId="4391"/>
    <cellStyle name="40% - Accent6 5 6" xfId="4392"/>
    <cellStyle name="40% - Accent6 5 7" xfId="4393"/>
    <cellStyle name="40% - Accent6 5 8" xfId="4387"/>
    <cellStyle name="40% - Accent6 6" xfId="868"/>
    <cellStyle name="40% - Accent6 6 2" xfId="869"/>
    <cellStyle name="40% - Accent6 6 2 2" xfId="870"/>
    <cellStyle name="40% - Accent6 6 2 2 2" xfId="7553"/>
    <cellStyle name="40% - Accent6 6 2 3" xfId="871"/>
    <cellStyle name="40% - Accent6 6 2 3 2" xfId="7554"/>
    <cellStyle name="40% - Accent6 6 2 4" xfId="4394"/>
    <cellStyle name="40% - Accent6 6 2 5" xfId="7552"/>
    <cellStyle name="40% - Accent6 6 3" xfId="872"/>
    <cellStyle name="40% - Accent6 6 3 2" xfId="4395"/>
    <cellStyle name="40% - Accent6 6 4" xfId="4396"/>
    <cellStyle name="40% - Accent6 6 5" xfId="4397"/>
    <cellStyle name="40% - Accent6 6 6" xfId="4398"/>
    <cellStyle name="40% - Accent6 6 7" xfId="4399"/>
    <cellStyle name="40% - Accent6 7" xfId="873"/>
    <cellStyle name="40% - Accent6 7 2" xfId="874"/>
    <cellStyle name="40% - Accent6 7 2 2" xfId="875"/>
    <cellStyle name="40% - Accent6 7 2 2 2" xfId="7556"/>
    <cellStyle name="40% - Accent6 7 2 3" xfId="876"/>
    <cellStyle name="40% - Accent6 7 2 3 2" xfId="7557"/>
    <cellStyle name="40% - Accent6 7 2 4" xfId="4400"/>
    <cellStyle name="40% - Accent6 7 2 5" xfId="7555"/>
    <cellStyle name="40% - Accent6 7 3" xfId="877"/>
    <cellStyle name="40% - Accent6 7 3 2" xfId="4401"/>
    <cellStyle name="40% - Accent6 7 4" xfId="4402"/>
    <cellStyle name="40% - Accent6 7 5" xfId="4403"/>
    <cellStyle name="40% - Accent6 7 6" xfId="4404"/>
    <cellStyle name="40% - Accent6 7 7" xfId="4405"/>
    <cellStyle name="40% - Accent6 8" xfId="878"/>
    <cellStyle name="40% - Accent6 8 2" xfId="879"/>
    <cellStyle name="40% - Accent6 8 2 2" xfId="880"/>
    <cellStyle name="40% - Accent6 8 2 2 2" xfId="7559"/>
    <cellStyle name="40% - Accent6 8 2 3" xfId="881"/>
    <cellStyle name="40% - Accent6 8 2 3 2" xfId="7560"/>
    <cellStyle name="40% - Accent6 8 2 4" xfId="4406"/>
    <cellStyle name="40% - Accent6 8 2 5" xfId="7558"/>
    <cellStyle name="40% - Accent6 8 3" xfId="882"/>
    <cellStyle name="40% - Accent6 8 3 2" xfId="4407"/>
    <cellStyle name="40% - Accent6 8 4" xfId="4408"/>
    <cellStyle name="40% - Accent6 8 5" xfId="4409"/>
    <cellStyle name="40% - Accent6 8 6" xfId="4410"/>
    <cellStyle name="40% - Accent6 8 7" xfId="4411"/>
    <cellStyle name="40% - Accent6 9" xfId="883"/>
    <cellStyle name="40% - Accent6 9 2" xfId="884"/>
    <cellStyle name="40% - Accent6 9 2 2" xfId="885"/>
    <cellStyle name="40% - Accent6 9 2 2 2" xfId="7562"/>
    <cellStyle name="40% - Accent6 9 2 3" xfId="886"/>
    <cellStyle name="40% - Accent6 9 2 3 2" xfId="7563"/>
    <cellStyle name="40% - Accent6 9 2 4" xfId="4412"/>
    <cellStyle name="40% - Accent6 9 2 5" xfId="7561"/>
    <cellStyle name="40% - Accent6 9 3" xfId="887"/>
    <cellStyle name="40% - Accent6 9 3 2" xfId="4413"/>
    <cellStyle name="40% - Accent6 9 4" xfId="4414"/>
    <cellStyle name="40% - Accent6 9 5" xfId="4415"/>
    <cellStyle name="40% - Accent6 9 6" xfId="4416"/>
    <cellStyle name="40% - Accent6 9 7" xfId="4417"/>
    <cellStyle name="60% - Accent1" xfId="3283" builtinId="32" customBuiltin="1"/>
    <cellStyle name="60% - Accent1 10" xfId="888"/>
    <cellStyle name="60% - Accent1 10 2" xfId="889"/>
    <cellStyle name="60% - Accent1 10 2 2" xfId="890"/>
    <cellStyle name="60% - Accent1 10 2 3" xfId="891"/>
    <cellStyle name="60% - Accent1 10 2 4" xfId="4418"/>
    <cellStyle name="60% - Accent1 10 3" xfId="4419"/>
    <cellStyle name="60% - Accent1 10 4" xfId="4420"/>
    <cellStyle name="60% - Accent1 10 5" xfId="4421"/>
    <cellStyle name="60% - Accent1 10 6" xfId="4422"/>
    <cellStyle name="60% - Accent1 10 7" xfId="4423"/>
    <cellStyle name="60% - Accent1 11" xfId="892"/>
    <cellStyle name="60% - Accent1 11 2" xfId="893"/>
    <cellStyle name="60% - Accent1 11 2 2" xfId="894"/>
    <cellStyle name="60% - Accent1 11 2 3" xfId="895"/>
    <cellStyle name="60% - Accent1 11 2 4" xfId="4424"/>
    <cellStyle name="60% - Accent1 11 3" xfId="4425"/>
    <cellStyle name="60% - Accent1 11 4" xfId="4426"/>
    <cellStyle name="60% - Accent1 11 5" xfId="4427"/>
    <cellStyle name="60% - Accent1 11 6" xfId="4428"/>
    <cellStyle name="60% - Accent1 11 7" xfId="4429"/>
    <cellStyle name="60% - Accent1 12" xfId="896"/>
    <cellStyle name="60% - Accent1 12 2" xfId="897"/>
    <cellStyle name="60% - Accent1 12 2 2" xfId="898"/>
    <cellStyle name="60% - Accent1 12 2 3" xfId="899"/>
    <cellStyle name="60% - Accent1 12 2 4" xfId="4430"/>
    <cellStyle name="60% - Accent1 12 3" xfId="4431"/>
    <cellStyle name="60% - Accent1 12 4" xfId="4432"/>
    <cellStyle name="60% - Accent1 12 5" xfId="4433"/>
    <cellStyle name="60% - Accent1 12 6" xfId="4434"/>
    <cellStyle name="60% - Accent1 12 7" xfId="4435"/>
    <cellStyle name="60% - Accent1 13" xfId="900"/>
    <cellStyle name="60% - Accent1 13 2" xfId="4436"/>
    <cellStyle name="60% - Accent1 14" xfId="901"/>
    <cellStyle name="60% - Accent1 14 2" xfId="4437"/>
    <cellStyle name="60% - Accent1 15" xfId="902"/>
    <cellStyle name="60% - Accent1 15 2" xfId="4438"/>
    <cellStyle name="60% - Accent1 16" xfId="903"/>
    <cellStyle name="60% - Accent1 16 2" xfId="4439"/>
    <cellStyle name="60% - Accent1 17" xfId="904"/>
    <cellStyle name="60% - Accent1 17 2" xfId="4440"/>
    <cellStyle name="60% - Accent1 18" xfId="905"/>
    <cellStyle name="60% - Accent1 18 2" xfId="4441"/>
    <cellStyle name="60% - Accent1 19" xfId="906"/>
    <cellStyle name="60% - Accent1 19 2" xfId="4442"/>
    <cellStyle name="60% - Accent1 2" xfId="907"/>
    <cellStyle name="60% - Accent1 2 2" xfId="908"/>
    <cellStyle name="60% - Accent1 2 2 2" xfId="909"/>
    <cellStyle name="60% - Accent1 2 2 2 2" xfId="910"/>
    <cellStyle name="60% - Accent1 2 2 2 3" xfId="911"/>
    <cellStyle name="60% - Accent1 2 2 3" xfId="912"/>
    <cellStyle name="60% - Accent1 2 2 4" xfId="913"/>
    <cellStyle name="60% - Accent1 2 2 5" xfId="4443"/>
    <cellStyle name="60% - Accent1 2 3" xfId="4444"/>
    <cellStyle name="60% - Accent1 2 4" xfId="4445"/>
    <cellStyle name="60% - Accent1 2 5" xfId="4446"/>
    <cellStyle name="60% - Accent1 2 6" xfId="4447"/>
    <cellStyle name="60% - Accent1 2 7" xfId="4448"/>
    <cellStyle name="60% - Accent1 20" xfId="914"/>
    <cellStyle name="60% - Accent1 20 2" xfId="4449"/>
    <cellStyle name="60% - Accent1 21" xfId="915"/>
    <cellStyle name="60% - Accent1 21 2" xfId="4450"/>
    <cellStyle name="60% - Accent1 22" xfId="916"/>
    <cellStyle name="60% - Accent1 23" xfId="917"/>
    <cellStyle name="60% - Accent1 24" xfId="918"/>
    <cellStyle name="60% - Accent1 25" xfId="919"/>
    <cellStyle name="60% - Accent1 26" xfId="920"/>
    <cellStyle name="60% - Accent1 3" xfId="921"/>
    <cellStyle name="60% - Accent1 3 2" xfId="922"/>
    <cellStyle name="60% - Accent1 3 2 2" xfId="923"/>
    <cellStyle name="60% - Accent1 3 2 3" xfId="924"/>
    <cellStyle name="60% - Accent1 3 2 4" xfId="4451"/>
    <cellStyle name="60% - Accent1 3 3" xfId="4452"/>
    <cellStyle name="60% - Accent1 3 4" xfId="4453"/>
    <cellStyle name="60% - Accent1 3 5" xfId="4454"/>
    <cellStyle name="60% - Accent1 3 6" xfId="4455"/>
    <cellStyle name="60% - Accent1 3 7" xfId="4456"/>
    <cellStyle name="60% - Accent1 3 8" xfId="3441"/>
    <cellStyle name="60% - Accent1 4" xfId="925"/>
    <cellStyle name="60% - Accent1 4 2" xfId="926"/>
    <cellStyle name="60% - Accent1 4 2 2" xfId="927"/>
    <cellStyle name="60% - Accent1 4 2 3" xfId="928"/>
    <cellStyle name="60% - Accent1 4 2 4" xfId="4458"/>
    <cellStyle name="60% - Accent1 4 3" xfId="4459"/>
    <cellStyle name="60% - Accent1 4 4" xfId="4460"/>
    <cellStyle name="60% - Accent1 4 5" xfId="4461"/>
    <cellStyle name="60% - Accent1 4 6" xfId="4462"/>
    <cellStyle name="60% - Accent1 4 7" xfId="4463"/>
    <cellStyle name="60% - Accent1 4 8" xfId="4457"/>
    <cellStyle name="60% - Accent1 5" xfId="929"/>
    <cellStyle name="60% - Accent1 5 2" xfId="930"/>
    <cellStyle name="60% - Accent1 5 2 2" xfId="931"/>
    <cellStyle name="60% - Accent1 5 2 3" xfId="932"/>
    <cellStyle name="60% - Accent1 5 2 4" xfId="4465"/>
    <cellStyle name="60% - Accent1 5 3" xfId="4466"/>
    <cellStyle name="60% - Accent1 5 4" xfId="4467"/>
    <cellStyle name="60% - Accent1 5 5" xfId="4468"/>
    <cellStyle name="60% - Accent1 5 6" xfId="4469"/>
    <cellStyle name="60% - Accent1 5 7" xfId="4470"/>
    <cellStyle name="60% - Accent1 5 8" xfId="4464"/>
    <cellStyle name="60% - Accent1 6" xfId="933"/>
    <cellStyle name="60% - Accent1 6 2" xfId="934"/>
    <cellStyle name="60% - Accent1 6 2 2" xfId="935"/>
    <cellStyle name="60% - Accent1 6 2 3" xfId="936"/>
    <cellStyle name="60% - Accent1 6 2 4" xfId="4471"/>
    <cellStyle name="60% - Accent1 6 3" xfId="4472"/>
    <cellStyle name="60% - Accent1 6 4" xfId="4473"/>
    <cellStyle name="60% - Accent1 6 5" xfId="4474"/>
    <cellStyle name="60% - Accent1 6 6" xfId="4475"/>
    <cellStyle name="60% - Accent1 6 7" xfId="4476"/>
    <cellStyle name="60% - Accent1 7" xfId="937"/>
    <cellStyle name="60% - Accent1 7 2" xfId="938"/>
    <cellStyle name="60% - Accent1 7 2 2" xfId="939"/>
    <cellStyle name="60% - Accent1 7 2 3" xfId="940"/>
    <cellStyle name="60% - Accent1 7 2 4" xfId="4477"/>
    <cellStyle name="60% - Accent1 7 3" xfId="4478"/>
    <cellStyle name="60% - Accent1 7 4" xfId="4479"/>
    <cellStyle name="60% - Accent1 7 5" xfId="4480"/>
    <cellStyle name="60% - Accent1 7 6" xfId="4481"/>
    <cellStyle name="60% - Accent1 7 7" xfId="4482"/>
    <cellStyle name="60% - Accent1 8" xfId="941"/>
    <cellStyle name="60% - Accent1 8 2" xfId="942"/>
    <cellStyle name="60% - Accent1 8 2 2" xfId="943"/>
    <cellStyle name="60% - Accent1 8 2 3" xfId="944"/>
    <cellStyle name="60% - Accent1 8 2 4" xfId="4483"/>
    <cellStyle name="60% - Accent1 8 3" xfId="4484"/>
    <cellStyle name="60% - Accent1 8 4" xfId="4485"/>
    <cellStyle name="60% - Accent1 8 5" xfId="4486"/>
    <cellStyle name="60% - Accent1 8 6" xfId="4487"/>
    <cellStyle name="60% - Accent1 8 7" xfId="4488"/>
    <cellStyle name="60% - Accent1 9" xfId="945"/>
    <cellStyle name="60% - Accent1 9 2" xfId="946"/>
    <cellStyle name="60% - Accent1 9 2 2" xfId="947"/>
    <cellStyle name="60% - Accent1 9 2 3" xfId="948"/>
    <cellStyle name="60% - Accent1 9 2 4" xfId="4489"/>
    <cellStyle name="60% - Accent1 9 3" xfId="4490"/>
    <cellStyle name="60% - Accent1 9 4" xfId="4491"/>
    <cellStyle name="60% - Accent1 9 5" xfId="4492"/>
    <cellStyle name="60% - Accent1 9 6" xfId="4493"/>
    <cellStyle name="60% - Accent1 9 7" xfId="4494"/>
    <cellStyle name="60% - Accent2" xfId="3287" builtinId="36" customBuiltin="1"/>
    <cellStyle name="60% - Accent2 10" xfId="949"/>
    <cellStyle name="60% - Accent2 10 2" xfId="950"/>
    <cellStyle name="60% - Accent2 10 2 2" xfId="951"/>
    <cellStyle name="60% - Accent2 10 2 3" xfId="952"/>
    <cellStyle name="60% - Accent2 10 2 4" xfId="4495"/>
    <cellStyle name="60% - Accent2 10 3" xfId="4496"/>
    <cellStyle name="60% - Accent2 10 4" xfId="4497"/>
    <cellStyle name="60% - Accent2 10 5" xfId="4498"/>
    <cellStyle name="60% - Accent2 10 6" xfId="4499"/>
    <cellStyle name="60% - Accent2 10 7" xfId="4500"/>
    <cellStyle name="60% - Accent2 11" xfId="953"/>
    <cellStyle name="60% - Accent2 11 2" xfId="954"/>
    <cellStyle name="60% - Accent2 11 2 2" xfId="955"/>
    <cellStyle name="60% - Accent2 11 2 3" xfId="956"/>
    <cellStyle name="60% - Accent2 11 2 4" xfId="4501"/>
    <cellStyle name="60% - Accent2 11 3" xfId="4502"/>
    <cellStyle name="60% - Accent2 11 4" xfId="4503"/>
    <cellStyle name="60% - Accent2 11 5" xfId="4504"/>
    <cellStyle name="60% - Accent2 11 6" xfId="4505"/>
    <cellStyle name="60% - Accent2 11 7" xfId="4506"/>
    <cellStyle name="60% - Accent2 12" xfId="957"/>
    <cellStyle name="60% - Accent2 12 2" xfId="958"/>
    <cellStyle name="60% - Accent2 12 2 2" xfId="959"/>
    <cellStyle name="60% - Accent2 12 2 3" xfId="960"/>
    <cellStyle name="60% - Accent2 12 2 4" xfId="4507"/>
    <cellStyle name="60% - Accent2 12 3" xfId="4508"/>
    <cellStyle name="60% - Accent2 12 4" xfId="4509"/>
    <cellStyle name="60% - Accent2 12 5" xfId="4510"/>
    <cellStyle name="60% - Accent2 12 6" xfId="4511"/>
    <cellStyle name="60% - Accent2 12 7" xfId="4512"/>
    <cellStyle name="60% - Accent2 13" xfId="961"/>
    <cellStyle name="60% - Accent2 13 2" xfId="4513"/>
    <cellStyle name="60% - Accent2 14" xfId="962"/>
    <cellStyle name="60% - Accent2 14 2" xfId="4514"/>
    <cellStyle name="60% - Accent2 15" xfId="963"/>
    <cellStyle name="60% - Accent2 15 2" xfId="4515"/>
    <cellStyle name="60% - Accent2 16" xfId="964"/>
    <cellStyle name="60% - Accent2 16 2" xfId="4516"/>
    <cellStyle name="60% - Accent2 17" xfId="965"/>
    <cellStyle name="60% - Accent2 17 2" xfId="4517"/>
    <cellStyle name="60% - Accent2 18" xfId="966"/>
    <cellStyle name="60% - Accent2 18 2" xfId="4518"/>
    <cellStyle name="60% - Accent2 19" xfId="967"/>
    <cellStyle name="60% - Accent2 19 2" xfId="4519"/>
    <cellStyle name="60% - Accent2 2" xfId="968"/>
    <cellStyle name="60% - Accent2 2 2" xfId="969"/>
    <cellStyle name="60% - Accent2 2 2 2" xfId="970"/>
    <cellStyle name="60% - Accent2 2 2 2 2" xfId="971"/>
    <cellStyle name="60% - Accent2 2 2 2 3" xfId="972"/>
    <cellStyle name="60% - Accent2 2 2 3" xfId="973"/>
    <cellStyle name="60% - Accent2 2 2 4" xfId="974"/>
    <cellStyle name="60% - Accent2 2 2 5" xfId="4520"/>
    <cellStyle name="60% - Accent2 2 3" xfId="4521"/>
    <cellStyle name="60% - Accent2 2 4" xfId="4522"/>
    <cellStyle name="60% - Accent2 2 5" xfId="4523"/>
    <cellStyle name="60% - Accent2 2 6" xfId="4524"/>
    <cellStyle name="60% - Accent2 2 7" xfId="4525"/>
    <cellStyle name="60% - Accent2 20" xfId="975"/>
    <cellStyle name="60% - Accent2 20 2" xfId="4526"/>
    <cellStyle name="60% - Accent2 21" xfId="976"/>
    <cellStyle name="60% - Accent2 21 2" xfId="4527"/>
    <cellStyle name="60% - Accent2 22" xfId="977"/>
    <cellStyle name="60% - Accent2 23" xfId="978"/>
    <cellStyle name="60% - Accent2 24" xfId="979"/>
    <cellStyle name="60% - Accent2 25" xfId="980"/>
    <cellStyle name="60% - Accent2 26" xfId="981"/>
    <cellStyle name="60% - Accent2 3" xfId="982"/>
    <cellStyle name="60% - Accent2 3 2" xfId="983"/>
    <cellStyle name="60% - Accent2 3 2 2" xfId="984"/>
    <cellStyle name="60% - Accent2 3 2 3" xfId="985"/>
    <cellStyle name="60% - Accent2 3 2 4" xfId="4528"/>
    <cellStyle name="60% - Accent2 3 3" xfId="4529"/>
    <cellStyle name="60% - Accent2 3 4" xfId="4530"/>
    <cellStyle name="60% - Accent2 3 5" xfId="4531"/>
    <cellStyle name="60% - Accent2 3 6" xfId="4532"/>
    <cellStyle name="60% - Accent2 3 7" xfId="4533"/>
    <cellStyle name="60% - Accent2 3 8" xfId="3437"/>
    <cellStyle name="60% - Accent2 4" xfId="986"/>
    <cellStyle name="60% - Accent2 4 2" xfId="987"/>
    <cellStyle name="60% - Accent2 4 2 2" xfId="988"/>
    <cellStyle name="60% - Accent2 4 2 3" xfId="989"/>
    <cellStyle name="60% - Accent2 4 2 4" xfId="4535"/>
    <cellStyle name="60% - Accent2 4 3" xfId="4536"/>
    <cellStyle name="60% - Accent2 4 4" xfId="4537"/>
    <cellStyle name="60% - Accent2 4 5" xfId="4538"/>
    <cellStyle name="60% - Accent2 4 6" xfId="4539"/>
    <cellStyle name="60% - Accent2 4 7" xfId="4540"/>
    <cellStyle name="60% - Accent2 4 8" xfId="4534"/>
    <cellStyle name="60% - Accent2 5" xfId="990"/>
    <cellStyle name="60% - Accent2 5 2" xfId="991"/>
    <cellStyle name="60% - Accent2 5 2 2" xfId="992"/>
    <cellStyle name="60% - Accent2 5 2 3" xfId="993"/>
    <cellStyle name="60% - Accent2 5 2 4" xfId="4542"/>
    <cellStyle name="60% - Accent2 5 3" xfId="4543"/>
    <cellStyle name="60% - Accent2 5 4" xfId="4544"/>
    <cellStyle name="60% - Accent2 5 5" xfId="4545"/>
    <cellStyle name="60% - Accent2 5 6" xfId="4546"/>
    <cellStyle name="60% - Accent2 5 7" xfId="4547"/>
    <cellStyle name="60% - Accent2 5 8" xfId="4541"/>
    <cellStyle name="60% - Accent2 6" xfId="994"/>
    <cellStyle name="60% - Accent2 6 2" xfId="995"/>
    <cellStyle name="60% - Accent2 6 2 2" xfId="996"/>
    <cellStyle name="60% - Accent2 6 2 3" xfId="997"/>
    <cellStyle name="60% - Accent2 6 2 4" xfId="4548"/>
    <cellStyle name="60% - Accent2 6 3" xfId="4549"/>
    <cellStyle name="60% - Accent2 6 4" xfId="4550"/>
    <cellStyle name="60% - Accent2 6 5" xfId="4551"/>
    <cellStyle name="60% - Accent2 6 6" xfId="4552"/>
    <cellStyle name="60% - Accent2 6 7" xfId="4553"/>
    <cellStyle name="60% - Accent2 7" xfId="998"/>
    <cellStyle name="60% - Accent2 7 2" xfId="999"/>
    <cellStyle name="60% - Accent2 7 2 2" xfId="1000"/>
    <cellStyle name="60% - Accent2 7 2 3" xfId="1001"/>
    <cellStyle name="60% - Accent2 7 2 4" xfId="4554"/>
    <cellStyle name="60% - Accent2 7 3" xfId="4555"/>
    <cellStyle name="60% - Accent2 7 4" xfId="4556"/>
    <cellStyle name="60% - Accent2 7 5" xfId="4557"/>
    <cellStyle name="60% - Accent2 7 6" xfId="4558"/>
    <cellStyle name="60% - Accent2 7 7" xfId="4559"/>
    <cellStyle name="60% - Accent2 8" xfId="1002"/>
    <cellStyle name="60% - Accent2 8 2" xfId="1003"/>
    <cellStyle name="60% - Accent2 8 2 2" xfId="1004"/>
    <cellStyle name="60% - Accent2 8 2 3" xfId="1005"/>
    <cellStyle name="60% - Accent2 8 2 4" xfId="4560"/>
    <cellStyle name="60% - Accent2 8 3" xfId="4561"/>
    <cellStyle name="60% - Accent2 8 4" xfId="4562"/>
    <cellStyle name="60% - Accent2 8 5" xfId="4563"/>
    <cellStyle name="60% - Accent2 8 6" xfId="4564"/>
    <cellStyle name="60% - Accent2 8 7" xfId="4565"/>
    <cellStyle name="60% - Accent2 9" xfId="1006"/>
    <cellStyle name="60% - Accent2 9 2" xfId="1007"/>
    <cellStyle name="60% - Accent2 9 2 2" xfId="1008"/>
    <cellStyle name="60% - Accent2 9 2 3" xfId="1009"/>
    <cellStyle name="60% - Accent2 9 2 4" xfId="4566"/>
    <cellStyle name="60% - Accent2 9 3" xfId="4567"/>
    <cellStyle name="60% - Accent2 9 4" xfId="4568"/>
    <cellStyle name="60% - Accent2 9 5" xfId="4569"/>
    <cellStyle name="60% - Accent2 9 6" xfId="4570"/>
    <cellStyle name="60% - Accent2 9 7" xfId="4571"/>
    <cellStyle name="60% - Accent3" xfId="3291" builtinId="40" customBuiltin="1"/>
    <cellStyle name="60% - Accent3 10" xfId="1010"/>
    <cellStyle name="60% - Accent3 10 2" xfId="1011"/>
    <cellStyle name="60% - Accent3 10 2 2" xfId="1012"/>
    <cellStyle name="60% - Accent3 10 2 3" xfId="1013"/>
    <cellStyle name="60% - Accent3 10 2 4" xfId="4572"/>
    <cellStyle name="60% - Accent3 10 3" xfId="4573"/>
    <cellStyle name="60% - Accent3 10 4" xfId="4574"/>
    <cellStyle name="60% - Accent3 10 5" xfId="4575"/>
    <cellStyle name="60% - Accent3 10 6" xfId="4576"/>
    <cellStyle name="60% - Accent3 10 7" xfId="4577"/>
    <cellStyle name="60% - Accent3 11" xfId="1014"/>
    <cellStyle name="60% - Accent3 11 2" xfId="1015"/>
    <cellStyle name="60% - Accent3 11 2 2" xfId="1016"/>
    <cellStyle name="60% - Accent3 11 2 3" xfId="1017"/>
    <cellStyle name="60% - Accent3 11 2 4" xfId="4578"/>
    <cellStyle name="60% - Accent3 11 3" xfId="4579"/>
    <cellStyle name="60% - Accent3 11 4" xfId="4580"/>
    <cellStyle name="60% - Accent3 11 5" xfId="4581"/>
    <cellStyle name="60% - Accent3 11 6" xfId="4582"/>
    <cellStyle name="60% - Accent3 11 7" xfId="4583"/>
    <cellStyle name="60% - Accent3 12" xfId="1018"/>
    <cellStyle name="60% - Accent3 12 2" xfId="1019"/>
    <cellStyle name="60% - Accent3 12 2 2" xfId="1020"/>
    <cellStyle name="60% - Accent3 12 2 3" xfId="1021"/>
    <cellStyle name="60% - Accent3 12 2 4" xfId="4584"/>
    <cellStyle name="60% - Accent3 12 3" xfId="4585"/>
    <cellStyle name="60% - Accent3 12 4" xfId="4586"/>
    <cellStyle name="60% - Accent3 12 5" xfId="4587"/>
    <cellStyle name="60% - Accent3 12 6" xfId="4588"/>
    <cellStyle name="60% - Accent3 12 7" xfId="4589"/>
    <cellStyle name="60% - Accent3 13" xfId="1022"/>
    <cellStyle name="60% - Accent3 13 2" xfId="4590"/>
    <cellStyle name="60% - Accent3 14" xfId="1023"/>
    <cellStyle name="60% - Accent3 14 2" xfId="4591"/>
    <cellStyle name="60% - Accent3 15" xfId="1024"/>
    <cellStyle name="60% - Accent3 15 2" xfId="4592"/>
    <cellStyle name="60% - Accent3 16" xfId="1025"/>
    <cellStyle name="60% - Accent3 16 2" xfId="4593"/>
    <cellStyle name="60% - Accent3 17" xfId="1026"/>
    <cellStyle name="60% - Accent3 17 2" xfId="4594"/>
    <cellStyle name="60% - Accent3 18" xfId="1027"/>
    <cellStyle name="60% - Accent3 18 2" xfId="4595"/>
    <cellStyle name="60% - Accent3 19" xfId="1028"/>
    <cellStyle name="60% - Accent3 19 2" xfId="4596"/>
    <cellStyle name="60% - Accent3 2" xfId="1029"/>
    <cellStyle name="60% - Accent3 2 2" xfId="1030"/>
    <cellStyle name="60% - Accent3 2 2 2" xfId="1031"/>
    <cellStyle name="60% - Accent3 2 2 2 2" xfId="1032"/>
    <cellStyle name="60% - Accent3 2 2 2 3" xfId="1033"/>
    <cellStyle name="60% - Accent3 2 2 3" xfId="1034"/>
    <cellStyle name="60% - Accent3 2 2 4" xfId="1035"/>
    <cellStyle name="60% - Accent3 2 2 5" xfId="4597"/>
    <cellStyle name="60% - Accent3 2 3" xfId="4598"/>
    <cellStyle name="60% - Accent3 2 4" xfId="4599"/>
    <cellStyle name="60% - Accent3 2 5" xfId="4600"/>
    <cellStyle name="60% - Accent3 2 6" xfId="4601"/>
    <cellStyle name="60% - Accent3 2 7" xfId="4602"/>
    <cellStyle name="60% - Accent3 20" xfId="1036"/>
    <cellStyle name="60% - Accent3 20 2" xfId="4603"/>
    <cellStyle name="60% - Accent3 21" xfId="1037"/>
    <cellStyle name="60% - Accent3 21 2" xfId="4604"/>
    <cellStyle name="60% - Accent3 22" xfId="1038"/>
    <cellStyle name="60% - Accent3 23" xfId="1039"/>
    <cellStyle name="60% - Accent3 24" xfId="1040"/>
    <cellStyle name="60% - Accent3 25" xfId="1041"/>
    <cellStyle name="60% - Accent3 26" xfId="1042"/>
    <cellStyle name="60% - Accent3 3" xfId="1043"/>
    <cellStyle name="60% - Accent3 3 2" xfId="1044"/>
    <cellStyle name="60% - Accent3 3 2 2" xfId="1045"/>
    <cellStyle name="60% - Accent3 3 2 3" xfId="1046"/>
    <cellStyle name="60% - Accent3 3 2 4" xfId="4605"/>
    <cellStyle name="60% - Accent3 3 3" xfId="4606"/>
    <cellStyle name="60% - Accent3 3 4" xfId="4607"/>
    <cellStyle name="60% - Accent3 3 5" xfId="4608"/>
    <cellStyle name="60% - Accent3 3 6" xfId="4609"/>
    <cellStyle name="60% - Accent3 3 7" xfId="4610"/>
    <cellStyle name="60% - Accent3 3 8" xfId="3445"/>
    <cellStyle name="60% - Accent3 4" xfId="1047"/>
    <cellStyle name="60% - Accent3 4 2" xfId="1048"/>
    <cellStyle name="60% - Accent3 4 2 2" xfId="1049"/>
    <cellStyle name="60% - Accent3 4 2 3" xfId="1050"/>
    <cellStyle name="60% - Accent3 4 2 4" xfId="4611"/>
    <cellStyle name="60% - Accent3 4 3" xfId="4612"/>
    <cellStyle name="60% - Accent3 4 4" xfId="4613"/>
    <cellStyle name="60% - Accent3 4 5" xfId="4614"/>
    <cellStyle name="60% - Accent3 4 6" xfId="4615"/>
    <cellStyle name="60% - Accent3 4 7" xfId="4616"/>
    <cellStyle name="60% - Accent3 5" xfId="1051"/>
    <cellStyle name="60% - Accent3 5 2" xfId="1052"/>
    <cellStyle name="60% - Accent3 5 2 2" xfId="1053"/>
    <cellStyle name="60% - Accent3 5 2 3" xfId="1054"/>
    <cellStyle name="60% - Accent3 5 2 4" xfId="4617"/>
    <cellStyle name="60% - Accent3 5 3" xfId="4618"/>
    <cellStyle name="60% - Accent3 5 4" xfId="4619"/>
    <cellStyle name="60% - Accent3 5 5" xfId="4620"/>
    <cellStyle name="60% - Accent3 5 6" xfId="4621"/>
    <cellStyle name="60% - Accent3 5 7" xfId="4622"/>
    <cellStyle name="60% - Accent3 6" xfId="1055"/>
    <cellStyle name="60% - Accent3 6 2" xfId="1056"/>
    <cellStyle name="60% - Accent3 6 2 2" xfId="1057"/>
    <cellStyle name="60% - Accent3 6 2 3" xfId="1058"/>
    <cellStyle name="60% - Accent3 6 2 4" xfId="4623"/>
    <cellStyle name="60% - Accent3 6 3" xfId="4624"/>
    <cellStyle name="60% - Accent3 6 4" xfId="4625"/>
    <cellStyle name="60% - Accent3 6 5" xfId="4626"/>
    <cellStyle name="60% - Accent3 6 6" xfId="4627"/>
    <cellStyle name="60% - Accent3 6 7" xfId="4628"/>
    <cellStyle name="60% - Accent3 7" xfId="1059"/>
    <cellStyle name="60% - Accent3 7 2" xfId="1060"/>
    <cellStyle name="60% - Accent3 7 2 2" xfId="1061"/>
    <cellStyle name="60% - Accent3 7 2 3" xfId="1062"/>
    <cellStyle name="60% - Accent3 7 2 4" xfId="4629"/>
    <cellStyle name="60% - Accent3 7 3" xfId="4630"/>
    <cellStyle name="60% - Accent3 7 4" xfId="4631"/>
    <cellStyle name="60% - Accent3 7 5" xfId="4632"/>
    <cellStyle name="60% - Accent3 7 6" xfId="4633"/>
    <cellStyle name="60% - Accent3 7 7" xfId="4634"/>
    <cellStyle name="60% - Accent3 8" xfId="1063"/>
    <cellStyle name="60% - Accent3 8 2" xfId="1064"/>
    <cellStyle name="60% - Accent3 8 2 2" xfId="1065"/>
    <cellStyle name="60% - Accent3 8 2 3" xfId="1066"/>
    <cellStyle name="60% - Accent3 8 2 4" xfId="4635"/>
    <cellStyle name="60% - Accent3 8 3" xfId="4636"/>
    <cellStyle name="60% - Accent3 8 4" xfId="4637"/>
    <cellStyle name="60% - Accent3 8 5" xfId="4638"/>
    <cellStyle name="60% - Accent3 8 6" xfId="4639"/>
    <cellStyle name="60% - Accent3 8 7" xfId="4640"/>
    <cellStyle name="60% - Accent3 9" xfId="1067"/>
    <cellStyle name="60% - Accent3 9 2" xfId="1068"/>
    <cellStyle name="60% - Accent3 9 2 2" xfId="1069"/>
    <cellStyle name="60% - Accent3 9 2 3" xfId="1070"/>
    <cellStyle name="60% - Accent3 9 2 4" xfId="4641"/>
    <cellStyle name="60% - Accent3 9 3" xfId="4642"/>
    <cellStyle name="60% - Accent3 9 4" xfId="4643"/>
    <cellStyle name="60% - Accent3 9 5" xfId="4644"/>
    <cellStyle name="60% - Accent3 9 6" xfId="4645"/>
    <cellStyle name="60% - Accent3 9 7" xfId="4646"/>
    <cellStyle name="60% - Accent4" xfId="3295" builtinId="44" customBuiltin="1"/>
    <cellStyle name="60% - Accent4 10" xfId="1071"/>
    <cellStyle name="60% - Accent4 10 2" xfId="1072"/>
    <cellStyle name="60% - Accent4 10 2 2" xfId="1073"/>
    <cellStyle name="60% - Accent4 10 2 3" xfId="1074"/>
    <cellStyle name="60% - Accent4 10 2 4" xfId="4647"/>
    <cellStyle name="60% - Accent4 10 3" xfId="4648"/>
    <cellStyle name="60% - Accent4 10 4" xfId="4649"/>
    <cellStyle name="60% - Accent4 10 5" xfId="4650"/>
    <cellStyle name="60% - Accent4 10 6" xfId="4651"/>
    <cellStyle name="60% - Accent4 10 7" xfId="4652"/>
    <cellStyle name="60% - Accent4 11" xfId="1075"/>
    <cellStyle name="60% - Accent4 11 2" xfId="1076"/>
    <cellStyle name="60% - Accent4 11 2 2" xfId="1077"/>
    <cellStyle name="60% - Accent4 11 2 3" xfId="1078"/>
    <cellStyle name="60% - Accent4 11 2 4" xfId="4653"/>
    <cellStyle name="60% - Accent4 11 3" xfId="4654"/>
    <cellStyle name="60% - Accent4 11 4" xfId="4655"/>
    <cellStyle name="60% - Accent4 11 5" xfId="4656"/>
    <cellStyle name="60% - Accent4 11 6" xfId="4657"/>
    <cellStyle name="60% - Accent4 11 7" xfId="4658"/>
    <cellStyle name="60% - Accent4 12" xfId="1079"/>
    <cellStyle name="60% - Accent4 12 2" xfId="1080"/>
    <cellStyle name="60% - Accent4 12 2 2" xfId="1081"/>
    <cellStyle name="60% - Accent4 12 2 3" xfId="1082"/>
    <cellStyle name="60% - Accent4 12 2 4" xfId="4659"/>
    <cellStyle name="60% - Accent4 12 3" xfId="4660"/>
    <cellStyle name="60% - Accent4 12 4" xfId="4661"/>
    <cellStyle name="60% - Accent4 12 5" xfId="4662"/>
    <cellStyle name="60% - Accent4 12 6" xfId="4663"/>
    <cellStyle name="60% - Accent4 12 7" xfId="4664"/>
    <cellStyle name="60% - Accent4 13" xfId="1083"/>
    <cellStyle name="60% - Accent4 13 2" xfId="4665"/>
    <cellStyle name="60% - Accent4 14" xfId="1084"/>
    <cellStyle name="60% - Accent4 14 2" xfId="4666"/>
    <cellStyle name="60% - Accent4 15" xfId="1085"/>
    <cellStyle name="60% - Accent4 15 2" xfId="4667"/>
    <cellStyle name="60% - Accent4 16" xfId="1086"/>
    <cellStyle name="60% - Accent4 16 2" xfId="4668"/>
    <cellStyle name="60% - Accent4 17" xfId="1087"/>
    <cellStyle name="60% - Accent4 17 2" xfId="4669"/>
    <cellStyle name="60% - Accent4 18" xfId="1088"/>
    <cellStyle name="60% - Accent4 18 2" xfId="4670"/>
    <cellStyle name="60% - Accent4 19" xfId="1089"/>
    <cellStyle name="60% - Accent4 19 2" xfId="4671"/>
    <cellStyle name="60% - Accent4 2" xfId="1090"/>
    <cellStyle name="60% - Accent4 2 2" xfId="1091"/>
    <cellStyle name="60% - Accent4 2 2 2" xfId="1092"/>
    <cellStyle name="60% - Accent4 2 2 2 2" xfId="1093"/>
    <cellStyle name="60% - Accent4 2 2 2 3" xfId="1094"/>
    <cellStyle name="60% - Accent4 2 2 3" xfId="1095"/>
    <cellStyle name="60% - Accent4 2 2 4" xfId="1096"/>
    <cellStyle name="60% - Accent4 2 2 5" xfId="4672"/>
    <cellStyle name="60% - Accent4 2 3" xfId="4673"/>
    <cellStyle name="60% - Accent4 2 4" xfId="4674"/>
    <cellStyle name="60% - Accent4 2 5" xfId="4675"/>
    <cellStyle name="60% - Accent4 2 6" xfId="4676"/>
    <cellStyle name="60% - Accent4 2 7" xfId="4677"/>
    <cellStyle name="60% - Accent4 20" xfId="1097"/>
    <cellStyle name="60% - Accent4 20 2" xfId="4678"/>
    <cellStyle name="60% - Accent4 21" xfId="1098"/>
    <cellStyle name="60% - Accent4 21 2" xfId="4679"/>
    <cellStyle name="60% - Accent4 22" xfId="1099"/>
    <cellStyle name="60% - Accent4 23" xfId="1100"/>
    <cellStyle name="60% - Accent4 24" xfId="1101"/>
    <cellStyle name="60% - Accent4 25" xfId="1102"/>
    <cellStyle name="60% - Accent4 26" xfId="1103"/>
    <cellStyle name="60% - Accent4 3" xfId="1104"/>
    <cellStyle name="60% - Accent4 3 2" xfId="1105"/>
    <cellStyle name="60% - Accent4 3 2 2" xfId="1106"/>
    <cellStyle name="60% - Accent4 3 2 3" xfId="1107"/>
    <cellStyle name="60% - Accent4 3 2 4" xfId="4680"/>
    <cellStyle name="60% - Accent4 3 3" xfId="4681"/>
    <cellStyle name="60% - Accent4 3 4" xfId="4682"/>
    <cellStyle name="60% - Accent4 3 5" xfId="4683"/>
    <cellStyle name="60% - Accent4 3 6" xfId="4684"/>
    <cellStyle name="60% - Accent4 3 7" xfId="4685"/>
    <cellStyle name="60% - Accent4 3 8" xfId="3443"/>
    <cellStyle name="60% - Accent4 4" xfId="1108"/>
    <cellStyle name="60% - Accent4 4 2" xfId="1109"/>
    <cellStyle name="60% - Accent4 4 2 2" xfId="1110"/>
    <cellStyle name="60% - Accent4 4 2 3" xfId="1111"/>
    <cellStyle name="60% - Accent4 4 2 4" xfId="4687"/>
    <cellStyle name="60% - Accent4 4 3" xfId="4688"/>
    <cellStyle name="60% - Accent4 4 4" xfId="4689"/>
    <cellStyle name="60% - Accent4 4 5" xfId="4690"/>
    <cellStyle name="60% - Accent4 4 6" xfId="4691"/>
    <cellStyle name="60% - Accent4 4 7" xfId="4692"/>
    <cellStyle name="60% - Accent4 4 8" xfId="4686"/>
    <cellStyle name="60% - Accent4 5" xfId="1112"/>
    <cellStyle name="60% - Accent4 5 2" xfId="1113"/>
    <cellStyle name="60% - Accent4 5 2 2" xfId="1114"/>
    <cellStyle name="60% - Accent4 5 2 3" xfId="1115"/>
    <cellStyle name="60% - Accent4 5 2 4" xfId="4694"/>
    <cellStyle name="60% - Accent4 5 3" xfId="4695"/>
    <cellStyle name="60% - Accent4 5 4" xfId="4696"/>
    <cellStyle name="60% - Accent4 5 5" xfId="4697"/>
    <cellStyle name="60% - Accent4 5 6" xfId="4698"/>
    <cellStyle name="60% - Accent4 5 7" xfId="4699"/>
    <cellStyle name="60% - Accent4 5 8" xfId="4693"/>
    <cellStyle name="60% - Accent4 6" xfId="1116"/>
    <cellStyle name="60% - Accent4 6 2" xfId="1117"/>
    <cellStyle name="60% - Accent4 6 2 2" xfId="1118"/>
    <cellStyle name="60% - Accent4 6 2 3" xfId="1119"/>
    <cellStyle name="60% - Accent4 6 2 4" xfId="4700"/>
    <cellStyle name="60% - Accent4 6 3" xfId="4701"/>
    <cellStyle name="60% - Accent4 6 4" xfId="4702"/>
    <cellStyle name="60% - Accent4 6 5" xfId="4703"/>
    <cellStyle name="60% - Accent4 6 6" xfId="4704"/>
    <cellStyle name="60% - Accent4 6 7" xfId="4705"/>
    <cellStyle name="60% - Accent4 7" xfId="1120"/>
    <cellStyle name="60% - Accent4 7 2" xfId="1121"/>
    <cellStyle name="60% - Accent4 7 2 2" xfId="1122"/>
    <cellStyle name="60% - Accent4 7 2 3" xfId="1123"/>
    <cellStyle name="60% - Accent4 7 2 4" xfId="4706"/>
    <cellStyle name="60% - Accent4 7 3" xfId="4707"/>
    <cellStyle name="60% - Accent4 7 4" xfId="4708"/>
    <cellStyle name="60% - Accent4 7 5" xfId="4709"/>
    <cellStyle name="60% - Accent4 7 6" xfId="4710"/>
    <cellStyle name="60% - Accent4 7 7" xfId="4711"/>
    <cellStyle name="60% - Accent4 8" xfId="1124"/>
    <cellStyle name="60% - Accent4 8 2" xfId="1125"/>
    <cellStyle name="60% - Accent4 8 2 2" xfId="1126"/>
    <cellStyle name="60% - Accent4 8 2 3" xfId="1127"/>
    <cellStyle name="60% - Accent4 8 2 4" xfId="4712"/>
    <cellStyle name="60% - Accent4 8 3" xfId="4713"/>
    <cellStyle name="60% - Accent4 8 4" xfId="4714"/>
    <cellStyle name="60% - Accent4 8 5" xfId="4715"/>
    <cellStyle name="60% - Accent4 8 6" xfId="4716"/>
    <cellStyle name="60% - Accent4 8 7" xfId="4717"/>
    <cellStyle name="60% - Accent4 9" xfId="1128"/>
    <cellStyle name="60% - Accent4 9 2" xfId="1129"/>
    <cellStyle name="60% - Accent4 9 2 2" xfId="1130"/>
    <cellStyle name="60% - Accent4 9 2 3" xfId="1131"/>
    <cellStyle name="60% - Accent4 9 2 4" xfId="4718"/>
    <cellStyle name="60% - Accent4 9 3" xfId="4719"/>
    <cellStyle name="60% - Accent4 9 4" xfId="4720"/>
    <cellStyle name="60% - Accent4 9 5" xfId="4721"/>
    <cellStyle name="60% - Accent4 9 6" xfId="4722"/>
    <cellStyle name="60% - Accent4 9 7" xfId="4723"/>
    <cellStyle name="60% - Accent5" xfId="3299" builtinId="48" customBuiltin="1"/>
    <cellStyle name="60% - Accent5 10" xfId="1132"/>
    <cellStyle name="60% - Accent5 10 2" xfId="1133"/>
    <cellStyle name="60% - Accent5 10 2 2" xfId="4724"/>
    <cellStyle name="60% - Accent5 10 3" xfId="4725"/>
    <cellStyle name="60% - Accent5 10 4" xfId="4726"/>
    <cellStyle name="60% - Accent5 10 5" xfId="4727"/>
    <cellStyle name="60% - Accent5 10 6" xfId="4728"/>
    <cellStyle name="60% - Accent5 10 7" xfId="4729"/>
    <cellStyle name="60% - Accent5 11" xfId="1134"/>
    <cellStyle name="60% - Accent5 11 2" xfId="1135"/>
    <cellStyle name="60% - Accent5 11 2 2" xfId="4730"/>
    <cellStyle name="60% - Accent5 11 3" xfId="4731"/>
    <cellStyle name="60% - Accent5 11 4" xfId="4732"/>
    <cellStyle name="60% - Accent5 11 5" xfId="4733"/>
    <cellStyle name="60% - Accent5 11 6" xfId="4734"/>
    <cellStyle name="60% - Accent5 11 7" xfId="4735"/>
    <cellStyle name="60% - Accent5 12" xfId="1136"/>
    <cellStyle name="60% - Accent5 12 2" xfId="1137"/>
    <cellStyle name="60% - Accent5 12 2 2" xfId="4736"/>
    <cellStyle name="60% - Accent5 12 3" xfId="4737"/>
    <cellStyle name="60% - Accent5 12 4" xfId="4738"/>
    <cellStyle name="60% - Accent5 12 5" xfId="4739"/>
    <cellStyle name="60% - Accent5 12 6" xfId="4740"/>
    <cellStyle name="60% - Accent5 12 7" xfId="4741"/>
    <cellStyle name="60% - Accent5 13" xfId="1138"/>
    <cellStyle name="60% - Accent5 13 2" xfId="4742"/>
    <cellStyle name="60% - Accent5 14 2" xfId="4743"/>
    <cellStyle name="60% - Accent5 15 2" xfId="4744"/>
    <cellStyle name="60% - Accent5 16 2" xfId="4745"/>
    <cellStyle name="60% - Accent5 17 2" xfId="4746"/>
    <cellStyle name="60% - Accent5 18 2" xfId="4747"/>
    <cellStyle name="60% - Accent5 19 2" xfId="4748"/>
    <cellStyle name="60% - Accent5 2" xfId="1139"/>
    <cellStyle name="60% - Accent5 2 2" xfId="1140"/>
    <cellStyle name="60% - Accent5 2 2 2" xfId="1141"/>
    <cellStyle name="60% - Accent5 2 2 3" xfId="4749"/>
    <cellStyle name="60% - Accent5 2 3" xfId="1142"/>
    <cellStyle name="60% - Accent5 2 3 2" xfId="4750"/>
    <cellStyle name="60% - Accent5 2 4" xfId="4751"/>
    <cellStyle name="60% - Accent5 2 5" xfId="4752"/>
    <cellStyle name="60% - Accent5 2 6" xfId="4753"/>
    <cellStyle name="60% - Accent5 2 7" xfId="4754"/>
    <cellStyle name="60% - Accent5 2 8" xfId="3418"/>
    <cellStyle name="60% - Accent5 20 2" xfId="4755"/>
    <cellStyle name="60% - Accent5 21 2" xfId="4756"/>
    <cellStyle name="60% - Accent5 3" xfId="1143"/>
    <cellStyle name="60% - Accent5 3 2" xfId="1144"/>
    <cellStyle name="60% - Accent5 3 2 2" xfId="4757"/>
    <cellStyle name="60% - Accent5 3 3" xfId="4758"/>
    <cellStyle name="60% - Accent5 3 4" xfId="4759"/>
    <cellStyle name="60% - Accent5 3 5" xfId="4760"/>
    <cellStyle name="60% - Accent5 3 6" xfId="4761"/>
    <cellStyle name="60% - Accent5 3 7" xfId="4762"/>
    <cellStyle name="60% - Accent5 4" xfId="1145"/>
    <cellStyle name="60% - Accent5 4 2" xfId="1146"/>
    <cellStyle name="60% - Accent5 4 2 2" xfId="4764"/>
    <cellStyle name="60% - Accent5 4 3" xfId="4765"/>
    <cellStyle name="60% - Accent5 4 4" xfId="4766"/>
    <cellStyle name="60% - Accent5 4 5" xfId="4767"/>
    <cellStyle name="60% - Accent5 4 6" xfId="4768"/>
    <cellStyle name="60% - Accent5 4 7" xfId="4769"/>
    <cellStyle name="60% - Accent5 4 8" xfId="4763"/>
    <cellStyle name="60% - Accent5 5" xfId="1147"/>
    <cellStyle name="60% - Accent5 5 2" xfId="1148"/>
    <cellStyle name="60% - Accent5 5 2 2" xfId="4771"/>
    <cellStyle name="60% - Accent5 5 3" xfId="4772"/>
    <cellStyle name="60% - Accent5 5 4" xfId="4773"/>
    <cellStyle name="60% - Accent5 5 5" xfId="4774"/>
    <cellStyle name="60% - Accent5 5 6" xfId="4775"/>
    <cellStyle name="60% - Accent5 5 7" xfId="4776"/>
    <cellStyle name="60% - Accent5 5 8" xfId="4770"/>
    <cellStyle name="60% - Accent5 6" xfId="1149"/>
    <cellStyle name="60% - Accent5 6 2" xfId="1150"/>
    <cellStyle name="60% - Accent5 6 2 2" xfId="4777"/>
    <cellStyle name="60% - Accent5 6 3" xfId="4778"/>
    <cellStyle name="60% - Accent5 6 4" xfId="4779"/>
    <cellStyle name="60% - Accent5 6 5" xfId="4780"/>
    <cellStyle name="60% - Accent5 6 6" xfId="4781"/>
    <cellStyle name="60% - Accent5 6 7" xfId="4782"/>
    <cellStyle name="60% - Accent5 7" xfId="1151"/>
    <cellStyle name="60% - Accent5 7 2" xfId="1152"/>
    <cellStyle name="60% - Accent5 7 2 2" xfId="4783"/>
    <cellStyle name="60% - Accent5 7 3" xfId="4784"/>
    <cellStyle name="60% - Accent5 7 4" xfId="4785"/>
    <cellStyle name="60% - Accent5 7 5" xfId="4786"/>
    <cellStyle name="60% - Accent5 7 6" xfId="4787"/>
    <cellStyle name="60% - Accent5 7 7" xfId="4788"/>
    <cellStyle name="60% - Accent5 8" xfId="1153"/>
    <cellStyle name="60% - Accent5 8 2" xfId="1154"/>
    <cellStyle name="60% - Accent5 8 2 2" xfId="4789"/>
    <cellStyle name="60% - Accent5 8 3" xfId="4790"/>
    <cellStyle name="60% - Accent5 8 4" xfId="4791"/>
    <cellStyle name="60% - Accent5 8 5" xfId="4792"/>
    <cellStyle name="60% - Accent5 8 6" xfId="4793"/>
    <cellStyle name="60% - Accent5 8 7" xfId="4794"/>
    <cellStyle name="60% - Accent5 9" xfId="1155"/>
    <cellStyle name="60% - Accent5 9 2" xfId="1156"/>
    <cellStyle name="60% - Accent5 9 2 2" xfId="4795"/>
    <cellStyle name="60% - Accent5 9 3" xfId="4796"/>
    <cellStyle name="60% - Accent5 9 4" xfId="4797"/>
    <cellStyle name="60% - Accent5 9 5" xfId="4798"/>
    <cellStyle name="60% - Accent5 9 6" xfId="4799"/>
    <cellStyle name="60% - Accent5 9 7" xfId="4800"/>
    <cellStyle name="60% - Accent6" xfId="3303" builtinId="52" customBuiltin="1"/>
    <cellStyle name="60% - Accent6 10" xfId="1157"/>
    <cellStyle name="60% - Accent6 10 2" xfId="1158"/>
    <cellStyle name="60% - Accent6 10 2 2" xfId="1159"/>
    <cellStyle name="60% - Accent6 10 2 3" xfId="1160"/>
    <cellStyle name="60% - Accent6 10 2 4" xfId="4801"/>
    <cellStyle name="60% - Accent6 10 3" xfId="4802"/>
    <cellStyle name="60% - Accent6 10 4" xfId="4803"/>
    <cellStyle name="60% - Accent6 10 5" xfId="4804"/>
    <cellStyle name="60% - Accent6 10 6" xfId="4805"/>
    <cellStyle name="60% - Accent6 10 7" xfId="4806"/>
    <cellStyle name="60% - Accent6 11" xfId="1161"/>
    <cellStyle name="60% - Accent6 11 2" xfId="1162"/>
    <cellStyle name="60% - Accent6 11 2 2" xfId="1163"/>
    <cellStyle name="60% - Accent6 11 2 3" xfId="1164"/>
    <cellStyle name="60% - Accent6 11 2 4" xfId="4807"/>
    <cellStyle name="60% - Accent6 11 3" xfId="4808"/>
    <cellStyle name="60% - Accent6 11 4" xfId="4809"/>
    <cellStyle name="60% - Accent6 11 5" xfId="4810"/>
    <cellStyle name="60% - Accent6 11 6" xfId="4811"/>
    <cellStyle name="60% - Accent6 11 7" xfId="4812"/>
    <cellStyle name="60% - Accent6 12" xfId="1165"/>
    <cellStyle name="60% - Accent6 12 2" xfId="1166"/>
    <cellStyle name="60% - Accent6 12 2 2" xfId="1167"/>
    <cellStyle name="60% - Accent6 12 2 3" xfId="1168"/>
    <cellStyle name="60% - Accent6 12 2 4" xfId="4813"/>
    <cellStyle name="60% - Accent6 12 3" xfId="4814"/>
    <cellStyle name="60% - Accent6 12 4" xfId="4815"/>
    <cellStyle name="60% - Accent6 12 5" xfId="4816"/>
    <cellStyle name="60% - Accent6 12 6" xfId="4817"/>
    <cellStyle name="60% - Accent6 12 7" xfId="4818"/>
    <cellStyle name="60% - Accent6 13" xfId="1169"/>
    <cellStyle name="60% - Accent6 13 2" xfId="4819"/>
    <cellStyle name="60% - Accent6 14" xfId="1170"/>
    <cellStyle name="60% - Accent6 14 2" xfId="4820"/>
    <cellStyle name="60% - Accent6 15" xfId="1171"/>
    <cellStyle name="60% - Accent6 15 2" xfId="4821"/>
    <cellStyle name="60% - Accent6 16" xfId="1172"/>
    <cellStyle name="60% - Accent6 16 2" xfId="4822"/>
    <cellStyle name="60% - Accent6 17" xfId="1173"/>
    <cellStyle name="60% - Accent6 17 2" xfId="4823"/>
    <cellStyle name="60% - Accent6 18" xfId="1174"/>
    <cellStyle name="60% - Accent6 18 2" xfId="4824"/>
    <cellStyle name="60% - Accent6 19" xfId="1175"/>
    <cellStyle name="60% - Accent6 19 2" xfId="4825"/>
    <cellStyle name="60% - Accent6 2" xfId="1176"/>
    <cellStyle name="60% - Accent6 2 2" xfId="1177"/>
    <cellStyle name="60% - Accent6 2 2 2" xfId="1178"/>
    <cellStyle name="60% - Accent6 2 2 2 2" xfId="1179"/>
    <cellStyle name="60% - Accent6 2 2 2 3" xfId="1180"/>
    <cellStyle name="60% - Accent6 2 2 3" xfId="1181"/>
    <cellStyle name="60% - Accent6 2 2 4" xfId="1182"/>
    <cellStyle name="60% - Accent6 2 2 5" xfId="4826"/>
    <cellStyle name="60% - Accent6 2 3" xfId="4827"/>
    <cellStyle name="60% - Accent6 2 4" xfId="4828"/>
    <cellStyle name="60% - Accent6 2 5" xfId="4829"/>
    <cellStyle name="60% - Accent6 2 6" xfId="4830"/>
    <cellStyle name="60% - Accent6 2 7" xfId="4831"/>
    <cellStyle name="60% - Accent6 20" xfId="1183"/>
    <cellStyle name="60% - Accent6 20 2" xfId="4832"/>
    <cellStyle name="60% - Accent6 21" xfId="1184"/>
    <cellStyle name="60% - Accent6 21 2" xfId="4833"/>
    <cellStyle name="60% - Accent6 22" xfId="1185"/>
    <cellStyle name="60% - Accent6 23" xfId="1186"/>
    <cellStyle name="60% - Accent6 24" xfId="1187"/>
    <cellStyle name="60% - Accent6 25" xfId="1188"/>
    <cellStyle name="60% - Accent6 26" xfId="1189"/>
    <cellStyle name="60% - Accent6 3" xfId="1190"/>
    <cellStyle name="60% - Accent6 3 2" xfId="1191"/>
    <cellStyle name="60% - Accent6 3 2 2" xfId="1192"/>
    <cellStyle name="60% - Accent6 3 2 3" xfId="1193"/>
    <cellStyle name="60% - Accent6 3 2 4" xfId="4834"/>
    <cellStyle name="60% - Accent6 3 3" xfId="4835"/>
    <cellStyle name="60% - Accent6 3 4" xfId="4836"/>
    <cellStyle name="60% - Accent6 3 5" xfId="4837"/>
    <cellStyle name="60% - Accent6 3 6" xfId="4838"/>
    <cellStyle name="60% - Accent6 3 7" xfId="4839"/>
    <cellStyle name="60% - Accent6 3 8" xfId="3434"/>
    <cellStyle name="60% - Accent6 4" xfId="1194"/>
    <cellStyle name="60% - Accent6 4 2" xfId="1195"/>
    <cellStyle name="60% - Accent6 4 2 2" xfId="1196"/>
    <cellStyle name="60% - Accent6 4 2 3" xfId="1197"/>
    <cellStyle name="60% - Accent6 4 2 4" xfId="4840"/>
    <cellStyle name="60% - Accent6 4 3" xfId="4841"/>
    <cellStyle name="60% - Accent6 4 4" xfId="4842"/>
    <cellStyle name="60% - Accent6 4 5" xfId="4843"/>
    <cellStyle name="60% - Accent6 4 6" xfId="4844"/>
    <cellStyle name="60% - Accent6 4 7" xfId="4845"/>
    <cellStyle name="60% - Accent6 5" xfId="1198"/>
    <cellStyle name="60% - Accent6 5 2" xfId="1199"/>
    <cellStyle name="60% - Accent6 5 2 2" xfId="1200"/>
    <cellStyle name="60% - Accent6 5 2 3" xfId="1201"/>
    <cellStyle name="60% - Accent6 5 2 4" xfId="4846"/>
    <cellStyle name="60% - Accent6 5 3" xfId="4847"/>
    <cellStyle name="60% - Accent6 5 4" xfId="4848"/>
    <cellStyle name="60% - Accent6 5 5" xfId="4849"/>
    <cellStyle name="60% - Accent6 5 6" xfId="4850"/>
    <cellStyle name="60% - Accent6 5 7" xfId="4851"/>
    <cellStyle name="60% - Accent6 6" xfId="1202"/>
    <cellStyle name="60% - Accent6 6 2" xfId="1203"/>
    <cellStyle name="60% - Accent6 6 2 2" xfId="1204"/>
    <cellStyle name="60% - Accent6 6 2 3" xfId="1205"/>
    <cellStyle name="60% - Accent6 6 2 4" xfId="4852"/>
    <cellStyle name="60% - Accent6 6 3" xfId="4853"/>
    <cellStyle name="60% - Accent6 6 4" xfId="4854"/>
    <cellStyle name="60% - Accent6 6 5" xfId="4855"/>
    <cellStyle name="60% - Accent6 6 6" xfId="4856"/>
    <cellStyle name="60% - Accent6 6 7" xfId="4857"/>
    <cellStyle name="60% - Accent6 7" xfId="1206"/>
    <cellStyle name="60% - Accent6 7 2" xfId="1207"/>
    <cellStyle name="60% - Accent6 7 2 2" xfId="1208"/>
    <cellStyle name="60% - Accent6 7 2 3" xfId="1209"/>
    <cellStyle name="60% - Accent6 7 2 4" xfId="4858"/>
    <cellStyle name="60% - Accent6 7 3" xfId="4859"/>
    <cellStyle name="60% - Accent6 7 4" xfId="4860"/>
    <cellStyle name="60% - Accent6 7 5" xfId="4861"/>
    <cellStyle name="60% - Accent6 7 6" xfId="4862"/>
    <cellStyle name="60% - Accent6 7 7" xfId="4863"/>
    <cellStyle name="60% - Accent6 8" xfId="1210"/>
    <cellStyle name="60% - Accent6 8 2" xfId="1211"/>
    <cellStyle name="60% - Accent6 8 2 2" xfId="1212"/>
    <cellStyle name="60% - Accent6 8 2 3" xfId="1213"/>
    <cellStyle name="60% - Accent6 8 2 4" xfId="4864"/>
    <cellStyle name="60% - Accent6 8 3" xfId="4865"/>
    <cellStyle name="60% - Accent6 8 4" xfId="4866"/>
    <cellStyle name="60% - Accent6 8 5" xfId="4867"/>
    <cellStyle name="60% - Accent6 8 6" xfId="4868"/>
    <cellStyle name="60% - Accent6 8 7" xfId="4869"/>
    <cellStyle name="60% - Accent6 9" xfId="1214"/>
    <cellStyle name="60% - Accent6 9 2" xfId="1215"/>
    <cellStyle name="60% - Accent6 9 2 2" xfId="1216"/>
    <cellStyle name="60% - Accent6 9 2 3" xfId="1217"/>
    <cellStyle name="60% - Accent6 9 2 4" xfId="4870"/>
    <cellStyle name="60% - Accent6 9 3" xfId="4871"/>
    <cellStyle name="60% - Accent6 9 4" xfId="4872"/>
    <cellStyle name="60% - Accent6 9 5" xfId="4873"/>
    <cellStyle name="60% - Accent6 9 6" xfId="4874"/>
    <cellStyle name="60% - Accent6 9 7" xfId="4875"/>
    <cellStyle name="752131" xfId="4876"/>
    <cellStyle name="A Table" xfId="4877"/>
    <cellStyle name="A_Block Space" xfId="4878"/>
    <cellStyle name="A_BlueLine" xfId="4879"/>
    <cellStyle name="A_Do not Change" xfId="4880"/>
    <cellStyle name="A_Estimate" xfId="4881"/>
    <cellStyle name="A_Estimate 2" xfId="4882"/>
    <cellStyle name="A_Memo" xfId="4883"/>
    <cellStyle name="A_Normal" xfId="4884"/>
    <cellStyle name="A_Normal 2" xfId="4885"/>
    <cellStyle name="A_Normal 3" xfId="4886"/>
    <cellStyle name="A_Normal 4" xfId="4887"/>
    <cellStyle name="A_Normal 5" xfId="4888"/>
    <cellStyle name="A_Normal 6" xfId="4889"/>
    <cellStyle name="A_Normal Forecast" xfId="4890"/>
    <cellStyle name="A_Normal Historical" xfId="4891"/>
    <cellStyle name="A_Rate_Data" xfId="4892"/>
    <cellStyle name="A_Rate_Data Historical" xfId="4893"/>
    <cellStyle name="A_Rate_Title" xfId="4894"/>
    <cellStyle name="A_Simple Title" xfId="4895"/>
    <cellStyle name="A_Sum" xfId="4896"/>
    <cellStyle name="A_SUM_Row Major" xfId="4897"/>
    <cellStyle name="A_SUM_Row Minor" xfId="4898"/>
    <cellStyle name="A_Title" xfId="4899"/>
    <cellStyle name="A_YearHeadings" xfId="4900"/>
    <cellStyle name="Accent1" xfId="3280" builtinId="29" customBuiltin="1"/>
    <cellStyle name="Accent1 - 20%" xfId="1218"/>
    <cellStyle name="Accent1 - 20% 2" xfId="1219"/>
    <cellStyle name="Accent1 - 40%" xfId="1220"/>
    <cellStyle name="Accent1 - 40% 2" xfId="1221"/>
    <cellStyle name="Accent1 - 60%" xfId="1222"/>
    <cellStyle name="Accent1 10" xfId="1223"/>
    <cellStyle name="Accent1 10 2" xfId="1224"/>
    <cellStyle name="Accent1 10 2 2" xfId="1225"/>
    <cellStyle name="Accent1 10 2 3" xfId="1226"/>
    <cellStyle name="Accent1 10 2 4" xfId="4901"/>
    <cellStyle name="Accent1 10 3" xfId="4902"/>
    <cellStyle name="Accent1 10 4" xfId="4903"/>
    <cellStyle name="Accent1 10 5" xfId="4904"/>
    <cellStyle name="Accent1 10 6" xfId="4905"/>
    <cellStyle name="Accent1 10 7" xfId="4906"/>
    <cellStyle name="Accent1 11" xfId="1227"/>
    <cellStyle name="Accent1 11 2" xfId="1228"/>
    <cellStyle name="Accent1 11 2 2" xfId="1229"/>
    <cellStyle name="Accent1 11 2 3" xfId="1230"/>
    <cellStyle name="Accent1 11 2 4" xfId="4907"/>
    <cellStyle name="Accent1 11 3" xfId="4908"/>
    <cellStyle name="Accent1 11 4" xfId="4909"/>
    <cellStyle name="Accent1 11 5" xfId="4910"/>
    <cellStyle name="Accent1 11 6" xfId="4911"/>
    <cellStyle name="Accent1 11 7" xfId="4912"/>
    <cellStyle name="Accent1 12" xfId="1231"/>
    <cellStyle name="Accent1 12 2" xfId="1232"/>
    <cellStyle name="Accent1 12 2 2" xfId="1233"/>
    <cellStyle name="Accent1 12 2 3" xfId="1234"/>
    <cellStyle name="Accent1 12 2 4" xfId="4913"/>
    <cellStyle name="Accent1 12 3" xfId="4914"/>
    <cellStyle name="Accent1 12 4" xfId="4915"/>
    <cellStyle name="Accent1 12 5" xfId="4916"/>
    <cellStyle name="Accent1 12 6" xfId="4917"/>
    <cellStyle name="Accent1 12 7" xfId="4918"/>
    <cellStyle name="Accent1 13" xfId="1235"/>
    <cellStyle name="Accent1 13 2" xfId="4919"/>
    <cellStyle name="Accent1 14" xfId="1236"/>
    <cellStyle name="Accent1 14 2" xfId="4920"/>
    <cellStyle name="Accent1 15" xfId="1237"/>
    <cellStyle name="Accent1 15 2" xfId="4921"/>
    <cellStyle name="Accent1 16" xfId="1238"/>
    <cellStyle name="Accent1 16 2" xfId="4922"/>
    <cellStyle name="Accent1 17" xfId="1239"/>
    <cellStyle name="Accent1 17 2" xfId="4923"/>
    <cellStyle name="Accent1 18" xfId="1240"/>
    <cellStyle name="Accent1 18 2" xfId="4924"/>
    <cellStyle name="Accent1 19" xfId="1241"/>
    <cellStyle name="Accent1 19 2" xfId="4925"/>
    <cellStyle name="Accent1 2" xfId="1242"/>
    <cellStyle name="Accent1 2 2" xfId="1243"/>
    <cellStyle name="Accent1 2 2 2" xfId="1244"/>
    <cellStyle name="Accent1 2 2 2 2" xfId="1245"/>
    <cellStyle name="Accent1 2 2 2 3" xfId="1246"/>
    <cellStyle name="Accent1 2 2 3" xfId="1247"/>
    <cellStyle name="Accent1 2 2 4" xfId="1248"/>
    <cellStyle name="Accent1 2 2 5" xfId="4926"/>
    <cellStyle name="Accent1 2 3" xfId="4927"/>
    <cellStyle name="Accent1 2 4" xfId="4928"/>
    <cellStyle name="Accent1 2 5" xfId="4929"/>
    <cellStyle name="Accent1 2 6" xfId="4930"/>
    <cellStyle name="Accent1 2 7" xfId="4931"/>
    <cellStyle name="Accent1 20" xfId="1249"/>
    <cellStyle name="Accent1 20 2" xfId="4932"/>
    <cellStyle name="Accent1 21" xfId="1250"/>
    <cellStyle name="Accent1 21 2" xfId="4933"/>
    <cellStyle name="Accent1 22" xfId="1251"/>
    <cellStyle name="Accent1 23" xfId="1252"/>
    <cellStyle name="Accent1 24" xfId="1253"/>
    <cellStyle name="Accent1 25" xfId="1254"/>
    <cellStyle name="Accent1 26" xfId="1255"/>
    <cellStyle name="Accent1 27" xfId="1256"/>
    <cellStyle name="Accent1 28" xfId="1257"/>
    <cellStyle name="Accent1 29" xfId="1258"/>
    <cellStyle name="Accent1 3" xfId="1259"/>
    <cellStyle name="Accent1 3 2" xfId="1260"/>
    <cellStyle name="Accent1 3 2 2" xfId="1261"/>
    <cellStyle name="Accent1 3 2 3" xfId="1262"/>
    <cellStyle name="Accent1 3 2 4" xfId="4934"/>
    <cellStyle name="Accent1 3 3" xfId="4935"/>
    <cellStyle name="Accent1 3 4" xfId="4936"/>
    <cellStyle name="Accent1 3 5" xfId="4937"/>
    <cellStyle name="Accent1 3 6" xfId="4938"/>
    <cellStyle name="Accent1 3 7" xfId="4939"/>
    <cellStyle name="Accent1 3 8" xfId="3395"/>
    <cellStyle name="Accent1 30" xfId="1263"/>
    <cellStyle name="Accent1 31" xfId="1264"/>
    <cellStyle name="Accent1 32" xfId="1265"/>
    <cellStyle name="Accent1 33" xfId="1266"/>
    <cellStyle name="Accent1 34" xfId="1267"/>
    <cellStyle name="Accent1 35" xfId="1268"/>
    <cellStyle name="Accent1 36" xfId="1269"/>
    <cellStyle name="Accent1 37" xfId="1270"/>
    <cellStyle name="Accent1 38" xfId="1271"/>
    <cellStyle name="Accent1 4" xfId="1272"/>
    <cellStyle name="Accent1 4 2" xfId="1273"/>
    <cellStyle name="Accent1 4 2 2" xfId="1274"/>
    <cellStyle name="Accent1 4 2 3" xfId="1275"/>
    <cellStyle name="Accent1 4 2 4" xfId="4941"/>
    <cellStyle name="Accent1 4 3" xfId="4942"/>
    <cellStyle name="Accent1 4 4" xfId="4943"/>
    <cellStyle name="Accent1 4 5" xfId="4944"/>
    <cellStyle name="Accent1 4 6" xfId="4945"/>
    <cellStyle name="Accent1 4 7" xfId="4946"/>
    <cellStyle name="Accent1 4 8" xfId="4940"/>
    <cellStyle name="Accent1 5" xfId="1276"/>
    <cellStyle name="Accent1 5 2" xfId="1277"/>
    <cellStyle name="Accent1 5 2 2" xfId="1278"/>
    <cellStyle name="Accent1 5 2 3" xfId="1279"/>
    <cellStyle name="Accent1 5 2 4" xfId="4948"/>
    <cellStyle name="Accent1 5 3" xfId="4949"/>
    <cellStyle name="Accent1 5 4" xfId="4950"/>
    <cellStyle name="Accent1 5 5" xfId="4951"/>
    <cellStyle name="Accent1 5 6" xfId="4952"/>
    <cellStyle name="Accent1 5 7" xfId="4953"/>
    <cellStyle name="Accent1 5 8" xfId="4947"/>
    <cellStyle name="Accent1 6" xfId="1280"/>
    <cellStyle name="Accent1 6 2" xfId="1281"/>
    <cellStyle name="Accent1 6 2 2" xfId="1282"/>
    <cellStyle name="Accent1 6 2 3" xfId="1283"/>
    <cellStyle name="Accent1 6 2 4" xfId="4954"/>
    <cellStyle name="Accent1 6 3" xfId="4955"/>
    <cellStyle name="Accent1 6 4" xfId="4956"/>
    <cellStyle name="Accent1 6 5" xfId="4957"/>
    <cellStyle name="Accent1 6 6" xfId="4958"/>
    <cellStyle name="Accent1 6 7" xfId="4959"/>
    <cellStyle name="Accent1 7" xfId="1284"/>
    <cellStyle name="Accent1 7 2" xfId="1285"/>
    <cellStyle name="Accent1 7 2 2" xfId="1286"/>
    <cellStyle name="Accent1 7 2 3" xfId="1287"/>
    <cellStyle name="Accent1 7 2 4" xfId="4960"/>
    <cellStyle name="Accent1 7 3" xfId="4961"/>
    <cellStyle name="Accent1 7 4" xfId="4962"/>
    <cellStyle name="Accent1 7 5" xfId="4963"/>
    <cellStyle name="Accent1 7 6" xfId="4964"/>
    <cellStyle name="Accent1 7 7" xfId="4965"/>
    <cellStyle name="Accent1 8" xfId="1288"/>
    <cellStyle name="Accent1 8 2" xfId="1289"/>
    <cellStyle name="Accent1 8 2 2" xfId="1290"/>
    <cellStyle name="Accent1 8 2 3" xfId="1291"/>
    <cellStyle name="Accent1 8 2 4" xfId="4966"/>
    <cellStyle name="Accent1 8 3" xfId="4967"/>
    <cellStyle name="Accent1 8 4" xfId="4968"/>
    <cellStyle name="Accent1 8 5" xfId="4969"/>
    <cellStyle name="Accent1 8 6" xfId="4970"/>
    <cellStyle name="Accent1 8 7" xfId="4971"/>
    <cellStyle name="Accent1 9" xfId="1292"/>
    <cellStyle name="Accent1 9 2" xfId="1293"/>
    <cellStyle name="Accent1 9 2 2" xfId="1294"/>
    <cellStyle name="Accent1 9 2 3" xfId="1295"/>
    <cellStyle name="Accent1 9 2 4" xfId="4972"/>
    <cellStyle name="Accent1 9 3" xfId="4973"/>
    <cellStyle name="Accent1 9 4" xfId="4974"/>
    <cellStyle name="Accent1 9 5" xfId="4975"/>
    <cellStyle name="Accent1 9 6" xfId="4976"/>
    <cellStyle name="Accent1 9 7" xfId="4977"/>
    <cellStyle name="Accent2" xfId="3284" builtinId="33" customBuiltin="1"/>
    <cellStyle name="Accent2 - 20%" xfId="1296"/>
    <cellStyle name="Accent2 - 20% 2" xfId="1297"/>
    <cellStyle name="Accent2 - 40%" xfId="1298"/>
    <cellStyle name="Accent2 - 40% 2" xfId="1299"/>
    <cellStyle name="Accent2 - 60%" xfId="1300"/>
    <cellStyle name="Accent2 10" xfId="1301"/>
    <cellStyle name="Accent2 10 2" xfId="1302"/>
    <cellStyle name="Accent2 10 2 2" xfId="1303"/>
    <cellStyle name="Accent2 10 2 3" xfId="1304"/>
    <cellStyle name="Accent2 10 2 4" xfId="4978"/>
    <cellStyle name="Accent2 10 3" xfId="4979"/>
    <cellStyle name="Accent2 10 4" xfId="4980"/>
    <cellStyle name="Accent2 10 5" xfId="4981"/>
    <cellStyle name="Accent2 10 6" xfId="4982"/>
    <cellStyle name="Accent2 10 7" xfId="4983"/>
    <cellStyle name="Accent2 11" xfId="1305"/>
    <cellStyle name="Accent2 11 2" xfId="1306"/>
    <cellStyle name="Accent2 11 2 2" xfId="1307"/>
    <cellStyle name="Accent2 11 2 3" xfId="1308"/>
    <cellStyle name="Accent2 11 2 4" xfId="4984"/>
    <cellStyle name="Accent2 11 3" xfId="4985"/>
    <cellStyle name="Accent2 11 4" xfId="4986"/>
    <cellStyle name="Accent2 11 5" xfId="4987"/>
    <cellStyle name="Accent2 11 6" xfId="4988"/>
    <cellStyle name="Accent2 11 7" xfId="4989"/>
    <cellStyle name="Accent2 12" xfId="1309"/>
    <cellStyle name="Accent2 12 2" xfId="1310"/>
    <cellStyle name="Accent2 12 2 2" xfId="1311"/>
    <cellStyle name="Accent2 12 2 3" xfId="1312"/>
    <cellStyle name="Accent2 12 2 4" xfId="4990"/>
    <cellStyle name="Accent2 12 3" xfId="4991"/>
    <cellStyle name="Accent2 12 4" xfId="4992"/>
    <cellStyle name="Accent2 12 5" xfId="4993"/>
    <cellStyle name="Accent2 12 6" xfId="4994"/>
    <cellStyle name="Accent2 12 7" xfId="4995"/>
    <cellStyle name="Accent2 13" xfId="1313"/>
    <cellStyle name="Accent2 13 2" xfId="4996"/>
    <cellStyle name="Accent2 14" xfId="1314"/>
    <cellStyle name="Accent2 14 2" xfId="4997"/>
    <cellStyle name="Accent2 15" xfId="1315"/>
    <cellStyle name="Accent2 15 2" xfId="4998"/>
    <cellStyle name="Accent2 16" xfId="1316"/>
    <cellStyle name="Accent2 16 2" xfId="4999"/>
    <cellStyle name="Accent2 17" xfId="1317"/>
    <cellStyle name="Accent2 17 2" xfId="5000"/>
    <cellStyle name="Accent2 18" xfId="1318"/>
    <cellStyle name="Accent2 18 2" xfId="5001"/>
    <cellStyle name="Accent2 19" xfId="1319"/>
    <cellStyle name="Accent2 19 2" xfId="5002"/>
    <cellStyle name="Accent2 2" xfId="1320"/>
    <cellStyle name="Accent2 2 2" xfId="1321"/>
    <cellStyle name="Accent2 2 2 2" xfId="1322"/>
    <cellStyle name="Accent2 2 2 2 2" xfId="1323"/>
    <cellStyle name="Accent2 2 2 2 3" xfId="1324"/>
    <cellStyle name="Accent2 2 2 3" xfId="1325"/>
    <cellStyle name="Accent2 2 2 4" xfId="1326"/>
    <cellStyle name="Accent2 2 2 5" xfId="5003"/>
    <cellStyle name="Accent2 2 3" xfId="5004"/>
    <cellStyle name="Accent2 2 4" xfId="5005"/>
    <cellStyle name="Accent2 2 5" xfId="5006"/>
    <cellStyle name="Accent2 2 6" xfId="5007"/>
    <cellStyle name="Accent2 2 7" xfId="5008"/>
    <cellStyle name="Accent2 20" xfId="1327"/>
    <cellStyle name="Accent2 20 2" xfId="5009"/>
    <cellStyle name="Accent2 21" xfId="1328"/>
    <cellStyle name="Accent2 21 2" xfId="5010"/>
    <cellStyle name="Accent2 22" xfId="1329"/>
    <cellStyle name="Accent2 23" xfId="1330"/>
    <cellStyle name="Accent2 24" xfId="1331"/>
    <cellStyle name="Accent2 25" xfId="1332"/>
    <cellStyle name="Accent2 26" xfId="1333"/>
    <cellStyle name="Accent2 27" xfId="1334"/>
    <cellStyle name="Accent2 28" xfId="1335"/>
    <cellStyle name="Accent2 29" xfId="1336"/>
    <cellStyle name="Accent2 3" xfId="1337"/>
    <cellStyle name="Accent2 3 2" xfId="1338"/>
    <cellStyle name="Accent2 3 2 2" xfId="1339"/>
    <cellStyle name="Accent2 3 2 3" xfId="1340"/>
    <cellStyle name="Accent2 3 2 4" xfId="5011"/>
    <cellStyle name="Accent2 3 3" xfId="5012"/>
    <cellStyle name="Accent2 3 4" xfId="5013"/>
    <cellStyle name="Accent2 3 5" xfId="5014"/>
    <cellStyle name="Accent2 3 6" xfId="5015"/>
    <cellStyle name="Accent2 3 7" xfId="5016"/>
    <cellStyle name="Accent2 3 8" xfId="3404"/>
    <cellStyle name="Accent2 30" xfId="1341"/>
    <cellStyle name="Accent2 31" xfId="1342"/>
    <cellStyle name="Accent2 32" xfId="1343"/>
    <cellStyle name="Accent2 33" xfId="1344"/>
    <cellStyle name="Accent2 34" xfId="1345"/>
    <cellStyle name="Accent2 35" xfId="1346"/>
    <cellStyle name="Accent2 36" xfId="1347"/>
    <cellStyle name="Accent2 37" xfId="1348"/>
    <cellStyle name="Accent2 38" xfId="1349"/>
    <cellStyle name="Accent2 4" xfId="1350"/>
    <cellStyle name="Accent2 4 2" xfId="1351"/>
    <cellStyle name="Accent2 4 2 2" xfId="1352"/>
    <cellStyle name="Accent2 4 2 3" xfId="1353"/>
    <cellStyle name="Accent2 4 2 4" xfId="5018"/>
    <cellStyle name="Accent2 4 3" xfId="5019"/>
    <cellStyle name="Accent2 4 4" xfId="5020"/>
    <cellStyle name="Accent2 4 5" xfId="5021"/>
    <cellStyle name="Accent2 4 6" xfId="5022"/>
    <cellStyle name="Accent2 4 7" xfId="5023"/>
    <cellStyle name="Accent2 4 8" xfId="5017"/>
    <cellStyle name="Accent2 5" xfId="1354"/>
    <cellStyle name="Accent2 5 2" xfId="1355"/>
    <cellStyle name="Accent2 5 2 2" xfId="1356"/>
    <cellStyle name="Accent2 5 2 3" xfId="1357"/>
    <cellStyle name="Accent2 5 2 4" xfId="5025"/>
    <cellStyle name="Accent2 5 3" xfId="5026"/>
    <cellStyle name="Accent2 5 4" xfId="5027"/>
    <cellStyle name="Accent2 5 5" xfId="5028"/>
    <cellStyle name="Accent2 5 6" xfId="5029"/>
    <cellStyle name="Accent2 5 7" xfId="5030"/>
    <cellStyle name="Accent2 5 8" xfId="5024"/>
    <cellStyle name="Accent2 6" xfId="1358"/>
    <cellStyle name="Accent2 6 2" xfId="1359"/>
    <cellStyle name="Accent2 6 2 2" xfId="1360"/>
    <cellStyle name="Accent2 6 2 3" xfId="1361"/>
    <cellStyle name="Accent2 6 2 4" xfId="5031"/>
    <cellStyle name="Accent2 6 3" xfId="5032"/>
    <cellStyle name="Accent2 6 4" xfId="5033"/>
    <cellStyle name="Accent2 6 5" xfId="5034"/>
    <cellStyle name="Accent2 6 6" xfId="5035"/>
    <cellStyle name="Accent2 6 7" xfId="5036"/>
    <cellStyle name="Accent2 7" xfId="1362"/>
    <cellStyle name="Accent2 7 2" xfId="1363"/>
    <cellStyle name="Accent2 7 2 2" xfId="1364"/>
    <cellStyle name="Accent2 7 2 3" xfId="1365"/>
    <cellStyle name="Accent2 7 2 4" xfId="5037"/>
    <cellStyle name="Accent2 7 3" xfId="5038"/>
    <cellStyle name="Accent2 7 4" xfId="5039"/>
    <cellStyle name="Accent2 7 5" xfId="5040"/>
    <cellStyle name="Accent2 7 6" xfId="5041"/>
    <cellStyle name="Accent2 7 7" xfId="5042"/>
    <cellStyle name="Accent2 8" xfId="1366"/>
    <cellStyle name="Accent2 8 2" xfId="1367"/>
    <cellStyle name="Accent2 8 2 2" xfId="1368"/>
    <cellStyle name="Accent2 8 2 3" xfId="1369"/>
    <cellStyle name="Accent2 8 2 4" xfId="5043"/>
    <cellStyle name="Accent2 8 3" xfId="5044"/>
    <cellStyle name="Accent2 8 4" xfId="5045"/>
    <cellStyle name="Accent2 8 5" xfId="5046"/>
    <cellStyle name="Accent2 8 6" xfId="5047"/>
    <cellStyle name="Accent2 8 7" xfId="5048"/>
    <cellStyle name="Accent2 9" xfId="1370"/>
    <cellStyle name="Accent2 9 2" xfId="1371"/>
    <cellStyle name="Accent2 9 2 2" xfId="1372"/>
    <cellStyle name="Accent2 9 2 3" xfId="1373"/>
    <cellStyle name="Accent2 9 2 4" xfId="5049"/>
    <cellStyle name="Accent2 9 3" xfId="5050"/>
    <cellStyle name="Accent2 9 4" xfId="5051"/>
    <cellStyle name="Accent2 9 5" xfId="5052"/>
    <cellStyle name="Accent2 9 6" xfId="5053"/>
    <cellStyle name="Accent2 9 7" xfId="5054"/>
    <cellStyle name="Accent3" xfId="3288" builtinId="37" customBuiltin="1"/>
    <cellStyle name="Accent3 - 20%" xfId="1374"/>
    <cellStyle name="Accent3 - 20% 2" xfId="1375"/>
    <cellStyle name="Accent3 - 40%" xfId="1376"/>
    <cellStyle name="Accent3 - 40% 2" xfId="1377"/>
    <cellStyle name="Accent3 - 60%" xfId="1378"/>
    <cellStyle name="Accent3 10" xfId="1379"/>
    <cellStyle name="Accent3 11" xfId="1380"/>
    <cellStyle name="Accent3 12" xfId="1381"/>
    <cellStyle name="Accent3 13" xfId="1382"/>
    <cellStyle name="Accent3 14" xfId="1383"/>
    <cellStyle name="Accent3 15" xfId="1384"/>
    <cellStyle name="Accent3 2" xfId="1385"/>
    <cellStyle name="Accent3 2 2" xfId="5055"/>
    <cellStyle name="Accent3 3" xfId="1386"/>
    <cellStyle name="Accent3 3 2" xfId="5056"/>
    <cellStyle name="Accent3 3 3" xfId="3397"/>
    <cellStyle name="Accent3 4" xfId="1387"/>
    <cellStyle name="Accent3 4 2" xfId="5058"/>
    <cellStyle name="Accent3 4 3" xfId="5057"/>
    <cellStyle name="Accent3 5" xfId="1388"/>
    <cellStyle name="Accent3 5 2" xfId="5060"/>
    <cellStyle name="Accent3 5 3" xfId="5059"/>
    <cellStyle name="Accent3 6" xfId="1389"/>
    <cellStyle name="Accent3 7" xfId="1390"/>
    <cellStyle name="Accent3 8" xfId="1391"/>
    <cellStyle name="Accent3 9" xfId="1392"/>
    <cellStyle name="Accent4" xfId="3292" builtinId="41" customBuiltin="1"/>
    <cellStyle name="Accent4 - 20%" xfId="1393"/>
    <cellStyle name="Accent4 - 20% 2" xfId="1394"/>
    <cellStyle name="Accent4 - 40%" xfId="1395"/>
    <cellStyle name="Accent4 - 40% 2" xfId="1396"/>
    <cellStyle name="Accent4 - 60%" xfId="1397"/>
    <cellStyle name="Accent4 10" xfId="1398"/>
    <cellStyle name="Accent4 11" xfId="1399"/>
    <cellStyle name="Accent4 12" xfId="1400"/>
    <cellStyle name="Accent4 13" xfId="1401"/>
    <cellStyle name="Accent4 14" xfId="1402"/>
    <cellStyle name="Accent4 15" xfId="1403"/>
    <cellStyle name="Accent4 16" xfId="1404"/>
    <cellStyle name="Accent4 17" xfId="1405"/>
    <cellStyle name="Accent4 18" xfId="1406"/>
    <cellStyle name="Accent4 19" xfId="1407"/>
    <cellStyle name="Accent4 2" xfId="1408"/>
    <cellStyle name="Accent4 2 2" xfId="1409"/>
    <cellStyle name="Accent4 2 2 2" xfId="5061"/>
    <cellStyle name="Accent4 20" xfId="1410"/>
    <cellStyle name="Accent4 21" xfId="1411"/>
    <cellStyle name="Accent4 22" xfId="1412"/>
    <cellStyle name="Accent4 23" xfId="1413"/>
    <cellStyle name="Accent4 24" xfId="1414"/>
    <cellStyle name="Accent4 25" xfId="1415"/>
    <cellStyle name="Accent4 26" xfId="1416"/>
    <cellStyle name="Accent4 27" xfId="1417"/>
    <cellStyle name="Accent4 28" xfId="1418"/>
    <cellStyle name="Accent4 29" xfId="1419"/>
    <cellStyle name="Accent4 3" xfId="1420"/>
    <cellStyle name="Accent4 3 2" xfId="5062"/>
    <cellStyle name="Accent4 3 3" xfId="3410"/>
    <cellStyle name="Accent4 30" xfId="1421"/>
    <cellStyle name="Accent4 31" xfId="1422"/>
    <cellStyle name="Accent4 32" xfId="1423"/>
    <cellStyle name="Accent4 33" xfId="1424"/>
    <cellStyle name="Accent4 34" xfId="1425"/>
    <cellStyle name="Accent4 35" xfId="1426"/>
    <cellStyle name="Accent4 36" xfId="1427"/>
    <cellStyle name="Accent4 37" xfId="1428"/>
    <cellStyle name="Accent4 38" xfId="1429"/>
    <cellStyle name="Accent4 4" xfId="1430"/>
    <cellStyle name="Accent4 4 2" xfId="5064"/>
    <cellStyle name="Accent4 4 3" xfId="5063"/>
    <cellStyle name="Accent4 5" xfId="1431"/>
    <cellStyle name="Accent4 5 2" xfId="5066"/>
    <cellStyle name="Accent4 5 3" xfId="5065"/>
    <cellStyle name="Accent4 6" xfId="1432"/>
    <cellStyle name="Accent4 7" xfId="1433"/>
    <cellStyle name="Accent4 8" xfId="1434"/>
    <cellStyle name="Accent4 9" xfId="1435"/>
    <cellStyle name="Accent5" xfId="3296" builtinId="45" customBuiltin="1"/>
    <cellStyle name="Accent5 - 20%" xfId="1436"/>
    <cellStyle name="Accent5 - 20% 2" xfId="1437"/>
    <cellStyle name="Accent5 - 40%" xfId="1438"/>
    <cellStyle name="Accent5 - 40% 2" xfId="1439"/>
    <cellStyle name="Accent5 - 60%" xfId="1440"/>
    <cellStyle name="Accent5 10" xfId="1441"/>
    <cellStyle name="Accent5 11" xfId="1442"/>
    <cellStyle name="Accent5 12" xfId="1443"/>
    <cellStyle name="Accent5 13" xfId="1444"/>
    <cellStyle name="Accent5 14" xfId="1445"/>
    <cellStyle name="Accent5 15" xfId="1446"/>
    <cellStyle name="Accent5 2" xfId="1447"/>
    <cellStyle name="Accent5 2 2" xfId="5067"/>
    <cellStyle name="Accent5 3" xfId="1448"/>
    <cellStyle name="Accent5 3 2" xfId="5068"/>
    <cellStyle name="Accent5 3 3" xfId="3407"/>
    <cellStyle name="Accent5 4" xfId="1449"/>
    <cellStyle name="Accent5 4 2" xfId="5070"/>
    <cellStyle name="Accent5 4 3" xfId="5069"/>
    <cellStyle name="Accent5 5" xfId="1450"/>
    <cellStyle name="Accent5 5 2" xfId="5072"/>
    <cellStyle name="Accent5 5 3" xfId="5071"/>
    <cellStyle name="Accent5 6" xfId="1451"/>
    <cellStyle name="Accent5 7" xfId="1452"/>
    <cellStyle name="Accent5 8" xfId="1453"/>
    <cellStyle name="Accent5 9" xfId="1454"/>
    <cellStyle name="Accent6" xfId="3300" builtinId="49" customBuiltin="1"/>
    <cellStyle name="Accent6 - 20%" xfId="1455"/>
    <cellStyle name="Accent6 - 20% 2" xfId="1456"/>
    <cellStyle name="Accent6 - 40%" xfId="1457"/>
    <cellStyle name="Accent6 - 40% 2" xfId="1458"/>
    <cellStyle name="Accent6 - 60%" xfId="1459"/>
    <cellStyle name="Accent6 10" xfId="1460"/>
    <cellStyle name="Accent6 10 2" xfId="1461"/>
    <cellStyle name="Accent6 10 2 2" xfId="1462"/>
    <cellStyle name="Accent6 10 2 2 2" xfId="5074"/>
    <cellStyle name="Accent6 10 2 3" xfId="1463"/>
    <cellStyle name="Accent6 10 2 3 2" xfId="5075"/>
    <cellStyle name="Accent6 10 2 4" xfId="5073"/>
    <cellStyle name="Accent6 10 3" xfId="5076"/>
    <cellStyle name="Accent6 10 3 2" xfId="5077"/>
    <cellStyle name="Accent6 10 3 3" xfId="5078"/>
    <cellStyle name="Accent6 10 4" xfId="5079"/>
    <cellStyle name="Accent6 10 4 2" xfId="5080"/>
    <cellStyle name="Accent6 10 4 3" xfId="5081"/>
    <cellStyle name="Accent6 10 5" xfId="5082"/>
    <cellStyle name="Accent6 10 5 2" xfId="5083"/>
    <cellStyle name="Accent6 10 5 3" xfId="5084"/>
    <cellStyle name="Accent6 10 6" xfId="5085"/>
    <cellStyle name="Accent6 10 6 2" xfId="5086"/>
    <cellStyle name="Accent6 10 6 3" xfId="5087"/>
    <cellStyle name="Accent6 10 7" xfId="5088"/>
    <cellStyle name="Accent6 10 7 2" xfId="5089"/>
    <cellStyle name="Accent6 10 7 3" xfId="5090"/>
    <cellStyle name="Accent6 11" xfId="1464"/>
    <cellStyle name="Accent6 11 2" xfId="1465"/>
    <cellStyle name="Accent6 11 2 2" xfId="1466"/>
    <cellStyle name="Accent6 11 2 2 2" xfId="5092"/>
    <cellStyle name="Accent6 11 2 3" xfId="1467"/>
    <cellStyle name="Accent6 11 2 3 2" xfId="5093"/>
    <cellStyle name="Accent6 11 2 4" xfId="5091"/>
    <cellStyle name="Accent6 11 3" xfId="5094"/>
    <cellStyle name="Accent6 11 3 2" xfId="5095"/>
    <cellStyle name="Accent6 11 3 3" xfId="5096"/>
    <cellStyle name="Accent6 11 4" xfId="5097"/>
    <cellStyle name="Accent6 11 4 2" xfId="5098"/>
    <cellStyle name="Accent6 11 4 3" xfId="5099"/>
    <cellStyle name="Accent6 11 5" xfId="5100"/>
    <cellStyle name="Accent6 11 5 2" xfId="5101"/>
    <cellStyle name="Accent6 11 5 3" xfId="5102"/>
    <cellStyle name="Accent6 11 6" xfId="5103"/>
    <cellStyle name="Accent6 11 6 2" xfId="5104"/>
    <cellStyle name="Accent6 11 6 3" xfId="5105"/>
    <cellStyle name="Accent6 11 7" xfId="5106"/>
    <cellStyle name="Accent6 11 7 2" xfId="5107"/>
    <cellStyle name="Accent6 11 7 3" xfId="5108"/>
    <cellStyle name="Accent6 12" xfId="1468"/>
    <cellStyle name="Accent6 12 2" xfId="1469"/>
    <cellStyle name="Accent6 12 2 2" xfId="1470"/>
    <cellStyle name="Accent6 12 2 2 2" xfId="5110"/>
    <cellStyle name="Accent6 12 2 3" xfId="1471"/>
    <cellStyle name="Accent6 12 2 3 2" xfId="5111"/>
    <cellStyle name="Accent6 12 2 4" xfId="5109"/>
    <cellStyle name="Accent6 12 3" xfId="5112"/>
    <cellStyle name="Accent6 12 3 2" xfId="5113"/>
    <cellStyle name="Accent6 12 3 3" xfId="5114"/>
    <cellStyle name="Accent6 12 4" xfId="5115"/>
    <cellStyle name="Accent6 12 4 2" xfId="5116"/>
    <cellStyle name="Accent6 12 4 3" xfId="5117"/>
    <cellStyle name="Accent6 12 5" xfId="5118"/>
    <cellStyle name="Accent6 12 5 2" xfId="5119"/>
    <cellStyle name="Accent6 12 5 3" xfId="5120"/>
    <cellStyle name="Accent6 12 6" xfId="5121"/>
    <cellStyle name="Accent6 12 6 2" xfId="5122"/>
    <cellStyle name="Accent6 12 6 3" xfId="5123"/>
    <cellStyle name="Accent6 12 7" xfId="5124"/>
    <cellStyle name="Accent6 12 7 2" xfId="5125"/>
    <cellStyle name="Accent6 12 7 3" xfId="5126"/>
    <cellStyle name="Accent6 13" xfId="1472"/>
    <cellStyle name="Accent6 13 2" xfId="5127"/>
    <cellStyle name="Accent6 13 2 2" xfId="5128"/>
    <cellStyle name="Accent6 13 2 3" xfId="5129"/>
    <cellStyle name="Accent6 14" xfId="1473"/>
    <cellStyle name="Accent6 14 2" xfId="5130"/>
    <cellStyle name="Accent6 14 2 2" xfId="5131"/>
    <cellStyle name="Accent6 14 2 3" xfId="5132"/>
    <cellStyle name="Accent6 15" xfId="1474"/>
    <cellStyle name="Accent6 15 2" xfId="5133"/>
    <cellStyle name="Accent6 15 2 2" xfId="5134"/>
    <cellStyle name="Accent6 15 2 3" xfId="5135"/>
    <cellStyle name="Accent6 16" xfId="1475"/>
    <cellStyle name="Accent6 16 2" xfId="5136"/>
    <cellStyle name="Accent6 16 2 2" xfId="5137"/>
    <cellStyle name="Accent6 16 2 3" xfId="5138"/>
    <cellStyle name="Accent6 17" xfId="1476"/>
    <cellStyle name="Accent6 17 2" xfId="5139"/>
    <cellStyle name="Accent6 17 2 2" xfId="5140"/>
    <cellStyle name="Accent6 17 2 3" xfId="5141"/>
    <cellStyle name="Accent6 18" xfId="1477"/>
    <cellStyle name="Accent6 18 2" xfId="5142"/>
    <cellStyle name="Accent6 18 2 2" xfId="5143"/>
    <cellStyle name="Accent6 18 2 3" xfId="5144"/>
    <cellStyle name="Accent6 19" xfId="1478"/>
    <cellStyle name="Accent6 19 2" xfId="5145"/>
    <cellStyle name="Accent6 19 2 2" xfId="5146"/>
    <cellStyle name="Accent6 19 2 3" xfId="5147"/>
    <cellStyle name="Accent6 2" xfId="1479"/>
    <cellStyle name="Accent6 2 2" xfId="1480"/>
    <cellStyle name="Accent6 2 2 2" xfId="1481"/>
    <cellStyle name="Accent6 2 2 2 2" xfId="1482"/>
    <cellStyle name="Accent6 2 2 2 3" xfId="1483"/>
    <cellStyle name="Accent6 2 2 2 4" xfId="5149"/>
    <cellStyle name="Accent6 2 2 3" xfId="1484"/>
    <cellStyle name="Accent6 2 2 3 2" xfId="5150"/>
    <cellStyle name="Accent6 2 2 4" xfId="1485"/>
    <cellStyle name="Accent6 2 2 5" xfId="5148"/>
    <cellStyle name="Accent6 2 2_Calc Data" xfId="5151"/>
    <cellStyle name="Accent6 2 3" xfId="5152"/>
    <cellStyle name="Accent6 2 3 2" xfId="5153"/>
    <cellStyle name="Accent6 2 3 3" xfId="5154"/>
    <cellStyle name="Accent6 2 4" xfId="5155"/>
    <cellStyle name="Accent6 2 4 2" xfId="5156"/>
    <cellStyle name="Accent6 2 4 3" xfId="5157"/>
    <cellStyle name="Accent6 2 5" xfId="5158"/>
    <cellStyle name="Accent6 2 5 2" xfId="5159"/>
    <cellStyle name="Accent6 2 5 3" xfId="5160"/>
    <cellStyle name="Accent6 2 6" xfId="5161"/>
    <cellStyle name="Accent6 2 6 2" xfId="5162"/>
    <cellStyle name="Accent6 2 6 3" xfId="5163"/>
    <cellStyle name="Accent6 2 7" xfId="5164"/>
    <cellStyle name="Accent6 2 7 2" xfId="5165"/>
    <cellStyle name="Accent6 2 7 3" xfId="5166"/>
    <cellStyle name="Accent6 20" xfId="1486"/>
    <cellStyle name="Accent6 20 2" xfId="5167"/>
    <cellStyle name="Accent6 20 2 2" xfId="5168"/>
    <cellStyle name="Accent6 20 2 3" xfId="5169"/>
    <cellStyle name="Accent6 21" xfId="1487"/>
    <cellStyle name="Accent6 21 2" xfId="5170"/>
    <cellStyle name="Accent6 21 2 2" xfId="5171"/>
    <cellStyle name="Accent6 21 2 3" xfId="5172"/>
    <cellStyle name="Accent6 22" xfId="1488"/>
    <cellStyle name="Accent6 23" xfId="1489"/>
    <cellStyle name="Accent6 24" xfId="1490"/>
    <cellStyle name="Accent6 25" xfId="1491"/>
    <cellStyle name="Accent6 26" xfId="1492"/>
    <cellStyle name="Accent6 27" xfId="1493"/>
    <cellStyle name="Accent6 28" xfId="1494"/>
    <cellStyle name="Accent6 29" xfId="1495"/>
    <cellStyle name="Accent6 3" xfId="1496"/>
    <cellStyle name="Accent6 3 10" xfId="7816"/>
    <cellStyle name="Accent6 3 2" xfId="1497"/>
    <cellStyle name="Accent6 3 2 2" xfId="1498"/>
    <cellStyle name="Accent6 3 2 2 2" xfId="5174"/>
    <cellStyle name="Accent6 3 2 3" xfId="1499"/>
    <cellStyle name="Accent6 3 2 3 2" xfId="5175"/>
    <cellStyle name="Accent6 3 2 4" xfId="5173"/>
    <cellStyle name="Accent6 3 2_Calc Data" xfId="5176"/>
    <cellStyle name="Accent6 3 3" xfId="5177"/>
    <cellStyle name="Accent6 3 3 2" xfId="5178"/>
    <cellStyle name="Accent6 3 3 3" xfId="5179"/>
    <cellStyle name="Accent6 3 4" xfId="5180"/>
    <cellStyle name="Accent6 3 4 2" xfId="5181"/>
    <cellStyle name="Accent6 3 4 3" xfId="5182"/>
    <cellStyle name="Accent6 3 5" xfId="5183"/>
    <cellStyle name="Accent6 3 5 2" xfId="5184"/>
    <cellStyle name="Accent6 3 5 3" xfId="5185"/>
    <cellStyle name="Accent6 3 6" xfId="5186"/>
    <cellStyle name="Accent6 3 6 2" xfId="5187"/>
    <cellStyle name="Accent6 3 6 3" xfId="5188"/>
    <cellStyle name="Accent6 3 7" xfId="5189"/>
    <cellStyle name="Accent6 3 7 2" xfId="5190"/>
    <cellStyle name="Accent6 3 7 3" xfId="5191"/>
    <cellStyle name="Accent6 3 8" xfId="3408"/>
    <cellStyle name="Accent6 3 9" xfId="7750"/>
    <cellStyle name="Accent6 30" xfId="1500"/>
    <cellStyle name="Accent6 31" xfId="1501"/>
    <cellStyle name="Accent6 32" xfId="1502"/>
    <cellStyle name="Accent6 33" xfId="1503"/>
    <cellStyle name="Accent6 34" xfId="1504"/>
    <cellStyle name="Accent6 35" xfId="1505"/>
    <cellStyle name="Accent6 36" xfId="1506"/>
    <cellStyle name="Accent6 37" xfId="1507"/>
    <cellStyle name="Accent6 38" xfId="1508"/>
    <cellStyle name="Accent6 4" xfId="1509"/>
    <cellStyle name="Accent6 4 2" xfId="1510"/>
    <cellStyle name="Accent6 4 2 2" xfId="1511"/>
    <cellStyle name="Accent6 4 2 2 2" xfId="5194"/>
    <cellStyle name="Accent6 4 2 3" xfId="1512"/>
    <cellStyle name="Accent6 4 2 3 2" xfId="5195"/>
    <cellStyle name="Accent6 4 2 4" xfId="5193"/>
    <cellStyle name="Accent6 4 2_Calc Data" xfId="5196"/>
    <cellStyle name="Accent6 4 3" xfId="5197"/>
    <cellStyle name="Accent6 4 3 2" xfId="5198"/>
    <cellStyle name="Accent6 4 3 3" xfId="5199"/>
    <cellStyle name="Accent6 4 4" xfId="5200"/>
    <cellStyle name="Accent6 4 4 2" xfId="5201"/>
    <cellStyle name="Accent6 4 4 3" xfId="5202"/>
    <cellStyle name="Accent6 4 5" xfId="5203"/>
    <cellStyle name="Accent6 4 5 2" xfId="5204"/>
    <cellStyle name="Accent6 4 5 3" xfId="5205"/>
    <cellStyle name="Accent6 4 6" xfId="5206"/>
    <cellStyle name="Accent6 4 6 2" xfId="5207"/>
    <cellStyle name="Accent6 4 6 3" xfId="5208"/>
    <cellStyle name="Accent6 4 7" xfId="5209"/>
    <cellStyle name="Accent6 4 7 2" xfId="5210"/>
    <cellStyle name="Accent6 4 7 3" xfId="5211"/>
    <cellStyle name="Accent6 4 8" xfId="5192"/>
    <cellStyle name="Accent6 5" xfId="1513"/>
    <cellStyle name="Accent6 5 2" xfId="1514"/>
    <cellStyle name="Accent6 5 2 2" xfId="1515"/>
    <cellStyle name="Accent6 5 2 2 2" xfId="5214"/>
    <cellStyle name="Accent6 5 2 3" xfId="1516"/>
    <cellStyle name="Accent6 5 2 3 2" xfId="5215"/>
    <cellStyle name="Accent6 5 2 4" xfId="5213"/>
    <cellStyle name="Accent6 5 2_Calc Data" xfId="5216"/>
    <cellStyle name="Accent6 5 3" xfId="5217"/>
    <cellStyle name="Accent6 5 3 2" xfId="5218"/>
    <cellStyle name="Accent6 5 3 3" xfId="5219"/>
    <cellStyle name="Accent6 5 4" xfId="5220"/>
    <cellStyle name="Accent6 5 4 2" xfId="5221"/>
    <cellStyle name="Accent6 5 4 3" xfId="5222"/>
    <cellStyle name="Accent6 5 5" xfId="5223"/>
    <cellStyle name="Accent6 5 5 2" xfId="5224"/>
    <cellStyle name="Accent6 5 5 3" xfId="5225"/>
    <cellStyle name="Accent6 5 6" xfId="5226"/>
    <cellStyle name="Accent6 5 6 2" xfId="5227"/>
    <cellStyle name="Accent6 5 6 3" xfId="5228"/>
    <cellStyle name="Accent6 5 7" xfId="5229"/>
    <cellStyle name="Accent6 5 7 2" xfId="5230"/>
    <cellStyle name="Accent6 5 7 3" xfId="5231"/>
    <cellStyle name="Accent6 5 8" xfId="5212"/>
    <cellStyle name="Accent6 6" xfId="1517"/>
    <cellStyle name="Accent6 6 2" xfId="1518"/>
    <cellStyle name="Accent6 6 2 2" xfId="1519"/>
    <cellStyle name="Accent6 6 2 2 2" xfId="5233"/>
    <cellStyle name="Accent6 6 2 3" xfId="1520"/>
    <cellStyle name="Accent6 6 2 3 2" xfId="5234"/>
    <cellStyle name="Accent6 6 2 4" xfId="5232"/>
    <cellStyle name="Accent6 6 3" xfId="5235"/>
    <cellStyle name="Accent6 6 3 2" xfId="5236"/>
    <cellStyle name="Accent6 6 3 3" xfId="5237"/>
    <cellStyle name="Accent6 6 4" xfId="5238"/>
    <cellStyle name="Accent6 6 4 2" xfId="5239"/>
    <cellStyle name="Accent6 6 4 3" xfId="5240"/>
    <cellStyle name="Accent6 6 5" xfId="5241"/>
    <cellStyle name="Accent6 6 5 2" xfId="5242"/>
    <cellStyle name="Accent6 6 5 3" xfId="5243"/>
    <cellStyle name="Accent6 6 6" xfId="5244"/>
    <cellStyle name="Accent6 6 6 2" xfId="5245"/>
    <cellStyle name="Accent6 6 6 3" xfId="5246"/>
    <cellStyle name="Accent6 6 7" xfId="5247"/>
    <cellStyle name="Accent6 6 7 2" xfId="5248"/>
    <cellStyle name="Accent6 6 7 3" xfId="5249"/>
    <cellStyle name="Accent6 7" xfId="1521"/>
    <cellStyle name="Accent6 7 2" xfId="1522"/>
    <cellStyle name="Accent6 7 2 2" xfId="1523"/>
    <cellStyle name="Accent6 7 2 2 2" xfId="5251"/>
    <cellStyle name="Accent6 7 2 3" xfId="1524"/>
    <cellStyle name="Accent6 7 2 3 2" xfId="5252"/>
    <cellStyle name="Accent6 7 2 4" xfId="5250"/>
    <cellStyle name="Accent6 7 3" xfId="5253"/>
    <cellStyle name="Accent6 7 3 2" xfId="5254"/>
    <cellStyle name="Accent6 7 3 3" xfId="5255"/>
    <cellStyle name="Accent6 7 4" xfId="5256"/>
    <cellStyle name="Accent6 7 4 2" xfId="5257"/>
    <cellStyle name="Accent6 7 4 3" xfId="5258"/>
    <cellStyle name="Accent6 7 5" xfId="5259"/>
    <cellStyle name="Accent6 7 5 2" xfId="5260"/>
    <cellStyle name="Accent6 7 5 3" xfId="5261"/>
    <cellStyle name="Accent6 7 6" xfId="5262"/>
    <cellStyle name="Accent6 7 6 2" xfId="5263"/>
    <cellStyle name="Accent6 7 6 3" xfId="5264"/>
    <cellStyle name="Accent6 7 7" xfId="5265"/>
    <cellStyle name="Accent6 7 7 2" xfId="5266"/>
    <cellStyle name="Accent6 7 7 3" xfId="5267"/>
    <cellStyle name="Accent6 8" xfId="1525"/>
    <cellStyle name="Accent6 8 2" xfId="1526"/>
    <cellStyle name="Accent6 8 2 2" xfId="1527"/>
    <cellStyle name="Accent6 8 2 2 2" xfId="5269"/>
    <cellStyle name="Accent6 8 2 3" xfId="1528"/>
    <cellStyle name="Accent6 8 2 3 2" xfId="5270"/>
    <cellStyle name="Accent6 8 2 4" xfId="5268"/>
    <cellStyle name="Accent6 8 3" xfId="5271"/>
    <cellStyle name="Accent6 8 3 2" xfId="5272"/>
    <cellStyle name="Accent6 8 3 3" xfId="5273"/>
    <cellStyle name="Accent6 8 4" xfId="5274"/>
    <cellStyle name="Accent6 8 4 2" xfId="5275"/>
    <cellStyle name="Accent6 8 4 3" xfId="5276"/>
    <cellStyle name="Accent6 8 5" xfId="5277"/>
    <cellStyle name="Accent6 8 5 2" xfId="5278"/>
    <cellStyle name="Accent6 8 5 3" xfId="5279"/>
    <cellStyle name="Accent6 8 6" xfId="5280"/>
    <cellStyle name="Accent6 8 6 2" xfId="5281"/>
    <cellStyle name="Accent6 8 6 3" xfId="5282"/>
    <cellStyle name="Accent6 8 7" xfId="5283"/>
    <cellStyle name="Accent6 8 7 2" xfId="5284"/>
    <cellStyle name="Accent6 8 7 3" xfId="5285"/>
    <cellStyle name="Accent6 9" xfId="1529"/>
    <cellStyle name="Accent6 9 2" xfId="1530"/>
    <cellStyle name="Accent6 9 2 2" xfId="1531"/>
    <cellStyle name="Accent6 9 2 2 2" xfId="5287"/>
    <cellStyle name="Accent6 9 2 3" xfId="1532"/>
    <cellStyle name="Accent6 9 2 3 2" xfId="5288"/>
    <cellStyle name="Accent6 9 2 4" xfId="5286"/>
    <cellStyle name="Accent6 9 3" xfId="5289"/>
    <cellStyle name="Accent6 9 3 2" xfId="5290"/>
    <cellStyle name="Accent6 9 3 3" xfId="5291"/>
    <cellStyle name="Accent6 9 4" xfId="5292"/>
    <cellStyle name="Accent6 9 4 2" xfId="5293"/>
    <cellStyle name="Accent6 9 4 3" xfId="5294"/>
    <cellStyle name="Accent6 9 5" xfId="5295"/>
    <cellStyle name="Accent6 9 5 2" xfId="5296"/>
    <cellStyle name="Accent6 9 5 3" xfId="5297"/>
    <cellStyle name="Accent6 9 6" xfId="5298"/>
    <cellStyle name="Accent6 9 6 2" xfId="5299"/>
    <cellStyle name="Accent6 9 6 3" xfId="5300"/>
    <cellStyle name="Accent6 9 7" xfId="5301"/>
    <cellStyle name="Accent6 9 7 2" xfId="5302"/>
    <cellStyle name="Accent6 9 7 3" xfId="5303"/>
    <cellStyle name="Acctg" xfId="5304"/>
    <cellStyle name="Actual data" xfId="1533"/>
    <cellStyle name="Actual data 2" xfId="5305"/>
    <cellStyle name="Actual year" xfId="1534"/>
    <cellStyle name="Actual year 2" xfId="5306"/>
    <cellStyle name="Actual year 2 2" xfId="7805"/>
    <cellStyle name="Actual year 3" xfId="7564"/>
    <cellStyle name="Actuals Cells" xfId="1535"/>
    <cellStyle name="Actuals Cells 2" xfId="5307"/>
    <cellStyle name="Actuals Cells 3" xfId="5308"/>
    <cellStyle name="Actuals Cells 4" xfId="5309"/>
    <cellStyle name="Actuals Cells 5" xfId="5310"/>
    <cellStyle name="Actuals Cells 6" xfId="5311"/>
    <cellStyle name="AFE" xfId="3312"/>
    <cellStyle name="AFE 2" xfId="3393"/>
    <cellStyle name="AFE 3" xfId="5312"/>
    <cellStyle name="AFE 4" xfId="5313"/>
    <cellStyle name="AFE 5" xfId="5314"/>
    <cellStyle name="AFE 6" xfId="5315"/>
    <cellStyle name="Andre's Title" xfId="3313"/>
    <cellStyle name="args.style" xfId="5316"/>
    <cellStyle name="args.style 2" xfId="5317"/>
    <cellStyle name="ÄÞ¸¶ [0]_´Ü°èº° ±¸Ãà¾È" xfId="5318"/>
    <cellStyle name="ÄÞ¸¶_´Ü°èº° ±¸Ãà¾È" xfId="5319"/>
    <cellStyle name="B Table" xfId="5320"/>
    <cellStyle name="Bad" xfId="3271" builtinId="27" customBuiltin="1"/>
    <cellStyle name="Bad 10" xfId="1536"/>
    <cellStyle name="Bad 10 2" xfId="1537"/>
    <cellStyle name="Bad 10 2 2" xfId="5321"/>
    <cellStyle name="Bad 10 3" xfId="5322"/>
    <cellStyle name="Bad 10 4" xfId="5323"/>
    <cellStyle name="Bad 10 5" xfId="5324"/>
    <cellStyle name="Bad 10 6" xfId="5325"/>
    <cellStyle name="Bad 10 7" xfId="5326"/>
    <cellStyle name="Bad 11" xfId="1538"/>
    <cellStyle name="Bad 11 2" xfId="1539"/>
    <cellStyle name="Bad 11 2 2" xfId="5327"/>
    <cellStyle name="Bad 11 3" xfId="5328"/>
    <cellStyle name="Bad 11 4" xfId="5329"/>
    <cellStyle name="Bad 11 5" xfId="5330"/>
    <cellStyle name="Bad 11 6" xfId="5331"/>
    <cellStyle name="Bad 11 7" xfId="5332"/>
    <cellStyle name="Bad 12" xfId="1540"/>
    <cellStyle name="Bad 12 2" xfId="1541"/>
    <cellStyle name="Bad 12 2 2" xfId="5333"/>
    <cellStyle name="Bad 12 3" xfId="5334"/>
    <cellStyle name="Bad 12 4" xfId="5335"/>
    <cellStyle name="Bad 12 5" xfId="5336"/>
    <cellStyle name="Bad 12 6" xfId="5337"/>
    <cellStyle name="Bad 12 7" xfId="5338"/>
    <cellStyle name="Bad 13" xfId="1542"/>
    <cellStyle name="Bad 13 2" xfId="5339"/>
    <cellStyle name="Bad 14 2" xfId="5340"/>
    <cellStyle name="Bad 15 2" xfId="5341"/>
    <cellStyle name="Bad 16 2" xfId="5342"/>
    <cellStyle name="Bad 17 2" xfId="5343"/>
    <cellStyle name="Bad 18 2" xfId="5344"/>
    <cellStyle name="Bad 19 2" xfId="5345"/>
    <cellStyle name="Bad 2" xfId="1543"/>
    <cellStyle name="Bad 2 2" xfId="1544"/>
    <cellStyle name="Bad 2 2 2" xfId="1545"/>
    <cellStyle name="Bad 2 2 3" xfId="5346"/>
    <cellStyle name="Bad 2 3" xfId="1546"/>
    <cellStyle name="Bad 2 3 2" xfId="5347"/>
    <cellStyle name="Bad 2 4" xfId="5348"/>
    <cellStyle name="Bad 2 5" xfId="5349"/>
    <cellStyle name="Bad 2 6" xfId="5350"/>
    <cellStyle name="Bad 2 7" xfId="5351"/>
    <cellStyle name="Bad 2 8" xfId="3429"/>
    <cellStyle name="Bad 20 2" xfId="5352"/>
    <cellStyle name="Bad 21 2" xfId="5353"/>
    <cellStyle name="Bad 3" xfId="1547"/>
    <cellStyle name="Bad 3 2" xfId="1548"/>
    <cellStyle name="Bad 3 2 2" xfId="5354"/>
    <cellStyle name="Bad 3 3" xfId="5355"/>
    <cellStyle name="Bad 3 4" xfId="5356"/>
    <cellStyle name="Bad 3 5" xfId="5357"/>
    <cellStyle name="Bad 3 6" xfId="5358"/>
    <cellStyle name="Bad 3 7" xfId="5359"/>
    <cellStyle name="Bad 4" xfId="1549"/>
    <cellStyle name="Bad 4 2" xfId="1550"/>
    <cellStyle name="Bad 4 2 2" xfId="5361"/>
    <cellStyle name="Bad 4 3" xfId="5362"/>
    <cellStyle name="Bad 4 4" xfId="5363"/>
    <cellStyle name="Bad 4 5" xfId="5364"/>
    <cellStyle name="Bad 4 6" xfId="5365"/>
    <cellStyle name="Bad 4 7" xfId="5366"/>
    <cellStyle name="Bad 4 8" xfId="5360"/>
    <cellStyle name="Bad 5" xfId="1551"/>
    <cellStyle name="Bad 5 2" xfId="1552"/>
    <cellStyle name="Bad 5 2 2" xfId="5368"/>
    <cellStyle name="Bad 5 3" xfId="5369"/>
    <cellStyle name="Bad 5 4" xfId="5370"/>
    <cellStyle name="Bad 5 5" xfId="5371"/>
    <cellStyle name="Bad 5 6" xfId="5372"/>
    <cellStyle name="Bad 5 7" xfId="5373"/>
    <cellStyle name="Bad 5 8" xfId="5367"/>
    <cellStyle name="Bad 6" xfId="1553"/>
    <cellStyle name="Bad 6 2" xfId="1554"/>
    <cellStyle name="Bad 6 2 2" xfId="5374"/>
    <cellStyle name="Bad 6 3" xfId="5375"/>
    <cellStyle name="Bad 6 4" xfId="5376"/>
    <cellStyle name="Bad 6 5" xfId="5377"/>
    <cellStyle name="Bad 6 6" xfId="5378"/>
    <cellStyle name="Bad 6 7" xfId="5379"/>
    <cellStyle name="Bad 7" xfId="1555"/>
    <cellStyle name="Bad 7 2" xfId="1556"/>
    <cellStyle name="Bad 7 2 2" xfId="5380"/>
    <cellStyle name="Bad 7 3" xfId="5381"/>
    <cellStyle name="Bad 7 4" xfId="5382"/>
    <cellStyle name="Bad 7 5" xfId="5383"/>
    <cellStyle name="Bad 7 6" xfId="5384"/>
    <cellStyle name="Bad 7 7" xfId="5385"/>
    <cellStyle name="Bad 8" xfId="1557"/>
    <cellStyle name="Bad 8 2" xfId="1558"/>
    <cellStyle name="Bad 8 2 2" xfId="5386"/>
    <cellStyle name="Bad 8 3" xfId="5387"/>
    <cellStyle name="Bad 8 4" xfId="5388"/>
    <cellStyle name="Bad 8 5" xfId="5389"/>
    <cellStyle name="Bad 8 6" xfId="5390"/>
    <cellStyle name="Bad 8 7" xfId="5391"/>
    <cellStyle name="Bad 9" xfId="1559"/>
    <cellStyle name="Bad 9 2" xfId="1560"/>
    <cellStyle name="Bad 9 2 2" xfId="5392"/>
    <cellStyle name="Bad 9 3" xfId="5393"/>
    <cellStyle name="Bad 9 4" xfId="5394"/>
    <cellStyle name="Bad 9 5" xfId="5395"/>
    <cellStyle name="Bad 9 6" xfId="5396"/>
    <cellStyle name="Bad 9 7" xfId="5397"/>
    <cellStyle name="Band 2" xfId="5398"/>
    <cellStyle name="Band 2 2" xfId="7806"/>
    <cellStyle name="black" xfId="3314"/>
    <cellStyle name="blank" xfId="1561"/>
    <cellStyle name="Blank 2" xfId="5399"/>
    <cellStyle name="blp_column_header" xfId="3307"/>
    <cellStyle name="Blue" xfId="1562"/>
    <cellStyle name="Body_InputCellText" xfId="5400"/>
    <cellStyle name="Bold/Border" xfId="5401"/>
    <cellStyle name="Bold/Border 2" xfId="7807"/>
    <cellStyle name="Border Heavy" xfId="3315"/>
    <cellStyle name="Box" xfId="5402"/>
    <cellStyle name="Bullet" xfId="5403"/>
    <cellStyle name="Bullet 2" xfId="5404"/>
    <cellStyle name="Bullet 3" xfId="5405"/>
    <cellStyle name="Bullet 4" xfId="5406"/>
    <cellStyle name="Bullet 5" xfId="5407"/>
    <cellStyle name="Bullet 6" xfId="5408"/>
    <cellStyle name="Business Description" xfId="3316"/>
    <cellStyle name="c" xfId="5409"/>
    <cellStyle name="c 2" xfId="5410"/>
    <cellStyle name="c 3" xfId="5411"/>
    <cellStyle name="c 4" xfId="5412"/>
    <cellStyle name="c 5" xfId="5413"/>
    <cellStyle name="c 6" xfId="5414"/>
    <cellStyle name="Ç¥ÁØ_´Ü°èº° ±¸Ãà¾È" xfId="5415"/>
    <cellStyle name="C05_Style E Text" xfId="5416"/>
    <cellStyle name="Calc Cells" xfId="1563"/>
    <cellStyle name="Calc Cells 2" xfId="5417"/>
    <cellStyle name="Calc Cells 3" xfId="5418"/>
    <cellStyle name="Calc Cells 4" xfId="5419"/>
    <cellStyle name="Calc Cells 5" xfId="5420"/>
    <cellStyle name="Calc Cells 6" xfId="5421"/>
    <cellStyle name="Calc Units (2)" xfId="5422"/>
    <cellStyle name="Calc Units (2) 2" xfId="5423"/>
    <cellStyle name="Calc Units (2) 3" xfId="5424"/>
    <cellStyle name="Calc Units (2) 4" xfId="5425"/>
    <cellStyle name="Calc Units (2) 5" xfId="5426"/>
    <cellStyle name="Calc Units (2) 6" xfId="5427"/>
    <cellStyle name="Calc Units (2) 7" xfId="5428"/>
    <cellStyle name="Calc Units (2) 8" xfId="5429"/>
    <cellStyle name="Calculation" xfId="3275" builtinId="22" customBuiltin="1"/>
    <cellStyle name="Calculation 10" xfId="1564"/>
    <cellStyle name="Calculation 10 2" xfId="1565"/>
    <cellStyle name="Calculation 10 2 2" xfId="1566"/>
    <cellStyle name="Calculation 10 2 3" xfId="1567"/>
    <cellStyle name="Calculation 10 2 4" xfId="5430"/>
    <cellStyle name="Calculation 10 3" xfId="5431"/>
    <cellStyle name="Calculation 10 4" xfId="5432"/>
    <cellStyle name="Calculation 10 5" xfId="5433"/>
    <cellStyle name="Calculation 10 6" xfId="5434"/>
    <cellStyle name="Calculation 10 7" xfId="5435"/>
    <cellStyle name="Calculation 11" xfId="1568"/>
    <cellStyle name="Calculation 11 2" xfId="1569"/>
    <cellStyle name="Calculation 11 2 2" xfId="1570"/>
    <cellStyle name="Calculation 11 2 3" xfId="1571"/>
    <cellStyle name="Calculation 11 2 4" xfId="5436"/>
    <cellStyle name="Calculation 11 3" xfId="5437"/>
    <cellStyle name="Calculation 11 4" xfId="5438"/>
    <cellStyle name="Calculation 11 5" xfId="5439"/>
    <cellStyle name="Calculation 11 6" xfId="5440"/>
    <cellStyle name="Calculation 11 7" xfId="5441"/>
    <cellStyle name="Calculation 12" xfId="1572"/>
    <cellStyle name="Calculation 12 2" xfId="1573"/>
    <cellStyle name="Calculation 12 2 2" xfId="1574"/>
    <cellStyle name="Calculation 12 2 3" xfId="1575"/>
    <cellStyle name="Calculation 12 2 4" xfId="5442"/>
    <cellStyle name="Calculation 12 3" xfId="5443"/>
    <cellStyle name="Calculation 12 4" xfId="5444"/>
    <cellStyle name="Calculation 12 5" xfId="5445"/>
    <cellStyle name="Calculation 12 6" xfId="5446"/>
    <cellStyle name="Calculation 12 7" xfId="5447"/>
    <cellStyle name="Calculation 13" xfId="1576"/>
    <cellStyle name="Calculation 13 2" xfId="5448"/>
    <cellStyle name="Calculation 14" xfId="1577"/>
    <cellStyle name="Calculation 14 2" xfId="5449"/>
    <cellStyle name="Calculation 15" xfId="1578"/>
    <cellStyle name="Calculation 15 2" xfId="5450"/>
    <cellStyle name="Calculation 16" xfId="1579"/>
    <cellStyle name="Calculation 16 2" xfId="5451"/>
    <cellStyle name="Calculation 17" xfId="1580"/>
    <cellStyle name="Calculation 17 2" xfId="5452"/>
    <cellStyle name="Calculation 18" xfId="1581"/>
    <cellStyle name="Calculation 18 2" xfId="5453"/>
    <cellStyle name="Calculation 19" xfId="1582"/>
    <cellStyle name="Calculation 19 2" xfId="5454"/>
    <cellStyle name="Calculation 2" xfId="1583"/>
    <cellStyle name="Calculation 2 2" xfId="1584"/>
    <cellStyle name="Calculation 2 2 2" xfId="1585"/>
    <cellStyle name="Calculation 2 2 2 2" xfId="1586"/>
    <cellStyle name="Calculation 2 2 2 3" xfId="1587"/>
    <cellStyle name="Calculation 2 2 3" xfId="1588"/>
    <cellStyle name="Calculation 2 2 4" xfId="1589"/>
    <cellStyle name="Calculation 2 2 5" xfId="5455"/>
    <cellStyle name="Calculation 2 3" xfId="5456"/>
    <cellStyle name="Calculation 2 4" xfId="5457"/>
    <cellStyle name="Calculation 2 5" xfId="5458"/>
    <cellStyle name="Calculation 2 6" xfId="5459"/>
    <cellStyle name="Calculation 2 7" xfId="5460"/>
    <cellStyle name="Calculation 20" xfId="1590"/>
    <cellStyle name="Calculation 20 2" xfId="5461"/>
    <cellStyle name="Calculation 21" xfId="1591"/>
    <cellStyle name="Calculation 21 2" xfId="5462"/>
    <cellStyle name="Calculation 22" xfId="1592"/>
    <cellStyle name="Calculation 23" xfId="1593"/>
    <cellStyle name="Calculation 24" xfId="1594"/>
    <cellStyle name="Calculation 25" xfId="1595"/>
    <cellStyle name="Calculation 26" xfId="1596"/>
    <cellStyle name="Calculation 3" xfId="1597"/>
    <cellStyle name="Calculation 3 2" xfId="1598"/>
    <cellStyle name="Calculation 3 2 2" xfId="1599"/>
    <cellStyle name="Calculation 3 2 3" xfId="1600"/>
    <cellStyle name="Calculation 3 2 4" xfId="5463"/>
    <cellStyle name="Calculation 3 3" xfId="5464"/>
    <cellStyle name="Calculation 3 4" xfId="5465"/>
    <cellStyle name="Calculation 3 5" xfId="5466"/>
    <cellStyle name="Calculation 3 6" xfId="5467"/>
    <cellStyle name="Calculation 3 7" xfId="5468"/>
    <cellStyle name="Calculation 3 8" xfId="3442"/>
    <cellStyle name="Calculation 4" xfId="1601"/>
    <cellStyle name="Calculation 4 2" xfId="1602"/>
    <cellStyle name="Calculation 4 2 2" xfId="1603"/>
    <cellStyle name="Calculation 4 2 3" xfId="1604"/>
    <cellStyle name="Calculation 4 2 4" xfId="5470"/>
    <cellStyle name="Calculation 4 3" xfId="5471"/>
    <cellStyle name="Calculation 4 4" xfId="5472"/>
    <cellStyle name="Calculation 4 5" xfId="5473"/>
    <cellStyle name="Calculation 4 6" xfId="5474"/>
    <cellStyle name="Calculation 4 7" xfId="5475"/>
    <cellStyle name="Calculation 4 8" xfId="5469"/>
    <cellStyle name="Calculation 5" xfId="1605"/>
    <cellStyle name="Calculation 5 2" xfId="1606"/>
    <cellStyle name="Calculation 5 2 2" xfId="1607"/>
    <cellStyle name="Calculation 5 2 3" xfId="1608"/>
    <cellStyle name="Calculation 5 2 4" xfId="5477"/>
    <cellStyle name="Calculation 5 3" xfId="5478"/>
    <cellStyle name="Calculation 5 4" xfId="5479"/>
    <cellStyle name="Calculation 5 5" xfId="5480"/>
    <cellStyle name="Calculation 5 6" xfId="5481"/>
    <cellStyle name="Calculation 5 7" xfId="5482"/>
    <cellStyle name="Calculation 5 8" xfId="5476"/>
    <cellStyle name="Calculation 6" xfId="1609"/>
    <cellStyle name="Calculation 6 2" xfId="1610"/>
    <cellStyle name="Calculation 6 2 2" xfId="1611"/>
    <cellStyle name="Calculation 6 2 3" xfId="1612"/>
    <cellStyle name="Calculation 6 2 4" xfId="5483"/>
    <cellStyle name="Calculation 6 3" xfId="5484"/>
    <cellStyle name="Calculation 6 4" xfId="5485"/>
    <cellStyle name="Calculation 6 5" xfId="5486"/>
    <cellStyle name="Calculation 6 6" xfId="5487"/>
    <cellStyle name="Calculation 6 7" xfId="5488"/>
    <cellStyle name="Calculation 7" xfId="1613"/>
    <cellStyle name="Calculation 7 2" xfId="1614"/>
    <cellStyle name="Calculation 7 2 2" xfId="1615"/>
    <cellStyle name="Calculation 7 2 3" xfId="1616"/>
    <cellStyle name="Calculation 7 2 4" xfId="5489"/>
    <cellStyle name="Calculation 7 3" xfId="5490"/>
    <cellStyle name="Calculation 7 4" xfId="5491"/>
    <cellStyle name="Calculation 7 5" xfId="5492"/>
    <cellStyle name="Calculation 7 6" xfId="5493"/>
    <cellStyle name="Calculation 7 7" xfId="5494"/>
    <cellStyle name="Calculation 8" xfId="1617"/>
    <cellStyle name="Calculation 8 2" xfId="1618"/>
    <cellStyle name="Calculation 8 2 2" xfId="1619"/>
    <cellStyle name="Calculation 8 2 3" xfId="1620"/>
    <cellStyle name="Calculation 8 2 4" xfId="5495"/>
    <cellStyle name="Calculation 8 3" xfId="5496"/>
    <cellStyle name="Calculation 8 4" xfId="5497"/>
    <cellStyle name="Calculation 8 5" xfId="5498"/>
    <cellStyle name="Calculation 8 6" xfId="5499"/>
    <cellStyle name="Calculation 8 7" xfId="5500"/>
    <cellStyle name="Calculation 9" xfId="1621"/>
    <cellStyle name="Calculation 9 2" xfId="1622"/>
    <cellStyle name="Calculation 9 2 2" xfId="1623"/>
    <cellStyle name="Calculation 9 2 3" xfId="1624"/>
    <cellStyle name="Calculation 9 2 4" xfId="5501"/>
    <cellStyle name="Calculation 9 3" xfId="5502"/>
    <cellStyle name="Calculation 9 4" xfId="5503"/>
    <cellStyle name="Calculation 9 5" xfId="5504"/>
    <cellStyle name="Calculation 9 6" xfId="5505"/>
    <cellStyle name="Calculation 9 7" xfId="5506"/>
    <cellStyle name="category" xfId="5507"/>
    <cellStyle name="CComma" xfId="1625"/>
    <cellStyle name="CComma (0)" xfId="1626"/>
    <cellStyle name="CComma (0) 2" xfId="1627"/>
    <cellStyle name="CComma (0) 3" xfId="1628"/>
    <cellStyle name="CComma (0) 4" xfId="1629"/>
    <cellStyle name="CComma (0) 5" xfId="1630"/>
    <cellStyle name="CComma (0) 6" xfId="1631"/>
    <cellStyle name="CCurrency (0)" xfId="1632"/>
    <cellStyle name="CCurrency (0) 2" xfId="1633"/>
    <cellStyle name="CCurrency (0) 3" xfId="1634"/>
    <cellStyle name="CCurrency (0) 4" xfId="1635"/>
    <cellStyle name="CCurrency (0) 5" xfId="1636"/>
    <cellStyle name="CCurrency (0) 6" xfId="1637"/>
    <cellStyle name="CENTER HEAD" xfId="5508"/>
    <cellStyle name="CENTER HEAD 2" xfId="5509"/>
    <cellStyle name="CENTER HEAD 8" xfId="5510"/>
    <cellStyle name="CENTER HEAD 8 2" xfId="5511"/>
    <cellStyle name="CENTER HEAD 9" xfId="5512"/>
    <cellStyle name="CENTER HEAD 9 2" xfId="5513"/>
    <cellStyle name="CENTER LABEL" xfId="5514"/>
    <cellStyle name="CENTER LABEL 2" xfId="5515"/>
    <cellStyle name="Cents" xfId="5516"/>
    <cellStyle name="Changeable" xfId="5517"/>
    <cellStyle name="ChartingText" xfId="1638"/>
    <cellStyle name="ChartingText 2" xfId="1639"/>
    <cellStyle name="Check Cell" xfId="3277" builtinId="23" customBuiltin="1"/>
    <cellStyle name="Check Cell 10" xfId="1640"/>
    <cellStyle name="Check Cell 10 2" xfId="1641"/>
    <cellStyle name="Check Cell 10 2 2" xfId="1642"/>
    <cellStyle name="Check Cell 10 2 3" xfId="1643"/>
    <cellStyle name="Check Cell 10 2 4" xfId="5518"/>
    <cellStyle name="Check Cell 10 3" xfId="5519"/>
    <cellStyle name="Check Cell 10 4" xfId="5520"/>
    <cellStyle name="Check Cell 10 5" xfId="5521"/>
    <cellStyle name="Check Cell 10 6" xfId="5522"/>
    <cellStyle name="Check Cell 10 7" xfId="5523"/>
    <cellStyle name="Check Cell 11" xfId="1644"/>
    <cellStyle name="Check Cell 11 2" xfId="1645"/>
    <cellStyle name="Check Cell 11 2 2" xfId="1646"/>
    <cellStyle name="Check Cell 11 2 3" xfId="1647"/>
    <cellStyle name="Check Cell 11 2 4" xfId="5524"/>
    <cellStyle name="Check Cell 11 3" xfId="5525"/>
    <cellStyle name="Check Cell 11 4" xfId="5526"/>
    <cellStyle name="Check Cell 11 5" xfId="5527"/>
    <cellStyle name="Check Cell 11 6" xfId="5528"/>
    <cellStyle name="Check Cell 11 7" xfId="5529"/>
    <cellStyle name="Check Cell 12" xfId="1648"/>
    <cellStyle name="Check Cell 12 2" xfId="1649"/>
    <cellStyle name="Check Cell 12 2 2" xfId="1650"/>
    <cellStyle name="Check Cell 12 2 3" xfId="1651"/>
    <cellStyle name="Check Cell 12 2 4" xfId="5530"/>
    <cellStyle name="Check Cell 12 3" xfId="5531"/>
    <cellStyle name="Check Cell 12 4" xfId="5532"/>
    <cellStyle name="Check Cell 12 5" xfId="5533"/>
    <cellStyle name="Check Cell 12 6" xfId="5534"/>
    <cellStyle name="Check Cell 12 7" xfId="5535"/>
    <cellStyle name="Check Cell 13" xfId="1652"/>
    <cellStyle name="Check Cell 13 2" xfId="5536"/>
    <cellStyle name="Check Cell 14" xfId="1653"/>
    <cellStyle name="Check Cell 14 2" xfId="5537"/>
    <cellStyle name="Check Cell 15" xfId="1654"/>
    <cellStyle name="Check Cell 15 2" xfId="5538"/>
    <cellStyle name="Check Cell 16" xfId="1655"/>
    <cellStyle name="Check Cell 16 2" xfId="5539"/>
    <cellStyle name="Check Cell 17" xfId="1656"/>
    <cellStyle name="Check Cell 17 2" xfId="5540"/>
    <cellStyle name="Check Cell 18" xfId="1657"/>
    <cellStyle name="Check Cell 18 2" xfId="5541"/>
    <cellStyle name="Check Cell 19" xfId="1658"/>
    <cellStyle name="Check Cell 19 2" xfId="5542"/>
    <cellStyle name="Check Cell 2" xfId="1659"/>
    <cellStyle name="Check Cell 2 2" xfId="1660"/>
    <cellStyle name="Check Cell 2 2 2" xfId="1661"/>
    <cellStyle name="Check Cell 2 2 2 2" xfId="1662"/>
    <cellStyle name="Check Cell 2 2 2 3" xfId="1663"/>
    <cellStyle name="Check Cell 2 2 3" xfId="1664"/>
    <cellStyle name="Check Cell 2 2 4" xfId="1665"/>
    <cellStyle name="Check Cell 2 2 5" xfId="5543"/>
    <cellStyle name="Check Cell 2 3" xfId="5544"/>
    <cellStyle name="Check Cell 2 4" xfId="5545"/>
    <cellStyle name="Check Cell 2 5" xfId="5546"/>
    <cellStyle name="Check Cell 2 6" xfId="5547"/>
    <cellStyle name="Check Cell 2 7" xfId="5548"/>
    <cellStyle name="Check Cell 20" xfId="1666"/>
    <cellStyle name="Check Cell 20 2" xfId="5549"/>
    <cellStyle name="Check Cell 21" xfId="1667"/>
    <cellStyle name="Check Cell 21 2" xfId="5550"/>
    <cellStyle name="Check Cell 22" xfId="1668"/>
    <cellStyle name="Check Cell 23" xfId="1669"/>
    <cellStyle name="Check Cell 24" xfId="1670"/>
    <cellStyle name="Check Cell 25" xfId="1671"/>
    <cellStyle name="Check Cell 26" xfId="1672"/>
    <cellStyle name="Check Cell 3" xfId="1673"/>
    <cellStyle name="Check Cell 3 2" xfId="1674"/>
    <cellStyle name="Check Cell 3 2 2" xfId="1675"/>
    <cellStyle name="Check Cell 3 2 3" xfId="1676"/>
    <cellStyle name="Check Cell 3 2 4" xfId="5551"/>
    <cellStyle name="Check Cell 3 3" xfId="5552"/>
    <cellStyle name="Check Cell 3 4" xfId="5553"/>
    <cellStyle name="Check Cell 3 5" xfId="5554"/>
    <cellStyle name="Check Cell 3 6" xfId="5555"/>
    <cellStyle name="Check Cell 3 7" xfId="5556"/>
    <cellStyle name="Check Cell 3 8" xfId="3435"/>
    <cellStyle name="Check Cell 4" xfId="1677"/>
    <cellStyle name="Check Cell 4 2" xfId="1678"/>
    <cellStyle name="Check Cell 4 2 2" xfId="1679"/>
    <cellStyle name="Check Cell 4 2 3" xfId="1680"/>
    <cellStyle name="Check Cell 4 2 4" xfId="5558"/>
    <cellStyle name="Check Cell 4 3" xfId="5559"/>
    <cellStyle name="Check Cell 4 4" xfId="5560"/>
    <cellStyle name="Check Cell 4 5" xfId="5561"/>
    <cellStyle name="Check Cell 4 6" xfId="5562"/>
    <cellStyle name="Check Cell 4 7" xfId="5563"/>
    <cellStyle name="Check Cell 4 8" xfId="5557"/>
    <cellStyle name="Check Cell 5" xfId="1681"/>
    <cellStyle name="Check Cell 5 2" xfId="1682"/>
    <cellStyle name="Check Cell 5 2 2" xfId="1683"/>
    <cellStyle name="Check Cell 5 2 3" xfId="1684"/>
    <cellStyle name="Check Cell 5 2 4" xfId="5565"/>
    <cellStyle name="Check Cell 5 3" xfId="5566"/>
    <cellStyle name="Check Cell 5 4" xfId="5567"/>
    <cellStyle name="Check Cell 5 5" xfId="5568"/>
    <cellStyle name="Check Cell 5 6" xfId="5569"/>
    <cellStyle name="Check Cell 5 7" xfId="5570"/>
    <cellStyle name="Check Cell 5 8" xfId="5564"/>
    <cellStyle name="Check Cell 6" xfId="1685"/>
    <cellStyle name="Check Cell 6 2" xfId="1686"/>
    <cellStyle name="Check Cell 6 2 2" xfId="1687"/>
    <cellStyle name="Check Cell 6 2 3" xfId="1688"/>
    <cellStyle name="Check Cell 6 2 4" xfId="5571"/>
    <cellStyle name="Check Cell 6 3" xfId="5572"/>
    <cellStyle name="Check Cell 6 4" xfId="5573"/>
    <cellStyle name="Check Cell 6 5" xfId="5574"/>
    <cellStyle name="Check Cell 6 6" xfId="5575"/>
    <cellStyle name="Check Cell 6 7" xfId="5576"/>
    <cellStyle name="Check Cell 7" xfId="1689"/>
    <cellStyle name="Check Cell 7 2" xfId="1690"/>
    <cellStyle name="Check Cell 7 2 2" xfId="1691"/>
    <cellStyle name="Check Cell 7 2 3" xfId="1692"/>
    <cellStyle name="Check Cell 7 2 4" xfId="5577"/>
    <cellStyle name="Check Cell 7 3" xfId="5578"/>
    <cellStyle name="Check Cell 7 4" xfId="5579"/>
    <cellStyle name="Check Cell 7 5" xfId="5580"/>
    <cellStyle name="Check Cell 7 6" xfId="5581"/>
    <cellStyle name="Check Cell 7 7" xfId="5582"/>
    <cellStyle name="Check Cell 8" xfId="1693"/>
    <cellStyle name="Check Cell 8 2" xfId="1694"/>
    <cellStyle name="Check Cell 8 2 2" xfId="1695"/>
    <cellStyle name="Check Cell 8 2 3" xfId="1696"/>
    <cellStyle name="Check Cell 8 2 4" xfId="5583"/>
    <cellStyle name="Check Cell 8 3" xfId="5584"/>
    <cellStyle name="Check Cell 8 4" xfId="5585"/>
    <cellStyle name="Check Cell 8 5" xfId="5586"/>
    <cellStyle name="Check Cell 8 6" xfId="5587"/>
    <cellStyle name="Check Cell 8 7" xfId="5588"/>
    <cellStyle name="Check Cell 9" xfId="1697"/>
    <cellStyle name="Check Cell 9 2" xfId="1698"/>
    <cellStyle name="Check Cell 9 2 2" xfId="1699"/>
    <cellStyle name="Check Cell 9 2 3" xfId="1700"/>
    <cellStyle name="Check Cell 9 2 4" xfId="5589"/>
    <cellStyle name="Check Cell 9 3" xfId="5590"/>
    <cellStyle name="Check Cell 9 4" xfId="5591"/>
    <cellStyle name="Check Cell 9 5" xfId="5592"/>
    <cellStyle name="Check Cell 9 6" xfId="5593"/>
    <cellStyle name="Check Cell 9 7" xfId="5594"/>
    <cellStyle name="Co. Names" xfId="3317"/>
    <cellStyle name="Co. Names - Bold" xfId="3318"/>
    <cellStyle name="Co. Names_Break-Up" xfId="3319"/>
    <cellStyle name="COL HEADINGS" xfId="3320"/>
    <cellStyle name="COL HEADINGS 2" xfId="3455"/>
    <cellStyle name="COL HEADINGS 2 2" xfId="3475"/>
    <cellStyle name="COL HEADINGS 2 2 2" xfId="3508"/>
    <cellStyle name="COL HEADINGS 2 2 2 2" xfId="7800"/>
    <cellStyle name="COL HEADINGS 2 2 3" xfId="3506"/>
    <cellStyle name="COL HEADINGS 2 2 3 2" xfId="7798"/>
    <cellStyle name="COL HEADINGS 2 2 4" xfId="3498"/>
    <cellStyle name="COL HEADINGS 2 2 4 2" xfId="7793"/>
    <cellStyle name="COL HEADINGS 2 2 5" xfId="7776"/>
    <cellStyle name="COL HEADINGS 2 3" xfId="3476"/>
    <cellStyle name="COL HEADINGS 2 3 2" xfId="3510"/>
    <cellStyle name="COL HEADINGS 2 3 2 2" xfId="7801"/>
    <cellStyle name="COL HEADINGS 2 3 3" xfId="3495"/>
    <cellStyle name="COL HEADINGS 2 3 3 2" xfId="7790"/>
    <cellStyle name="COL HEADINGS 2 3 4" xfId="3497"/>
    <cellStyle name="COL HEADINGS 2 3 4 2" xfId="7792"/>
    <cellStyle name="COL HEADINGS 2 3 5" xfId="7777"/>
    <cellStyle name="COL HEADINGS 2 4" xfId="3486"/>
    <cellStyle name="COL HEADINGS 2 4 2" xfId="3513"/>
    <cellStyle name="COL HEADINGS 2 4 2 2" xfId="7804"/>
    <cellStyle name="COL HEADINGS 2 4 3" xfId="3492"/>
    <cellStyle name="COL HEADINGS 2 4 3 2" xfId="7787"/>
    <cellStyle name="COL HEADINGS 2 4 4" xfId="7783"/>
    <cellStyle name="COL HEADINGS 2 5" xfId="3499"/>
    <cellStyle name="COL HEADINGS 2 5 2" xfId="7794"/>
    <cellStyle name="COL HEADINGS 2 6" xfId="3511"/>
    <cellStyle name="COL HEADINGS 2 6 2" xfId="7802"/>
    <cellStyle name="COL HEADINGS 2 7" xfId="7760"/>
    <cellStyle name="COL HEADINGS 3" xfId="3456"/>
    <cellStyle name="COL HEADINGS 3 2" xfId="3503"/>
    <cellStyle name="COL HEADINGS 3 2 2" xfId="7796"/>
    <cellStyle name="COL HEADINGS 3 3" xfId="3507"/>
    <cellStyle name="COL HEADINGS 3 3 2" xfId="7799"/>
    <cellStyle name="COL HEADINGS 3 4" xfId="3496"/>
    <cellStyle name="COL HEADINGS 3 4 2" xfId="7791"/>
    <cellStyle name="COL HEADINGS 3 5" xfId="7761"/>
    <cellStyle name="COL HEADINGS 4" xfId="3453"/>
    <cellStyle name="COL HEADINGS 4 2" xfId="3502"/>
    <cellStyle name="COL HEADINGS 4 2 2" xfId="7795"/>
    <cellStyle name="COL HEADINGS 4 3" xfId="3494"/>
    <cellStyle name="COL HEADINGS 4 3 2" xfId="7789"/>
    <cellStyle name="COL HEADINGS 4 4" xfId="3491"/>
    <cellStyle name="COL HEADINGS 4 4 2" xfId="7786"/>
    <cellStyle name="COL HEADINGS 4 5" xfId="7759"/>
    <cellStyle name="COL HEADINGS 5" xfId="3479"/>
    <cellStyle name="COL HEADINGS 5 2" xfId="3505"/>
    <cellStyle name="COL HEADINGS 5 2 2" xfId="7797"/>
    <cellStyle name="COL HEADINGS 5 3" xfId="3490"/>
    <cellStyle name="COL HEADINGS 5 3 2" xfId="7785"/>
    <cellStyle name="COL HEADINGS 5 4" xfId="7779"/>
    <cellStyle name="COL HEADINGS 6" xfId="3493"/>
    <cellStyle name="COL HEADINGS 6 2" xfId="7788"/>
    <cellStyle name="COL HEADINGS 7" xfId="3512"/>
    <cellStyle name="COL HEADINGS 7 2" xfId="7803"/>
    <cellStyle name="COL HEADINGS 8" xfId="7726"/>
    <cellStyle name="ColHeading" xfId="1701"/>
    <cellStyle name="COLUMN HEAD" xfId="5595"/>
    <cellStyle name="COLUMN HEAD 2" xfId="5596"/>
    <cellStyle name="COLUMN HEAD 9" xfId="5597"/>
    <cellStyle name="COLUMN HEAD 9 2" xfId="5598"/>
    <cellStyle name="column1" xfId="5599"/>
    <cellStyle name="column1 2" xfId="5600"/>
    <cellStyle name="column1 3" xfId="5601"/>
    <cellStyle name="column1 4" xfId="5602"/>
    <cellStyle name="column1 5" xfId="5603"/>
    <cellStyle name="column1 6" xfId="5604"/>
    <cellStyle name="column1Big" xfId="5605"/>
    <cellStyle name="column1Big 2" xfId="5606"/>
    <cellStyle name="column1Date" xfId="5607"/>
    <cellStyle name="column1Date 2" xfId="5608"/>
    <cellStyle name="column1Date 3" xfId="5609"/>
    <cellStyle name="column1Date 4" xfId="5610"/>
    <cellStyle name="column1Date 5" xfId="5611"/>
    <cellStyle name="column1Date 6" xfId="5612"/>
    <cellStyle name="ColumnHeaderNormal" xfId="1702"/>
    <cellStyle name="ColumnHeaderNormal 2" xfId="1703"/>
    <cellStyle name="ColumnHeadings" xfId="5613"/>
    <cellStyle name="ColumnHeadings2" xfId="5614"/>
    <cellStyle name="Comma  - Style1" xfId="5615"/>
    <cellStyle name="Comma  - Style2" xfId="5616"/>
    <cellStyle name="Comma  - Style3" xfId="5617"/>
    <cellStyle name="Comma  - Style4" xfId="5618"/>
    <cellStyle name="Comma  - Style5" xfId="5619"/>
    <cellStyle name="Comma  - Style6" xfId="5620"/>
    <cellStyle name="Comma  - Style7" xfId="5621"/>
    <cellStyle name="Comma  - Style8" xfId="5622"/>
    <cellStyle name="Comma (0)" xfId="1704"/>
    <cellStyle name="Comma [00]" xfId="5623"/>
    <cellStyle name="Comma [00] 2" xfId="5624"/>
    <cellStyle name="Comma [00] 3" xfId="5625"/>
    <cellStyle name="Comma [00] 4" xfId="5626"/>
    <cellStyle name="Comma [00] 5" xfId="5627"/>
    <cellStyle name="Comma [00] 6" xfId="5628"/>
    <cellStyle name="Comma [00] 7" xfId="5629"/>
    <cellStyle name="Comma [00] 8" xfId="5630"/>
    <cellStyle name="Comma [2]" xfId="1705"/>
    <cellStyle name="Comma 0" xfId="1706"/>
    <cellStyle name="Comma 0 2" xfId="5631"/>
    <cellStyle name="Comma 0*" xfId="5632"/>
    <cellStyle name="Comma 2" xfId="1707"/>
    <cellStyle name="Comma 2 2" xfId="1708"/>
    <cellStyle name="Comma 2 2 2" xfId="3372"/>
    <cellStyle name="Comma 2 2 3" xfId="7729"/>
    <cellStyle name="Comma 2 3" xfId="1709"/>
    <cellStyle name="Comma 2 3 2" xfId="3398"/>
    <cellStyle name="Comma 2 4" xfId="3454"/>
    <cellStyle name="Comma 2 5" xfId="5633"/>
    <cellStyle name="Comma 2 6" xfId="5634"/>
    <cellStyle name="Comma 3" xfId="1710"/>
    <cellStyle name="Comma 3 2" xfId="1711"/>
    <cellStyle name="Comma 3 3" xfId="1712"/>
    <cellStyle name="Comma 3 3 2" xfId="7565"/>
    <cellStyle name="Comma 3 4" xfId="1713"/>
    <cellStyle name="Comma 3 5" xfId="3391"/>
    <cellStyle name="Comma 3 6" xfId="7742"/>
    <cellStyle name="Comma 4" xfId="1714"/>
    <cellStyle name="Comma 4 2" xfId="1715"/>
    <cellStyle name="Comma 5" xfId="1716"/>
    <cellStyle name="Comma 5 2" xfId="1717"/>
    <cellStyle name="Comma 6" xfId="1718"/>
    <cellStyle name="Comma 6 2" xfId="1719"/>
    <cellStyle name="Comma 63" xfId="1720"/>
    <cellStyle name="Comma 7" xfId="3489"/>
    <cellStyle name="Comma 8" xfId="7784"/>
    <cellStyle name="Comma 9" xfId="7727"/>
    <cellStyle name="Comma[2]" xfId="5635"/>
    <cellStyle name="Comma[2] 2" xfId="5636"/>
    <cellStyle name="Comma0" xfId="5637"/>
    <cellStyle name="Comma0 2" xfId="5638"/>
    <cellStyle name="Comma0 3" xfId="5639"/>
    <cellStyle name="Comma0 4" xfId="5640"/>
    <cellStyle name="Comma0 5" xfId="5641"/>
    <cellStyle name="Comma0 6" xfId="5642"/>
    <cellStyle name="Comma0 7" xfId="5643"/>
    <cellStyle name="Comma0 8" xfId="5644"/>
    <cellStyle name="Comment" xfId="5645"/>
    <cellStyle name="Comment 2" xfId="5646"/>
    <cellStyle name="Company" xfId="1721"/>
    <cellStyle name="Company name" xfId="1722"/>
    <cellStyle name="CompanyName" xfId="5647"/>
    <cellStyle name="CompanyName 2" xfId="5648"/>
    <cellStyle name="CompanyName 3" xfId="5649"/>
    <cellStyle name="CompanyName 4" xfId="5650"/>
    <cellStyle name="CompanyName 5" xfId="5651"/>
    <cellStyle name="CompanyName 6" xfId="5652"/>
    <cellStyle name="CurRatio" xfId="1723"/>
    <cellStyle name="Currency $" xfId="5653"/>
    <cellStyle name="Currency $ 2" xfId="5654"/>
    <cellStyle name="Currency $ 3" xfId="5655"/>
    <cellStyle name="Currency $ 4" xfId="5656"/>
    <cellStyle name="Currency $ 5" xfId="5657"/>
    <cellStyle name="Currency $ 6" xfId="5658"/>
    <cellStyle name="Currency (3)" xfId="1724"/>
    <cellStyle name="Currency [00]" xfId="5659"/>
    <cellStyle name="Currency [00] 2" xfId="5660"/>
    <cellStyle name="Currency [00] 3" xfId="5661"/>
    <cellStyle name="Currency [00] 4" xfId="5662"/>
    <cellStyle name="Currency [00] 5" xfId="5663"/>
    <cellStyle name="Currency [00] 6" xfId="5664"/>
    <cellStyle name="Currency [00] 7" xfId="5665"/>
    <cellStyle name="Currency [00] 8" xfId="5666"/>
    <cellStyle name="Currency [2]" xfId="3321"/>
    <cellStyle name="Currency 0" xfId="1725"/>
    <cellStyle name="Currency 0 2" xfId="5667"/>
    <cellStyle name="Currency 2" xfId="1726"/>
    <cellStyle name="Currency 2 10" xfId="1727"/>
    <cellStyle name="Currency 2 11" xfId="1728"/>
    <cellStyle name="Currency 2 12" xfId="1729"/>
    <cellStyle name="Currency 2 13" xfId="1730"/>
    <cellStyle name="Currency 2 14" xfId="1731"/>
    <cellStyle name="Currency 2 15" xfId="1732"/>
    <cellStyle name="Currency 2 16" xfId="1733"/>
    <cellStyle name="Currency 2 17" xfId="1734"/>
    <cellStyle name="Currency 2 18" xfId="1735"/>
    <cellStyle name="Currency 2 19" xfId="1736"/>
    <cellStyle name="Currency 2 2" xfId="1737"/>
    <cellStyle name="Currency 2 2 2" xfId="5668"/>
    <cellStyle name="Currency 2 20" xfId="1738"/>
    <cellStyle name="Currency 2 21" xfId="1739"/>
    <cellStyle name="Currency 2 22" xfId="1740"/>
    <cellStyle name="Currency 2 23" xfId="1741"/>
    <cellStyle name="Currency 2 24" xfId="1742"/>
    <cellStyle name="Currency 2 25" xfId="1743"/>
    <cellStyle name="Currency 2 25 2" xfId="1744"/>
    <cellStyle name="Currency 2 3" xfId="1745"/>
    <cellStyle name="Currency 2 3 2" xfId="5669"/>
    <cellStyle name="Currency 2 4" xfId="1746"/>
    <cellStyle name="Currency 2 4 2" xfId="5670"/>
    <cellStyle name="Currency 2 5" xfId="1747"/>
    <cellStyle name="Currency 2 5 2" xfId="5671"/>
    <cellStyle name="Currency 2 6" xfId="1748"/>
    <cellStyle name="Currency 2 6 2" xfId="5672"/>
    <cellStyle name="Currency 2 7" xfId="1749"/>
    <cellStyle name="Currency 2 8" xfId="1750"/>
    <cellStyle name="Currency 2 9" xfId="1751"/>
    <cellStyle name="Currency 3" xfId="1752"/>
    <cellStyle name="Currency 3 2" xfId="1753"/>
    <cellStyle name="Currency 3 3" xfId="3369"/>
    <cellStyle name="Currency 4" xfId="1754"/>
    <cellStyle name="Currency 4 2" xfId="1755"/>
    <cellStyle name="Currency 4 3" xfId="3373"/>
    <cellStyle name="Currency 5" xfId="1756"/>
    <cellStyle name="Currency 5 2" xfId="1757"/>
    <cellStyle name="Currency 5 3" xfId="3374"/>
    <cellStyle name="Currency 6" xfId="3375"/>
    <cellStyle name="Currency 7" xfId="3376"/>
    <cellStyle name="Currency 8" xfId="3377"/>
    <cellStyle name="Currency 9" xfId="3378"/>
    <cellStyle name="Currency[2]" xfId="5673"/>
    <cellStyle name="Currency[2] 2" xfId="5674"/>
    <cellStyle name="Currency[2] 3" xfId="5675"/>
    <cellStyle name="Currency[2] 4" xfId="5676"/>
    <cellStyle name="Currency[2] 5" xfId="5677"/>
    <cellStyle name="Currency[2] 6" xfId="5678"/>
    <cellStyle name="Currency[2] 7" xfId="5679"/>
    <cellStyle name="Currency[2] 8" xfId="5680"/>
    <cellStyle name="Currency0" xfId="5681"/>
    <cellStyle name="Currency0 2" xfId="5682"/>
    <cellStyle name="Currency0 3" xfId="5683"/>
    <cellStyle name="Currency0 4" xfId="5684"/>
    <cellStyle name="Currency0 5" xfId="5685"/>
    <cellStyle name="Currency0 6" xfId="5686"/>
    <cellStyle name="Currency0 7" xfId="5687"/>
    <cellStyle name="Currency0 8" xfId="5688"/>
    <cellStyle name="custom" xfId="5689"/>
    <cellStyle name="custom 2" xfId="5690"/>
    <cellStyle name="custom 3" xfId="5691"/>
    <cellStyle name="custom 4" xfId="5692"/>
    <cellStyle name="custom 5" xfId="5693"/>
    <cellStyle name="custom 6" xfId="5694"/>
    <cellStyle name="custom 7" xfId="5695"/>
    <cellStyle name="custom 8" xfId="5696"/>
    <cellStyle name="D Table" xfId="5697"/>
    <cellStyle name="D Table 2" xfId="7808"/>
    <cellStyle name="Dash" xfId="5698"/>
    <cellStyle name="Dash 2" xfId="5699"/>
    <cellStyle name="Dash 3" xfId="5700"/>
    <cellStyle name="Dash 4" xfId="5701"/>
    <cellStyle name="Dash 5" xfId="5702"/>
    <cellStyle name="Dash 6" xfId="5703"/>
    <cellStyle name="data" xfId="3322"/>
    <cellStyle name="Date" xfId="3323"/>
    <cellStyle name="Date [mmm-yy]" xfId="1758"/>
    <cellStyle name="Date 2" xfId="5704"/>
    <cellStyle name="Date 3" xfId="5705"/>
    <cellStyle name="Date 4" xfId="5706"/>
    <cellStyle name="Date 5" xfId="5707"/>
    <cellStyle name="Date 6" xfId="5708"/>
    <cellStyle name="Date 7" xfId="5709"/>
    <cellStyle name="Date 8" xfId="5710"/>
    <cellStyle name="Date Aligned" xfId="1759"/>
    <cellStyle name="Date Aligned 2" xfId="5711"/>
    <cellStyle name="Date E" xfId="5712"/>
    <cellStyle name="Date Short" xfId="5713"/>
    <cellStyle name="Date_bby n" xfId="5714"/>
    <cellStyle name="Date2" xfId="5715"/>
    <cellStyle name="DEC 7PT 1" xfId="5716"/>
    <cellStyle name="DEC 7PT 1 2" xfId="5717"/>
    <cellStyle name="DEC 7PT 2" xfId="5718"/>
    <cellStyle name="DEC 7PT 2 2" xfId="5719"/>
    <cellStyle name="DEC 7PT 4" xfId="5720"/>
    <cellStyle name="DEC 7PT 4 2" xfId="5721"/>
    <cellStyle name="DEC 7PT 4A" xfId="5722"/>
    <cellStyle name="DEC 7PT 4A 2" xfId="5723"/>
    <cellStyle name="DEC 9PT 1" xfId="5724"/>
    <cellStyle name="DEC 9PT 1 2" xfId="5725"/>
    <cellStyle name="DEC 9PT 3" xfId="5726"/>
    <cellStyle name="DEC 9PT 3 2" xfId="5727"/>
    <cellStyle name="DEC 9PT 5" xfId="5728"/>
    <cellStyle name="DEC 9PT 5 2" xfId="5729"/>
    <cellStyle name="Decimal" xfId="5730"/>
    <cellStyle name="decimal 1" xfId="5731"/>
    <cellStyle name="Decimal 2" xfId="5732"/>
    <cellStyle name="dollar" xfId="1760"/>
    <cellStyle name="Dollar 2" xfId="5734"/>
    <cellStyle name="Dollar 3" xfId="5735"/>
    <cellStyle name="Dollar 4" xfId="5736"/>
    <cellStyle name="Dollar 5" xfId="5737"/>
    <cellStyle name="Dollar 6" xfId="5738"/>
    <cellStyle name="Dollar 7" xfId="5733"/>
    <cellStyle name="dollar0" xfId="3324"/>
    <cellStyle name="dollar1" xfId="3325"/>
    <cellStyle name="Dollars" xfId="5739"/>
    <cellStyle name="Dotted Line" xfId="1761"/>
    <cellStyle name="Dotted Line 2" xfId="5740"/>
    <cellStyle name="E[S" xfId="3326"/>
    <cellStyle name="Enter Currency (0)" xfId="5741"/>
    <cellStyle name="Enter Currency (0) 2" xfId="5742"/>
    <cellStyle name="Enter Currency (0) 3" xfId="5743"/>
    <cellStyle name="Enter Currency (0) 4" xfId="5744"/>
    <cellStyle name="Enter Currency (0) 5" xfId="5745"/>
    <cellStyle name="Enter Currency (0) 6" xfId="5746"/>
    <cellStyle name="Enter Currency (0) 7" xfId="5747"/>
    <cellStyle name="Enter Currency (0) 8" xfId="5748"/>
    <cellStyle name="Enter Currency (2)" xfId="5749"/>
    <cellStyle name="Enter Currency (2) 2" xfId="5750"/>
    <cellStyle name="Enter Currency (2) 3" xfId="5751"/>
    <cellStyle name="Enter Currency (2) 4" xfId="5752"/>
    <cellStyle name="Enter Currency (2) 5" xfId="5753"/>
    <cellStyle name="Enter Currency (2) 6" xfId="5754"/>
    <cellStyle name="Enter Currency (2) 7" xfId="5755"/>
    <cellStyle name="Enter Currency (2) 8" xfId="5756"/>
    <cellStyle name="Enter Units (0)" xfId="5757"/>
    <cellStyle name="Enter Units (0) 2" xfId="5758"/>
    <cellStyle name="Enter Units (0) 3" xfId="5759"/>
    <cellStyle name="Enter Units (0) 4" xfId="5760"/>
    <cellStyle name="Enter Units (0) 5" xfId="5761"/>
    <cellStyle name="Enter Units (0) 6" xfId="5762"/>
    <cellStyle name="Enter Units (0) 7" xfId="5763"/>
    <cellStyle name="Enter Units (0) 8" xfId="5764"/>
    <cellStyle name="Enter Units (1)" xfId="5765"/>
    <cellStyle name="Enter Units (1) 2" xfId="5766"/>
    <cellStyle name="Enter Units (1) 3" xfId="5767"/>
    <cellStyle name="Enter Units (1) 4" xfId="5768"/>
    <cellStyle name="Enter Units (1) 5" xfId="5769"/>
    <cellStyle name="Enter Units (1) 6" xfId="5770"/>
    <cellStyle name="Enter Units (1) 7" xfId="5771"/>
    <cellStyle name="Enter Units (1) 8" xfId="5772"/>
    <cellStyle name="Enter Units (2)" xfId="5773"/>
    <cellStyle name="Enter Units (2) 2" xfId="5774"/>
    <cellStyle name="Enter Units (2) 3" xfId="5775"/>
    <cellStyle name="Enter Units (2) 4" xfId="5776"/>
    <cellStyle name="Enter Units (2) 5" xfId="5777"/>
    <cellStyle name="Enter Units (2) 6" xfId="5778"/>
    <cellStyle name="Enter Units (2) 7" xfId="5779"/>
    <cellStyle name="Enter Units (2) 8" xfId="5780"/>
    <cellStyle name="eps" xfId="3327"/>
    <cellStyle name="epsNo$" xfId="3328"/>
    <cellStyle name="Euro" xfId="1762"/>
    <cellStyle name="Euro 2" xfId="1763"/>
    <cellStyle name="Euro 2 2" xfId="5782"/>
    <cellStyle name="Euro 3" xfId="1764"/>
    <cellStyle name="Euro 3 2" xfId="5783"/>
    <cellStyle name="Euro 4" xfId="1765"/>
    <cellStyle name="Euro 4 2" xfId="5784"/>
    <cellStyle name="Euro 5" xfId="1766"/>
    <cellStyle name="Euro 5 2" xfId="5785"/>
    <cellStyle name="Euro 6" xfId="1767"/>
    <cellStyle name="Euro 6 2" xfId="5786"/>
    <cellStyle name="Euro 7" xfId="5781"/>
    <cellStyle name="EXHIBIT #" xfId="5787"/>
    <cellStyle name="EXHIBIT # 2" xfId="5788"/>
    <cellStyle name="Explanatory Text" xfId="3279" builtinId="53" customBuiltin="1"/>
    <cellStyle name="Explanatory Text 2" xfId="1768"/>
    <cellStyle name="Explanatory Text 2 2" xfId="5789"/>
    <cellStyle name="Explanatory Text 3" xfId="1769"/>
    <cellStyle name="Explanatory Text 3 2" xfId="5791"/>
    <cellStyle name="Explanatory Text 3 3" xfId="5790"/>
    <cellStyle name="Explanatory Text 4" xfId="5792"/>
    <cellStyle name="Explanatory Text 4 2" xfId="5793"/>
    <cellStyle name="Explanatory Text 5" xfId="5794"/>
    <cellStyle name="Explanatory Text 5 2" xfId="5795"/>
    <cellStyle name="External File Cells" xfId="1770"/>
    <cellStyle name="External File Cells 2" xfId="5796"/>
    <cellStyle name="External File Cells 3" xfId="5797"/>
    <cellStyle name="External File Cells 4" xfId="5798"/>
    <cellStyle name="External File Cells 5" xfId="5799"/>
    <cellStyle name="External File Cells 6" xfId="5800"/>
    <cellStyle name="fa_column_header_bottom" xfId="3308"/>
    <cellStyle name="FAS Number" xfId="1771"/>
    <cellStyle name="fbnumber" xfId="5801"/>
    <cellStyle name="fbnumber 2" xfId="5802"/>
    <cellStyle name="fbnumber 3" xfId="5803"/>
    <cellStyle name="fbnumber 4" xfId="5804"/>
    <cellStyle name="fbnumber 5" xfId="5805"/>
    <cellStyle name="fbnumber 6" xfId="5806"/>
    <cellStyle name="FieldName" xfId="5807"/>
    <cellStyle name="FieldName 2" xfId="5808"/>
    <cellStyle name="finals" xfId="3329"/>
    <cellStyle name="Fixed" xfId="5809"/>
    <cellStyle name="Fixed 2" xfId="5810"/>
    <cellStyle name="Fixed 3" xfId="5811"/>
    <cellStyle name="Fixed 4" xfId="5812"/>
    <cellStyle name="Fixed 5" xfId="5813"/>
    <cellStyle name="Fixed 6" xfId="5814"/>
    <cellStyle name="Fixed 7" xfId="5815"/>
    <cellStyle name="Fixed 8" xfId="5816"/>
    <cellStyle name="Footnote" xfId="1772"/>
    <cellStyle name="FOOTNOTE 2" xfId="5818"/>
    <cellStyle name="FOOTNOTE 3" xfId="5817"/>
    <cellStyle name="Footnotes" xfId="3330"/>
    <cellStyle name="Forecast Cells" xfId="1773"/>
    <cellStyle name="Forecast Cells 2" xfId="5819"/>
    <cellStyle name="Forecast Cells 3" xfId="5820"/>
    <cellStyle name="Forecast Cells 4" xfId="5821"/>
    <cellStyle name="Forecast Cells 5" xfId="5822"/>
    <cellStyle name="Forecast Cells 6" xfId="5823"/>
    <cellStyle name="G02 Table Text" xfId="5824"/>
    <cellStyle name="G02 Table Text 2" xfId="5825"/>
    <cellStyle name="G02 Table Text 3" xfId="5826"/>
    <cellStyle name="G02 Table Text 4" xfId="5827"/>
    <cellStyle name="G02 Table Text 5" xfId="5828"/>
    <cellStyle name="G02 Table Text 6" xfId="5829"/>
    <cellStyle name="G04_Main head" xfId="5830"/>
    <cellStyle name="G05 Tab Head Bold" xfId="5831"/>
    <cellStyle name="G05 Tab Head Bold 2" xfId="5832"/>
    <cellStyle name="G05 Tab Head Bold 3" xfId="5833"/>
    <cellStyle name="G05 Tab Head Bold 4" xfId="5834"/>
    <cellStyle name="G05 Tab Head Bold 5" xfId="5835"/>
    <cellStyle name="G05 Tab Head Bold 6" xfId="5836"/>
    <cellStyle name="G05 Tab Head Bold 7" xfId="5837"/>
    <cellStyle name="G05 Tab Head Bold 8" xfId="5838"/>
    <cellStyle name="G05 Tab Head Light" xfId="5839"/>
    <cellStyle name="G05 Tab Head Light 2" xfId="5840"/>
    <cellStyle name="G05 Tab Head Light 3" xfId="5841"/>
    <cellStyle name="G05 Tab Head Light 4" xfId="5842"/>
    <cellStyle name="G05 Tab Head Light 5" xfId="5843"/>
    <cellStyle name="G05 Tab Head Light 6" xfId="5844"/>
    <cellStyle name="G05 Tab Head Light 7" xfId="5845"/>
    <cellStyle name="G05 Tab Head Light 8" xfId="5846"/>
    <cellStyle name="G1_1999 figures" xfId="1774"/>
    <cellStyle name="Good" xfId="3270" builtinId="26" customBuiltin="1"/>
    <cellStyle name="Good 10" xfId="1775"/>
    <cellStyle name="Good 10 2" xfId="1776"/>
    <cellStyle name="Good 10 2 2" xfId="5847"/>
    <cellStyle name="Good 10 3" xfId="5848"/>
    <cellStyle name="Good 10 4" xfId="5849"/>
    <cellStyle name="Good 10 5" xfId="5850"/>
    <cellStyle name="Good 10 6" xfId="5851"/>
    <cellStyle name="Good 10 7" xfId="5852"/>
    <cellStyle name="Good 11" xfId="1777"/>
    <cellStyle name="Good 11 2" xfId="1778"/>
    <cellStyle name="Good 11 2 2" xfId="5853"/>
    <cellStyle name="Good 11 3" xfId="5854"/>
    <cellStyle name="Good 11 4" xfId="5855"/>
    <cellStyle name="Good 11 5" xfId="5856"/>
    <cellStyle name="Good 11 6" xfId="5857"/>
    <cellStyle name="Good 11 7" xfId="5858"/>
    <cellStyle name="Good 12" xfId="1779"/>
    <cellStyle name="Good 12 2" xfId="1780"/>
    <cellStyle name="Good 12 2 2" xfId="5859"/>
    <cellStyle name="Good 12 3" xfId="5860"/>
    <cellStyle name="Good 12 4" xfId="5861"/>
    <cellStyle name="Good 12 5" xfId="5862"/>
    <cellStyle name="Good 12 6" xfId="5863"/>
    <cellStyle name="Good 12 7" xfId="5864"/>
    <cellStyle name="Good 13" xfId="1781"/>
    <cellStyle name="Good 13 2" xfId="5865"/>
    <cellStyle name="Good 14 2" xfId="5866"/>
    <cellStyle name="Good 15 2" xfId="5867"/>
    <cellStyle name="Good 16 2" xfId="5868"/>
    <cellStyle name="Good 17 2" xfId="5869"/>
    <cellStyle name="Good 18 2" xfId="5870"/>
    <cellStyle name="Good 19 2" xfId="5871"/>
    <cellStyle name="Good 2" xfId="1782"/>
    <cellStyle name="Good 2 2" xfId="1783"/>
    <cellStyle name="Good 2 2 2" xfId="1784"/>
    <cellStyle name="Good 2 2 3" xfId="5872"/>
    <cellStyle name="Good 2 3" xfId="1785"/>
    <cellStyle name="Good 2 3 2" xfId="5873"/>
    <cellStyle name="Good 2 4" xfId="5874"/>
    <cellStyle name="Good 2 5" xfId="5875"/>
    <cellStyle name="Good 2 6" xfId="5876"/>
    <cellStyle name="Good 2 7" xfId="5877"/>
    <cellStyle name="Good 2 8" xfId="3430"/>
    <cellStyle name="Good 20 2" xfId="5878"/>
    <cellStyle name="Good 21 2" xfId="5879"/>
    <cellStyle name="Good 3" xfId="1786"/>
    <cellStyle name="Good 3 2" xfId="1787"/>
    <cellStyle name="Good 3 2 2" xfId="5880"/>
    <cellStyle name="Good 3 3" xfId="5881"/>
    <cellStyle name="Good 3 4" xfId="5882"/>
    <cellStyle name="Good 3 5" xfId="5883"/>
    <cellStyle name="Good 3 6" xfId="5884"/>
    <cellStyle name="Good 3 7" xfId="5885"/>
    <cellStyle name="Good 4" xfId="1788"/>
    <cellStyle name="Good 4 2" xfId="1789"/>
    <cellStyle name="Good 4 2 2" xfId="5887"/>
    <cellStyle name="Good 4 3" xfId="5888"/>
    <cellStyle name="Good 4 4" xfId="5889"/>
    <cellStyle name="Good 4 5" xfId="5890"/>
    <cellStyle name="Good 4 6" xfId="5891"/>
    <cellStyle name="Good 4 7" xfId="5892"/>
    <cellStyle name="Good 4 8" xfId="5886"/>
    <cellStyle name="Good 5" xfId="1790"/>
    <cellStyle name="Good 5 2" xfId="1791"/>
    <cellStyle name="Good 5 2 2" xfId="5894"/>
    <cellStyle name="Good 5 3" xfId="5895"/>
    <cellStyle name="Good 5 4" xfId="5896"/>
    <cellStyle name="Good 5 5" xfId="5897"/>
    <cellStyle name="Good 5 6" xfId="5898"/>
    <cellStyle name="Good 5 7" xfId="5899"/>
    <cellStyle name="Good 5 8" xfId="5893"/>
    <cellStyle name="Good 6" xfId="1792"/>
    <cellStyle name="Good 6 2" xfId="1793"/>
    <cellStyle name="Good 6 2 2" xfId="5900"/>
    <cellStyle name="Good 6 3" xfId="5901"/>
    <cellStyle name="Good 6 4" xfId="5902"/>
    <cellStyle name="Good 6 5" xfId="5903"/>
    <cellStyle name="Good 6 6" xfId="5904"/>
    <cellStyle name="Good 6 7" xfId="5905"/>
    <cellStyle name="Good 7" xfId="1794"/>
    <cellStyle name="Good 7 2" xfId="1795"/>
    <cellStyle name="Good 7 2 2" xfId="5906"/>
    <cellStyle name="Good 7 3" xfId="5907"/>
    <cellStyle name="Good 7 4" xfId="5908"/>
    <cellStyle name="Good 7 5" xfId="5909"/>
    <cellStyle name="Good 7 6" xfId="5910"/>
    <cellStyle name="Good 7 7" xfId="5911"/>
    <cellStyle name="Good 8" xfId="1796"/>
    <cellStyle name="Good 8 2" xfId="1797"/>
    <cellStyle name="Good 8 2 2" xfId="5912"/>
    <cellStyle name="Good 8 3" xfId="5913"/>
    <cellStyle name="Good 8 4" xfId="5914"/>
    <cellStyle name="Good 8 5" xfId="5915"/>
    <cellStyle name="Good 8 6" xfId="5916"/>
    <cellStyle name="Good 8 7" xfId="5917"/>
    <cellStyle name="Good 9" xfId="1798"/>
    <cellStyle name="Good 9 2" xfId="1799"/>
    <cellStyle name="Good 9 2 2" xfId="5918"/>
    <cellStyle name="Good 9 3" xfId="5919"/>
    <cellStyle name="Good 9 4" xfId="5920"/>
    <cellStyle name="Good 9 5" xfId="5921"/>
    <cellStyle name="Good 9 6" xfId="5922"/>
    <cellStyle name="Good 9 7" xfId="5923"/>
    <cellStyle name="grayText2" xfId="5924"/>
    <cellStyle name="grayText2 2" xfId="5925"/>
    <cellStyle name="grayText2 3" xfId="5926"/>
    <cellStyle name="grayText2 4" xfId="5927"/>
    <cellStyle name="grayText2 5" xfId="5928"/>
    <cellStyle name="grayText2 6" xfId="5929"/>
    <cellStyle name="grayText2Big" xfId="5930"/>
    <cellStyle name="grayText2Big 2" xfId="5931"/>
    <cellStyle name="Green" xfId="5932"/>
    <cellStyle name="Grey" xfId="1800"/>
    <cellStyle name="H_1998_col_head" xfId="1801"/>
    <cellStyle name="H_1998_col_head 2" xfId="5933"/>
    <cellStyle name="H_1998_col_head_PharMerica" xfId="1802"/>
    <cellStyle name="H_1998_col_head_Quest Diagnostics" xfId="1803"/>
    <cellStyle name="H_1998_col_head_TGT_-_analysis_08.22.07_v11" xfId="1804"/>
    <cellStyle name="H_1999_col_head" xfId="1805"/>
    <cellStyle name="H1_1998 figures" xfId="1806"/>
    <cellStyle name="hard no" xfId="5934"/>
    <cellStyle name="hard no 2" xfId="5935"/>
    <cellStyle name="hard no 3" xfId="5936"/>
    <cellStyle name="hard no 4" xfId="5937"/>
    <cellStyle name="hard no 5" xfId="5938"/>
    <cellStyle name="hard no 6" xfId="5939"/>
    <cellStyle name="hard no." xfId="1807"/>
    <cellStyle name="Hard Percent" xfId="1808"/>
    <cellStyle name="Hard Percent 2" xfId="5940"/>
    <cellStyle name="hardno" xfId="5941"/>
    <cellStyle name="Header" xfId="1809"/>
    <cellStyle name="HEADER 2" xfId="5942"/>
    <cellStyle name="Header1" xfId="5943"/>
    <cellStyle name="Header1 2" xfId="5944"/>
    <cellStyle name="Header1 3" xfId="5945"/>
    <cellStyle name="Header1 4" xfId="5946"/>
    <cellStyle name="Header1 5" xfId="5947"/>
    <cellStyle name="Header1 6" xfId="5948"/>
    <cellStyle name="Header2" xfId="5949"/>
    <cellStyle name="Header2 2" xfId="5950"/>
    <cellStyle name="Header2 2 2" xfId="7810"/>
    <cellStyle name="Header2 3" xfId="5951"/>
    <cellStyle name="Header2 3 2" xfId="7811"/>
    <cellStyle name="Header2 4" xfId="5952"/>
    <cellStyle name="Header2 4 2" xfId="7812"/>
    <cellStyle name="Header2 5" xfId="5953"/>
    <cellStyle name="Header2 5 2" xfId="7813"/>
    <cellStyle name="Header2 6" xfId="5954"/>
    <cellStyle name="Header2 6 2" xfId="7814"/>
    <cellStyle name="Header2 7" xfId="7809"/>
    <cellStyle name="headers" xfId="3331"/>
    <cellStyle name="heading" xfId="3332"/>
    <cellStyle name="Heading 1" xfId="3266" builtinId="16" customBuiltin="1"/>
    <cellStyle name="Heading 1 10" xfId="1810"/>
    <cellStyle name="Heading 1 10 2" xfId="1811"/>
    <cellStyle name="Heading 1 10 2 2" xfId="1812"/>
    <cellStyle name="Heading 1 10 2 2 2" xfId="7566"/>
    <cellStyle name="Heading 1 10 2 3" xfId="1813"/>
    <cellStyle name="Heading 1 10 2 3 2" xfId="7567"/>
    <cellStyle name="Heading 1 10 2 4" xfId="1814"/>
    <cellStyle name="Heading 1 10 2 4 2" xfId="7568"/>
    <cellStyle name="Heading 1 10 2 5" xfId="5955"/>
    <cellStyle name="Heading 1 10 3" xfId="5956"/>
    <cellStyle name="Heading 1 10 4" xfId="5957"/>
    <cellStyle name="Heading 1 10 5" xfId="5958"/>
    <cellStyle name="Heading 1 10 6" xfId="5959"/>
    <cellStyle name="Heading 1 10 7" xfId="5960"/>
    <cellStyle name="Heading 1 11" xfId="1815"/>
    <cellStyle name="Heading 1 11 2" xfId="1816"/>
    <cellStyle name="Heading 1 11 2 2" xfId="1817"/>
    <cellStyle name="Heading 1 11 2 2 2" xfId="7569"/>
    <cellStyle name="Heading 1 11 2 3" xfId="1818"/>
    <cellStyle name="Heading 1 11 2 3 2" xfId="7570"/>
    <cellStyle name="Heading 1 11 2 4" xfId="1819"/>
    <cellStyle name="Heading 1 11 2 4 2" xfId="7571"/>
    <cellStyle name="Heading 1 11 2 5" xfId="5961"/>
    <cellStyle name="Heading 1 11 3" xfId="5962"/>
    <cellStyle name="Heading 1 11 4" xfId="5963"/>
    <cellStyle name="Heading 1 11 5" xfId="5964"/>
    <cellStyle name="Heading 1 11 6" xfId="5965"/>
    <cellStyle name="Heading 1 11 7" xfId="5966"/>
    <cellStyle name="Heading 1 12" xfId="1820"/>
    <cellStyle name="Heading 1 12 2" xfId="1821"/>
    <cellStyle name="Heading 1 12 2 2" xfId="1822"/>
    <cellStyle name="Heading 1 12 2 2 2" xfId="7572"/>
    <cellStyle name="Heading 1 12 2 3" xfId="1823"/>
    <cellStyle name="Heading 1 12 2 3 2" xfId="7573"/>
    <cellStyle name="Heading 1 12 2 4" xfId="1824"/>
    <cellStyle name="Heading 1 12 2 4 2" xfId="7574"/>
    <cellStyle name="Heading 1 12 2 5" xfId="5967"/>
    <cellStyle name="Heading 1 12 3" xfId="5968"/>
    <cellStyle name="Heading 1 12 4" xfId="5969"/>
    <cellStyle name="Heading 1 12 5" xfId="5970"/>
    <cellStyle name="Heading 1 12 6" xfId="5971"/>
    <cellStyle name="Heading 1 12 7" xfId="5972"/>
    <cellStyle name="Heading 1 13" xfId="1825"/>
    <cellStyle name="Heading 1 13 2" xfId="5973"/>
    <cellStyle name="Heading 1 14" xfId="1826"/>
    <cellStyle name="Heading 1 14 2" xfId="5974"/>
    <cellStyle name="Heading 1 15" xfId="1827"/>
    <cellStyle name="Heading 1 15 2" xfId="5975"/>
    <cellStyle name="Heading 1 16" xfId="1828"/>
    <cellStyle name="Heading 1 16 2" xfId="5976"/>
    <cellStyle name="Heading 1 17" xfId="1829"/>
    <cellStyle name="Heading 1 17 2" xfId="5977"/>
    <cellStyle name="Heading 1 18" xfId="1830"/>
    <cellStyle name="Heading 1 18 2" xfId="5978"/>
    <cellStyle name="Heading 1 19" xfId="1831"/>
    <cellStyle name="Heading 1 19 2" xfId="5979"/>
    <cellStyle name="Heading 1 2" xfId="1832"/>
    <cellStyle name="Heading 1 2 2" xfId="1833"/>
    <cellStyle name="Heading 1 2 2 2" xfId="1834"/>
    <cellStyle name="Heading 1 2 2 2 2" xfId="1835"/>
    <cellStyle name="Heading 1 2 2 2 2 2" xfId="7575"/>
    <cellStyle name="Heading 1 2 2 2 3" xfId="1836"/>
    <cellStyle name="Heading 1 2 2 2 3 2" xfId="7576"/>
    <cellStyle name="Heading 1 2 2 2 4" xfId="1837"/>
    <cellStyle name="Heading 1 2 2 2 4 2" xfId="7577"/>
    <cellStyle name="Heading 1 2 2 2 5" xfId="5981"/>
    <cellStyle name="Heading 1 2 2 3" xfId="1838"/>
    <cellStyle name="Heading 1 2 2 3 2" xfId="7578"/>
    <cellStyle name="Heading 1 2 2 4" xfId="1839"/>
    <cellStyle name="Heading 1 2 2 4 2" xfId="7579"/>
    <cellStyle name="Heading 1 2 2 5" xfId="1840"/>
    <cellStyle name="Heading 1 2 2 5 2" xfId="7580"/>
    <cellStyle name="Heading 1 2 2 6" xfId="5980"/>
    <cellStyle name="Heading 1 2 3" xfId="5982"/>
    <cellStyle name="Heading 1 2 3 2" xfId="5983"/>
    <cellStyle name="Heading 1 2 4" xfId="5984"/>
    <cellStyle name="Heading 1 2 4 2" xfId="5985"/>
    <cellStyle name="Heading 1 2 5" xfId="5986"/>
    <cellStyle name="Heading 1 2 5 2" xfId="5987"/>
    <cellStyle name="Heading 1 2 6" xfId="5988"/>
    <cellStyle name="Heading 1 2 6 2" xfId="5989"/>
    <cellStyle name="Heading 1 2 7" xfId="5990"/>
    <cellStyle name="Heading 1 2 8" xfId="5991"/>
    <cellStyle name="Heading 1 20" xfId="1841"/>
    <cellStyle name="Heading 1 20 2" xfId="5992"/>
    <cellStyle name="Heading 1 21" xfId="1842"/>
    <cellStyle name="Heading 1 21 2" xfId="5993"/>
    <cellStyle name="Heading 1 22" xfId="1843"/>
    <cellStyle name="Heading 1 23" xfId="1844"/>
    <cellStyle name="Heading 1 24" xfId="1845"/>
    <cellStyle name="Heading 1 25" xfId="1846"/>
    <cellStyle name="Heading 1 26" xfId="1847"/>
    <cellStyle name="Heading 1 26 2" xfId="7581"/>
    <cellStyle name="Heading 1 3" xfId="1848"/>
    <cellStyle name="Heading 1 3 2" xfId="1849"/>
    <cellStyle name="Heading 1 3 2 2" xfId="1850"/>
    <cellStyle name="Heading 1 3 2 2 2" xfId="7582"/>
    <cellStyle name="Heading 1 3 2 3" xfId="1851"/>
    <cellStyle name="Heading 1 3 2 3 2" xfId="7583"/>
    <cellStyle name="Heading 1 3 2 4" xfId="1852"/>
    <cellStyle name="Heading 1 3 2 4 2" xfId="7584"/>
    <cellStyle name="Heading 1 3 2 5" xfId="5994"/>
    <cellStyle name="Heading 1 3 3" xfId="5995"/>
    <cellStyle name="Heading 1 3 4" xfId="5996"/>
    <cellStyle name="Heading 1 3 5" xfId="5997"/>
    <cellStyle name="Heading 1 3 6" xfId="5998"/>
    <cellStyle name="Heading 1 3 7" xfId="5999"/>
    <cellStyle name="Heading 1 3 8" xfId="3405"/>
    <cellStyle name="Heading 1 3_Calc Data" xfId="6000"/>
    <cellStyle name="Heading 1 4" xfId="1853"/>
    <cellStyle name="Heading 1 4 2" xfId="1854"/>
    <cellStyle name="Heading 1 4 2 2" xfId="1855"/>
    <cellStyle name="Heading 1 4 2 2 2" xfId="7585"/>
    <cellStyle name="Heading 1 4 2 3" xfId="1856"/>
    <cellStyle name="Heading 1 4 2 3 2" xfId="7586"/>
    <cellStyle name="Heading 1 4 2 4" xfId="1857"/>
    <cellStyle name="Heading 1 4 2 4 2" xfId="7587"/>
    <cellStyle name="Heading 1 4 2 5" xfId="6002"/>
    <cellStyle name="Heading 1 4 3" xfId="6003"/>
    <cellStyle name="Heading 1 4 4" xfId="6004"/>
    <cellStyle name="Heading 1 4 5" xfId="6005"/>
    <cellStyle name="Heading 1 4 6" xfId="6006"/>
    <cellStyle name="Heading 1 4 7" xfId="6007"/>
    <cellStyle name="Heading 1 4 8" xfId="6001"/>
    <cellStyle name="Heading 1 4_Calc Data" xfId="6008"/>
    <cellStyle name="Heading 1 5" xfId="1858"/>
    <cellStyle name="Heading 1 5 2" xfId="1859"/>
    <cellStyle name="Heading 1 5 2 2" xfId="1860"/>
    <cellStyle name="Heading 1 5 2 2 2" xfId="7588"/>
    <cellStyle name="Heading 1 5 2 3" xfId="1861"/>
    <cellStyle name="Heading 1 5 2 3 2" xfId="7589"/>
    <cellStyle name="Heading 1 5 2 4" xfId="1862"/>
    <cellStyle name="Heading 1 5 2 4 2" xfId="7590"/>
    <cellStyle name="Heading 1 5 2 5" xfId="6010"/>
    <cellStyle name="Heading 1 5 3" xfId="6011"/>
    <cellStyle name="Heading 1 5 4" xfId="6012"/>
    <cellStyle name="Heading 1 5 5" xfId="6013"/>
    <cellStyle name="Heading 1 5 6" xfId="6014"/>
    <cellStyle name="Heading 1 5 7" xfId="6015"/>
    <cellStyle name="Heading 1 5 8" xfId="6009"/>
    <cellStyle name="Heading 1 5_Calc Data" xfId="6016"/>
    <cellStyle name="Heading 1 6" xfId="1863"/>
    <cellStyle name="Heading 1 6 2" xfId="1864"/>
    <cellStyle name="Heading 1 6 2 2" xfId="1865"/>
    <cellStyle name="Heading 1 6 2 2 2" xfId="7591"/>
    <cellStyle name="Heading 1 6 2 3" xfId="1866"/>
    <cellStyle name="Heading 1 6 2 3 2" xfId="7592"/>
    <cellStyle name="Heading 1 6 2 4" xfId="1867"/>
    <cellStyle name="Heading 1 6 2 4 2" xfId="7593"/>
    <cellStyle name="Heading 1 6 2 5" xfId="6018"/>
    <cellStyle name="Heading 1 6 3" xfId="6019"/>
    <cellStyle name="Heading 1 6 4" xfId="6020"/>
    <cellStyle name="Heading 1 6 5" xfId="6021"/>
    <cellStyle name="Heading 1 6 6" xfId="6022"/>
    <cellStyle name="Heading 1 6 7" xfId="6023"/>
    <cellStyle name="Heading 1 6 8" xfId="6017"/>
    <cellStyle name="Heading 1 7" xfId="1868"/>
    <cellStyle name="Heading 1 7 2" xfId="1869"/>
    <cellStyle name="Heading 1 7 2 2" xfId="1870"/>
    <cellStyle name="Heading 1 7 2 2 2" xfId="7594"/>
    <cellStyle name="Heading 1 7 2 3" xfId="1871"/>
    <cellStyle name="Heading 1 7 2 3 2" xfId="7595"/>
    <cellStyle name="Heading 1 7 2 4" xfId="1872"/>
    <cellStyle name="Heading 1 7 2 4 2" xfId="7596"/>
    <cellStyle name="Heading 1 7 2 5" xfId="6024"/>
    <cellStyle name="Heading 1 7 3" xfId="6025"/>
    <cellStyle name="Heading 1 7 4" xfId="6026"/>
    <cellStyle name="Heading 1 7 5" xfId="6027"/>
    <cellStyle name="Heading 1 7 6" xfId="6028"/>
    <cellStyle name="Heading 1 7 7" xfId="6029"/>
    <cellStyle name="Heading 1 8" xfId="1873"/>
    <cellStyle name="Heading 1 8 2" xfId="1874"/>
    <cellStyle name="Heading 1 8 2 2" xfId="1875"/>
    <cellStyle name="Heading 1 8 2 2 2" xfId="7597"/>
    <cellStyle name="Heading 1 8 2 3" xfId="1876"/>
    <cellStyle name="Heading 1 8 2 3 2" xfId="7598"/>
    <cellStyle name="Heading 1 8 2 4" xfId="1877"/>
    <cellStyle name="Heading 1 8 2 4 2" xfId="7599"/>
    <cellStyle name="Heading 1 8 2 5" xfId="6030"/>
    <cellStyle name="Heading 1 8 3" xfId="6031"/>
    <cellStyle name="Heading 1 8 4" xfId="6032"/>
    <cellStyle name="Heading 1 8 5" xfId="6033"/>
    <cellStyle name="Heading 1 8 6" xfId="6034"/>
    <cellStyle name="Heading 1 8 7" xfId="6035"/>
    <cellStyle name="Heading 1 9" xfId="1878"/>
    <cellStyle name="Heading 1 9 2" xfId="1879"/>
    <cellStyle name="Heading 1 9 2 2" xfId="1880"/>
    <cellStyle name="Heading 1 9 2 2 2" xfId="7600"/>
    <cellStyle name="Heading 1 9 2 3" xfId="1881"/>
    <cellStyle name="Heading 1 9 2 3 2" xfId="7601"/>
    <cellStyle name="Heading 1 9 2 4" xfId="1882"/>
    <cellStyle name="Heading 1 9 2 4 2" xfId="7602"/>
    <cellStyle name="Heading 1 9 2 5" xfId="6036"/>
    <cellStyle name="Heading 1 9 3" xfId="6037"/>
    <cellStyle name="Heading 1 9 4" xfId="6038"/>
    <cellStyle name="Heading 1 9 5" xfId="6039"/>
    <cellStyle name="Heading 1 9 6" xfId="6040"/>
    <cellStyle name="Heading 1 9 7" xfId="6041"/>
    <cellStyle name="Heading 2" xfId="3267" builtinId="17" customBuiltin="1"/>
    <cellStyle name="Heading 2 10" xfId="1883"/>
    <cellStyle name="Heading 2 10 2" xfId="1884"/>
    <cellStyle name="Heading 2 10 2 2" xfId="1885"/>
    <cellStyle name="Heading 2 10 2 3" xfId="1886"/>
    <cellStyle name="Heading 2 10 2 4" xfId="6042"/>
    <cellStyle name="Heading 2 10 3" xfId="6043"/>
    <cellStyle name="Heading 2 10 4" xfId="6044"/>
    <cellStyle name="Heading 2 10 5" xfId="6045"/>
    <cellStyle name="Heading 2 10 6" xfId="6046"/>
    <cellStyle name="Heading 2 10 7" xfId="6047"/>
    <cellStyle name="Heading 2 11" xfId="1887"/>
    <cellStyle name="Heading 2 11 2" xfId="1888"/>
    <cellStyle name="Heading 2 11 2 2" xfId="1889"/>
    <cellStyle name="Heading 2 11 2 3" xfId="1890"/>
    <cellStyle name="Heading 2 11 2 4" xfId="6048"/>
    <cellStyle name="Heading 2 11 3" xfId="6049"/>
    <cellStyle name="Heading 2 11 4" xfId="6050"/>
    <cellStyle name="Heading 2 11 5" xfId="6051"/>
    <cellStyle name="Heading 2 11 6" xfId="6052"/>
    <cellStyle name="Heading 2 11 7" xfId="6053"/>
    <cellStyle name="Heading 2 12" xfId="1891"/>
    <cellStyle name="Heading 2 12 2" xfId="1892"/>
    <cellStyle name="Heading 2 12 2 2" xfId="1893"/>
    <cellStyle name="Heading 2 12 2 3" xfId="1894"/>
    <cellStyle name="Heading 2 12 2 4" xfId="6054"/>
    <cellStyle name="Heading 2 12 3" xfId="6055"/>
    <cellStyle name="Heading 2 12 4" xfId="6056"/>
    <cellStyle name="Heading 2 12 5" xfId="6057"/>
    <cellStyle name="Heading 2 12 6" xfId="6058"/>
    <cellStyle name="Heading 2 12 7" xfId="6059"/>
    <cellStyle name="Heading 2 13" xfId="1895"/>
    <cellStyle name="Heading 2 13 2" xfId="6060"/>
    <cellStyle name="Heading 2 14" xfId="1896"/>
    <cellStyle name="Heading 2 14 2" xfId="6061"/>
    <cellStyle name="Heading 2 15" xfId="1897"/>
    <cellStyle name="Heading 2 15 2" xfId="6062"/>
    <cellStyle name="Heading 2 16" xfId="1898"/>
    <cellStyle name="Heading 2 16 2" xfId="6063"/>
    <cellStyle name="Heading 2 17" xfId="1899"/>
    <cellStyle name="Heading 2 17 2" xfId="6064"/>
    <cellStyle name="Heading 2 18" xfId="1900"/>
    <cellStyle name="Heading 2 18 2" xfId="6065"/>
    <cellStyle name="Heading 2 19" xfId="1901"/>
    <cellStyle name="Heading 2 19 2" xfId="6066"/>
    <cellStyle name="Heading 2 2" xfId="1902"/>
    <cellStyle name="Heading 2 2 2" xfId="1903"/>
    <cellStyle name="Heading 2 2 2 2" xfId="1904"/>
    <cellStyle name="Heading 2 2 2 2 2" xfId="1905"/>
    <cellStyle name="Heading 2 2 2 2 3" xfId="1906"/>
    <cellStyle name="Heading 2 2 2 2 4" xfId="6068"/>
    <cellStyle name="Heading 2 2 2 3" xfId="1907"/>
    <cellStyle name="Heading 2 2 2 4" xfId="1908"/>
    <cellStyle name="Heading 2 2 2 5" xfId="6067"/>
    <cellStyle name="Heading 2 2 3" xfId="6069"/>
    <cellStyle name="Heading 2 2 3 2" xfId="6070"/>
    <cellStyle name="Heading 2 2 4" xfId="6071"/>
    <cellStyle name="Heading 2 2 4 2" xfId="6072"/>
    <cellStyle name="Heading 2 2 5" xfId="6073"/>
    <cellStyle name="Heading 2 2 5 2" xfId="6074"/>
    <cellStyle name="Heading 2 2 6" xfId="6075"/>
    <cellStyle name="Heading 2 2 6 2" xfId="6076"/>
    <cellStyle name="Heading 2 2 7" xfId="6077"/>
    <cellStyle name="Heading 2 2 8" xfId="6078"/>
    <cellStyle name="Heading 2 20" xfId="1909"/>
    <cellStyle name="Heading 2 20 2" xfId="6079"/>
    <cellStyle name="Heading 2 21" xfId="1910"/>
    <cellStyle name="Heading 2 21 2" xfId="6080"/>
    <cellStyle name="Heading 2 22" xfId="1911"/>
    <cellStyle name="Heading 2 23" xfId="1912"/>
    <cellStyle name="Heading 2 24" xfId="1913"/>
    <cellStyle name="Heading 2 25" xfId="1914"/>
    <cellStyle name="Heading 2 26" xfId="1915"/>
    <cellStyle name="Heading 2 3" xfId="1916"/>
    <cellStyle name="Heading 2 3 2" xfId="1917"/>
    <cellStyle name="Heading 2 3 2 2" xfId="1918"/>
    <cellStyle name="Heading 2 3 2 3" xfId="1919"/>
    <cellStyle name="Heading 2 3 2 4" xfId="6081"/>
    <cellStyle name="Heading 2 3 3" xfId="6082"/>
    <cellStyle name="Heading 2 3 4" xfId="6083"/>
    <cellStyle name="Heading 2 3 5" xfId="6084"/>
    <cellStyle name="Heading 2 3 6" xfId="6085"/>
    <cellStyle name="Heading 2 3 7" xfId="6086"/>
    <cellStyle name="Heading 2 3 8" xfId="3451"/>
    <cellStyle name="Heading 2 3_Calc Data" xfId="6087"/>
    <cellStyle name="Heading 2 4" xfId="1920"/>
    <cellStyle name="Heading 2 4 2" xfId="1921"/>
    <cellStyle name="Heading 2 4 2 2" xfId="1922"/>
    <cellStyle name="Heading 2 4 2 3" xfId="1923"/>
    <cellStyle name="Heading 2 4 2 4" xfId="6089"/>
    <cellStyle name="Heading 2 4 3" xfId="6090"/>
    <cellStyle name="Heading 2 4 4" xfId="6091"/>
    <cellStyle name="Heading 2 4 5" xfId="6092"/>
    <cellStyle name="Heading 2 4 6" xfId="6093"/>
    <cellStyle name="Heading 2 4 7" xfId="6094"/>
    <cellStyle name="Heading 2 4 8" xfId="6088"/>
    <cellStyle name="Heading 2 4_Calc Data" xfId="6095"/>
    <cellStyle name="Heading 2 5" xfId="1924"/>
    <cellStyle name="Heading 2 5 2" xfId="1925"/>
    <cellStyle name="Heading 2 5 2 2" xfId="1926"/>
    <cellStyle name="Heading 2 5 2 3" xfId="1927"/>
    <cellStyle name="Heading 2 5 2 4" xfId="6097"/>
    <cellStyle name="Heading 2 5 3" xfId="6098"/>
    <cellStyle name="Heading 2 5 4" xfId="6099"/>
    <cellStyle name="Heading 2 5 5" xfId="6100"/>
    <cellStyle name="Heading 2 5 6" xfId="6101"/>
    <cellStyle name="Heading 2 5 7" xfId="6102"/>
    <cellStyle name="Heading 2 5 8" xfId="6096"/>
    <cellStyle name="Heading 2 5_Calc Data" xfId="6103"/>
    <cellStyle name="Heading 2 6" xfId="1928"/>
    <cellStyle name="Heading 2 6 2" xfId="1929"/>
    <cellStyle name="Heading 2 6 2 2" xfId="1930"/>
    <cellStyle name="Heading 2 6 2 3" xfId="1931"/>
    <cellStyle name="Heading 2 6 2 4" xfId="6105"/>
    <cellStyle name="Heading 2 6 3" xfId="6106"/>
    <cellStyle name="Heading 2 6 4" xfId="6107"/>
    <cellStyle name="Heading 2 6 5" xfId="6108"/>
    <cellStyle name="Heading 2 6 6" xfId="6109"/>
    <cellStyle name="Heading 2 6 7" xfId="6110"/>
    <cellStyle name="Heading 2 6 8" xfId="6104"/>
    <cellStyle name="Heading 2 7" xfId="1932"/>
    <cellStyle name="Heading 2 7 2" xfId="1933"/>
    <cellStyle name="Heading 2 7 2 2" xfId="1934"/>
    <cellStyle name="Heading 2 7 2 3" xfId="1935"/>
    <cellStyle name="Heading 2 7 2 4" xfId="6111"/>
    <cellStyle name="Heading 2 7 3" xfId="6112"/>
    <cellStyle name="Heading 2 7 4" xfId="6113"/>
    <cellStyle name="Heading 2 7 5" xfId="6114"/>
    <cellStyle name="Heading 2 7 6" xfId="6115"/>
    <cellStyle name="Heading 2 7 7" xfId="6116"/>
    <cellStyle name="Heading 2 8" xfId="1936"/>
    <cellStyle name="Heading 2 8 2" xfId="1937"/>
    <cellStyle name="Heading 2 8 2 2" xfId="1938"/>
    <cellStyle name="Heading 2 8 2 3" xfId="1939"/>
    <cellStyle name="Heading 2 8 2 4" xfId="6117"/>
    <cellStyle name="Heading 2 8 3" xfId="6118"/>
    <cellStyle name="Heading 2 8 4" xfId="6119"/>
    <cellStyle name="Heading 2 8 5" xfId="6120"/>
    <cellStyle name="Heading 2 8 6" xfId="6121"/>
    <cellStyle name="Heading 2 8 7" xfId="6122"/>
    <cellStyle name="Heading 2 9" xfId="1940"/>
    <cellStyle name="Heading 2 9 2" xfId="1941"/>
    <cellStyle name="Heading 2 9 2 2" xfId="1942"/>
    <cellStyle name="Heading 2 9 2 3" xfId="1943"/>
    <cellStyle name="Heading 2 9 2 4" xfId="6123"/>
    <cellStyle name="Heading 2 9 3" xfId="6124"/>
    <cellStyle name="Heading 2 9 4" xfId="6125"/>
    <cellStyle name="Heading 2 9 5" xfId="6126"/>
    <cellStyle name="Heading 2 9 6" xfId="6127"/>
    <cellStyle name="Heading 2 9 7" xfId="6128"/>
    <cellStyle name="Heading 3" xfId="3268" builtinId="18" customBuiltin="1"/>
    <cellStyle name="Heading 3 10" xfId="1944"/>
    <cellStyle name="Heading 3 10 2" xfId="1945"/>
    <cellStyle name="Heading 3 10 2 2" xfId="1946"/>
    <cellStyle name="Heading 3 10 2 2 2" xfId="7604"/>
    <cellStyle name="Heading 3 10 2 3" xfId="1947"/>
    <cellStyle name="Heading 3 10 2 3 2" xfId="7605"/>
    <cellStyle name="Heading 3 10 2 4" xfId="1948"/>
    <cellStyle name="Heading 3 10 2 4 2" xfId="7606"/>
    <cellStyle name="Heading 3 10 2 5" xfId="6129"/>
    <cellStyle name="Heading 3 10 2 6" xfId="7603"/>
    <cellStyle name="Heading 3 10 3" xfId="6130"/>
    <cellStyle name="Heading 3 10 4" xfId="6131"/>
    <cellStyle name="Heading 3 10 5" xfId="6132"/>
    <cellStyle name="Heading 3 10 6" xfId="6133"/>
    <cellStyle name="Heading 3 10 7" xfId="6134"/>
    <cellStyle name="Heading 3 11" xfId="1949"/>
    <cellStyle name="Heading 3 11 2" xfId="1950"/>
    <cellStyle name="Heading 3 11 2 2" xfId="1951"/>
    <cellStyle name="Heading 3 11 2 2 2" xfId="7608"/>
    <cellStyle name="Heading 3 11 2 3" xfId="1952"/>
    <cellStyle name="Heading 3 11 2 3 2" xfId="7609"/>
    <cellStyle name="Heading 3 11 2 4" xfId="1953"/>
    <cellStyle name="Heading 3 11 2 4 2" xfId="7610"/>
    <cellStyle name="Heading 3 11 2 5" xfId="6135"/>
    <cellStyle name="Heading 3 11 2 6" xfId="7607"/>
    <cellStyle name="Heading 3 11 3" xfId="6136"/>
    <cellStyle name="Heading 3 11 4" xfId="6137"/>
    <cellStyle name="Heading 3 11 5" xfId="6138"/>
    <cellStyle name="Heading 3 11 6" xfId="6139"/>
    <cellStyle name="Heading 3 11 7" xfId="6140"/>
    <cellStyle name="Heading 3 12" xfId="1954"/>
    <cellStyle name="Heading 3 12 2" xfId="1955"/>
    <cellStyle name="Heading 3 12 2 2" xfId="1956"/>
    <cellStyle name="Heading 3 12 2 2 2" xfId="7612"/>
    <cellStyle name="Heading 3 12 2 3" xfId="1957"/>
    <cellStyle name="Heading 3 12 2 3 2" xfId="7613"/>
    <cellStyle name="Heading 3 12 2 4" xfId="1958"/>
    <cellStyle name="Heading 3 12 2 4 2" xfId="7614"/>
    <cellStyle name="Heading 3 12 2 5" xfId="6141"/>
    <cellStyle name="Heading 3 12 2 6" xfId="7611"/>
    <cellStyle name="Heading 3 12 3" xfId="6142"/>
    <cellStyle name="Heading 3 12 4" xfId="6143"/>
    <cellStyle name="Heading 3 12 5" xfId="6144"/>
    <cellStyle name="Heading 3 12 6" xfId="6145"/>
    <cellStyle name="Heading 3 12 7" xfId="6146"/>
    <cellStyle name="Heading 3 13" xfId="1959"/>
    <cellStyle name="Heading 3 13 2" xfId="6147"/>
    <cellStyle name="Heading 3 14" xfId="1960"/>
    <cellStyle name="Heading 3 14 2" xfId="6148"/>
    <cellStyle name="Heading 3 15" xfId="1961"/>
    <cellStyle name="Heading 3 15 2" xfId="6149"/>
    <cellStyle name="Heading 3 16" xfId="1962"/>
    <cellStyle name="Heading 3 16 2" xfId="6150"/>
    <cellStyle name="Heading 3 17" xfId="1963"/>
    <cellStyle name="Heading 3 17 2" xfId="6151"/>
    <cellStyle name="Heading 3 18" xfId="1964"/>
    <cellStyle name="Heading 3 18 2" xfId="6152"/>
    <cellStyle name="Heading 3 19" xfId="1965"/>
    <cellStyle name="Heading 3 19 2" xfId="6153"/>
    <cellStyle name="Heading 3 2" xfId="1966"/>
    <cellStyle name="Heading 3 2 2" xfId="1967"/>
    <cellStyle name="Heading 3 2 2 2" xfId="1968"/>
    <cellStyle name="Heading 3 2 2 2 2" xfId="1969"/>
    <cellStyle name="Heading 3 2 2 2 2 2" xfId="7617"/>
    <cellStyle name="Heading 3 2 2 2 3" xfId="1970"/>
    <cellStyle name="Heading 3 2 2 2 3 2" xfId="7618"/>
    <cellStyle name="Heading 3 2 2 2 4" xfId="1971"/>
    <cellStyle name="Heading 3 2 2 2 4 2" xfId="7619"/>
    <cellStyle name="Heading 3 2 2 2 5" xfId="7616"/>
    <cellStyle name="Heading 3 2 2 3" xfId="1972"/>
    <cellStyle name="Heading 3 2 2 3 2" xfId="7620"/>
    <cellStyle name="Heading 3 2 2 4" xfId="1973"/>
    <cellStyle name="Heading 3 2 2 4 2" xfId="7621"/>
    <cellStyle name="Heading 3 2 2 5" xfId="1974"/>
    <cellStyle name="Heading 3 2 2 5 2" xfId="7622"/>
    <cellStyle name="Heading 3 2 2 6" xfId="6154"/>
    <cellStyle name="Heading 3 2 2 7" xfId="7615"/>
    <cellStyle name="Heading 3 2 3" xfId="6155"/>
    <cellStyle name="Heading 3 2 4" xfId="6156"/>
    <cellStyle name="Heading 3 2 5" xfId="6157"/>
    <cellStyle name="Heading 3 2 6" xfId="6158"/>
    <cellStyle name="Heading 3 2 7" xfId="6159"/>
    <cellStyle name="Heading 3 2 8" xfId="6160"/>
    <cellStyle name="Heading 3 2 9" xfId="3426"/>
    <cellStyle name="Heading 3 20" xfId="1975"/>
    <cellStyle name="Heading 3 20 2" xfId="6161"/>
    <cellStyle name="Heading 3 21" xfId="1976"/>
    <cellStyle name="Heading 3 21 2" xfId="6162"/>
    <cellStyle name="Heading 3 22" xfId="1977"/>
    <cellStyle name="Heading 3 23" xfId="1978"/>
    <cellStyle name="Heading 3 24" xfId="1979"/>
    <cellStyle name="Heading 3 25" xfId="1980"/>
    <cellStyle name="Heading 3 26" xfId="1981"/>
    <cellStyle name="Heading 3 26 2" xfId="7623"/>
    <cellStyle name="Heading 3 3" xfId="1982"/>
    <cellStyle name="Heading 3 3 2" xfId="1983"/>
    <cellStyle name="Heading 3 3 2 2" xfId="1984"/>
    <cellStyle name="Heading 3 3 2 2 2" xfId="7625"/>
    <cellStyle name="Heading 3 3 2 3" xfId="1985"/>
    <cellStyle name="Heading 3 3 2 3 2" xfId="7626"/>
    <cellStyle name="Heading 3 3 2 4" xfId="1986"/>
    <cellStyle name="Heading 3 3 2 4 2" xfId="7627"/>
    <cellStyle name="Heading 3 3 2 5" xfId="6163"/>
    <cellStyle name="Heading 3 3 2 6" xfId="7624"/>
    <cellStyle name="Heading 3 3 3" xfId="6164"/>
    <cellStyle name="Heading 3 3 4" xfId="6165"/>
    <cellStyle name="Heading 3 3 5" xfId="6166"/>
    <cellStyle name="Heading 3 3 6" xfId="6167"/>
    <cellStyle name="Heading 3 3 7" xfId="6168"/>
    <cellStyle name="Heading 3 3 8" xfId="3403"/>
    <cellStyle name="Heading 3 3_Calc Data" xfId="6169"/>
    <cellStyle name="Heading 3 4" xfId="1987"/>
    <cellStyle name="Heading 3 4 2" xfId="1988"/>
    <cellStyle name="Heading 3 4 2 2" xfId="1989"/>
    <cellStyle name="Heading 3 4 2 2 2" xfId="7629"/>
    <cellStyle name="Heading 3 4 2 3" xfId="1990"/>
    <cellStyle name="Heading 3 4 2 3 2" xfId="7630"/>
    <cellStyle name="Heading 3 4 2 4" xfId="1991"/>
    <cellStyle name="Heading 3 4 2 4 2" xfId="7631"/>
    <cellStyle name="Heading 3 4 2 5" xfId="6171"/>
    <cellStyle name="Heading 3 4 2 6" xfId="7628"/>
    <cellStyle name="Heading 3 4 3" xfId="6172"/>
    <cellStyle name="Heading 3 4 4" xfId="6173"/>
    <cellStyle name="Heading 3 4 5" xfId="6174"/>
    <cellStyle name="Heading 3 4 6" xfId="6175"/>
    <cellStyle name="Heading 3 4 7" xfId="6176"/>
    <cellStyle name="Heading 3 4 8" xfId="6170"/>
    <cellStyle name="Heading 3 4_Calc Data" xfId="6177"/>
    <cellStyle name="Heading 3 5" xfId="1992"/>
    <cellStyle name="Heading 3 5 2" xfId="1993"/>
    <cellStyle name="Heading 3 5 2 2" xfId="1994"/>
    <cellStyle name="Heading 3 5 2 2 2" xfId="7633"/>
    <cellStyle name="Heading 3 5 2 3" xfId="1995"/>
    <cellStyle name="Heading 3 5 2 3 2" xfId="7634"/>
    <cellStyle name="Heading 3 5 2 4" xfId="1996"/>
    <cellStyle name="Heading 3 5 2 4 2" xfId="7635"/>
    <cellStyle name="Heading 3 5 2 5" xfId="6179"/>
    <cellStyle name="Heading 3 5 2 6" xfId="7632"/>
    <cellStyle name="Heading 3 5 3" xfId="6180"/>
    <cellStyle name="Heading 3 5 4" xfId="6181"/>
    <cellStyle name="Heading 3 5 5" xfId="6182"/>
    <cellStyle name="Heading 3 5 6" xfId="6183"/>
    <cellStyle name="Heading 3 5 7" xfId="6184"/>
    <cellStyle name="Heading 3 5 8" xfId="6178"/>
    <cellStyle name="Heading 3 5_Calc Data" xfId="6185"/>
    <cellStyle name="Heading 3 6" xfId="1997"/>
    <cellStyle name="Heading 3 6 2" xfId="1998"/>
    <cellStyle name="Heading 3 6 2 2" xfId="1999"/>
    <cellStyle name="Heading 3 6 2 2 2" xfId="7637"/>
    <cellStyle name="Heading 3 6 2 3" xfId="2000"/>
    <cellStyle name="Heading 3 6 2 3 2" xfId="7638"/>
    <cellStyle name="Heading 3 6 2 4" xfId="2001"/>
    <cellStyle name="Heading 3 6 2 4 2" xfId="7639"/>
    <cellStyle name="Heading 3 6 2 5" xfId="6186"/>
    <cellStyle name="Heading 3 6 2 6" xfId="7636"/>
    <cellStyle name="Heading 3 6 3" xfId="6187"/>
    <cellStyle name="Heading 3 6 4" xfId="6188"/>
    <cellStyle name="Heading 3 6 5" xfId="6189"/>
    <cellStyle name="Heading 3 6 6" xfId="6190"/>
    <cellStyle name="Heading 3 6 7" xfId="6191"/>
    <cellStyle name="Heading 3 7" xfId="2002"/>
    <cellStyle name="Heading 3 7 2" xfId="2003"/>
    <cellStyle name="Heading 3 7 2 2" xfId="2004"/>
    <cellStyle name="Heading 3 7 2 2 2" xfId="7641"/>
    <cellStyle name="Heading 3 7 2 3" xfId="2005"/>
    <cellStyle name="Heading 3 7 2 3 2" xfId="7642"/>
    <cellStyle name="Heading 3 7 2 4" xfId="2006"/>
    <cellStyle name="Heading 3 7 2 4 2" xfId="7643"/>
    <cellStyle name="Heading 3 7 2 5" xfId="6192"/>
    <cellStyle name="Heading 3 7 2 6" xfId="7640"/>
    <cellStyle name="Heading 3 7 3" xfId="6193"/>
    <cellStyle name="Heading 3 7 4" xfId="6194"/>
    <cellStyle name="Heading 3 7 5" xfId="6195"/>
    <cellStyle name="Heading 3 7 6" xfId="6196"/>
    <cellStyle name="Heading 3 7 7" xfId="6197"/>
    <cellStyle name="Heading 3 8" xfId="2007"/>
    <cellStyle name="Heading 3 8 2" xfId="2008"/>
    <cellStyle name="Heading 3 8 2 2" xfId="2009"/>
    <cellStyle name="Heading 3 8 2 2 2" xfId="7645"/>
    <cellStyle name="Heading 3 8 2 3" xfId="2010"/>
    <cellStyle name="Heading 3 8 2 3 2" xfId="7646"/>
    <cellStyle name="Heading 3 8 2 4" xfId="2011"/>
    <cellStyle name="Heading 3 8 2 4 2" xfId="7647"/>
    <cellStyle name="Heading 3 8 2 5" xfId="6198"/>
    <cellStyle name="Heading 3 8 2 6" xfId="7644"/>
    <cellStyle name="Heading 3 8 3" xfId="6199"/>
    <cellStyle name="Heading 3 8 4" xfId="6200"/>
    <cellStyle name="Heading 3 8 5" xfId="6201"/>
    <cellStyle name="Heading 3 8 6" xfId="6202"/>
    <cellStyle name="Heading 3 8 7" xfId="6203"/>
    <cellStyle name="Heading 3 9" xfId="2012"/>
    <cellStyle name="Heading 3 9 2" xfId="2013"/>
    <cellStyle name="Heading 3 9 2 2" xfId="2014"/>
    <cellStyle name="Heading 3 9 2 2 2" xfId="7649"/>
    <cellStyle name="Heading 3 9 2 3" xfId="2015"/>
    <cellStyle name="Heading 3 9 2 3 2" xfId="7650"/>
    <cellStyle name="Heading 3 9 2 4" xfId="2016"/>
    <cellStyle name="Heading 3 9 2 4 2" xfId="7651"/>
    <cellStyle name="Heading 3 9 2 5" xfId="6204"/>
    <cellStyle name="Heading 3 9 2 6" xfId="7648"/>
    <cellStyle name="Heading 3 9 3" xfId="6205"/>
    <cellStyle name="Heading 3 9 4" xfId="6206"/>
    <cellStyle name="Heading 3 9 5" xfId="6207"/>
    <cellStyle name="Heading 3 9 6" xfId="6208"/>
    <cellStyle name="Heading 3 9 7" xfId="6209"/>
    <cellStyle name="Heading 4" xfId="3269" builtinId="19" customBuiltin="1"/>
    <cellStyle name="Heading 4 10" xfId="2017"/>
    <cellStyle name="Heading 4 11" xfId="2018"/>
    <cellStyle name="Heading 4 12" xfId="2019"/>
    <cellStyle name="Heading 4 13" xfId="2020"/>
    <cellStyle name="Heading 4 14" xfId="2021"/>
    <cellStyle name="Heading 4 15" xfId="2022"/>
    <cellStyle name="Heading 4 16" xfId="2023"/>
    <cellStyle name="Heading 4 17" xfId="2024"/>
    <cellStyle name="Heading 4 18" xfId="2025"/>
    <cellStyle name="Heading 4 19" xfId="2026"/>
    <cellStyle name="Heading 4 2" xfId="2027"/>
    <cellStyle name="Heading 4 2 2" xfId="2028"/>
    <cellStyle name="Heading 4 2 2 2" xfId="6210"/>
    <cellStyle name="Heading 4 20" xfId="2029"/>
    <cellStyle name="Heading 4 21" xfId="2030"/>
    <cellStyle name="Heading 4 22" xfId="2031"/>
    <cellStyle name="Heading 4 23" xfId="2032"/>
    <cellStyle name="Heading 4 24" xfId="2033"/>
    <cellStyle name="Heading 4 25" xfId="2034"/>
    <cellStyle name="Heading 4 26" xfId="2035"/>
    <cellStyle name="Heading 4 26 2" xfId="7652"/>
    <cellStyle name="Heading 4 3" xfId="2036"/>
    <cellStyle name="Heading 4 3 2" xfId="6211"/>
    <cellStyle name="Heading 4 3 3" xfId="3436"/>
    <cellStyle name="Heading 4 4" xfId="2037"/>
    <cellStyle name="Heading 4 4 2" xfId="6213"/>
    <cellStyle name="Heading 4 4 3" xfId="6212"/>
    <cellStyle name="Heading 4 5" xfId="2038"/>
    <cellStyle name="Heading 4 5 2" xfId="6215"/>
    <cellStyle name="Heading 4 5 3" xfId="6214"/>
    <cellStyle name="Heading 4 6" xfId="2039"/>
    <cellStyle name="Heading 4 7" xfId="2040"/>
    <cellStyle name="Heading 4 8" xfId="2041"/>
    <cellStyle name="Heading 4 9" xfId="2042"/>
    <cellStyle name="Heading1" xfId="2043"/>
    <cellStyle name="Heading1 2" xfId="6216"/>
    <cellStyle name="Heading1 3" xfId="6217"/>
    <cellStyle name="Heading1 4" xfId="6218"/>
    <cellStyle name="Heading1 5" xfId="6219"/>
    <cellStyle name="Heading1 6" xfId="6220"/>
    <cellStyle name="Hidden" xfId="2044"/>
    <cellStyle name="Hyperlink" xfId="2045" builtinId="8"/>
    <cellStyle name="Hyperlink 2" xfId="2046"/>
    <cellStyle name="Hyperlink 3" xfId="2047"/>
    <cellStyle name="Input" xfId="3273" builtinId="20" customBuiltin="1"/>
    <cellStyle name="Input [yellow]" xfId="2048"/>
    <cellStyle name="Input 10" xfId="2049"/>
    <cellStyle name="Input 10 2" xfId="2050"/>
    <cellStyle name="Input 10 2 2" xfId="2051"/>
    <cellStyle name="Input 10 2 3" xfId="2052"/>
    <cellStyle name="Input 10 2 4" xfId="6221"/>
    <cellStyle name="Input 10 3" xfId="6222"/>
    <cellStyle name="Input 10 4" xfId="6223"/>
    <cellStyle name="Input 10 5" xfId="6224"/>
    <cellStyle name="Input 10 6" xfId="6225"/>
    <cellStyle name="Input 10 7" xfId="6226"/>
    <cellStyle name="Input 11" xfId="2053"/>
    <cellStyle name="Input 11 2" xfId="2054"/>
    <cellStyle name="Input 11 2 2" xfId="2055"/>
    <cellStyle name="Input 11 2 3" xfId="2056"/>
    <cellStyle name="Input 11 2 4" xfId="6227"/>
    <cellStyle name="Input 11 3" xfId="6228"/>
    <cellStyle name="Input 11 4" xfId="6229"/>
    <cellStyle name="Input 11 5" xfId="6230"/>
    <cellStyle name="Input 11 6" xfId="6231"/>
    <cellStyle name="Input 11 7" xfId="6232"/>
    <cellStyle name="Input 12" xfId="2057"/>
    <cellStyle name="Input 12 2" xfId="2058"/>
    <cellStyle name="Input 12 2 2" xfId="2059"/>
    <cellStyle name="Input 12 2 3" xfId="2060"/>
    <cellStyle name="Input 12 2 4" xfId="6233"/>
    <cellStyle name="Input 12 3" xfId="6234"/>
    <cellStyle name="Input 12 4" xfId="6235"/>
    <cellStyle name="Input 12 5" xfId="6236"/>
    <cellStyle name="Input 12 6" xfId="6237"/>
    <cellStyle name="Input 12 7" xfId="6238"/>
    <cellStyle name="Input 13" xfId="2061"/>
    <cellStyle name="Input 13 2" xfId="6239"/>
    <cellStyle name="Input 14" xfId="2062"/>
    <cellStyle name="Input 14 2" xfId="6240"/>
    <cellStyle name="Input 15" xfId="2063"/>
    <cellStyle name="Input 15 2" xfId="6241"/>
    <cellStyle name="Input 16" xfId="2064"/>
    <cellStyle name="Input 16 2" xfId="6242"/>
    <cellStyle name="Input 17" xfId="2065"/>
    <cellStyle name="Input 17 2" xfId="6243"/>
    <cellStyle name="Input 18" xfId="2066"/>
    <cellStyle name="Input 18 2" xfId="6244"/>
    <cellStyle name="Input 19" xfId="2067"/>
    <cellStyle name="Input 19 2" xfId="6245"/>
    <cellStyle name="Input 2" xfId="2068"/>
    <cellStyle name="Input 2 2" xfId="2069"/>
    <cellStyle name="Input 2 2 2" xfId="2070"/>
    <cellStyle name="Input 2 2 2 2" xfId="2071"/>
    <cellStyle name="Input 2 2 2 3" xfId="2072"/>
    <cellStyle name="Input 2 2 3" xfId="2073"/>
    <cellStyle name="Input 2 2 4" xfId="2074"/>
    <cellStyle name="Input 2 2 5" xfId="6246"/>
    <cellStyle name="Input 2 3" xfId="6247"/>
    <cellStyle name="Input 2 4" xfId="6248"/>
    <cellStyle name="Input 2 5" xfId="6249"/>
    <cellStyle name="Input 2 6" xfId="6250"/>
    <cellStyle name="Input 2 7" xfId="6251"/>
    <cellStyle name="Input 2 8" xfId="6252"/>
    <cellStyle name="Input 2 9" xfId="3431"/>
    <cellStyle name="Input 20" xfId="2075"/>
    <cellStyle name="Input 20 2" xfId="6253"/>
    <cellStyle name="Input 21" xfId="2076"/>
    <cellStyle name="Input 21 2" xfId="6254"/>
    <cellStyle name="Input 22" xfId="2077"/>
    <cellStyle name="Input 23" xfId="2078"/>
    <cellStyle name="Input 24" xfId="2079"/>
    <cellStyle name="Input 25" xfId="2080"/>
    <cellStyle name="Input 26" xfId="2081"/>
    <cellStyle name="Input 27" xfId="2082"/>
    <cellStyle name="Input 28" xfId="2083"/>
    <cellStyle name="Input 29" xfId="2084"/>
    <cellStyle name="Input 3" xfId="2085"/>
    <cellStyle name="Input 3 2" xfId="2086"/>
    <cellStyle name="Input 3 2 2" xfId="2087"/>
    <cellStyle name="Input 3 2 3" xfId="2088"/>
    <cellStyle name="Input 3 2 4" xfId="6255"/>
    <cellStyle name="Input 3 3" xfId="6256"/>
    <cellStyle name="Input 3 4" xfId="6257"/>
    <cellStyle name="Input 3 5" xfId="6258"/>
    <cellStyle name="Input 3 6" xfId="6259"/>
    <cellStyle name="Input 3 7" xfId="6260"/>
    <cellStyle name="Input 3 8" xfId="3446"/>
    <cellStyle name="Input 3_Calc Data" xfId="6261"/>
    <cellStyle name="Input 30" xfId="2089"/>
    <cellStyle name="Input 31" xfId="2090"/>
    <cellStyle name="Input 32" xfId="2091"/>
    <cellStyle name="Input 33" xfId="2092"/>
    <cellStyle name="Input 34" xfId="2093"/>
    <cellStyle name="Input 35" xfId="2094"/>
    <cellStyle name="Input 36" xfId="2095"/>
    <cellStyle name="Input 37" xfId="2096"/>
    <cellStyle name="Input 38" xfId="2097"/>
    <cellStyle name="Input 4" xfId="2098"/>
    <cellStyle name="Input 4 2" xfId="2099"/>
    <cellStyle name="Input 4 2 2" xfId="2100"/>
    <cellStyle name="Input 4 2 3" xfId="2101"/>
    <cellStyle name="Input 4 2 4" xfId="6263"/>
    <cellStyle name="Input 4 3" xfId="6264"/>
    <cellStyle name="Input 4 4" xfId="6265"/>
    <cellStyle name="Input 4 5" xfId="6266"/>
    <cellStyle name="Input 4 6" xfId="6267"/>
    <cellStyle name="Input 4 7" xfId="6268"/>
    <cellStyle name="Input 4 8" xfId="6262"/>
    <cellStyle name="Input 4_Calc Data" xfId="6269"/>
    <cellStyle name="Input 5" xfId="2102"/>
    <cellStyle name="Input 5 2" xfId="2103"/>
    <cellStyle name="Input 5 2 2" xfId="2104"/>
    <cellStyle name="Input 5 2 3" xfId="2105"/>
    <cellStyle name="Input 5 2 4" xfId="6271"/>
    <cellStyle name="Input 5 3" xfId="6272"/>
    <cellStyle name="Input 5 4" xfId="6273"/>
    <cellStyle name="Input 5 5" xfId="6274"/>
    <cellStyle name="Input 5 6" xfId="6275"/>
    <cellStyle name="Input 5 7" xfId="6276"/>
    <cellStyle name="Input 5 8" xfId="6270"/>
    <cellStyle name="Input 5_Calc Data" xfId="6277"/>
    <cellStyle name="Input 6" xfId="2106"/>
    <cellStyle name="Input 6 2" xfId="2107"/>
    <cellStyle name="Input 6 2 2" xfId="2108"/>
    <cellStyle name="Input 6 2 3" xfId="2109"/>
    <cellStyle name="Input 6 2 4" xfId="6279"/>
    <cellStyle name="Input 6 3" xfId="6280"/>
    <cellStyle name="Input 6 4" xfId="6281"/>
    <cellStyle name="Input 6 5" xfId="6282"/>
    <cellStyle name="Input 6 6" xfId="6283"/>
    <cellStyle name="Input 6 7" xfId="6284"/>
    <cellStyle name="Input 6 8" xfId="6278"/>
    <cellStyle name="Input 7" xfId="2110"/>
    <cellStyle name="Input 7 2" xfId="2111"/>
    <cellStyle name="Input 7 2 2" xfId="2112"/>
    <cellStyle name="Input 7 2 3" xfId="2113"/>
    <cellStyle name="Input 7 2 4" xfId="6285"/>
    <cellStyle name="Input 7 3" xfId="6286"/>
    <cellStyle name="Input 7 4" xfId="6287"/>
    <cellStyle name="Input 7 5" xfId="6288"/>
    <cellStyle name="Input 7 6" xfId="6289"/>
    <cellStyle name="Input 7 7" xfId="6290"/>
    <cellStyle name="Input 8" xfId="2114"/>
    <cellStyle name="Input 8 2" xfId="2115"/>
    <cellStyle name="Input 8 2 2" xfId="2116"/>
    <cellStyle name="Input 8 2 3" xfId="2117"/>
    <cellStyle name="Input 8 2 4" xfId="6291"/>
    <cellStyle name="Input 8 3" xfId="6292"/>
    <cellStyle name="Input 8 4" xfId="6293"/>
    <cellStyle name="Input 8 5" xfId="6294"/>
    <cellStyle name="Input 8 6" xfId="6295"/>
    <cellStyle name="Input 8 7" xfId="6296"/>
    <cellStyle name="Input 9" xfId="2118"/>
    <cellStyle name="Input 9 2" xfId="2119"/>
    <cellStyle name="Input 9 2 2" xfId="2120"/>
    <cellStyle name="Input 9 2 3" xfId="2121"/>
    <cellStyle name="Input 9 2 4" xfId="6297"/>
    <cellStyle name="Input 9 3" xfId="6298"/>
    <cellStyle name="Input 9 4" xfId="6299"/>
    <cellStyle name="Input 9 5" xfId="6300"/>
    <cellStyle name="Input 9 6" xfId="6301"/>
    <cellStyle name="Input 9 7" xfId="6302"/>
    <cellStyle name="Input Cells" xfId="2122"/>
    <cellStyle name="Input Cells 2" xfId="6303"/>
    <cellStyle name="InputBlueFont" xfId="6304"/>
    <cellStyle name="Integer" xfId="6305"/>
    <cellStyle name="Invisible" xfId="2123"/>
    <cellStyle name="Invisible 2" xfId="2124"/>
    <cellStyle name="Invisible 2 2" xfId="2125"/>
    <cellStyle name="Item" xfId="2126"/>
    <cellStyle name="Item Descriptions" xfId="3333"/>
    <cellStyle name="Item Descriptions - Bold" xfId="3334"/>
    <cellStyle name="Item Descriptions_6079BX" xfId="3335"/>
    <cellStyle name="ItemTypeClass" xfId="2127"/>
    <cellStyle name="LEFT 7" xfId="6306"/>
    <cellStyle name="LEFT 7 2" xfId="6307"/>
    <cellStyle name="LEFT 7 SPACE2" xfId="6308"/>
    <cellStyle name="LEFT 7 SPACE2 2" xfId="6309"/>
    <cellStyle name="LEFT 7 SPACEA" xfId="6310"/>
    <cellStyle name="LEFT 7 SPACEA 2" xfId="6311"/>
    <cellStyle name="LEFT 7 SPACER" xfId="6312"/>
    <cellStyle name="LEFT 7 SPACER 2" xfId="6313"/>
    <cellStyle name="LEFT 7A" xfId="6314"/>
    <cellStyle name="LEFT 7A 2" xfId="6315"/>
    <cellStyle name="LEFT 9" xfId="6316"/>
    <cellStyle name="LEFT 9 2" xfId="6317"/>
    <cellStyle name="LEFT 9 SPACER" xfId="6318"/>
    <cellStyle name="LEFT 9 SPACER 2" xfId="6319"/>
    <cellStyle name="Line" xfId="3336"/>
    <cellStyle name="Link Currency (0)" xfId="6320"/>
    <cellStyle name="Link Currency (0) 2" xfId="6321"/>
    <cellStyle name="Link Currency (0) 3" xfId="6322"/>
    <cellStyle name="Link Currency (0) 4" xfId="6323"/>
    <cellStyle name="Link Currency (0) 5" xfId="6324"/>
    <cellStyle name="Link Currency (0) 6" xfId="6325"/>
    <cellStyle name="Link Currency (0) 7" xfId="6326"/>
    <cellStyle name="Link Currency (0) 8" xfId="6327"/>
    <cellStyle name="Link Currency (2)" xfId="6328"/>
    <cellStyle name="Link Currency (2) 2" xfId="6329"/>
    <cellStyle name="Link Currency (2) 3" xfId="6330"/>
    <cellStyle name="Link Currency (2) 4" xfId="6331"/>
    <cellStyle name="Link Currency (2) 5" xfId="6332"/>
    <cellStyle name="Link Currency (2) 6" xfId="6333"/>
    <cellStyle name="Link Currency (2) 7" xfId="6334"/>
    <cellStyle name="Link Currency (2) 8" xfId="6335"/>
    <cellStyle name="Link Units (0)" xfId="6336"/>
    <cellStyle name="Link Units (0) 2" xfId="6337"/>
    <cellStyle name="Link Units (0) 3" xfId="6338"/>
    <cellStyle name="Link Units (0) 4" xfId="6339"/>
    <cellStyle name="Link Units (0) 5" xfId="6340"/>
    <cellStyle name="Link Units (0) 6" xfId="6341"/>
    <cellStyle name="Link Units (0) 7" xfId="6342"/>
    <cellStyle name="Link Units (0) 8" xfId="6343"/>
    <cellStyle name="Link Units (1)" xfId="6344"/>
    <cellStyle name="Link Units (1) 2" xfId="6345"/>
    <cellStyle name="Link Units (1) 3" xfId="6346"/>
    <cellStyle name="Link Units (1) 4" xfId="6347"/>
    <cellStyle name="Link Units (1) 5" xfId="6348"/>
    <cellStyle name="Link Units (1) 6" xfId="6349"/>
    <cellStyle name="Link Units (1) 7" xfId="6350"/>
    <cellStyle name="Link Units (1) 8" xfId="6351"/>
    <cellStyle name="Link Units (2)" xfId="6352"/>
    <cellStyle name="Link Units (2) 2" xfId="6353"/>
    <cellStyle name="Link Units (2) 3" xfId="6354"/>
    <cellStyle name="Link Units (2) 4" xfId="6355"/>
    <cellStyle name="Link Units (2) 5" xfId="6356"/>
    <cellStyle name="Link Units (2) 6" xfId="6357"/>
    <cellStyle name="Link Units (2) 7" xfId="6358"/>
    <cellStyle name="Link Units (2) 8" xfId="6359"/>
    <cellStyle name="Linked Cell" xfId="3276" builtinId="24" customBuiltin="1"/>
    <cellStyle name="Linked Cell 10" xfId="2128"/>
    <cellStyle name="Linked Cell 10 2" xfId="2129"/>
    <cellStyle name="Linked Cell 10 2 2" xfId="6360"/>
    <cellStyle name="Linked Cell 10 2 3" xfId="7653"/>
    <cellStyle name="Linked Cell 10 3" xfId="6361"/>
    <cellStyle name="Linked Cell 10 4" xfId="6362"/>
    <cellStyle name="Linked Cell 10 5" xfId="6363"/>
    <cellStyle name="Linked Cell 10 6" xfId="6364"/>
    <cellStyle name="Linked Cell 10 7" xfId="6365"/>
    <cellStyle name="Linked Cell 11" xfId="2130"/>
    <cellStyle name="Linked Cell 11 2" xfId="2131"/>
    <cellStyle name="Linked Cell 11 2 2" xfId="6366"/>
    <cellStyle name="Linked Cell 11 2 3" xfId="7654"/>
    <cellStyle name="Linked Cell 11 3" xfId="6367"/>
    <cellStyle name="Linked Cell 11 4" xfId="6368"/>
    <cellStyle name="Linked Cell 11 5" xfId="6369"/>
    <cellStyle name="Linked Cell 11 6" xfId="6370"/>
    <cellStyle name="Linked Cell 11 7" xfId="6371"/>
    <cellStyle name="Linked Cell 12" xfId="2132"/>
    <cellStyle name="Linked Cell 12 2" xfId="2133"/>
    <cellStyle name="Linked Cell 12 2 2" xfId="6372"/>
    <cellStyle name="Linked Cell 12 2 3" xfId="7655"/>
    <cellStyle name="Linked Cell 12 3" xfId="6373"/>
    <cellStyle name="Linked Cell 12 4" xfId="6374"/>
    <cellStyle name="Linked Cell 12 5" xfId="6375"/>
    <cellStyle name="Linked Cell 12 6" xfId="6376"/>
    <cellStyle name="Linked Cell 12 7" xfId="6377"/>
    <cellStyle name="Linked Cell 13" xfId="2134"/>
    <cellStyle name="Linked Cell 13 2" xfId="6378"/>
    <cellStyle name="Linked Cell 14 2" xfId="6379"/>
    <cellStyle name="Linked Cell 15 2" xfId="6380"/>
    <cellStyle name="Linked Cell 16 2" xfId="6381"/>
    <cellStyle name="Linked Cell 17 2" xfId="6382"/>
    <cellStyle name="Linked Cell 18 2" xfId="6383"/>
    <cellStyle name="Linked Cell 19 2" xfId="6384"/>
    <cellStyle name="Linked Cell 2" xfId="2135"/>
    <cellStyle name="Linked Cell 2 2" xfId="2136"/>
    <cellStyle name="Linked Cell 2 2 2" xfId="2137"/>
    <cellStyle name="Linked Cell 2 2 2 2" xfId="7656"/>
    <cellStyle name="Linked Cell 2 2 3" xfId="6385"/>
    <cellStyle name="Linked Cell 2 3" xfId="2138"/>
    <cellStyle name="Linked Cell 2 3 2" xfId="6386"/>
    <cellStyle name="Linked Cell 2 3 3" xfId="7657"/>
    <cellStyle name="Linked Cell 2 4" xfId="6387"/>
    <cellStyle name="Linked Cell 2 5" xfId="6388"/>
    <cellStyle name="Linked Cell 2 6" xfId="6389"/>
    <cellStyle name="Linked Cell 2 7" xfId="6390"/>
    <cellStyle name="Linked Cell 2 8" xfId="3425"/>
    <cellStyle name="Linked Cell 20 2" xfId="6391"/>
    <cellStyle name="Linked Cell 21 2" xfId="6392"/>
    <cellStyle name="Linked Cell 3" xfId="2139"/>
    <cellStyle name="Linked Cell 3 2" xfId="2140"/>
    <cellStyle name="Linked Cell 3 2 2" xfId="6393"/>
    <cellStyle name="Linked Cell 3 2 3" xfId="7658"/>
    <cellStyle name="Linked Cell 3 3" xfId="6394"/>
    <cellStyle name="Linked Cell 3 4" xfId="6395"/>
    <cellStyle name="Linked Cell 3 5" xfId="6396"/>
    <cellStyle name="Linked Cell 3 6" xfId="6397"/>
    <cellStyle name="Linked Cell 3 7" xfId="6398"/>
    <cellStyle name="Linked Cell 4" xfId="2141"/>
    <cellStyle name="Linked Cell 4 2" xfId="2142"/>
    <cellStyle name="Linked Cell 4 2 2" xfId="6400"/>
    <cellStyle name="Linked Cell 4 2 3" xfId="7659"/>
    <cellStyle name="Linked Cell 4 3" xfId="6401"/>
    <cellStyle name="Linked Cell 4 4" xfId="6402"/>
    <cellStyle name="Linked Cell 4 5" xfId="6403"/>
    <cellStyle name="Linked Cell 4 6" xfId="6404"/>
    <cellStyle name="Linked Cell 4 7" xfId="6405"/>
    <cellStyle name="Linked Cell 4 8" xfId="6399"/>
    <cellStyle name="Linked Cell 5" xfId="2143"/>
    <cellStyle name="Linked Cell 5 2" xfId="2144"/>
    <cellStyle name="Linked Cell 5 2 2" xfId="6407"/>
    <cellStyle name="Linked Cell 5 2 3" xfId="7660"/>
    <cellStyle name="Linked Cell 5 3" xfId="6408"/>
    <cellStyle name="Linked Cell 5 4" xfId="6409"/>
    <cellStyle name="Linked Cell 5 5" xfId="6410"/>
    <cellStyle name="Linked Cell 5 6" xfId="6411"/>
    <cellStyle name="Linked Cell 5 7" xfId="6412"/>
    <cellStyle name="Linked Cell 5 8" xfId="6406"/>
    <cellStyle name="Linked Cell 6" xfId="2145"/>
    <cellStyle name="Linked Cell 6 2" xfId="2146"/>
    <cellStyle name="Linked Cell 6 2 2" xfId="6413"/>
    <cellStyle name="Linked Cell 6 2 3" xfId="7661"/>
    <cellStyle name="Linked Cell 6 3" xfId="6414"/>
    <cellStyle name="Linked Cell 6 4" xfId="6415"/>
    <cellStyle name="Linked Cell 6 5" xfId="6416"/>
    <cellStyle name="Linked Cell 6 6" xfId="6417"/>
    <cellStyle name="Linked Cell 6 7" xfId="6418"/>
    <cellStyle name="Linked Cell 7" xfId="2147"/>
    <cellStyle name="Linked Cell 7 2" xfId="2148"/>
    <cellStyle name="Linked Cell 7 2 2" xfId="6419"/>
    <cellStyle name="Linked Cell 7 2 3" xfId="7662"/>
    <cellStyle name="Linked Cell 7 3" xfId="6420"/>
    <cellStyle name="Linked Cell 7 4" xfId="6421"/>
    <cellStyle name="Linked Cell 7 5" xfId="6422"/>
    <cellStyle name="Linked Cell 7 6" xfId="6423"/>
    <cellStyle name="Linked Cell 7 7" xfId="6424"/>
    <cellStyle name="Linked Cell 8" xfId="2149"/>
    <cellStyle name="Linked Cell 8 2" xfId="2150"/>
    <cellStyle name="Linked Cell 8 2 2" xfId="6425"/>
    <cellStyle name="Linked Cell 8 2 3" xfId="7663"/>
    <cellStyle name="Linked Cell 8 3" xfId="6426"/>
    <cellStyle name="Linked Cell 8 4" xfId="6427"/>
    <cellStyle name="Linked Cell 8 5" xfId="6428"/>
    <cellStyle name="Linked Cell 8 6" xfId="6429"/>
    <cellStyle name="Linked Cell 8 7" xfId="6430"/>
    <cellStyle name="Linked Cell 9" xfId="2151"/>
    <cellStyle name="Linked Cell 9 2" xfId="2152"/>
    <cellStyle name="Linked Cell 9 2 2" xfId="6431"/>
    <cellStyle name="Linked Cell 9 2 3" xfId="7664"/>
    <cellStyle name="Linked Cell 9 3" xfId="6432"/>
    <cellStyle name="Linked Cell 9 4" xfId="6433"/>
    <cellStyle name="Linked Cell 9 5" xfId="6434"/>
    <cellStyle name="Linked Cell 9 6" xfId="6435"/>
    <cellStyle name="Linked Cell 9 7" xfId="6436"/>
    <cellStyle name="Mainhead" xfId="2153"/>
    <cellStyle name="Milliers [0]_!!!GO" xfId="6437"/>
    <cellStyle name="Milliers_!!!GO" xfId="6438"/>
    <cellStyle name="MLComma0" xfId="3337"/>
    <cellStyle name="Model" xfId="2154"/>
    <cellStyle name="Model 2" xfId="6439"/>
    <cellStyle name="Models" xfId="2155"/>
    <cellStyle name="Monétaire [0]_!!!GO" xfId="6440"/>
    <cellStyle name="Monétaire_!!!GO" xfId="6441"/>
    <cellStyle name="Monitor" xfId="2156"/>
    <cellStyle name="Monitor 2" xfId="2157"/>
    <cellStyle name="MonthYears" xfId="6442"/>
    <cellStyle name="Multiple" xfId="2158"/>
    <cellStyle name="Multiple 2" xfId="6444"/>
    <cellStyle name="Multiple 3" xfId="6445"/>
    <cellStyle name="Multiple 4" xfId="6446"/>
    <cellStyle name="Multiple 5" xfId="6447"/>
    <cellStyle name="Multiple 6" xfId="6448"/>
    <cellStyle name="Multiple 7" xfId="6449"/>
    <cellStyle name="Multiple 8" xfId="6450"/>
    <cellStyle name="Multiple 9" xfId="6443"/>
    <cellStyle name="multiple0" xfId="3338"/>
    <cellStyle name="multiple1" xfId="3339"/>
    <cellStyle name="Neutral" xfId="3272" builtinId="28" customBuiltin="1"/>
    <cellStyle name="Neutral 10" xfId="2159"/>
    <cellStyle name="Neutral 10 2" xfId="2160"/>
    <cellStyle name="Neutral 10 2 2" xfId="6451"/>
    <cellStyle name="Neutral 10 3" xfId="2161"/>
    <cellStyle name="Neutral 10 3 2" xfId="6452"/>
    <cellStyle name="Neutral 10 4" xfId="6453"/>
    <cellStyle name="Neutral 10 5" xfId="6454"/>
    <cellStyle name="Neutral 10 6" xfId="6455"/>
    <cellStyle name="Neutral 10 7" xfId="6456"/>
    <cellStyle name="Neutral 11" xfId="2162"/>
    <cellStyle name="Neutral 11 2" xfId="2163"/>
    <cellStyle name="Neutral 11 2 2" xfId="6457"/>
    <cellStyle name="Neutral 11 3" xfId="2164"/>
    <cellStyle name="Neutral 11 3 2" xfId="6458"/>
    <cellStyle name="Neutral 11 4" xfId="6459"/>
    <cellStyle name="Neutral 11 5" xfId="6460"/>
    <cellStyle name="Neutral 11 6" xfId="6461"/>
    <cellStyle name="Neutral 11 7" xfId="6462"/>
    <cellStyle name="Neutral 12" xfId="2165"/>
    <cellStyle name="Neutral 12 2" xfId="2166"/>
    <cellStyle name="Neutral 12 2 2" xfId="6463"/>
    <cellStyle name="Neutral 12 3" xfId="2167"/>
    <cellStyle name="Neutral 12 3 2" xfId="6464"/>
    <cellStyle name="Neutral 12 4" xfId="6465"/>
    <cellStyle name="Neutral 12 5" xfId="6466"/>
    <cellStyle name="Neutral 12 6" xfId="6467"/>
    <cellStyle name="Neutral 12 7" xfId="6468"/>
    <cellStyle name="Neutral 13" xfId="2168"/>
    <cellStyle name="Neutral 13 2" xfId="6469"/>
    <cellStyle name="Neutral 14" xfId="2169"/>
    <cellStyle name="Neutral 14 2" xfId="6470"/>
    <cellStyle name="Neutral 15 2" xfId="6471"/>
    <cellStyle name="Neutral 16 2" xfId="6472"/>
    <cellStyle name="Neutral 17 2" xfId="6473"/>
    <cellStyle name="Neutral 18 2" xfId="6474"/>
    <cellStyle name="Neutral 19 2" xfId="6475"/>
    <cellStyle name="Neutral 2" xfId="2170"/>
    <cellStyle name="Neutral 2 2" xfId="2171"/>
    <cellStyle name="Neutral 2 2 2" xfId="2172"/>
    <cellStyle name="Neutral 2 2 3" xfId="2173"/>
    <cellStyle name="Neutral 2 2 4" xfId="6476"/>
    <cellStyle name="Neutral 2 3" xfId="2174"/>
    <cellStyle name="Neutral 2 3 2" xfId="6477"/>
    <cellStyle name="Neutral 2 4" xfId="2175"/>
    <cellStyle name="Neutral 2 4 2" xfId="6478"/>
    <cellStyle name="Neutral 2 5" xfId="6479"/>
    <cellStyle name="Neutral 2 6" xfId="6480"/>
    <cellStyle name="Neutral 2 7" xfId="6481"/>
    <cellStyle name="Neutral 2 8" xfId="3433"/>
    <cellStyle name="Neutral 20 2" xfId="6482"/>
    <cellStyle name="Neutral 21 2" xfId="6483"/>
    <cellStyle name="Neutral 3" xfId="2176"/>
    <cellStyle name="Neutral 3 2" xfId="2177"/>
    <cellStyle name="Neutral 3 2 2" xfId="6484"/>
    <cellStyle name="Neutral 3 3" xfId="2178"/>
    <cellStyle name="Neutral 3 3 2" xfId="6485"/>
    <cellStyle name="Neutral 3 4" xfId="6486"/>
    <cellStyle name="Neutral 3 5" xfId="6487"/>
    <cellStyle name="Neutral 3 6" xfId="6488"/>
    <cellStyle name="Neutral 3 7" xfId="6489"/>
    <cellStyle name="Neutral 3 8" xfId="3401"/>
    <cellStyle name="Neutral 4" xfId="2179"/>
    <cellStyle name="Neutral 4 2" xfId="2180"/>
    <cellStyle name="Neutral 4 2 2" xfId="6491"/>
    <cellStyle name="Neutral 4 3" xfId="2181"/>
    <cellStyle name="Neutral 4 3 2" xfId="6492"/>
    <cellStyle name="Neutral 4 4" xfId="6493"/>
    <cellStyle name="Neutral 4 5" xfId="6494"/>
    <cellStyle name="Neutral 4 6" xfId="6495"/>
    <cellStyle name="Neutral 4 7" xfId="6496"/>
    <cellStyle name="Neutral 4 8" xfId="6490"/>
    <cellStyle name="Neutral 5" xfId="2182"/>
    <cellStyle name="Neutral 5 2" xfId="2183"/>
    <cellStyle name="Neutral 5 2 2" xfId="6498"/>
    <cellStyle name="Neutral 5 3" xfId="2184"/>
    <cellStyle name="Neutral 5 3 2" xfId="6499"/>
    <cellStyle name="Neutral 5 4" xfId="6500"/>
    <cellStyle name="Neutral 5 5" xfId="6501"/>
    <cellStyle name="Neutral 5 6" xfId="6502"/>
    <cellStyle name="Neutral 5 7" xfId="6503"/>
    <cellStyle name="Neutral 5 8" xfId="6497"/>
    <cellStyle name="Neutral 6" xfId="2185"/>
    <cellStyle name="Neutral 6 2" xfId="2186"/>
    <cellStyle name="Neutral 6 2 2" xfId="6504"/>
    <cellStyle name="Neutral 6 3" xfId="2187"/>
    <cellStyle name="Neutral 6 3 2" xfId="6505"/>
    <cellStyle name="Neutral 6 4" xfId="6506"/>
    <cellStyle name="Neutral 6 5" xfId="6507"/>
    <cellStyle name="Neutral 6 6" xfId="6508"/>
    <cellStyle name="Neutral 6 7" xfId="6509"/>
    <cellStyle name="Neutral 7" xfId="2188"/>
    <cellStyle name="Neutral 7 2" xfId="2189"/>
    <cellStyle name="Neutral 7 2 2" xfId="6510"/>
    <cellStyle name="Neutral 7 3" xfId="2190"/>
    <cellStyle name="Neutral 7 3 2" xfId="6511"/>
    <cellStyle name="Neutral 7 4" xfId="6512"/>
    <cellStyle name="Neutral 7 5" xfId="6513"/>
    <cellStyle name="Neutral 7 6" xfId="6514"/>
    <cellStyle name="Neutral 7 7" xfId="6515"/>
    <cellStyle name="Neutral 8" xfId="2191"/>
    <cellStyle name="Neutral 8 2" xfId="2192"/>
    <cellStyle name="Neutral 8 2 2" xfId="6516"/>
    <cellStyle name="Neutral 8 3" xfId="2193"/>
    <cellStyle name="Neutral 8 3 2" xfId="6517"/>
    <cellStyle name="Neutral 8 4" xfId="6518"/>
    <cellStyle name="Neutral 8 5" xfId="6519"/>
    <cellStyle name="Neutral 8 6" xfId="6520"/>
    <cellStyle name="Neutral 8 7" xfId="6521"/>
    <cellStyle name="Neutral 9" xfId="2194"/>
    <cellStyle name="Neutral 9 2" xfId="2195"/>
    <cellStyle name="Neutral 9 2 2" xfId="6522"/>
    <cellStyle name="Neutral 9 3" xfId="2196"/>
    <cellStyle name="Neutral 9 3 2" xfId="6523"/>
    <cellStyle name="Neutral 9 4" xfId="6524"/>
    <cellStyle name="Neutral 9 5" xfId="6525"/>
    <cellStyle name="Neutral 9 6" xfId="6526"/>
    <cellStyle name="Neutral 9 7" xfId="6527"/>
    <cellStyle name="NewColumnHeaderNormal" xfId="2197"/>
    <cellStyle name="NewColumnHeaderNormal 2" xfId="2198"/>
    <cellStyle name="NewSectionHeaderNormal" xfId="2199"/>
    <cellStyle name="NewSectionHeaderNormal 2" xfId="2200"/>
    <cellStyle name="NewTitleNormal" xfId="2201"/>
    <cellStyle name="NewTitleNormal 2" xfId="2202"/>
    <cellStyle name="no dec" xfId="6528"/>
    <cellStyle name="no dec 2" xfId="6529"/>
    <cellStyle name="Normal" xfId="0" builtinId="0"/>
    <cellStyle name="Normal - Style1" xfId="2203"/>
    <cellStyle name="Normal 10" xfId="2204"/>
    <cellStyle name="Normal 10 2" xfId="6530"/>
    <cellStyle name="Normal 10 3" xfId="6531"/>
    <cellStyle name="Normal 10 4" xfId="6532"/>
    <cellStyle name="Normal 10 5" xfId="6533"/>
    <cellStyle name="Normal 10 6" xfId="6534"/>
    <cellStyle name="Normal 10 7" xfId="6535"/>
    <cellStyle name="Normal 11" xfId="2205"/>
    <cellStyle name="Normal 11 2" xfId="6536"/>
    <cellStyle name="Normal 11 3" xfId="6537"/>
    <cellStyle name="Normal 11 4" xfId="6538"/>
    <cellStyle name="Normal 11 5" xfId="6539"/>
    <cellStyle name="Normal 11 6" xfId="6540"/>
    <cellStyle name="Normal 12" xfId="2206"/>
    <cellStyle name="Normal 12 2" xfId="6541"/>
    <cellStyle name="Normal 12 3" xfId="6542"/>
    <cellStyle name="Normal 12 4" xfId="6543"/>
    <cellStyle name="Normal 12 5" xfId="6544"/>
    <cellStyle name="Normal 12 6" xfId="6545"/>
    <cellStyle name="Normal 13" xfId="2207"/>
    <cellStyle name="Normal 13 2" xfId="6546"/>
    <cellStyle name="Normal 13 3" xfId="6547"/>
    <cellStyle name="Normal 13 4" xfId="6548"/>
    <cellStyle name="Normal 13 5" xfId="6549"/>
    <cellStyle name="Normal 13 6" xfId="6550"/>
    <cellStyle name="Normal 13_Calc Data" xfId="6551"/>
    <cellStyle name="Normal 14" xfId="2208"/>
    <cellStyle name="Normal 14 2" xfId="6552"/>
    <cellStyle name="Normal 14 3" xfId="6553"/>
    <cellStyle name="Normal 14 4" xfId="6554"/>
    <cellStyle name="Normal 14 5" xfId="6555"/>
    <cellStyle name="Normal 14 6" xfId="6556"/>
    <cellStyle name="Normal 15" xfId="2209"/>
    <cellStyle name="Normal 15 2" xfId="6557"/>
    <cellStyle name="Normal 15 3" xfId="6558"/>
    <cellStyle name="Normal 15 4" xfId="6559"/>
    <cellStyle name="Normal 15 5" xfId="6560"/>
    <cellStyle name="Normal 15 6" xfId="6561"/>
    <cellStyle name="Normal 16" xfId="2210"/>
    <cellStyle name="Normal 16 2" xfId="3471"/>
    <cellStyle name="Normal 16 3" xfId="6562"/>
    <cellStyle name="Normal 16 4" xfId="6563"/>
    <cellStyle name="Normal 16 5" xfId="6564"/>
    <cellStyle name="Normal 16 6" xfId="6565"/>
    <cellStyle name="Normal 17" xfId="2211"/>
    <cellStyle name="Normal 17 2" xfId="3472"/>
    <cellStyle name="Normal 17 3" xfId="6566"/>
    <cellStyle name="Normal 17 4" xfId="6567"/>
    <cellStyle name="Normal 17 5" xfId="6568"/>
    <cellStyle name="Normal 17 6" xfId="6569"/>
    <cellStyle name="Normal 18" xfId="2212"/>
    <cellStyle name="Normal 18 2" xfId="3474"/>
    <cellStyle name="Normal 18 3" xfId="6570"/>
    <cellStyle name="Normal 18 4" xfId="6571"/>
    <cellStyle name="Normal 18 5" xfId="6572"/>
    <cellStyle name="Normal 18 6" xfId="6573"/>
    <cellStyle name="Normal 19" xfId="2213"/>
    <cellStyle name="Normal 19 2" xfId="3473"/>
    <cellStyle name="Normal 19 3" xfId="7775"/>
    <cellStyle name="Normal 2" xfId="2214"/>
    <cellStyle name="Normal 2 10" xfId="2215"/>
    <cellStyle name="Normal 2 11" xfId="2216"/>
    <cellStyle name="Normal 2 12" xfId="2217"/>
    <cellStyle name="Normal 2 13" xfId="2218"/>
    <cellStyle name="Normal 2 14" xfId="2219"/>
    <cellStyle name="Normal 2 15" xfId="2220"/>
    <cellStyle name="Normal 2 16" xfId="2221"/>
    <cellStyle name="Normal 2 17" xfId="2222"/>
    <cellStyle name="Normal 2 18" xfId="2223"/>
    <cellStyle name="Normal 2 19" xfId="2224"/>
    <cellStyle name="Normal 2 2" xfId="2225"/>
    <cellStyle name="Normal 2 2 2" xfId="3370"/>
    <cellStyle name="Normal 2 2 3" xfId="3371"/>
    <cellStyle name="Normal 2 2 4" xfId="7728"/>
    <cellStyle name="Normal 2 20" xfId="2226"/>
    <cellStyle name="Normal 2 21" xfId="2227"/>
    <cellStyle name="Normal 2 22" xfId="2228"/>
    <cellStyle name="Normal 2 23" xfId="2229"/>
    <cellStyle name="Normal 2 24" xfId="2230"/>
    <cellStyle name="Normal 2 25" xfId="2231"/>
    <cellStyle name="Normal 2 26" xfId="2232"/>
    <cellStyle name="Normal 2 3" xfId="2233"/>
    <cellStyle name="Normal 2 4" xfId="2234"/>
    <cellStyle name="Normal 2 5" xfId="2235"/>
    <cellStyle name="Normal 2 6" xfId="2236"/>
    <cellStyle name="Normal 2 7" xfId="2237"/>
    <cellStyle name="Normal 2 7 2" xfId="6574"/>
    <cellStyle name="Normal 2 8" xfId="2238"/>
    <cellStyle name="Normal 2 9" xfId="2239"/>
    <cellStyle name="Normal 2_Calc Data" xfId="6575"/>
    <cellStyle name="Normal 20" xfId="2240"/>
    <cellStyle name="Normal 20 2" xfId="3484"/>
    <cellStyle name="Normal 20 2 2" xfId="7781"/>
    <cellStyle name="Normal 20 3" xfId="3504"/>
    <cellStyle name="Normal 21" xfId="2241"/>
    <cellStyle name="Normal 21 2" xfId="3480"/>
    <cellStyle name="Normal 21 2 2" xfId="7780"/>
    <cellStyle name="Normal 21 3" xfId="3500"/>
    <cellStyle name="Normal 22" xfId="2242"/>
    <cellStyle name="Normal 22 2" xfId="3485"/>
    <cellStyle name="Normal 22 2 2" xfId="7782"/>
    <cellStyle name="Normal 22 3" xfId="3501"/>
    <cellStyle name="Normal 23" xfId="2243"/>
    <cellStyle name="Normal 23 2" xfId="3477"/>
    <cellStyle name="Normal 23 3" xfId="7778"/>
    <cellStyle name="Normal 24" xfId="2244"/>
    <cellStyle name="Normal 24 2" xfId="3509"/>
    <cellStyle name="Normal 25" xfId="2245"/>
    <cellStyle name="Normal 25 2" xfId="3514"/>
    <cellStyle name="Normal 26" xfId="2246"/>
    <cellStyle name="Normal 27" xfId="2247"/>
    <cellStyle name="Normal 28" xfId="2248"/>
    <cellStyle name="Normal 29" xfId="2249"/>
    <cellStyle name="Normal 3" xfId="2250"/>
    <cellStyle name="Normal 3 10" xfId="2251"/>
    <cellStyle name="Normal 3 11" xfId="2252"/>
    <cellStyle name="Normal 3 12" xfId="2253"/>
    <cellStyle name="Normal 3 13" xfId="2254"/>
    <cellStyle name="Normal 3 14" xfId="2255"/>
    <cellStyle name="Normal 3 15" xfId="2256"/>
    <cellStyle name="Normal 3 16" xfId="2257"/>
    <cellStyle name="Normal 3 17" xfId="2258"/>
    <cellStyle name="Normal 3 18" xfId="2259"/>
    <cellStyle name="Normal 3 19" xfId="2260"/>
    <cellStyle name="Normal 3 2" xfId="2261"/>
    <cellStyle name="Normal 3 2 2" xfId="6576"/>
    <cellStyle name="Normal 3 20" xfId="2262"/>
    <cellStyle name="Normal 3 21" xfId="2263"/>
    <cellStyle name="Normal 3 22" xfId="2264"/>
    <cellStyle name="Normal 3 23" xfId="2265"/>
    <cellStyle name="Normal 3 24" xfId="2266"/>
    <cellStyle name="Normal 3 25" xfId="2267"/>
    <cellStyle name="Normal 3 26" xfId="2268"/>
    <cellStyle name="Normal 3 26 2" xfId="7665"/>
    <cellStyle name="Normal 3 3" xfId="2269"/>
    <cellStyle name="Normal 3 4" xfId="2270"/>
    <cellStyle name="Normal 3 5" xfId="2271"/>
    <cellStyle name="Normal 3 6" xfId="2272"/>
    <cellStyle name="Normal 3 7" xfId="2273"/>
    <cellStyle name="Normal 3 8" xfId="2274"/>
    <cellStyle name="Normal 3 9" xfId="2275"/>
    <cellStyle name="Normal 30" xfId="2276"/>
    <cellStyle name="Normal 31" xfId="2277"/>
    <cellStyle name="Normal 32" xfId="2278"/>
    <cellStyle name="Normal 33" xfId="2279"/>
    <cellStyle name="Normal 34" xfId="2280"/>
    <cellStyle name="Normal 35" xfId="2281"/>
    <cellStyle name="Normal 36" xfId="2282"/>
    <cellStyle name="Normal 37" xfId="2283"/>
    <cellStyle name="Normal 38" xfId="2284"/>
    <cellStyle name="Normal 39" xfId="2285"/>
    <cellStyle name="Normal 4" xfId="2286"/>
    <cellStyle name="Normal 4 2" xfId="2287"/>
    <cellStyle name="Normal 4 2 2" xfId="3406"/>
    <cellStyle name="Normal 4 2 3" xfId="7749"/>
    <cellStyle name="Normal 4 3" xfId="3457"/>
    <cellStyle name="Normal 4 4" xfId="3340"/>
    <cellStyle name="Normal 4 5" xfId="7666"/>
    <cellStyle name="Normal 4_Calc Data" xfId="6577"/>
    <cellStyle name="Normal 40" xfId="2288"/>
    <cellStyle name="Normal 41" xfId="2289"/>
    <cellStyle name="Normal 42" xfId="2290"/>
    <cellStyle name="Normal 43" xfId="2291"/>
    <cellStyle name="Normal 44" xfId="2292"/>
    <cellStyle name="Normal 44 2" xfId="7667"/>
    <cellStyle name="Normal 45" xfId="2293"/>
    <cellStyle name="Normal 46" xfId="2294"/>
    <cellStyle name="Normal 47" xfId="2295"/>
    <cellStyle name="Normal 48" xfId="2296"/>
    <cellStyle name="Normal 49" xfId="2297"/>
    <cellStyle name="Normal 5" xfId="2298"/>
    <cellStyle name="Normal 5 2" xfId="2299"/>
    <cellStyle name="Normal 5 3" xfId="6578"/>
    <cellStyle name="Normal 5 4" xfId="6579"/>
    <cellStyle name="Normal 5 5" xfId="6580"/>
    <cellStyle name="Normal 5 6" xfId="6581"/>
    <cellStyle name="Normal 5 7" xfId="6582"/>
    <cellStyle name="Normal 5 8" xfId="3341"/>
    <cellStyle name="Normal 5_Calc Data" xfId="6583"/>
    <cellStyle name="Normal 50" xfId="2300"/>
    <cellStyle name="Normal 50 2" xfId="7668"/>
    <cellStyle name="Normal 51" xfId="2301"/>
    <cellStyle name="Normal 51 2" xfId="7669"/>
    <cellStyle name="Normal 52" xfId="2302"/>
    <cellStyle name="Normal 52 2" xfId="7670"/>
    <cellStyle name="Normal 53" xfId="2303"/>
    <cellStyle name="Normal 53 2" xfId="7671"/>
    <cellStyle name="Normal 54" xfId="2304"/>
    <cellStyle name="Normal 54 2" xfId="7672"/>
    <cellStyle name="Normal 55" xfId="2305"/>
    <cellStyle name="Normal 56" xfId="2306"/>
    <cellStyle name="Normal 57" xfId="2307"/>
    <cellStyle name="Normal 58" xfId="2308"/>
    <cellStyle name="Normal 59" xfId="2309"/>
    <cellStyle name="Normal 6" xfId="2310"/>
    <cellStyle name="Normal 6 2" xfId="6584"/>
    <cellStyle name="Normal 6 3" xfId="6585"/>
    <cellStyle name="Normal 6 4" xfId="6586"/>
    <cellStyle name="Normal 6 5" xfId="6587"/>
    <cellStyle name="Normal 6 6" xfId="6588"/>
    <cellStyle name="Normal 6 7" xfId="6589"/>
    <cellStyle name="Normal 6_Calc Data" xfId="6590"/>
    <cellStyle name="Normal 60" xfId="2311"/>
    <cellStyle name="Normal 61" xfId="2312"/>
    <cellStyle name="Normal 62" xfId="2313"/>
    <cellStyle name="Normal 63" xfId="2314"/>
    <cellStyle name="Normal 64" xfId="2315"/>
    <cellStyle name="Normal 65" xfId="2316"/>
    <cellStyle name="Normal 66" xfId="2317"/>
    <cellStyle name="Normal 67" xfId="2318"/>
    <cellStyle name="Normal 68" xfId="2319"/>
    <cellStyle name="Normal 69" xfId="2320"/>
    <cellStyle name="Normal 7" xfId="2321"/>
    <cellStyle name="Normal 7 2" xfId="2322"/>
    <cellStyle name="Normal 7_Calc Data" xfId="6591"/>
    <cellStyle name="Normal 70" xfId="2323"/>
    <cellStyle name="Normal 71" xfId="3304"/>
    <cellStyle name="Normal 72" xfId="7158"/>
    <cellStyle name="Normal 73" xfId="7712"/>
    <cellStyle name="Normal 74" xfId="7819"/>
    <cellStyle name="Normal 8" xfId="2324"/>
    <cellStyle name="Normal 8 2" xfId="2325"/>
    <cellStyle name="Normal 8_Calc Data" xfId="6592"/>
    <cellStyle name="Normal 9" xfId="2326"/>
    <cellStyle name="Normal 9 2" xfId="6593"/>
    <cellStyle name="Normal 9 3" xfId="6594"/>
    <cellStyle name="Normal 9 4" xfId="6595"/>
    <cellStyle name="Normal 9 5" xfId="6596"/>
    <cellStyle name="Normal 9 6" xfId="6597"/>
    <cellStyle name="Normal 9 7" xfId="6598"/>
    <cellStyle name="Normal Bold" xfId="6599"/>
    <cellStyle name="Normal Cells" xfId="2327"/>
    <cellStyle name="Normal Cells 2" xfId="6600"/>
    <cellStyle name="Normal- Enter (1)" xfId="6601"/>
    <cellStyle name="Normal- Enter (1) 2" xfId="6602"/>
    <cellStyle name="Normal- Enter (1) 3" xfId="6603"/>
    <cellStyle name="Normal- Enter (1) 4" xfId="6604"/>
    <cellStyle name="Normal- Enter (1) 5" xfId="6605"/>
    <cellStyle name="Normal- Enter (1) 6" xfId="6606"/>
    <cellStyle name="Normal_CapitalIQ_Template - CIQ" xfId="2328"/>
    <cellStyle name="Normal_Syngenta AG SWX SYNN Financials(1)" xfId="2329"/>
    <cellStyle name="normal1" xfId="3342"/>
    <cellStyle name="Normal-Entry" xfId="6607"/>
    <cellStyle name="NormalGB" xfId="6608"/>
    <cellStyle name="Normal-Input(1)" xfId="6609"/>
    <cellStyle name="Normal-Input(1) 2" xfId="7815"/>
    <cellStyle name="Note 10" xfId="2330"/>
    <cellStyle name="Note 10 2" xfId="2331"/>
    <cellStyle name="Note 10 2 2" xfId="2332"/>
    <cellStyle name="Note 10 2 2 2" xfId="6611"/>
    <cellStyle name="Note 10 2 3" xfId="2333"/>
    <cellStyle name="Note 10 2 3 2" xfId="6612"/>
    <cellStyle name="Note 10 2 4" xfId="6610"/>
    <cellStyle name="Note 10 3" xfId="2334"/>
    <cellStyle name="Note 10 3 2" xfId="2335"/>
    <cellStyle name="Note 10 3 2 2" xfId="6614"/>
    <cellStyle name="Note 10 3 3" xfId="2336"/>
    <cellStyle name="Note 10 3 3 2" xfId="6615"/>
    <cellStyle name="Note 10 3 4" xfId="6613"/>
    <cellStyle name="Note 10 4" xfId="2337"/>
    <cellStyle name="Note 10 4 2" xfId="2338"/>
    <cellStyle name="Note 10 4 2 2" xfId="6617"/>
    <cellStyle name="Note 10 4 3" xfId="2339"/>
    <cellStyle name="Note 10 4 3 2" xfId="6618"/>
    <cellStyle name="Note 10 4 4" xfId="6616"/>
    <cellStyle name="Note 10 5" xfId="2340"/>
    <cellStyle name="Note 10 5 2" xfId="2341"/>
    <cellStyle name="Note 10 5 2 2" xfId="6620"/>
    <cellStyle name="Note 10 5 3" xfId="2342"/>
    <cellStyle name="Note 10 5 3 2" xfId="6621"/>
    <cellStyle name="Note 10 5 4" xfId="6619"/>
    <cellStyle name="Note 10 6" xfId="2343"/>
    <cellStyle name="Note 10 6 2" xfId="6623"/>
    <cellStyle name="Note 10 6 3" xfId="6624"/>
    <cellStyle name="Note 10 6 4" xfId="6622"/>
    <cellStyle name="Note 10 7" xfId="6625"/>
    <cellStyle name="Note 10 7 2" xfId="6626"/>
    <cellStyle name="Note 10 7 3" xfId="6627"/>
    <cellStyle name="Note 10 8" xfId="6628"/>
    <cellStyle name="Note 10 8 2" xfId="6629"/>
    <cellStyle name="Note 10 8 3" xfId="6630"/>
    <cellStyle name="Note 10 9" xfId="6631"/>
    <cellStyle name="Note 10 9 2" xfId="6632"/>
    <cellStyle name="Note 10 9 3" xfId="6633"/>
    <cellStyle name="Note 11" xfId="2344"/>
    <cellStyle name="Note 11 2" xfId="2345"/>
    <cellStyle name="Note 11 2 2" xfId="2346"/>
    <cellStyle name="Note 11 2 2 2" xfId="6635"/>
    <cellStyle name="Note 11 2 3" xfId="2347"/>
    <cellStyle name="Note 11 2 3 2" xfId="6636"/>
    <cellStyle name="Note 11 2 4" xfId="6634"/>
    <cellStyle name="Note 11 3" xfId="2348"/>
    <cellStyle name="Note 11 3 2" xfId="2349"/>
    <cellStyle name="Note 11 3 2 2" xfId="6638"/>
    <cellStyle name="Note 11 3 3" xfId="2350"/>
    <cellStyle name="Note 11 3 3 2" xfId="6639"/>
    <cellStyle name="Note 11 3 4" xfId="6637"/>
    <cellStyle name="Note 11 4" xfId="2351"/>
    <cellStyle name="Note 11 4 2" xfId="2352"/>
    <cellStyle name="Note 11 4 2 2" xfId="6641"/>
    <cellStyle name="Note 11 4 3" xfId="2353"/>
    <cellStyle name="Note 11 4 3 2" xfId="6642"/>
    <cellStyle name="Note 11 4 4" xfId="6640"/>
    <cellStyle name="Note 11 5" xfId="2354"/>
    <cellStyle name="Note 11 5 2" xfId="2355"/>
    <cellStyle name="Note 11 5 2 2" xfId="6644"/>
    <cellStyle name="Note 11 5 3" xfId="2356"/>
    <cellStyle name="Note 11 5 3 2" xfId="6645"/>
    <cellStyle name="Note 11 5 4" xfId="6643"/>
    <cellStyle name="Note 11 6" xfId="2357"/>
    <cellStyle name="Note 11 6 2" xfId="6647"/>
    <cellStyle name="Note 11 6 3" xfId="6648"/>
    <cellStyle name="Note 11 6 4" xfId="6646"/>
    <cellStyle name="Note 11 7" xfId="6649"/>
    <cellStyle name="Note 11 7 2" xfId="6650"/>
    <cellStyle name="Note 11 7 3" xfId="6651"/>
    <cellStyle name="Note 11 8" xfId="6652"/>
    <cellStyle name="Note 11 8 2" xfId="6653"/>
    <cellStyle name="Note 11 8 3" xfId="6654"/>
    <cellStyle name="Note 11 9" xfId="6655"/>
    <cellStyle name="Note 11 9 2" xfId="6656"/>
    <cellStyle name="Note 11 9 3" xfId="6657"/>
    <cellStyle name="Note 12" xfId="2358"/>
    <cellStyle name="Note 12 2" xfId="2359"/>
    <cellStyle name="Note 12 2 2" xfId="2360"/>
    <cellStyle name="Note 12 2 2 2" xfId="6659"/>
    <cellStyle name="Note 12 2 3" xfId="2361"/>
    <cellStyle name="Note 12 2 3 2" xfId="6660"/>
    <cellStyle name="Note 12 2 4" xfId="6658"/>
    <cellStyle name="Note 12 3" xfId="2362"/>
    <cellStyle name="Note 12 3 2" xfId="2363"/>
    <cellStyle name="Note 12 3 2 2" xfId="6662"/>
    <cellStyle name="Note 12 3 3" xfId="2364"/>
    <cellStyle name="Note 12 3 3 2" xfId="6663"/>
    <cellStyle name="Note 12 3 4" xfId="6661"/>
    <cellStyle name="Note 12 4" xfId="2365"/>
    <cellStyle name="Note 12 4 2" xfId="2366"/>
    <cellStyle name="Note 12 4 2 2" xfId="6665"/>
    <cellStyle name="Note 12 4 3" xfId="2367"/>
    <cellStyle name="Note 12 4 3 2" xfId="6666"/>
    <cellStyle name="Note 12 4 4" xfId="6664"/>
    <cellStyle name="Note 12 5" xfId="2368"/>
    <cellStyle name="Note 12 5 2" xfId="2369"/>
    <cellStyle name="Note 12 5 2 2" xfId="6668"/>
    <cellStyle name="Note 12 5 3" xfId="2370"/>
    <cellStyle name="Note 12 5 3 2" xfId="6669"/>
    <cellStyle name="Note 12 5 4" xfId="6667"/>
    <cellStyle name="Note 12 6" xfId="2371"/>
    <cellStyle name="Note 12 6 2" xfId="6671"/>
    <cellStyle name="Note 12 6 3" xfId="6672"/>
    <cellStyle name="Note 12 6 4" xfId="6670"/>
    <cellStyle name="Note 12 7" xfId="6673"/>
    <cellStyle name="Note 12 7 2" xfId="6674"/>
    <cellStyle name="Note 12 7 3" xfId="6675"/>
    <cellStyle name="Note 12 8" xfId="6676"/>
    <cellStyle name="Note 12 8 2" xfId="6677"/>
    <cellStyle name="Note 12 8 3" xfId="6678"/>
    <cellStyle name="Note 12 9" xfId="6679"/>
    <cellStyle name="Note 12 9 2" xfId="6680"/>
    <cellStyle name="Note 12 9 3" xfId="6681"/>
    <cellStyle name="Note 13" xfId="2372"/>
    <cellStyle name="Note 13 2" xfId="2373"/>
    <cellStyle name="Note 13 2 2" xfId="6683"/>
    <cellStyle name="Note 13 2 3" xfId="6684"/>
    <cellStyle name="Note 13 2 4" xfId="6682"/>
    <cellStyle name="Note 14" xfId="2374"/>
    <cellStyle name="Note 14 2" xfId="2375"/>
    <cellStyle name="Note 14 2 2" xfId="6686"/>
    <cellStyle name="Note 14 2 3" xfId="6687"/>
    <cellStyle name="Note 14 2 4" xfId="6685"/>
    <cellStyle name="Note 15" xfId="2376"/>
    <cellStyle name="Note 15 2" xfId="2377"/>
    <cellStyle name="Note 15 2 2" xfId="6689"/>
    <cellStyle name="Note 15 2 3" xfId="6690"/>
    <cellStyle name="Note 15 2 4" xfId="6688"/>
    <cellStyle name="Note 16" xfId="2378"/>
    <cellStyle name="Note 16 2" xfId="2379"/>
    <cellStyle name="Note 16 2 2" xfId="6692"/>
    <cellStyle name="Note 16 2 3" xfId="6693"/>
    <cellStyle name="Note 16 2 4" xfId="6691"/>
    <cellStyle name="Note 17" xfId="2380"/>
    <cellStyle name="Note 17 2" xfId="2381"/>
    <cellStyle name="Note 17 2 2" xfId="6695"/>
    <cellStyle name="Note 17 2 3" xfId="6696"/>
    <cellStyle name="Note 17 2 4" xfId="6694"/>
    <cellStyle name="Note 18" xfId="2382"/>
    <cellStyle name="Note 18 2" xfId="2383"/>
    <cellStyle name="Note 18 2 2" xfId="6698"/>
    <cellStyle name="Note 18 2 3" xfId="6699"/>
    <cellStyle name="Note 18 2 4" xfId="6697"/>
    <cellStyle name="Note 19" xfId="2384"/>
    <cellStyle name="Note 19 2" xfId="2385"/>
    <cellStyle name="Note 19 2 2" xfId="6701"/>
    <cellStyle name="Note 19 2 3" xfId="6702"/>
    <cellStyle name="Note 19 2 4" xfId="6700"/>
    <cellStyle name="Note 2" xfId="2386"/>
    <cellStyle name="Note 2 10" xfId="3392"/>
    <cellStyle name="Note 2 11" xfId="7743"/>
    <cellStyle name="Note 2 2" xfId="2387"/>
    <cellStyle name="Note 2 2 2" xfId="2388"/>
    <cellStyle name="Note 2 2 2 2" xfId="2389"/>
    <cellStyle name="Note 2 2 2 3" xfId="2390"/>
    <cellStyle name="Note 2 2 2 4" xfId="6703"/>
    <cellStyle name="Note 2 2 3" xfId="2391"/>
    <cellStyle name="Note 2 2 3 2" xfId="6704"/>
    <cellStyle name="Note 2 2 4" xfId="2392"/>
    <cellStyle name="Note 2 2 5" xfId="3428"/>
    <cellStyle name="Note 2 3" xfId="2393"/>
    <cellStyle name="Note 2 3 2" xfId="2394"/>
    <cellStyle name="Note 2 3 2 2" xfId="6705"/>
    <cellStyle name="Note 2 3 3" xfId="2395"/>
    <cellStyle name="Note 2 3 3 2" xfId="6706"/>
    <cellStyle name="Note 2 3 4" xfId="3470"/>
    <cellStyle name="Note 2 3 5" xfId="7774"/>
    <cellStyle name="Note 2 4" xfId="2396"/>
    <cellStyle name="Note 2 4 2" xfId="2397"/>
    <cellStyle name="Note 2 4 2 2" xfId="6708"/>
    <cellStyle name="Note 2 4 3" xfId="2398"/>
    <cellStyle name="Note 2 4 3 2" xfId="6709"/>
    <cellStyle name="Note 2 4 4" xfId="6707"/>
    <cellStyle name="Note 2 5" xfId="2399"/>
    <cellStyle name="Note 2 5 2" xfId="2400"/>
    <cellStyle name="Note 2 5 2 2" xfId="6711"/>
    <cellStyle name="Note 2 5 3" xfId="2401"/>
    <cellStyle name="Note 2 5 3 2" xfId="6712"/>
    <cellStyle name="Note 2 5 4" xfId="6710"/>
    <cellStyle name="Note 2 6" xfId="2402"/>
    <cellStyle name="Note 2 6 2" xfId="6714"/>
    <cellStyle name="Note 2 6 3" xfId="6715"/>
    <cellStyle name="Note 2 6 4" xfId="6713"/>
    <cellStyle name="Note 2 7" xfId="6716"/>
    <cellStyle name="Note 2 7 2" xfId="6717"/>
    <cellStyle name="Note 2 7 3" xfId="6718"/>
    <cellStyle name="Note 2 8" xfId="6719"/>
    <cellStyle name="Note 2 8 2" xfId="6720"/>
    <cellStyle name="Note 2 8 3" xfId="6721"/>
    <cellStyle name="Note 2 9" xfId="6722"/>
    <cellStyle name="Note 2 9 2" xfId="6723"/>
    <cellStyle name="Note 2 9 3" xfId="6724"/>
    <cellStyle name="Note 20" xfId="2403"/>
    <cellStyle name="Note 20 2" xfId="2404"/>
    <cellStyle name="Note 20 2 2" xfId="6726"/>
    <cellStyle name="Note 20 2 3" xfId="6727"/>
    <cellStyle name="Note 20 2 4" xfId="6725"/>
    <cellStyle name="Note 21" xfId="2405"/>
    <cellStyle name="Note 21 2" xfId="2406"/>
    <cellStyle name="Note 21 2 2" xfId="6729"/>
    <cellStyle name="Note 21 2 3" xfId="6730"/>
    <cellStyle name="Note 21 2 4" xfId="6728"/>
    <cellStyle name="Note 22" xfId="2407"/>
    <cellStyle name="Note 22 2" xfId="2408"/>
    <cellStyle name="Note 23" xfId="2409"/>
    <cellStyle name="Note 23 2" xfId="2410"/>
    <cellStyle name="Note 24" xfId="2411"/>
    <cellStyle name="Note 24 2" xfId="2412"/>
    <cellStyle name="Note 25" xfId="2413"/>
    <cellStyle name="Note 26" xfId="2414"/>
    <cellStyle name="Note 26 2" xfId="7673"/>
    <cellStyle name="Note 27" xfId="3305"/>
    <cellStyle name="Note 28" xfId="7713"/>
    <cellStyle name="Note 3" xfId="2415"/>
    <cellStyle name="Note 3 10" xfId="3402"/>
    <cellStyle name="Note 3 11" xfId="7748"/>
    <cellStyle name="Note 3 2" xfId="2416"/>
    <cellStyle name="Note 3 2 2" xfId="2417"/>
    <cellStyle name="Note 3 2 2 2" xfId="6732"/>
    <cellStyle name="Note 3 2 3" xfId="2418"/>
    <cellStyle name="Note 3 2 3 2" xfId="6733"/>
    <cellStyle name="Note 3 2 4" xfId="6731"/>
    <cellStyle name="Note 3 3" xfId="2419"/>
    <cellStyle name="Note 3 3 2" xfId="2420"/>
    <cellStyle name="Note 3 3 2 2" xfId="6735"/>
    <cellStyle name="Note 3 3 3" xfId="2421"/>
    <cellStyle name="Note 3 3 3 2" xfId="6736"/>
    <cellStyle name="Note 3 3 4" xfId="6734"/>
    <cellStyle name="Note 3 4" xfId="2422"/>
    <cellStyle name="Note 3 4 2" xfId="2423"/>
    <cellStyle name="Note 3 4 2 2" xfId="6738"/>
    <cellStyle name="Note 3 4 3" xfId="2424"/>
    <cellStyle name="Note 3 4 3 2" xfId="6739"/>
    <cellStyle name="Note 3 4 4" xfId="6737"/>
    <cellStyle name="Note 3 5" xfId="2425"/>
    <cellStyle name="Note 3 5 2" xfId="2426"/>
    <cellStyle name="Note 3 5 2 2" xfId="6741"/>
    <cellStyle name="Note 3 5 3" xfId="2427"/>
    <cellStyle name="Note 3 5 3 2" xfId="6742"/>
    <cellStyle name="Note 3 5 4" xfId="6740"/>
    <cellStyle name="Note 3 6" xfId="2428"/>
    <cellStyle name="Note 3 6 2" xfId="6744"/>
    <cellStyle name="Note 3 6 3" xfId="6745"/>
    <cellStyle name="Note 3 6 4" xfId="6743"/>
    <cellStyle name="Note 3 7" xfId="6746"/>
    <cellStyle name="Note 3 7 2" xfId="6747"/>
    <cellStyle name="Note 3 7 3" xfId="6748"/>
    <cellStyle name="Note 3 8" xfId="6749"/>
    <cellStyle name="Note 3 8 2" xfId="6750"/>
    <cellStyle name="Note 3 8 3" xfId="6751"/>
    <cellStyle name="Note 3 9" xfId="6752"/>
    <cellStyle name="Note 3 9 2" xfId="6753"/>
    <cellStyle name="Note 3 9 3" xfId="6754"/>
    <cellStyle name="Note 4" xfId="2429"/>
    <cellStyle name="Note 4 10" xfId="6755"/>
    <cellStyle name="Note 4 2" xfId="2430"/>
    <cellStyle name="Note 4 2 2" xfId="2431"/>
    <cellStyle name="Note 4 2 2 2" xfId="6757"/>
    <cellStyle name="Note 4 2 3" xfId="2432"/>
    <cellStyle name="Note 4 2 3 2" xfId="6758"/>
    <cellStyle name="Note 4 2 4" xfId="6756"/>
    <cellStyle name="Note 4 3" xfId="2433"/>
    <cellStyle name="Note 4 3 2" xfId="2434"/>
    <cellStyle name="Note 4 3 2 2" xfId="6760"/>
    <cellStyle name="Note 4 3 3" xfId="2435"/>
    <cellStyle name="Note 4 3 3 2" xfId="6761"/>
    <cellStyle name="Note 4 3 4" xfId="6759"/>
    <cellStyle name="Note 4 4" xfId="2436"/>
    <cellStyle name="Note 4 4 2" xfId="2437"/>
    <cellStyle name="Note 4 4 2 2" xfId="6763"/>
    <cellStyle name="Note 4 4 3" xfId="2438"/>
    <cellStyle name="Note 4 4 3 2" xfId="6764"/>
    <cellStyle name="Note 4 4 4" xfId="6762"/>
    <cellStyle name="Note 4 5" xfId="2439"/>
    <cellStyle name="Note 4 5 2" xfId="2440"/>
    <cellStyle name="Note 4 5 2 2" xfId="6766"/>
    <cellStyle name="Note 4 5 3" xfId="2441"/>
    <cellStyle name="Note 4 5 3 2" xfId="6767"/>
    <cellStyle name="Note 4 5 4" xfId="6765"/>
    <cellStyle name="Note 4 6" xfId="2442"/>
    <cellStyle name="Note 4 6 2" xfId="6769"/>
    <cellStyle name="Note 4 6 3" xfId="6770"/>
    <cellStyle name="Note 4 6 4" xfId="6768"/>
    <cellStyle name="Note 4 7" xfId="6771"/>
    <cellStyle name="Note 4 7 2" xfId="6772"/>
    <cellStyle name="Note 4 7 3" xfId="6773"/>
    <cellStyle name="Note 4 8" xfId="6774"/>
    <cellStyle name="Note 4 8 2" xfId="6775"/>
    <cellStyle name="Note 4 8 3" xfId="6776"/>
    <cellStyle name="Note 4 9" xfId="6777"/>
    <cellStyle name="Note 4 9 2" xfId="6778"/>
    <cellStyle name="Note 4 9 3" xfId="6779"/>
    <cellStyle name="Note 5" xfId="2443"/>
    <cellStyle name="Note 5 10" xfId="6780"/>
    <cellStyle name="Note 5 2" xfId="2444"/>
    <cellStyle name="Note 5 2 2" xfId="2445"/>
    <cellStyle name="Note 5 2 2 2" xfId="6782"/>
    <cellStyle name="Note 5 2 3" xfId="2446"/>
    <cellStyle name="Note 5 2 3 2" xfId="6783"/>
    <cellStyle name="Note 5 2 4" xfId="6781"/>
    <cellStyle name="Note 5 3" xfId="2447"/>
    <cellStyle name="Note 5 3 2" xfId="2448"/>
    <cellStyle name="Note 5 3 2 2" xfId="6785"/>
    <cellStyle name="Note 5 3 3" xfId="2449"/>
    <cellStyle name="Note 5 3 3 2" xfId="6786"/>
    <cellStyle name="Note 5 3 4" xfId="6784"/>
    <cellStyle name="Note 5 4" xfId="2450"/>
    <cellStyle name="Note 5 4 2" xfId="2451"/>
    <cellStyle name="Note 5 4 2 2" xfId="6788"/>
    <cellStyle name="Note 5 4 3" xfId="2452"/>
    <cellStyle name="Note 5 4 3 2" xfId="6789"/>
    <cellStyle name="Note 5 4 4" xfId="6787"/>
    <cellStyle name="Note 5 5" xfId="2453"/>
    <cellStyle name="Note 5 5 2" xfId="2454"/>
    <cellStyle name="Note 5 5 2 2" xfId="6791"/>
    <cellStyle name="Note 5 5 3" xfId="2455"/>
    <cellStyle name="Note 5 5 3 2" xfId="6792"/>
    <cellStyle name="Note 5 5 4" xfId="6790"/>
    <cellStyle name="Note 5 6" xfId="2456"/>
    <cellStyle name="Note 5 6 2" xfId="6794"/>
    <cellStyle name="Note 5 6 3" xfId="6795"/>
    <cellStyle name="Note 5 6 4" xfId="6793"/>
    <cellStyle name="Note 5 7" xfId="6796"/>
    <cellStyle name="Note 5 7 2" xfId="6797"/>
    <cellStyle name="Note 5 7 3" xfId="6798"/>
    <cellStyle name="Note 5 8" xfId="6799"/>
    <cellStyle name="Note 5 8 2" xfId="6800"/>
    <cellStyle name="Note 5 8 3" xfId="6801"/>
    <cellStyle name="Note 5 9" xfId="6802"/>
    <cellStyle name="Note 5 9 2" xfId="6803"/>
    <cellStyle name="Note 5 9 3" xfId="6804"/>
    <cellStyle name="Note 6" xfId="2457"/>
    <cellStyle name="Note 6 2" xfId="2458"/>
    <cellStyle name="Note 6 2 2" xfId="2459"/>
    <cellStyle name="Note 6 2 2 2" xfId="6806"/>
    <cellStyle name="Note 6 2 3" xfId="2460"/>
    <cellStyle name="Note 6 2 3 2" xfId="6807"/>
    <cellStyle name="Note 6 2 4" xfId="6805"/>
    <cellStyle name="Note 6 3" xfId="2461"/>
    <cellStyle name="Note 6 3 2" xfId="2462"/>
    <cellStyle name="Note 6 3 2 2" xfId="6809"/>
    <cellStyle name="Note 6 3 3" xfId="2463"/>
    <cellStyle name="Note 6 3 3 2" xfId="6810"/>
    <cellStyle name="Note 6 3 4" xfId="6808"/>
    <cellStyle name="Note 6 4" xfId="2464"/>
    <cellStyle name="Note 6 4 2" xfId="2465"/>
    <cellStyle name="Note 6 4 2 2" xfId="6812"/>
    <cellStyle name="Note 6 4 3" xfId="2466"/>
    <cellStyle name="Note 6 4 3 2" xfId="6813"/>
    <cellStyle name="Note 6 4 4" xfId="6811"/>
    <cellStyle name="Note 6 5" xfId="2467"/>
    <cellStyle name="Note 6 5 2" xfId="2468"/>
    <cellStyle name="Note 6 5 2 2" xfId="6815"/>
    <cellStyle name="Note 6 5 3" xfId="2469"/>
    <cellStyle name="Note 6 5 3 2" xfId="6816"/>
    <cellStyle name="Note 6 5 4" xfId="6814"/>
    <cellStyle name="Note 6 6" xfId="2470"/>
    <cellStyle name="Note 6 6 2" xfId="6818"/>
    <cellStyle name="Note 6 6 3" xfId="6819"/>
    <cellStyle name="Note 6 6 4" xfId="6817"/>
    <cellStyle name="Note 6 7" xfId="6820"/>
    <cellStyle name="Note 6 7 2" xfId="6821"/>
    <cellStyle name="Note 6 7 3" xfId="6822"/>
    <cellStyle name="Note 6 8" xfId="6823"/>
    <cellStyle name="Note 6 8 2" xfId="6824"/>
    <cellStyle name="Note 6 8 3" xfId="6825"/>
    <cellStyle name="Note 6 9" xfId="6826"/>
    <cellStyle name="Note 6 9 2" xfId="6827"/>
    <cellStyle name="Note 6 9 3" xfId="6828"/>
    <cellStyle name="Note 7" xfId="2471"/>
    <cellStyle name="Note 7 2" xfId="2472"/>
    <cellStyle name="Note 7 2 2" xfId="2473"/>
    <cellStyle name="Note 7 2 2 2" xfId="6830"/>
    <cellStyle name="Note 7 2 3" xfId="2474"/>
    <cellStyle name="Note 7 2 3 2" xfId="6831"/>
    <cellStyle name="Note 7 2 4" xfId="6829"/>
    <cellStyle name="Note 7 3" xfId="2475"/>
    <cellStyle name="Note 7 3 2" xfId="2476"/>
    <cellStyle name="Note 7 3 2 2" xfId="6833"/>
    <cellStyle name="Note 7 3 3" xfId="2477"/>
    <cellStyle name="Note 7 3 3 2" xfId="6834"/>
    <cellStyle name="Note 7 3 4" xfId="6832"/>
    <cellStyle name="Note 7 4" xfId="2478"/>
    <cellStyle name="Note 7 4 2" xfId="2479"/>
    <cellStyle name="Note 7 4 2 2" xfId="6836"/>
    <cellStyle name="Note 7 4 3" xfId="2480"/>
    <cellStyle name="Note 7 4 3 2" xfId="6837"/>
    <cellStyle name="Note 7 4 4" xfId="6835"/>
    <cellStyle name="Note 7 5" xfId="2481"/>
    <cellStyle name="Note 7 5 2" xfId="2482"/>
    <cellStyle name="Note 7 5 2 2" xfId="6839"/>
    <cellStyle name="Note 7 5 3" xfId="2483"/>
    <cellStyle name="Note 7 5 3 2" xfId="6840"/>
    <cellStyle name="Note 7 5 4" xfId="6838"/>
    <cellStyle name="Note 7 6" xfId="2484"/>
    <cellStyle name="Note 7 6 2" xfId="6842"/>
    <cellStyle name="Note 7 6 3" xfId="6843"/>
    <cellStyle name="Note 7 6 4" xfId="6841"/>
    <cellStyle name="Note 7 7" xfId="6844"/>
    <cellStyle name="Note 7 7 2" xfId="6845"/>
    <cellStyle name="Note 7 7 3" xfId="6846"/>
    <cellStyle name="Note 7 8" xfId="6847"/>
    <cellStyle name="Note 7 8 2" xfId="6848"/>
    <cellStyle name="Note 7 8 3" xfId="6849"/>
    <cellStyle name="Note 7 9" xfId="6850"/>
    <cellStyle name="Note 7 9 2" xfId="6851"/>
    <cellStyle name="Note 7 9 3" xfId="6852"/>
    <cellStyle name="Note 8" xfId="2485"/>
    <cellStyle name="Note 8 2" xfId="2486"/>
    <cellStyle name="Note 8 2 2" xfId="2487"/>
    <cellStyle name="Note 8 2 2 2" xfId="6854"/>
    <cellStyle name="Note 8 2 3" xfId="2488"/>
    <cellStyle name="Note 8 2 3 2" xfId="6855"/>
    <cellStyle name="Note 8 2 4" xfId="6853"/>
    <cellStyle name="Note 8 3" xfId="2489"/>
    <cellStyle name="Note 8 3 2" xfId="2490"/>
    <cellStyle name="Note 8 3 2 2" xfId="6857"/>
    <cellStyle name="Note 8 3 3" xfId="2491"/>
    <cellStyle name="Note 8 3 3 2" xfId="6858"/>
    <cellStyle name="Note 8 3 4" xfId="6856"/>
    <cellStyle name="Note 8 4" xfId="2492"/>
    <cellStyle name="Note 8 4 2" xfId="2493"/>
    <cellStyle name="Note 8 4 2 2" xfId="6860"/>
    <cellStyle name="Note 8 4 3" xfId="2494"/>
    <cellStyle name="Note 8 4 3 2" xfId="6861"/>
    <cellStyle name="Note 8 4 4" xfId="6859"/>
    <cellStyle name="Note 8 5" xfId="2495"/>
    <cellStyle name="Note 8 5 2" xfId="2496"/>
    <cellStyle name="Note 8 5 2 2" xfId="6863"/>
    <cellStyle name="Note 8 5 3" xfId="2497"/>
    <cellStyle name="Note 8 5 3 2" xfId="6864"/>
    <cellStyle name="Note 8 5 4" xfId="6862"/>
    <cellStyle name="Note 8 6" xfId="2498"/>
    <cellStyle name="Note 8 6 2" xfId="6866"/>
    <cellStyle name="Note 8 6 3" xfId="6867"/>
    <cellStyle name="Note 8 6 4" xfId="6865"/>
    <cellStyle name="Note 8 7" xfId="6868"/>
    <cellStyle name="Note 8 7 2" xfId="6869"/>
    <cellStyle name="Note 8 7 3" xfId="6870"/>
    <cellStyle name="Note 8 8" xfId="6871"/>
    <cellStyle name="Note 8 8 2" xfId="6872"/>
    <cellStyle name="Note 8 8 3" xfId="6873"/>
    <cellStyle name="Note 8 9" xfId="6874"/>
    <cellStyle name="Note 8 9 2" xfId="6875"/>
    <cellStyle name="Note 8 9 3" xfId="6876"/>
    <cellStyle name="Note 9" xfId="2499"/>
    <cellStyle name="Note 9 2" xfId="2500"/>
    <cellStyle name="Note 9 2 2" xfId="2501"/>
    <cellStyle name="Note 9 2 2 2" xfId="6878"/>
    <cellStyle name="Note 9 2 3" xfId="2502"/>
    <cellStyle name="Note 9 2 3 2" xfId="6879"/>
    <cellStyle name="Note 9 2 4" xfId="6877"/>
    <cellStyle name="Note 9 3" xfId="2503"/>
    <cellStyle name="Note 9 3 2" xfId="2504"/>
    <cellStyle name="Note 9 3 2 2" xfId="6881"/>
    <cellStyle name="Note 9 3 3" xfId="2505"/>
    <cellStyle name="Note 9 3 3 2" xfId="6882"/>
    <cellStyle name="Note 9 3 4" xfId="6880"/>
    <cellStyle name="Note 9 4" xfId="2506"/>
    <cellStyle name="Note 9 4 2" xfId="2507"/>
    <cellStyle name="Note 9 4 2 2" xfId="6884"/>
    <cellStyle name="Note 9 4 3" xfId="2508"/>
    <cellStyle name="Note 9 4 3 2" xfId="6885"/>
    <cellStyle name="Note 9 4 4" xfId="6883"/>
    <cellStyle name="Note 9 5" xfId="2509"/>
    <cellStyle name="Note 9 5 2" xfId="2510"/>
    <cellStyle name="Note 9 5 2 2" xfId="6887"/>
    <cellStyle name="Note 9 5 3" xfId="2511"/>
    <cellStyle name="Note 9 5 3 2" xfId="6888"/>
    <cellStyle name="Note 9 5 4" xfId="6886"/>
    <cellStyle name="Note 9 6" xfId="2512"/>
    <cellStyle name="Note 9 6 2" xfId="6890"/>
    <cellStyle name="Note 9 6 3" xfId="6891"/>
    <cellStyle name="Note 9 6 4" xfId="6889"/>
    <cellStyle name="Note 9 7" xfId="6892"/>
    <cellStyle name="Note 9 7 2" xfId="6893"/>
    <cellStyle name="Note 9 7 3" xfId="6894"/>
    <cellStyle name="Note 9 8" xfId="6895"/>
    <cellStyle name="Note 9 8 2" xfId="6896"/>
    <cellStyle name="Note 9 8 3" xfId="6897"/>
    <cellStyle name="Note 9 9" xfId="6898"/>
    <cellStyle name="Note 9 9 2" xfId="6899"/>
    <cellStyle name="Note 9 9 3" xfId="6900"/>
    <cellStyle name="Notes" xfId="2513"/>
    <cellStyle name="num1Style" xfId="6901"/>
    <cellStyle name="num1Style 2" xfId="6902"/>
    <cellStyle name="num1Style 3" xfId="6903"/>
    <cellStyle name="num1Style 4" xfId="6904"/>
    <cellStyle name="num1Style 5" xfId="6905"/>
    <cellStyle name="num1Style 6" xfId="6906"/>
    <cellStyle name="num1Styleb" xfId="6907"/>
    <cellStyle name="num1Styleb 2" xfId="6908"/>
    <cellStyle name="num1Styleb 3" xfId="6909"/>
    <cellStyle name="num1Styleb 4" xfId="6910"/>
    <cellStyle name="num1Styleb 5" xfId="6911"/>
    <cellStyle name="num1Styleb 6" xfId="6912"/>
    <cellStyle name="num4Style" xfId="6913"/>
    <cellStyle name="num4Style 2" xfId="6914"/>
    <cellStyle name="num4Style 3" xfId="6915"/>
    <cellStyle name="num4Style 4" xfId="6916"/>
    <cellStyle name="num4Style 5" xfId="6917"/>
    <cellStyle name="num4Style 6" xfId="6918"/>
    <cellStyle name="num4Styleb" xfId="6919"/>
    <cellStyle name="num4Styleb 2" xfId="6920"/>
    <cellStyle name="num4Styleb 3" xfId="6921"/>
    <cellStyle name="num4Styleb 4" xfId="6922"/>
    <cellStyle name="num4Styleb 5" xfId="6923"/>
    <cellStyle name="num4Styleb 6" xfId="6924"/>
    <cellStyle name="Number" xfId="2514"/>
    <cellStyle name="number 2" xfId="6925"/>
    <cellStyle name="Numbers" xfId="3343"/>
    <cellStyle name="Numbers - Bold" xfId="3344"/>
    <cellStyle name="Numbers - Bold - Italic" xfId="3345"/>
    <cellStyle name="Numbers - Bold_6079BX" xfId="3346"/>
    <cellStyle name="Numbers - Large" xfId="3347"/>
    <cellStyle name="Numbers_6079BX" xfId="3348"/>
    <cellStyle name="numPStyle" xfId="6926"/>
    <cellStyle name="numPStyle 2" xfId="6927"/>
    <cellStyle name="numPStyle 3" xfId="6928"/>
    <cellStyle name="numPStyle 4" xfId="6929"/>
    <cellStyle name="numPStyle 5" xfId="6930"/>
    <cellStyle name="numPStyle 6" xfId="6931"/>
    <cellStyle name="numPStyleb" xfId="6932"/>
    <cellStyle name="numPStyleb 2" xfId="6933"/>
    <cellStyle name="numPStyleb 3" xfId="6934"/>
    <cellStyle name="numPStyleb 4" xfId="6935"/>
    <cellStyle name="numPStyleb 5" xfId="6936"/>
    <cellStyle name="numPStyleb 6" xfId="6937"/>
    <cellStyle name="numXStyle" xfId="6938"/>
    <cellStyle name="numXStyle 2" xfId="6939"/>
    <cellStyle name="numXStyle 3" xfId="6940"/>
    <cellStyle name="numXStyle 4" xfId="6941"/>
    <cellStyle name="numXStyle 5" xfId="6942"/>
    <cellStyle name="numXStyle 6" xfId="6943"/>
    <cellStyle name="numXStyleb" xfId="6944"/>
    <cellStyle name="numXStyleb 2" xfId="6945"/>
    <cellStyle name="numXStyleb 3" xfId="6946"/>
    <cellStyle name="numXStyleb 4" xfId="6947"/>
    <cellStyle name="numXStyleb 5" xfId="6948"/>
    <cellStyle name="numXStyleb 6" xfId="6949"/>
    <cellStyle name="Œ…‹æØ‚è [0.00]_!!!GO" xfId="6950"/>
    <cellStyle name="Œ…‹æØ‚è_!!!GO" xfId="6951"/>
    <cellStyle name="outh America" xfId="6952"/>
    <cellStyle name="outh America 2" xfId="6953"/>
    <cellStyle name="Output" xfId="3274" builtinId="21" customBuiltin="1"/>
    <cellStyle name="Output 10" xfId="2515"/>
    <cellStyle name="Output 10 2" xfId="2516"/>
    <cellStyle name="Output 10 2 2" xfId="2517"/>
    <cellStyle name="Output 10 2 2 2" xfId="7674"/>
    <cellStyle name="Output 10 2 3" xfId="2518"/>
    <cellStyle name="Output 10 2 3 2" xfId="7675"/>
    <cellStyle name="Output 10 2 4" xfId="2519"/>
    <cellStyle name="Output 10 2 4 2" xfId="7676"/>
    <cellStyle name="Output 10 2 5" xfId="6954"/>
    <cellStyle name="Output 10 3" xfId="6955"/>
    <cellStyle name="Output 10 4" xfId="6956"/>
    <cellStyle name="Output 10 5" xfId="6957"/>
    <cellStyle name="Output 10 6" xfId="6958"/>
    <cellStyle name="Output 10 7" xfId="6959"/>
    <cellStyle name="Output 11" xfId="2520"/>
    <cellStyle name="Output 11 2" xfId="2521"/>
    <cellStyle name="Output 11 2 2" xfId="2522"/>
    <cellStyle name="Output 11 2 2 2" xfId="7677"/>
    <cellStyle name="Output 11 2 3" xfId="2523"/>
    <cellStyle name="Output 11 2 3 2" xfId="7678"/>
    <cellStyle name="Output 11 2 4" xfId="2524"/>
    <cellStyle name="Output 11 2 4 2" xfId="7679"/>
    <cellStyle name="Output 11 2 5" xfId="6960"/>
    <cellStyle name="Output 11 3" xfId="6961"/>
    <cellStyle name="Output 11 4" xfId="6962"/>
    <cellStyle name="Output 11 5" xfId="6963"/>
    <cellStyle name="Output 11 6" xfId="6964"/>
    <cellStyle name="Output 11 7" xfId="6965"/>
    <cellStyle name="Output 12" xfId="2525"/>
    <cellStyle name="Output 12 2" xfId="2526"/>
    <cellStyle name="Output 12 2 2" xfId="2527"/>
    <cellStyle name="Output 12 2 2 2" xfId="7680"/>
    <cellStyle name="Output 12 2 3" xfId="2528"/>
    <cellStyle name="Output 12 2 3 2" xfId="7681"/>
    <cellStyle name="Output 12 2 4" xfId="2529"/>
    <cellStyle name="Output 12 2 4 2" xfId="7682"/>
    <cellStyle name="Output 12 2 5" xfId="6966"/>
    <cellStyle name="Output 12 3" xfId="6967"/>
    <cellStyle name="Output 12 4" xfId="6968"/>
    <cellStyle name="Output 12 5" xfId="6969"/>
    <cellStyle name="Output 12 6" xfId="6970"/>
    <cellStyle name="Output 12 7" xfId="6971"/>
    <cellStyle name="Output 13" xfId="2530"/>
    <cellStyle name="Output 13 2" xfId="6972"/>
    <cellStyle name="Output 14" xfId="2531"/>
    <cellStyle name="Output 14 2" xfId="6973"/>
    <cellStyle name="Output 15" xfId="2532"/>
    <cellStyle name="Output 15 2" xfId="6974"/>
    <cellStyle name="Output 16" xfId="2533"/>
    <cellStyle name="Output 16 2" xfId="6975"/>
    <cellStyle name="Output 17" xfId="2534"/>
    <cellStyle name="Output 17 2" xfId="6976"/>
    <cellStyle name="Output 18" xfId="2535"/>
    <cellStyle name="Output 18 2" xfId="6977"/>
    <cellStyle name="Output 19" xfId="2536"/>
    <cellStyle name="Output 19 2" xfId="6978"/>
    <cellStyle name="Output 2" xfId="2537"/>
    <cellStyle name="Output 2 2" xfId="2538"/>
    <cellStyle name="Output 2 2 2" xfId="2539"/>
    <cellStyle name="Output 2 2 2 2" xfId="2540"/>
    <cellStyle name="Output 2 2 2 2 2" xfId="7683"/>
    <cellStyle name="Output 2 2 2 3" xfId="2541"/>
    <cellStyle name="Output 2 2 2 3 2" xfId="7684"/>
    <cellStyle name="Output 2 2 2 4" xfId="2542"/>
    <cellStyle name="Output 2 2 2 4 2" xfId="7685"/>
    <cellStyle name="Output 2 2 3" xfId="2543"/>
    <cellStyle name="Output 2 2 3 2" xfId="7686"/>
    <cellStyle name="Output 2 2 4" xfId="2544"/>
    <cellStyle name="Output 2 2 4 2" xfId="7687"/>
    <cellStyle name="Output 2 2 5" xfId="2545"/>
    <cellStyle name="Output 2 2 5 2" xfId="7688"/>
    <cellStyle name="Output 2 2 6" xfId="6979"/>
    <cellStyle name="Output 2 3" xfId="6980"/>
    <cellStyle name="Output 2 4" xfId="6981"/>
    <cellStyle name="Output 2 5" xfId="6982"/>
    <cellStyle name="Output 2 6" xfId="6983"/>
    <cellStyle name="Output 2 7" xfId="6984"/>
    <cellStyle name="Output 20" xfId="2546"/>
    <cellStyle name="Output 20 2" xfId="6985"/>
    <cellStyle name="Output 21" xfId="2547"/>
    <cellStyle name="Output 21 2" xfId="6986"/>
    <cellStyle name="Output 22" xfId="2548"/>
    <cellStyle name="Output 23" xfId="2549"/>
    <cellStyle name="Output 24" xfId="2550"/>
    <cellStyle name="Output 25" xfId="2551"/>
    <cellStyle name="Output 26" xfId="2552"/>
    <cellStyle name="Output 26 2" xfId="7689"/>
    <cellStyle name="Output 3" xfId="2553"/>
    <cellStyle name="Output 3 2" xfId="2554"/>
    <cellStyle name="Output 3 2 2" xfId="2555"/>
    <cellStyle name="Output 3 2 2 2" xfId="7690"/>
    <cellStyle name="Output 3 2 3" xfId="2556"/>
    <cellStyle name="Output 3 2 3 2" xfId="7691"/>
    <cellStyle name="Output 3 2 4" xfId="2557"/>
    <cellStyle name="Output 3 2 4 2" xfId="7692"/>
    <cellStyle name="Output 3 2 5" xfId="6987"/>
    <cellStyle name="Output 3 3" xfId="6988"/>
    <cellStyle name="Output 3 4" xfId="6989"/>
    <cellStyle name="Output 3 5" xfId="6990"/>
    <cellStyle name="Output 3 6" xfId="6991"/>
    <cellStyle name="Output 3 7" xfId="6992"/>
    <cellStyle name="Output 3 8" xfId="3427"/>
    <cellStyle name="Output 4" xfId="2558"/>
    <cellStyle name="Output 4 2" xfId="2559"/>
    <cellStyle name="Output 4 2 2" xfId="2560"/>
    <cellStyle name="Output 4 2 2 2" xfId="7693"/>
    <cellStyle name="Output 4 2 3" xfId="2561"/>
    <cellStyle name="Output 4 2 3 2" xfId="7694"/>
    <cellStyle name="Output 4 2 4" xfId="2562"/>
    <cellStyle name="Output 4 2 4 2" xfId="7695"/>
    <cellStyle name="Output 4 2 5" xfId="6993"/>
    <cellStyle name="Output 4 3" xfId="6994"/>
    <cellStyle name="Output 4 4" xfId="6995"/>
    <cellStyle name="Output 4 5" xfId="6996"/>
    <cellStyle name="Output 4 6" xfId="6997"/>
    <cellStyle name="Output 4 7" xfId="6998"/>
    <cellStyle name="Output 5" xfId="2563"/>
    <cellStyle name="Output 5 2" xfId="2564"/>
    <cellStyle name="Output 5 2 2" xfId="2565"/>
    <cellStyle name="Output 5 2 2 2" xfId="7696"/>
    <cellStyle name="Output 5 2 3" xfId="2566"/>
    <cellStyle name="Output 5 2 3 2" xfId="7697"/>
    <cellStyle name="Output 5 2 4" xfId="2567"/>
    <cellStyle name="Output 5 2 4 2" xfId="7698"/>
    <cellStyle name="Output 5 2 5" xfId="6999"/>
    <cellStyle name="Output 5 3" xfId="7000"/>
    <cellStyle name="Output 5 4" xfId="7001"/>
    <cellStyle name="Output 5 5" xfId="7002"/>
    <cellStyle name="Output 5 6" xfId="7003"/>
    <cellStyle name="Output 5 7" xfId="7004"/>
    <cellStyle name="Output 6" xfId="2568"/>
    <cellStyle name="Output 6 2" xfId="2569"/>
    <cellStyle name="Output 6 2 2" xfId="2570"/>
    <cellStyle name="Output 6 2 2 2" xfId="7699"/>
    <cellStyle name="Output 6 2 3" xfId="2571"/>
    <cellStyle name="Output 6 2 3 2" xfId="7700"/>
    <cellStyle name="Output 6 2 4" xfId="2572"/>
    <cellStyle name="Output 6 2 4 2" xfId="7701"/>
    <cellStyle name="Output 6 2 5" xfId="7005"/>
    <cellStyle name="Output 6 3" xfId="7006"/>
    <cellStyle name="Output 6 4" xfId="7007"/>
    <cellStyle name="Output 6 5" xfId="7008"/>
    <cellStyle name="Output 6 6" xfId="7009"/>
    <cellStyle name="Output 6 7" xfId="7010"/>
    <cellStyle name="Output 7" xfId="2573"/>
    <cellStyle name="Output 7 2" xfId="2574"/>
    <cellStyle name="Output 7 2 2" xfId="2575"/>
    <cellStyle name="Output 7 2 2 2" xfId="7702"/>
    <cellStyle name="Output 7 2 3" xfId="2576"/>
    <cellStyle name="Output 7 2 3 2" xfId="7703"/>
    <cellStyle name="Output 7 2 4" xfId="2577"/>
    <cellStyle name="Output 7 2 4 2" xfId="7704"/>
    <cellStyle name="Output 7 2 5" xfId="7011"/>
    <cellStyle name="Output 7 3" xfId="7012"/>
    <cellStyle name="Output 7 4" xfId="7013"/>
    <cellStyle name="Output 7 5" xfId="7014"/>
    <cellStyle name="Output 7 6" xfId="7015"/>
    <cellStyle name="Output 7 7" xfId="7016"/>
    <cellStyle name="Output 8" xfId="2578"/>
    <cellStyle name="Output 8 2" xfId="2579"/>
    <cellStyle name="Output 8 2 2" xfId="2580"/>
    <cellStyle name="Output 8 2 2 2" xfId="7705"/>
    <cellStyle name="Output 8 2 3" xfId="2581"/>
    <cellStyle name="Output 8 2 3 2" xfId="7706"/>
    <cellStyle name="Output 8 2 4" xfId="2582"/>
    <cellStyle name="Output 8 2 4 2" xfId="7707"/>
    <cellStyle name="Output 8 2 5" xfId="7017"/>
    <cellStyle name="Output 8 3" xfId="7018"/>
    <cellStyle name="Output 8 4" xfId="7019"/>
    <cellStyle name="Output 8 5" xfId="7020"/>
    <cellStyle name="Output 8 6" xfId="7021"/>
    <cellStyle name="Output 8 7" xfId="7022"/>
    <cellStyle name="Output 9" xfId="2583"/>
    <cellStyle name="Output 9 2" xfId="2584"/>
    <cellStyle name="Output 9 2 2" xfId="2585"/>
    <cellStyle name="Output 9 2 2 2" xfId="7708"/>
    <cellStyle name="Output 9 2 3" xfId="2586"/>
    <cellStyle name="Output 9 2 3 2" xfId="7709"/>
    <cellStyle name="Output 9 2 4" xfId="2587"/>
    <cellStyle name="Output 9 2 4 2" xfId="7710"/>
    <cellStyle name="Output 9 2 5" xfId="7023"/>
    <cellStyle name="Output 9 3" xfId="7024"/>
    <cellStyle name="Output 9 4" xfId="7025"/>
    <cellStyle name="Output 9 5" xfId="7026"/>
    <cellStyle name="Output 9 6" xfId="7027"/>
    <cellStyle name="Output 9 7" xfId="7028"/>
    <cellStyle name="Page header" xfId="2588"/>
    <cellStyle name="Page header 2" xfId="7029"/>
    <cellStyle name="Page Number" xfId="2589"/>
    <cellStyle name="Parens (1)" xfId="2590"/>
    <cellStyle name="per.style" xfId="7030"/>
    <cellStyle name="per.style 2" xfId="7031"/>
    <cellStyle name="Percent [0]" xfId="7032"/>
    <cellStyle name="Percent [0] 2" xfId="7033"/>
    <cellStyle name="Percent [0] 3" xfId="7034"/>
    <cellStyle name="Percent [0] 4" xfId="7035"/>
    <cellStyle name="Percent [0] 5" xfId="7036"/>
    <cellStyle name="Percent [0] 6" xfId="7037"/>
    <cellStyle name="Percent [0] 7" xfId="7038"/>
    <cellStyle name="Percent [0] 8" xfId="7039"/>
    <cellStyle name="Percent [00]" xfId="7040"/>
    <cellStyle name="Percent [00] 2" xfId="7041"/>
    <cellStyle name="Percent [00] 3" xfId="7042"/>
    <cellStyle name="Percent [00] 4" xfId="7043"/>
    <cellStyle name="Percent [00] 5" xfId="7044"/>
    <cellStyle name="Percent [00] 6" xfId="7045"/>
    <cellStyle name="Percent [00] 7" xfId="7046"/>
    <cellStyle name="Percent [00] 8" xfId="7047"/>
    <cellStyle name="Percent [2]" xfId="2591"/>
    <cellStyle name="Percent [2] 2" xfId="7048"/>
    <cellStyle name="Percent [2] 3" xfId="7049"/>
    <cellStyle name="Percent [2] 4" xfId="7050"/>
    <cellStyle name="Percent [2] 5" xfId="7051"/>
    <cellStyle name="Percent [2] 6" xfId="7052"/>
    <cellStyle name="Percent [2] 7" xfId="7053"/>
    <cellStyle name="Percent [2] 8" xfId="7054"/>
    <cellStyle name="Percent 2" xfId="2592"/>
    <cellStyle name="Percent 2 10" xfId="2593"/>
    <cellStyle name="Percent 2 11" xfId="2594"/>
    <cellStyle name="Percent 2 12" xfId="2595"/>
    <cellStyle name="Percent 2 13" xfId="2596"/>
    <cellStyle name="Percent 2 14" xfId="2597"/>
    <cellStyle name="Percent 2 15" xfId="2598"/>
    <cellStyle name="Percent 2 16" xfId="2599"/>
    <cellStyle name="Percent 2 17" xfId="2600"/>
    <cellStyle name="Percent 2 18" xfId="2601"/>
    <cellStyle name="Percent 2 19" xfId="2602"/>
    <cellStyle name="Percent 2 2" xfId="2603"/>
    <cellStyle name="Percent 2 2 2" xfId="7055"/>
    <cellStyle name="Percent 2 20" xfId="2604"/>
    <cellStyle name="Percent 2 21" xfId="2605"/>
    <cellStyle name="Percent 2 22" xfId="2606"/>
    <cellStyle name="Percent 2 23" xfId="2607"/>
    <cellStyle name="Percent 2 24" xfId="2608"/>
    <cellStyle name="Percent 2 25" xfId="2609"/>
    <cellStyle name="Percent 2 26" xfId="2610"/>
    <cellStyle name="Percent 2 27" xfId="2611"/>
    <cellStyle name="Percent 2 28" xfId="2612"/>
    <cellStyle name="Percent 2 29" xfId="2613"/>
    <cellStyle name="Percent 2 3" xfId="2614"/>
    <cellStyle name="Percent 2 3 2" xfId="7056"/>
    <cellStyle name="Percent 2 30" xfId="2615"/>
    <cellStyle name="Percent 2 31" xfId="2616"/>
    <cellStyle name="Percent 2 32" xfId="2617"/>
    <cellStyle name="Percent 2 33" xfId="2618"/>
    <cellStyle name="Percent 2 34" xfId="2619"/>
    <cellStyle name="Percent 2 35" xfId="2620"/>
    <cellStyle name="Percent 2 36" xfId="2621"/>
    <cellStyle name="Percent 2 37" xfId="2622"/>
    <cellStyle name="Percent 2 38" xfId="2623"/>
    <cellStyle name="Percent 2 39" xfId="2624"/>
    <cellStyle name="Percent 2 4" xfId="2625"/>
    <cellStyle name="Percent 2 4 2" xfId="7057"/>
    <cellStyle name="Percent 2 40" xfId="2626"/>
    <cellStyle name="Percent 2 41" xfId="2627"/>
    <cellStyle name="Percent 2 42" xfId="2628"/>
    <cellStyle name="Percent 2 43" xfId="2629"/>
    <cellStyle name="Percent 2 44" xfId="2630"/>
    <cellStyle name="Percent 2 45" xfId="2631"/>
    <cellStyle name="Percent 2 46" xfId="2632"/>
    <cellStyle name="Percent 2 47" xfId="2633"/>
    <cellStyle name="Percent 2 48" xfId="2634"/>
    <cellStyle name="Percent 2 49" xfId="2635"/>
    <cellStyle name="Percent 2 5" xfId="2636"/>
    <cellStyle name="Percent 2 50" xfId="2637"/>
    <cellStyle name="Percent 2 51" xfId="2638"/>
    <cellStyle name="Percent 2 52" xfId="2639"/>
    <cellStyle name="Percent 2 53" xfId="2640"/>
    <cellStyle name="Percent 2 54" xfId="2641"/>
    <cellStyle name="Percent 2 55" xfId="2642"/>
    <cellStyle name="Percent 2 56" xfId="2643"/>
    <cellStyle name="Percent 2 57" xfId="2644"/>
    <cellStyle name="Percent 2 58" xfId="2645"/>
    <cellStyle name="Percent 2 59" xfId="2646"/>
    <cellStyle name="Percent 2 6" xfId="2647"/>
    <cellStyle name="Percent 2 60" xfId="2648"/>
    <cellStyle name="Percent 2 61" xfId="2649"/>
    <cellStyle name="Percent 2 62" xfId="2650"/>
    <cellStyle name="Percent 2 63" xfId="2651"/>
    <cellStyle name="Percent 2 64" xfId="2652"/>
    <cellStyle name="Percent 2 65" xfId="2653"/>
    <cellStyle name="Percent 2 7" xfId="2654"/>
    <cellStyle name="Percent 2 8" xfId="2655"/>
    <cellStyle name="Percent 2 9" xfId="2656"/>
    <cellStyle name="Percent 3" xfId="2657"/>
    <cellStyle name="Percent 3 2" xfId="7058"/>
    <cellStyle name="Percent 4" xfId="2658"/>
    <cellStyle name="Percent 4 2" xfId="2659"/>
    <cellStyle name="Percent 4 3" xfId="7059"/>
    <cellStyle name="Percent 5" xfId="2660"/>
    <cellStyle name="Percent 5 2" xfId="2661"/>
    <cellStyle name="Percent 5 3" xfId="7060"/>
    <cellStyle name="Percent 6" xfId="2662"/>
    <cellStyle name="Percent 6 2" xfId="2663"/>
    <cellStyle name="Percent 6 3" xfId="7061"/>
    <cellStyle name="Percent 7" xfId="2664"/>
    <cellStyle name="Percent 7 2" xfId="2665"/>
    <cellStyle name="Percent 7 3" xfId="7062"/>
    <cellStyle name="Percent 8" xfId="2666"/>
    <cellStyle name="Percent 9" xfId="2667"/>
    <cellStyle name="Percent[0]" xfId="7063"/>
    <cellStyle name="Percent[0] 2" xfId="7064"/>
    <cellStyle name="Percent[2]" xfId="7065"/>
    <cellStyle name="Percent[2] 2" xfId="7066"/>
    <cellStyle name="percent0" xfId="3349"/>
    <cellStyle name="percent1" xfId="3350"/>
    <cellStyle name="Percentage" xfId="3351"/>
    <cellStyle name="PercentChange" xfId="2668"/>
    <cellStyle name="PlainDollarBoldwBorders" xfId="7067"/>
    <cellStyle name="PlainDollarBoldwBorders 2" xfId="7068"/>
    <cellStyle name="plus" xfId="3352"/>
    <cellStyle name="plusnorm" xfId="3353"/>
    <cellStyle name="pluspct" xfId="3354"/>
    <cellStyle name="PrePop Currency (0)" xfId="7069"/>
    <cellStyle name="PrePop Currency (0) 2" xfId="7070"/>
    <cellStyle name="PrePop Currency (0) 3" xfId="7071"/>
    <cellStyle name="PrePop Currency (0) 4" xfId="7072"/>
    <cellStyle name="PrePop Currency (0) 5" xfId="7073"/>
    <cellStyle name="PrePop Currency (0) 6" xfId="7074"/>
    <cellStyle name="PrePop Currency (0) 7" xfId="7075"/>
    <cellStyle name="PrePop Currency (0) 8" xfId="7076"/>
    <cellStyle name="PrePop Currency (2)" xfId="7077"/>
    <cellStyle name="PrePop Currency (2) 2" xfId="7078"/>
    <cellStyle name="PrePop Currency (2) 3" xfId="7079"/>
    <cellStyle name="PrePop Currency (2) 4" xfId="7080"/>
    <cellStyle name="PrePop Currency (2) 5" xfId="7081"/>
    <cellStyle name="PrePop Currency (2) 6" xfId="7082"/>
    <cellStyle name="PrePop Currency (2) 7" xfId="7083"/>
    <cellStyle name="PrePop Currency (2) 8" xfId="7084"/>
    <cellStyle name="PrePop Units (0)" xfId="7085"/>
    <cellStyle name="PrePop Units (0) 2" xfId="7086"/>
    <cellStyle name="PrePop Units (0) 3" xfId="7087"/>
    <cellStyle name="PrePop Units (0) 4" xfId="7088"/>
    <cellStyle name="PrePop Units (0) 5" xfId="7089"/>
    <cellStyle name="PrePop Units (0) 6" xfId="7090"/>
    <cellStyle name="PrePop Units (0) 7" xfId="7091"/>
    <cellStyle name="PrePop Units (0) 8" xfId="7092"/>
    <cellStyle name="PrePop Units (1)" xfId="7093"/>
    <cellStyle name="PrePop Units (1) 2" xfId="7094"/>
    <cellStyle name="PrePop Units (1) 3" xfId="7095"/>
    <cellStyle name="PrePop Units (1) 4" xfId="7096"/>
    <cellStyle name="PrePop Units (1) 5" xfId="7097"/>
    <cellStyle name="PrePop Units (1) 6" xfId="7098"/>
    <cellStyle name="PrePop Units (1) 7" xfId="7099"/>
    <cellStyle name="PrePop Units (1) 8" xfId="7100"/>
    <cellStyle name="PrePop Units (2)" xfId="7101"/>
    <cellStyle name="PrePop Units (2) 2" xfId="7102"/>
    <cellStyle name="PrePop Units (2) 3" xfId="7103"/>
    <cellStyle name="PrePop Units (2) 4" xfId="7104"/>
    <cellStyle name="PrePop Units (2) 5" xfId="7105"/>
    <cellStyle name="PrePop Units (2) 6" xfId="7106"/>
    <cellStyle name="PrePop Units (2) 7" xfId="7107"/>
    <cellStyle name="PrePop Units (2) 8" xfId="7108"/>
    <cellStyle name="Price" xfId="2669"/>
    <cellStyle name="ProtectedDates" xfId="7109"/>
    <cellStyle name="PSChar" xfId="7110"/>
    <cellStyle name="PSChar 2" xfId="7111"/>
    <cellStyle name="PSDate" xfId="7112"/>
    <cellStyle name="PSDate 2" xfId="7113"/>
    <cellStyle name="PSDec" xfId="7114"/>
    <cellStyle name="PSDec 2" xfId="7115"/>
    <cellStyle name="PSHeading" xfId="7116"/>
    <cellStyle name="PSHeading 2" xfId="7117"/>
    <cellStyle name="PSInt" xfId="7118"/>
    <cellStyle name="PSInt 2" xfId="7119"/>
    <cellStyle name="PSSpacer" xfId="7120"/>
    <cellStyle name="PSSpacer 2" xfId="7121"/>
    <cellStyle name="r" xfId="3355"/>
    <cellStyle name="r_Chariot_Model_Update16" xfId="3356"/>
    <cellStyle name="r_LBO Model 2" xfId="3357"/>
    <cellStyle name="r_One Pager v13" xfId="3358"/>
    <cellStyle name="r_Paragon-Diamond Model 4" xfId="3359"/>
    <cellStyle name="RatioX" xfId="2670"/>
    <cellStyle name="RED" xfId="7122"/>
    <cellStyle name="RED 2" xfId="7123"/>
    <cellStyle name="RED 3" xfId="7124"/>
    <cellStyle name="RED 4" xfId="7125"/>
    <cellStyle name="RED 5" xfId="7126"/>
    <cellStyle name="RED 6" xfId="7127"/>
    <cellStyle name="Restruct" xfId="7128"/>
    <cellStyle name="Reuters Cells" xfId="2671"/>
    <cellStyle name="Reuters Cells 2" xfId="7130"/>
    <cellStyle name="Reuters Cells 2 2" xfId="7818"/>
    <cellStyle name="Reuters Cells 3" xfId="7129"/>
    <cellStyle name="Reuters Cells 4" xfId="7817"/>
    <cellStyle name="Salomon Logo" xfId="7131"/>
    <cellStyle name="ScripFactor" xfId="2672"/>
    <cellStyle name="SectionHeaderNormal" xfId="2673"/>
    <cellStyle name="SectionHeaderNormal 2" xfId="2674"/>
    <cellStyle name="SectionHeading" xfId="2675"/>
    <cellStyle name="ShadedCells_Database" xfId="2676"/>
    <cellStyle name="Sheet Title" xfId="2677"/>
    <cellStyle name="STANDARD" xfId="7132"/>
    <cellStyle name="STANDARD 2" xfId="7133"/>
    <cellStyle name="STANDARD 3" xfId="7134"/>
    <cellStyle name="STANDARD 4" xfId="7135"/>
    <cellStyle name="STANDARD 5" xfId="7136"/>
    <cellStyle name="STANDARD 6" xfId="7137"/>
    <cellStyle name="STANDARD 7" xfId="7138"/>
    <cellStyle name="STANDARD 8" xfId="7139"/>
    <cellStyle name="Style 1" xfId="2678"/>
    <cellStyle name="Style 1 10" xfId="2679"/>
    <cellStyle name="Style 1 11" xfId="2680"/>
    <cellStyle name="Style 1 12" xfId="2681"/>
    <cellStyle name="Style 1 13" xfId="2682"/>
    <cellStyle name="Style 1 14" xfId="2683"/>
    <cellStyle name="Style 1 15" xfId="2684"/>
    <cellStyle name="Style 1 16" xfId="2685"/>
    <cellStyle name="Style 1 17" xfId="2686"/>
    <cellStyle name="Style 1 18" xfId="2687"/>
    <cellStyle name="Style 1 19" xfId="2688"/>
    <cellStyle name="Style 1 2" xfId="2689"/>
    <cellStyle name="Style 1 2 2" xfId="7140"/>
    <cellStyle name="Style 1 20" xfId="2690"/>
    <cellStyle name="Style 1 21" xfId="2691"/>
    <cellStyle name="Style 1 22" xfId="2692"/>
    <cellStyle name="Style 1 23" xfId="2693"/>
    <cellStyle name="Style 1 24" xfId="2694"/>
    <cellStyle name="Style 1 25" xfId="2695"/>
    <cellStyle name="Style 1 26" xfId="2696"/>
    <cellStyle name="Style 1 27" xfId="2697"/>
    <cellStyle name="Style 1 28" xfId="2698"/>
    <cellStyle name="Style 1 29" xfId="2699"/>
    <cellStyle name="Style 1 3" xfId="2700"/>
    <cellStyle name="Style 1 4" xfId="2701"/>
    <cellStyle name="Style 1 5" xfId="2702"/>
    <cellStyle name="Style 1 6" xfId="2703"/>
    <cellStyle name="Style 1 7" xfId="2704"/>
    <cellStyle name="Style 1 8" xfId="2705"/>
    <cellStyle name="Style 1 9" xfId="2706"/>
    <cellStyle name="Style 21" xfId="2707"/>
    <cellStyle name="Style 21 10" xfId="2708"/>
    <cellStyle name="Style 21 11" xfId="2709"/>
    <cellStyle name="Style 21 12" xfId="2710"/>
    <cellStyle name="Style 21 13" xfId="2711"/>
    <cellStyle name="Style 21 14" xfId="2712"/>
    <cellStyle name="Style 21 15" xfId="2713"/>
    <cellStyle name="Style 21 16" xfId="2714"/>
    <cellStyle name="Style 21 17" xfId="2715"/>
    <cellStyle name="Style 21 18" xfId="2716"/>
    <cellStyle name="Style 21 19" xfId="2717"/>
    <cellStyle name="Style 21 2" xfId="2718"/>
    <cellStyle name="Style 21 2 10" xfId="2719"/>
    <cellStyle name="Style 21 2 11" xfId="2720"/>
    <cellStyle name="Style 21 2 12" xfId="2721"/>
    <cellStyle name="Style 21 2 13" xfId="2722"/>
    <cellStyle name="Style 21 2 14" xfId="2723"/>
    <cellStyle name="Style 21 2 15" xfId="2724"/>
    <cellStyle name="Style 21 2 16" xfId="2725"/>
    <cellStyle name="Style 21 2 17" xfId="2726"/>
    <cellStyle name="Style 21 2 18" xfId="2727"/>
    <cellStyle name="Style 21 2 19" xfId="2728"/>
    <cellStyle name="Style 21 2 2" xfId="2729"/>
    <cellStyle name="Style 21 2 20" xfId="2730"/>
    <cellStyle name="Style 21 2 21" xfId="2731"/>
    <cellStyle name="Style 21 2 22" xfId="2732"/>
    <cellStyle name="Style 21 2 23" xfId="2733"/>
    <cellStyle name="Style 21 2 24" xfId="2734"/>
    <cellStyle name="Style 21 2 3" xfId="2735"/>
    <cellStyle name="Style 21 2 4" xfId="2736"/>
    <cellStyle name="Style 21 2 5" xfId="2737"/>
    <cellStyle name="Style 21 2 6" xfId="2738"/>
    <cellStyle name="Style 21 2 7" xfId="2739"/>
    <cellStyle name="Style 21 2 8" xfId="2740"/>
    <cellStyle name="Style 21 2 9" xfId="2741"/>
    <cellStyle name="Style 21 20" xfId="2742"/>
    <cellStyle name="Style 21 21" xfId="2743"/>
    <cellStyle name="Style 21 22" xfId="2744"/>
    <cellStyle name="Style 21 23" xfId="2745"/>
    <cellStyle name="Style 21 24" xfId="2746"/>
    <cellStyle name="Style 21 25" xfId="2747"/>
    <cellStyle name="Style 21 26" xfId="2748"/>
    <cellStyle name="Style 21 27" xfId="2749"/>
    <cellStyle name="Style 21 28" xfId="2750"/>
    <cellStyle name="Style 21 29" xfId="2751"/>
    <cellStyle name="Style 21 3" xfId="2752"/>
    <cellStyle name="Style 21 30" xfId="2753"/>
    <cellStyle name="Style 21 31" xfId="2754"/>
    <cellStyle name="Style 21 32" xfId="2755"/>
    <cellStyle name="Style 21 33" xfId="2756"/>
    <cellStyle name="Style 21 34" xfId="2757"/>
    <cellStyle name="Style 21 35" xfId="2758"/>
    <cellStyle name="Style 21 36" xfId="2759"/>
    <cellStyle name="Style 21 37" xfId="2760"/>
    <cellStyle name="Style 21 38" xfId="2761"/>
    <cellStyle name="Style 21 39" xfId="2762"/>
    <cellStyle name="Style 21 4" xfId="2763"/>
    <cellStyle name="Style 21 40" xfId="2764"/>
    <cellStyle name="Style 21 41" xfId="2765"/>
    <cellStyle name="Style 21 42" xfId="2766"/>
    <cellStyle name="Style 21 43" xfId="2767"/>
    <cellStyle name="Style 21 44" xfId="2768"/>
    <cellStyle name="Style 21 45" xfId="2769"/>
    <cellStyle name="Style 21 46" xfId="2770"/>
    <cellStyle name="Style 21 47" xfId="2771"/>
    <cellStyle name="Style 21 48" xfId="2772"/>
    <cellStyle name="Style 21 49" xfId="2773"/>
    <cellStyle name="Style 21 5" xfId="2774"/>
    <cellStyle name="Style 21 50" xfId="2775"/>
    <cellStyle name="Style 21 51" xfId="2776"/>
    <cellStyle name="Style 21 52" xfId="2777"/>
    <cellStyle name="Style 21 53" xfId="2778"/>
    <cellStyle name="Style 21 54" xfId="2779"/>
    <cellStyle name="Style 21 55" xfId="2780"/>
    <cellStyle name="Style 21 56" xfId="2781"/>
    <cellStyle name="Style 21 57" xfId="2782"/>
    <cellStyle name="Style 21 58" xfId="2783"/>
    <cellStyle name="Style 21 59" xfId="2784"/>
    <cellStyle name="Style 21 6" xfId="2785"/>
    <cellStyle name="Style 21 60" xfId="2786"/>
    <cellStyle name="Style 21 61" xfId="2787"/>
    <cellStyle name="Style 21 62" xfId="2788"/>
    <cellStyle name="Style 21 63" xfId="2789"/>
    <cellStyle name="Style 21 64" xfId="2790"/>
    <cellStyle name="Style 21 65" xfId="2791"/>
    <cellStyle name="Style 21 66" xfId="2792"/>
    <cellStyle name="Style 21 67" xfId="2793"/>
    <cellStyle name="Style 21 68" xfId="2794"/>
    <cellStyle name="Style 21 69" xfId="2795"/>
    <cellStyle name="Style 21 7" xfId="2796"/>
    <cellStyle name="Style 21 70" xfId="2797"/>
    <cellStyle name="Style 21 71" xfId="2798"/>
    <cellStyle name="Style 21 72" xfId="2799"/>
    <cellStyle name="Style 21 73" xfId="2800"/>
    <cellStyle name="Style 21 74" xfId="2801"/>
    <cellStyle name="Style 21 75" xfId="2802"/>
    <cellStyle name="Style 21 76" xfId="2803"/>
    <cellStyle name="Style 21 77" xfId="2804"/>
    <cellStyle name="Style 21 78" xfId="2805"/>
    <cellStyle name="Style 21 79" xfId="2806"/>
    <cellStyle name="Style 21 8" xfId="2807"/>
    <cellStyle name="Style 21 80" xfId="2808"/>
    <cellStyle name="Style 21 81" xfId="2809"/>
    <cellStyle name="Style 21 82" xfId="2810"/>
    <cellStyle name="Style 21 83" xfId="2811"/>
    <cellStyle name="Style 21 84" xfId="2812"/>
    <cellStyle name="Style 21 85" xfId="2813"/>
    <cellStyle name="Style 21 86" xfId="2814"/>
    <cellStyle name="Style 21 87" xfId="2815"/>
    <cellStyle name="Style 21 9" xfId="2816"/>
    <cellStyle name="Style 21_Key Stats (Platform) Insurance" xfId="2817"/>
    <cellStyle name="Style 22" xfId="2818"/>
    <cellStyle name="Style 22 10" xfId="2819"/>
    <cellStyle name="Style 22 11" xfId="2820"/>
    <cellStyle name="Style 22 12" xfId="2821"/>
    <cellStyle name="Style 22 13" xfId="2822"/>
    <cellStyle name="Style 22 14" xfId="2823"/>
    <cellStyle name="Style 22 15" xfId="2824"/>
    <cellStyle name="Style 22 16" xfId="2825"/>
    <cellStyle name="Style 22 17" xfId="2826"/>
    <cellStyle name="Style 22 18" xfId="2827"/>
    <cellStyle name="Style 22 19" xfId="2828"/>
    <cellStyle name="Style 22 2" xfId="2829"/>
    <cellStyle name="Style 22 20" xfId="2830"/>
    <cellStyle name="Style 22 21" xfId="2831"/>
    <cellStyle name="Style 22 22" xfId="2832"/>
    <cellStyle name="Style 22 23" xfId="2833"/>
    <cellStyle name="Style 22 24" xfId="2834"/>
    <cellStyle name="Style 22 25" xfId="2835"/>
    <cellStyle name="Style 22 26" xfId="2836"/>
    <cellStyle name="Style 22 27" xfId="2837"/>
    <cellStyle name="Style 22 28" xfId="2838"/>
    <cellStyle name="Style 22 29" xfId="2839"/>
    <cellStyle name="Style 22 3" xfId="2840"/>
    <cellStyle name="Style 22 30" xfId="2841"/>
    <cellStyle name="Style 22 31" xfId="2842"/>
    <cellStyle name="Style 22 32" xfId="2843"/>
    <cellStyle name="Style 22 33" xfId="2844"/>
    <cellStyle name="Style 22 34" xfId="2845"/>
    <cellStyle name="Style 22 35" xfId="2846"/>
    <cellStyle name="Style 22 36" xfId="2847"/>
    <cellStyle name="Style 22 37" xfId="2848"/>
    <cellStyle name="Style 22 38" xfId="2849"/>
    <cellStyle name="Style 22 39" xfId="2850"/>
    <cellStyle name="Style 22 4" xfId="2851"/>
    <cellStyle name="Style 22 40" xfId="2852"/>
    <cellStyle name="Style 22 41" xfId="2853"/>
    <cellStyle name="Style 22 42" xfId="2854"/>
    <cellStyle name="Style 22 43" xfId="2855"/>
    <cellStyle name="Style 22 44" xfId="2856"/>
    <cellStyle name="Style 22 45" xfId="2857"/>
    <cellStyle name="Style 22 46" xfId="2858"/>
    <cellStyle name="Style 22 47" xfId="2859"/>
    <cellStyle name="Style 22 48" xfId="2860"/>
    <cellStyle name="Style 22 49" xfId="2861"/>
    <cellStyle name="Style 22 5" xfId="2862"/>
    <cellStyle name="Style 22 50" xfId="2863"/>
    <cellStyle name="Style 22 51" xfId="2864"/>
    <cellStyle name="Style 22 52" xfId="2865"/>
    <cellStyle name="Style 22 53" xfId="2866"/>
    <cellStyle name="Style 22 54" xfId="2867"/>
    <cellStyle name="Style 22 55" xfId="2868"/>
    <cellStyle name="Style 22 56" xfId="2869"/>
    <cellStyle name="Style 22 57" xfId="2870"/>
    <cellStyle name="Style 22 58" xfId="2871"/>
    <cellStyle name="Style 22 59" xfId="2872"/>
    <cellStyle name="Style 22 6" xfId="2873"/>
    <cellStyle name="Style 22 60" xfId="2874"/>
    <cellStyle name="Style 22 61" xfId="2875"/>
    <cellStyle name="Style 22 62" xfId="2876"/>
    <cellStyle name="Style 22 63" xfId="2877"/>
    <cellStyle name="Style 22 64" xfId="2878"/>
    <cellStyle name="Style 22 65" xfId="2879"/>
    <cellStyle name="Style 22 66" xfId="2880"/>
    <cellStyle name="Style 22 67" xfId="2881"/>
    <cellStyle name="Style 22 68" xfId="2882"/>
    <cellStyle name="Style 22 69" xfId="2883"/>
    <cellStyle name="Style 22 7" xfId="2884"/>
    <cellStyle name="Style 22 70" xfId="2885"/>
    <cellStyle name="Style 22 71" xfId="2886"/>
    <cellStyle name="Style 22 72" xfId="2887"/>
    <cellStyle name="Style 22 73" xfId="2888"/>
    <cellStyle name="Style 22 74" xfId="2889"/>
    <cellStyle name="Style 22 75" xfId="2890"/>
    <cellStyle name="Style 22 76" xfId="2891"/>
    <cellStyle name="Style 22 77" xfId="2892"/>
    <cellStyle name="Style 22 78" xfId="2893"/>
    <cellStyle name="Style 22 79" xfId="2894"/>
    <cellStyle name="Style 22 8" xfId="2895"/>
    <cellStyle name="Style 22 80" xfId="2896"/>
    <cellStyle name="Style 22 81" xfId="2897"/>
    <cellStyle name="Style 22 82" xfId="2898"/>
    <cellStyle name="Style 22 83" xfId="2899"/>
    <cellStyle name="Style 22 84" xfId="2900"/>
    <cellStyle name="Style 22 85" xfId="2901"/>
    <cellStyle name="Style 22 86" xfId="2902"/>
    <cellStyle name="Style 22 87" xfId="2903"/>
    <cellStyle name="Style 22 9" xfId="2904"/>
    <cellStyle name="Style 23" xfId="2905"/>
    <cellStyle name="Style 23 10" xfId="2906"/>
    <cellStyle name="Style 23 11" xfId="2907"/>
    <cellStyle name="Style 23 12" xfId="2908"/>
    <cellStyle name="Style 23 13" xfId="2909"/>
    <cellStyle name="Style 23 14" xfId="2910"/>
    <cellStyle name="Style 23 15" xfId="2911"/>
    <cellStyle name="Style 23 16" xfId="2912"/>
    <cellStyle name="Style 23 17" xfId="2913"/>
    <cellStyle name="Style 23 18" xfId="2914"/>
    <cellStyle name="Style 23 19" xfId="2915"/>
    <cellStyle name="Style 23 2" xfId="2916"/>
    <cellStyle name="Style 23 20" xfId="2917"/>
    <cellStyle name="Style 23 21" xfId="2918"/>
    <cellStyle name="Style 23 22" xfId="2919"/>
    <cellStyle name="Style 23 23" xfId="2920"/>
    <cellStyle name="Style 23 24" xfId="2921"/>
    <cellStyle name="Style 23 25" xfId="2922"/>
    <cellStyle name="Style 23 26" xfId="2923"/>
    <cellStyle name="Style 23 27" xfId="2924"/>
    <cellStyle name="Style 23 28" xfId="2925"/>
    <cellStyle name="Style 23 29" xfId="2926"/>
    <cellStyle name="Style 23 3" xfId="2927"/>
    <cellStyle name="Style 23 30" xfId="2928"/>
    <cellStyle name="Style 23 31" xfId="2929"/>
    <cellStyle name="Style 23 32" xfId="2930"/>
    <cellStyle name="Style 23 33" xfId="2931"/>
    <cellStyle name="Style 23 34" xfId="2932"/>
    <cellStyle name="Style 23 35" xfId="2933"/>
    <cellStyle name="Style 23 36" xfId="2934"/>
    <cellStyle name="Style 23 37" xfId="2935"/>
    <cellStyle name="Style 23 38" xfId="2936"/>
    <cellStyle name="Style 23 39" xfId="2937"/>
    <cellStyle name="Style 23 4" xfId="2938"/>
    <cellStyle name="Style 23 40" xfId="2939"/>
    <cellStyle name="Style 23 41" xfId="2940"/>
    <cellStyle name="Style 23 42" xfId="2941"/>
    <cellStyle name="Style 23 43" xfId="2942"/>
    <cellStyle name="Style 23 44" xfId="2943"/>
    <cellStyle name="Style 23 45" xfId="2944"/>
    <cellStyle name="Style 23 46" xfId="2945"/>
    <cellStyle name="Style 23 47" xfId="2946"/>
    <cellStyle name="Style 23 48" xfId="2947"/>
    <cellStyle name="Style 23 49" xfId="2948"/>
    <cellStyle name="Style 23 5" xfId="2949"/>
    <cellStyle name="Style 23 50" xfId="2950"/>
    <cellStyle name="Style 23 51" xfId="2951"/>
    <cellStyle name="Style 23 52" xfId="2952"/>
    <cellStyle name="Style 23 53" xfId="2953"/>
    <cellStyle name="Style 23 54" xfId="2954"/>
    <cellStyle name="Style 23 55" xfId="2955"/>
    <cellStyle name="Style 23 56" xfId="2956"/>
    <cellStyle name="Style 23 57" xfId="2957"/>
    <cellStyle name="Style 23 58" xfId="2958"/>
    <cellStyle name="Style 23 59" xfId="2959"/>
    <cellStyle name="Style 23 6" xfId="2960"/>
    <cellStyle name="Style 23 60" xfId="2961"/>
    <cellStyle name="Style 23 61" xfId="2962"/>
    <cellStyle name="Style 23 62" xfId="2963"/>
    <cellStyle name="Style 23 63" xfId="2964"/>
    <cellStyle name="Style 23 64" xfId="2965"/>
    <cellStyle name="Style 23 65" xfId="2966"/>
    <cellStyle name="Style 23 66" xfId="2967"/>
    <cellStyle name="Style 23 67" xfId="2968"/>
    <cellStyle name="Style 23 68" xfId="2969"/>
    <cellStyle name="Style 23 69" xfId="2970"/>
    <cellStyle name="Style 23 7" xfId="2971"/>
    <cellStyle name="Style 23 70" xfId="2972"/>
    <cellStyle name="Style 23 71" xfId="2973"/>
    <cellStyle name="Style 23 72" xfId="2974"/>
    <cellStyle name="Style 23 73" xfId="2975"/>
    <cellStyle name="Style 23 74" xfId="2976"/>
    <cellStyle name="Style 23 75" xfId="2977"/>
    <cellStyle name="Style 23 76" xfId="2978"/>
    <cellStyle name="Style 23 77" xfId="2979"/>
    <cellStyle name="Style 23 78" xfId="2980"/>
    <cellStyle name="Style 23 79" xfId="2981"/>
    <cellStyle name="Style 23 8" xfId="2982"/>
    <cellStyle name="Style 23 80" xfId="2983"/>
    <cellStyle name="Style 23 81" xfId="2984"/>
    <cellStyle name="Style 23 82" xfId="2985"/>
    <cellStyle name="Style 23 83" xfId="2986"/>
    <cellStyle name="Style 23 84" xfId="2987"/>
    <cellStyle name="Style 23 85" xfId="2988"/>
    <cellStyle name="Style 23 86" xfId="2989"/>
    <cellStyle name="Style 23 87" xfId="2990"/>
    <cellStyle name="Style 23 9" xfId="2991"/>
    <cellStyle name="Style 24" xfId="2992"/>
    <cellStyle name="Style 24 10" xfId="2993"/>
    <cellStyle name="Style 24 11" xfId="2994"/>
    <cellStyle name="Style 24 12" xfId="2995"/>
    <cellStyle name="Style 24 13" xfId="2996"/>
    <cellStyle name="Style 24 14" xfId="2997"/>
    <cellStyle name="Style 24 15" xfId="2998"/>
    <cellStyle name="Style 24 16" xfId="2999"/>
    <cellStyle name="Style 24 17" xfId="3000"/>
    <cellStyle name="Style 24 18" xfId="3001"/>
    <cellStyle name="Style 24 19" xfId="3002"/>
    <cellStyle name="Style 24 2" xfId="3003"/>
    <cellStyle name="Style 24 2 10" xfId="3004"/>
    <cellStyle name="Style 24 2 11" xfId="3005"/>
    <cellStyle name="Style 24 2 12" xfId="3006"/>
    <cellStyle name="Style 24 2 13" xfId="3007"/>
    <cellStyle name="Style 24 2 14" xfId="3008"/>
    <cellStyle name="Style 24 2 15" xfId="3009"/>
    <cellStyle name="Style 24 2 16" xfId="3010"/>
    <cellStyle name="Style 24 2 17" xfId="3011"/>
    <cellStyle name="Style 24 2 18" xfId="3012"/>
    <cellStyle name="Style 24 2 19" xfId="3013"/>
    <cellStyle name="Style 24 2 2" xfId="3014"/>
    <cellStyle name="Style 24 2 20" xfId="3015"/>
    <cellStyle name="Style 24 2 21" xfId="3016"/>
    <cellStyle name="Style 24 2 22" xfId="3017"/>
    <cellStyle name="Style 24 2 23" xfId="3018"/>
    <cellStyle name="Style 24 2 24" xfId="3019"/>
    <cellStyle name="Style 24 2 3" xfId="3020"/>
    <cellStyle name="Style 24 2 4" xfId="3021"/>
    <cellStyle name="Style 24 2 5" xfId="3022"/>
    <cellStyle name="Style 24 2 6" xfId="3023"/>
    <cellStyle name="Style 24 2 7" xfId="3024"/>
    <cellStyle name="Style 24 2 8" xfId="3025"/>
    <cellStyle name="Style 24 2 9" xfId="3026"/>
    <cellStyle name="Style 24 20" xfId="3027"/>
    <cellStyle name="Style 24 21" xfId="3028"/>
    <cellStyle name="Style 24 22" xfId="3029"/>
    <cellStyle name="Style 24 23" xfId="3030"/>
    <cellStyle name="Style 24 24" xfId="3031"/>
    <cellStyle name="Style 24 25" xfId="3032"/>
    <cellStyle name="Style 24 26" xfId="3033"/>
    <cellStyle name="Style 24 27" xfId="3034"/>
    <cellStyle name="Style 24 28" xfId="3035"/>
    <cellStyle name="Style 24 29" xfId="3036"/>
    <cellStyle name="Style 24 3" xfId="3037"/>
    <cellStyle name="Style 24 30" xfId="3038"/>
    <cellStyle name="Style 24 31" xfId="3039"/>
    <cellStyle name="Style 24 32" xfId="3040"/>
    <cellStyle name="Style 24 33" xfId="3041"/>
    <cellStyle name="Style 24 34" xfId="3042"/>
    <cellStyle name="Style 24 35" xfId="3043"/>
    <cellStyle name="Style 24 36" xfId="3044"/>
    <cellStyle name="Style 24 37" xfId="3045"/>
    <cellStyle name="Style 24 38" xfId="3046"/>
    <cellStyle name="Style 24 39" xfId="3047"/>
    <cellStyle name="Style 24 4" xfId="3048"/>
    <cellStyle name="Style 24 40" xfId="3049"/>
    <cellStyle name="Style 24 41" xfId="3050"/>
    <cellStyle name="Style 24 42" xfId="3051"/>
    <cellStyle name="Style 24 43" xfId="3052"/>
    <cellStyle name="Style 24 44" xfId="3053"/>
    <cellStyle name="Style 24 45" xfId="3054"/>
    <cellStyle name="Style 24 46" xfId="3055"/>
    <cellStyle name="Style 24 47" xfId="3056"/>
    <cellStyle name="Style 24 48" xfId="3057"/>
    <cellStyle name="Style 24 49" xfId="3058"/>
    <cellStyle name="Style 24 5" xfId="3059"/>
    <cellStyle name="Style 24 50" xfId="3060"/>
    <cellStyle name="Style 24 51" xfId="3061"/>
    <cellStyle name="Style 24 52" xfId="3062"/>
    <cellStyle name="Style 24 53" xfId="3063"/>
    <cellStyle name="Style 24 54" xfId="3064"/>
    <cellStyle name="Style 24 55" xfId="3065"/>
    <cellStyle name="Style 24 56" xfId="3066"/>
    <cellStyle name="Style 24 57" xfId="3067"/>
    <cellStyle name="Style 24 58" xfId="3068"/>
    <cellStyle name="Style 24 59" xfId="3069"/>
    <cellStyle name="Style 24 6" xfId="3070"/>
    <cellStyle name="Style 24 60" xfId="3071"/>
    <cellStyle name="Style 24 61" xfId="3072"/>
    <cellStyle name="Style 24 62" xfId="3073"/>
    <cellStyle name="Style 24 63" xfId="3074"/>
    <cellStyle name="Style 24 64" xfId="3075"/>
    <cellStyle name="Style 24 65" xfId="3076"/>
    <cellStyle name="Style 24 66" xfId="3077"/>
    <cellStyle name="Style 24 67" xfId="3078"/>
    <cellStyle name="Style 24 68" xfId="3079"/>
    <cellStyle name="Style 24 69" xfId="3080"/>
    <cellStyle name="Style 24 7" xfId="3081"/>
    <cellStyle name="Style 24 70" xfId="3082"/>
    <cellStyle name="Style 24 71" xfId="3083"/>
    <cellStyle name="Style 24 72" xfId="3084"/>
    <cellStyle name="Style 24 73" xfId="3085"/>
    <cellStyle name="Style 24 74" xfId="3086"/>
    <cellStyle name="Style 24 75" xfId="3087"/>
    <cellStyle name="Style 24 76" xfId="3088"/>
    <cellStyle name="Style 24 77" xfId="3089"/>
    <cellStyle name="Style 24 78" xfId="3090"/>
    <cellStyle name="Style 24 79" xfId="3091"/>
    <cellStyle name="Style 24 8" xfId="3092"/>
    <cellStyle name="Style 24 80" xfId="3093"/>
    <cellStyle name="Style 24 81" xfId="3094"/>
    <cellStyle name="Style 24 82" xfId="3095"/>
    <cellStyle name="Style 24 83" xfId="3096"/>
    <cellStyle name="Style 24 84" xfId="3097"/>
    <cellStyle name="Style 24 85" xfId="3098"/>
    <cellStyle name="Style 24 86" xfId="3099"/>
    <cellStyle name="Style 24 87" xfId="3100"/>
    <cellStyle name="Style 24 9" xfId="3101"/>
    <cellStyle name="Style 24_Key Stats (Platform) Insurance" xfId="3102"/>
    <cellStyle name="Style 25" xfId="3103"/>
    <cellStyle name="Style 25 10" xfId="3104"/>
    <cellStyle name="Style 25 11" xfId="3105"/>
    <cellStyle name="Style 25 12" xfId="3106"/>
    <cellStyle name="Style 25 13" xfId="3107"/>
    <cellStyle name="Style 25 14" xfId="3108"/>
    <cellStyle name="Style 25 15" xfId="3109"/>
    <cellStyle name="Style 25 16" xfId="3110"/>
    <cellStyle name="Style 25 17" xfId="3111"/>
    <cellStyle name="Style 25 18" xfId="3112"/>
    <cellStyle name="Style 25 19" xfId="3113"/>
    <cellStyle name="Style 25 2" xfId="3114"/>
    <cellStyle name="Style 25 20" xfId="3115"/>
    <cellStyle name="Style 25 21" xfId="3116"/>
    <cellStyle name="Style 25 22" xfId="3117"/>
    <cellStyle name="Style 25 23" xfId="3118"/>
    <cellStyle name="Style 25 24" xfId="3119"/>
    <cellStyle name="Style 25 3" xfId="3120"/>
    <cellStyle name="Style 25 4" xfId="3121"/>
    <cellStyle name="Style 25 5" xfId="3122"/>
    <cellStyle name="Style 25 6" xfId="3123"/>
    <cellStyle name="Style 25 7" xfId="3124"/>
    <cellStyle name="Style 25 8" xfId="3125"/>
    <cellStyle name="Style 25 9" xfId="3126"/>
    <cellStyle name="Style 26" xfId="3127"/>
    <cellStyle name="Style 27" xfId="3128"/>
    <cellStyle name="Style 28" xfId="3129"/>
    <cellStyle name="Style D green" xfId="3130"/>
    <cellStyle name="Style E" xfId="3131"/>
    <cellStyle name="Style H" xfId="3132"/>
    <cellStyle name="Sub total" xfId="3133"/>
    <cellStyle name="SubScript" xfId="3134"/>
    <cellStyle name="SubScript 2" xfId="3135"/>
    <cellStyle name="SuperScript" xfId="3136"/>
    <cellStyle name="SuperScript 2" xfId="3137"/>
    <cellStyle name="Table Col Head" xfId="3360"/>
    <cellStyle name="Table end" xfId="3138"/>
    <cellStyle name="Table Head" xfId="3139"/>
    <cellStyle name="Table Head Aligned" xfId="3140"/>
    <cellStyle name="Table Head Blue" xfId="3141"/>
    <cellStyle name="Table Head Green" xfId="3142"/>
    <cellStyle name="Table head_PMC - analysis_08.08.07" xfId="3143"/>
    <cellStyle name="table text bold" xfId="3144"/>
    <cellStyle name="table text bold green" xfId="3145"/>
    <cellStyle name="table text bold_PharMerica" xfId="3146"/>
    <cellStyle name="table text light" xfId="3147"/>
    <cellStyle name="Table Title" xfId="3148"/>
    <cellStyle name="Table Title 2" xfId="3361"/>
    <cellStyle name="Table Units" xfId="3149"/>
    <cellStyle name="TableBody" xfId="3150"/>
    <cellStyle name="TableBodyR" xfId="3151"/>
    <cellStyle name="TableColHeads" xfId="3152"/>
    <cellStyle name="TextBold" xfId="3153"/>
    <cellStyle name="TextBold 2" xfId="3154"/>
    <cellStyle name="TextBold 3" xfId="3155"/>
    <cellStyle name="TextItalic" xfId="3156"/>
    <cellStyle name="TextItalic 2" xfId="3157"/>
    <cellStyle name="TextNormal" xfId="3158"/>
    <cellStyle name="TextNormal 2" xfId="3159"/>
    <cellStyle name="TextNormal 3" xfId="3160"/>
    <cellStyle name="Times New Roman" xfId="3161"/>
    <cellStyle name="Tina" xfId="3362"/>
    <cellStyle name="Title" xfId="3265" builtinId="15" customBuiltin="1"/>
    <cellStyle name="Title - PROJECT" xfId="3363"/>
    <cellStyle name="Title - Underline" xfId="3364"/>
    <cellStyle name="Title 10" xfId="3162"/>
    <cellStyle name="Title 10 2" xfId="3488"/>
    <cellStyle name="Title 11" xfId="3163"/>
    <cellStyle name="Title 12" xfId="3164"/>
    <cellStyle name="Title 13" xfId="3165"/>
    <cellStyle name="Title 14" xfId="3166"/>
    <cellStyle name="Title 15" xfId="3167"/>
    <cellStyle name="Title 16" xfId="3168"/>
    <cellStyle name="Title 17" xfId="3169"/>
    <cellStyle name="Title 18" xfId="3170"/>
    <cellStyle name="Title 19" xfId="3171"/>
    <cellStyle name="Title 2" xfId="3172"/>
    <cellStyle name="Title 2 2" xfId="3173"/>
    <cellStyle name="Title 2 2 2" xfId="7141"/>
    <cellStyle name="Title 20" xfId="3174"/>
    <cellStyle name="Title 21" xfId="3175"/>
    <cellStyle name="Title 22" xfId="3176"/>
    <cellStyle name="Title 23" xfId="3177"/>
    <cellStyle name="Title 24" xfId="3178"/>
    <cellStyle name="Title 25" xfId="3179"/>
    <cellStyle name="Title 26" xfId="3180"/>
    <cellStyle name="Title 3" xfId="3181"/>
    <cellStyle name="Title 3 2" xfId="7142"/>
    <cellStyle name="Title 3 3" xfId="3444"/>
    <cellStyle name="Title 4" xfId="3182"/>
    <cellStyle name="Title 4 2" xfId="7143"/>
    <cellStyle name="Title 4 3" xfId="3452"/>
    <cellStyle name="Title 5" xfId="3183"/>
    <cellStyle name="Title 5 2" xfId="7144"/>
    <cellStyle name="Title 5 3" xfId="3483"/>
    <cellStyle name="Title 6" xfId="3184"/>
    <cellStyle name="Title 6 2" xfId="3482"/>
    <cellStyle name="Title 7" xfId="3185"/>
    <cellStyle name="Title 7 2" xfId="3478"/>
    <cellStyle name="Title 8" xfId="3186"/>
    <cellStyle name="Title 8 2" xfId="3481"/>
    <cellStyle name="Title 9" xfId="3187"/>
    <cellStyle name="Title 9 2" xfId="3487"/>
    <cellStyle name="title1" xfId="3188"/>
    <cellStyle name="title2" xfId="3189"/>
    <cellStyle name="TitleNormal" xfId="3190"/>
    <cellStyle name="TitleNormal 2" xfId="3191"/>
    <cellStyle name="TitleNormal 3" xfId="3192"/>
    <cellStyle name="Titles" xfId="3193"/>
    <cellStyle name="Titles - Col. Headings" xfId="3365"/>
    <cellStyle name="Titles - Other" xfId="3366"/>
    <cellStyle name="Total" xfId="3194" builtinId="25" customBuiltin="1"/>
    <cellStyle name="Total 10" xfId="3195"/>
    <cellStyle name="Total 10 2" xfId="3196"/>
    <cellStyle name="Total 10 2 2" xfId="3197"/>
    <cellStyle name="Total 10 2 3" xfId="3198"/>
    <cellStyle name="Total 11" xfId="3199"/>
    <cellStyle name="Total 11 2" xfId="3200"/>
    <cellStyle name="Total 11 2 2" xfId="3201"/>
    <cellStyle name="Total 11 2 3" xfId="3202"/>
    <cellStyle name="Total 12" xfId="3203"/>
    <cellStyle name="Total 12 2" xfId="3204"/>
    <cellStyle name="Total 12 2 2" xfId="3205"/>
    <cellStyle name="Total 12 2 3" xfId="3206"/>
    <cellStyle name="Total 13" xfId="3207"/>
    <cellStyle name="Total 14" xfId="3208"/>
    <cellStyle name="Total 15" xfId="3209"/>
    <cellStyle name="Total 16" xfId="3210"/>
    <cellStyle name="Total 17" xfId="3211"/>
    <cellStyle name="Total 18" xfId="3212"/>
    <cellStyle name="Total 19" xfId="3213"/>
    <cellStyle name="Total 2" xfId="3214"/>
    <cellStyle name="Total 2 2" xfId="3215"/>
    <cellStyle name="Total 2 2 2" xfId="3216"/>
    <cellStyle name="Total 2 2 2 2" xfId="3217"/>
    <cellStyle name="Total 2 2 2 3" xfId="3218"/>
    <cellStyle name="Total 2 2 3" xfId="3219"/>
    <cellStyle name="Total 2 2 4" xfId="3220"/>
    <cellStyle name="Total 2 2 5" xfId="7145"/>
    <cellStyle name="Total 2 3" xfId="3432"/>
    <cellStyle name="Total 20" xfId="3221"/>
    <cellStyle name="Total 21" xfId="3222"/>
    <cellStyle name="Total 22" xfId="3223"/>
    <cellStyle name="Total 23" xfId="3224"/>
    <cellStyle name="Total 24" xfId="3225"/>
    <cellStyle name="Total 25" xfId="3226"/>
    <cellStyle name="Total 26" xfId="3227"/>
    <cellStyle name="Total 27" xfId="3306"/>
    <cellStyle name="Total 3" xfId="3228"/>
    <cellStyle name="Total 3 2" xfId="3229"/>
    <cellStyle name="Total 3 2 2" xfId="3230"/>
    <cellStyle name="Total 3 2 3" xfId="3231"/>
    <cellStyle name="Total 3 2 4" xfId="7146"/>
    <cellStyle name="Total 3 3" xfId="3447"/>
    <cellStyle name="Total 4" xfId="3232"/>
    <cellStyle name="Total 4 2" xfId="3233"/>
    <cellStyle name="Total 4 2 2" xfId="3234"/>
    <cellStyle name="Total 4 2 3" xfId="3235"/>
    <cellStyle name="Total 4 2 4" xfId="7148"/>
    <cellStyle name="Total 4 3" xfId="7147"/>
    <cellStyle name="Total 5" xfId="3236"/>
    <cellStyle name="Total 5 2" xfId="3237"/>
    <cellStyle name="Total 5 2 2" xfId="3238"/>
    <cellStyle name="Total 5 2 3" xfId="3239"/>
    <cellStyle name="Total 5 2 4" xfId="7150"/>
    <cellStyle name="Total 5 3" xfId="7149"/>
    <cellStyle name="Total 6" xfId="3240"/>
    <cellStyle name="Total 6 2" xfId="3241"/>
    <cellStyle name="Total 6 2 2" xfId="3242"/>
    <cellStyle name="Total 6 2 3" xfId="3243"/>
    <cellStyle name="Total 7" xfId="3244"/>
    <cellStyle name="Total 7 2" xfId="3245"/>
    <cellStyle name="Total 7 2 2" xfId="3246"/>
    <cellStyle name="Total 7 2 3" xfId="3247"/>
    <cellStyle name="Total 8" xfId="3248"/>
    <cellStyle name="Total 8 2" xfId="3249"/>
    <cellStyle name="Total 8 2 2" xfId="3250"/>
    <cellStyle name="Total 8 2 3" xfId="3251"/>
    <cellStyle name="Total 9" xfId="3252"/>
    <cellStyle name="Total 9 2" xfId="3253"/>
    <cellStyle name="Total 9 2 2" xfId="3254"/>
    <cellStyle name="Total 9 2 3" xfId="3255"/>
    <cellStyle name="Warning Text" xfId="3278" builtinId="11" customBuiltin="1"/>
    <cellStyle name="Warning Text 2" xfId="3256"/>
    <cellStyle name="Warning Text 2 2" xfId="7151"/>
    <cellStyle name="Warning Text 3" xfId="3257"/>
    <cellStyle name="Warning Text 3 2" xfId="7153"/>
    <cellStyle name="Warning Text 3 3" xfId="7152"/>
    <cellStyle name="Warning Text 4" xfId="7154"/>
    <cellStyle name="Warning Text 4 2" xfId="7155"/>
    <cellStyle name="Warning Text 5" xfId="7156"/>
    <cellStyle name="Warning Text 5 2" xfId="7157"/>
    <cellStyle name="Year" xfId="3258"/>
    <cellStyle name="year 2" xfId="3367"/>
    <cellStyle name="Year 3" xfId="7711"/>
    <cellStyle name="yellow" xfId="3368"/>
    <cellStyle name="Zero" xfId="3259"/>
    <cellStyle name="Zero 2" xfId="3260"/>
    <cellStyle name="Zero 3" xfId="3261"/>
    <cellStyle name="Zero 4" xfId="3262"/>
    <cellStyle name="Zero 5" xfId="3263"/>
    <cellStyle name="Zero 6" xfId="326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mruColors>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#N/A N/A</v>
        <stp/>
        <stp>##V3_BDSV12</stp>
        <stp>SYK US Equity</stp>
        <stp>PG_CAPITAL_EXPENDITURES</stp>
        <stp>[Fundamental &amp; Technical Model (1).xlsm]Segments!R179C10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179" s="17"/>
      </tp>
      <tp t="s">
        <v>#N/A N/A</v>
        <stp/>
        <stp>##V3_BDSV12</stp>
        <stp>SYK US Equity</stp>
        <stp>PG_CAPITAL_EXPENDITURES</stp>
        <stp>[Fundamental &amp; Technical Model (1).xlsm]Segments!R179C11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179" s="17"/>
      </tp>
      <tp t="s">
        <v>#N/A N/A</v>
        <stp/>
        <stp>##V3_BDSV12</stp>
        <stp>SYK US Equity</stp>
        <stp>PG_CAPITAL_EXPENDITURES</stp>
        <stp>[Fundamental &amp; Technical Model (1).xlsm]Segments!R179C12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179" s="17"/>
      </tp>
      <tp t="s">
        <v>#N/A N/A</v>
        <stp/>
        <stp>##V3_BDSV12</stp>
        <stp>SYK US Equity</stp>
        <stp>PG_CAPITAL_EXPENDITURES</stp>
        <stp>[Fundamental &amp; Technical Model (1).xlsm]Segments!R179C13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179" s="17"/>
      </tp>
      <tp t="s">
        <v>#N/A N/A</v>
        <stp/>
        <stp>##V3_BDSV12</stp>
        <stp>SYK US Equity</stp>
        <stp>PG_CAPITAL_EXPENDITURES</stp>
        <stp>[Fundamental &amp; Technical Model (1).xlsm]Segments!R179C14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179" s="17"/>
      </tp>
      <tp>
        <v>0</v>
        <stp/>
        <stp>##V3_BQLV12</stp>
        <stp>[Fundamental &amp; Technical Model (1).xlsm]Cash Flow!R24C8</stp>
        <stp>SYK US Equity</stp>
        <stp>CF_DECR_INVEST/10^6</stp>
        <stp>FPT</stp>
        <stp>A</stp>
        <stp>FPO</stp>
        <stp>-6A</stp>
        <stp>STD</stp>
        <stp>Mixed</stp>
        <stp>CONSOL</stp>
        <stp>Yes</stp>
        <stp>CURRENCY</stp>
        <stp>USD</stp>
        <tr r="H24" s="4"/>
      </tp>
      <tp>
        <v>0</v>
        <stp/>
        <stp>##V3_BQLV12</stp>
        <stp>[Fundamental &amp; Technical Model (1).xlsm]Income Statement!R35C8</stp>
        <stp>SYK US Equity</stp>
        <stp>IS_FOREIGN_EXCH_LOSS/10^6</stp>
        <stp>FPT</stp>
        <stp>A</stp>
        <stp>FPO</stp>
        <stp>-6A</stp>
        <stp>STD</stp>
        <stp>Mixed</stp>
        <stp>CONSOL</stp>
        <stp>Yes</stp>
        <stp>CURRENCY</stp>
        <stp>USD</stp>
        <tr r="H35" s="2"/>
      </tp>
      <tp>
        <v>0</v>
        <stp/>
        <stp>##V3_BQLV12</stp>
        <stp>[Fundamental &amp; Technical Model (1).xlsm]Income Statement!R35C9</stp>
        <stp>SYK US Equity</stp>
        <stp>IS_FOREIGN_EXCH_LOSS/10^6</stp>
        <stp>FPT</stp>
        <stp>A</stp>
        <stp>FPO</stp>
        <stp>-5A</stp>
        <stp>STD</stp>
        <stp>Mixed</stp>
        <stp>CONSOL</stp>
        <stp>Yes</stp>
        <stp>CURRENCY</stp>
        <stp>USD</stp>
        <tr r="I35" s="2"/>
      </tp>
      <tp>
        <v>0</v>
        <stp/>
        <stp>##V3_BQLV12</stp>
        <stp>[Fundamental &amp; Technical Model (1).xlsm]Income Statement!R35C6</stp>
        <stp>SYK US Equity</stp>
        <stp>IS_FOREIGN_EXCH_LOSS/10^6</stp>
        <stp>FPT</stp>
        <stp>A</stp>
        <stp>FPO</stp>
        <stp>-8A</stp>
        <stp>STD</stp>
        <stp>Mixed</stp>
        <stp>CONSOL</stp>
        <stp>Yes</stp>
        <stp>CURRENCY</stp>
        <stp>USD</stp>
        <tr r="F35" s="2"/>
      </tp>
      <tp>
        <v>0</v>
        <stp/>
        <stp>##V3_BQLV12</stp>
        <stp>[Fundamental &amp; Technical Model (1).xlsm]Income Statement!R35C7</stp>
        <stp>SYK US Equity</stp>
        <stp>IS_FOREIGN_EXCH_LOSS/10^6</stp>
        <stp>FPT</stp>
        <stp>A</stp>
        <stp>FPO</stp>
        <stp>-7A</stp>
        <stp>STD</stp>
        <stp>Mixed</stp>
        <stp>CONSOL</stp>
        <stp>Yes</stp>
        <stp>CURRENCY</stp>
        <stp>USD</stp>
        <tr r="G35" s="2"/>
      </tp>
      <tp>
        <v>0</v>
        <stp/>
        <stp>##V3_BQLV12</stp>
        <stp>[Fundamental &amp; Technical Model (1).xlsm]Income Statement!R35C5</stp>
        <stp>SYK US Equity</stp>
        <stp>IS_FOREIGN_EXCH_LOSS/10^6</stp>
        <stp>FPT</stp>
        <stp>A</stp>
        <stp>FPO</stp>
        <stp>-9A</stp>
        <stp>STD</stp>
        <stp>Mixed</stp>
        <stp>CONSOL</stp>
        <stp>Yes</stp>
        <stp>CURRENCY</stp>
        <stp>USD</stp>
        <tr r="E35" s="2"/>
      </tp>
      <tp>
        <v>144.75</v>
        <stp/>
        <stp>##V3_BDPV12</stp>
        <stp>SYK Equity</stp>
        <stp>Low_52WEEK</stp>
        <stp>[Fundamental &amp; Technical Model (1).xlsm]Football Field Analysis!R63C5</stp>
        <tr r="E63" s="28"/>
      </tp>
      <tp>
        <v>1647</v>
        <stp/>
        <stp>##V3_BQLV12</stp>
        <stp>[Fundamental &amp; Technical Model (1).xlsm]Cash Flow!R15C12</stp>
        <stp>SYK US Equity</stp>
        <stp>CF_NET_INC/10^6</stp>
        <stp>FPT</stp>
        <stp>A</stp>
        <stp>FPO</stp>
        <stp>-2A</stp>
        <stp>STD</stp>
        <stp>Mixed</stp>
        <stp>CONSOL</stp>
        <stp>Yes</stp>
        <stp>CURRENCY</stp>
        <stp>USD</stp>
        <tr r="L15" s="4"/>
      </tp>
      <tp t="s">
        <v>2015 Y</v>
        <stp/>
        <stp>##V3_BDPV12</stp>
        <stp>SYK US Equity</stp>
        <stp>FISCAL_YEAR_PERIOD</stp>
        <stp>[Fundamental &amp; Technical Model (1).xlsm]Segments!R144C11</stp>
        <stp>EQY_FUND_RELATIVE_PERIOD</stp>
        <stp>-3FY</stp>
        <tr r="K144" s="17"/>
      </tp>
      <tp t="s">
        <v>2017 Y</v>
        <stp/>
        <stp>##V3_BDPV12</stp>
        <stp>SYK US Equity</stp>
        <stp>FISCAL_YEAR_PERIOD</stp>
        <stp>[Fundamental &amp; Technical Model (1).xlsm]Segments!R144C13</stp>
        <stp>EQY_FUND_RELATIVE_PERIOD</stp>
        <stp>-1FY</stp>
        <tr r="M144" s="17"/>
      </tp>
      <tp t="e">
        <v>#N/A</v>
        <stp/>
        <stp>##V3_BDHV12</stp>
        <stp>SYK US Equity</stp>
        <stp>LOW_PRICE_TO_FREE_CASH_FLOW</stp>
        <stp>-7FY</stp>
        <stp>-7FY</stp>
        <stp>[Fundamental &amp; Technical Model (1).xlsm]Multiples!R60C6</stp>
        <stp>EQY_CONSOLIDATED</stp>
        <stp>Yes</stp>
        <stp>ACCOUNTING_STANDARD_OVERRIDE</stp>
        <stp>Mixed</stp>
        <stp>Per</stp>
        <stp>FY</stp>
        <stp>Days=A</stp>
        <tr r="F60" s="16"/>
        <tr r="F60" s="16"/>
      </tp>
      <tp t="e">
        <v>#N/A</v>
        <stp/>
        <stp>##V3_BDHV12</stp>
        <stp>SYK US Equity</stp>
        <stp>HIGH_DIVIDEND_YIELD</stp>
        <stp>-8FY</stp>
        <stp>-8FY</stp>
        <stp>[Fundamental &amp; Technical Model (1).xlsm]Multiples!R65C5</stp>
        <stp>EQY_CONSOLIDATED</stp>
        <stp>Yes</stp>
        <stp>ACCOUNTING_STANDARD_OVERRIDE</stp>
        <stp>Mixed</stp>
        <stp>Per</stp>
        <stp>FY</stp>
        <stp>Days=A</stp>
        <tr r="E65" s="16"/>
        <tr r="E65" s="16"/>
      </tp>
      <tp>
        <v>9.2976534876245576E-2</v>
        <stp/>
        <stp>##V3_BQLV12</stp>
        <stp>[Fundamental &amp; Technical Model (1).xlsm]Key Stats!R16C10</stp>
        <stp>SYK US Equity</stp>
        <stp>SALES_GROWTH/100</stp>
        <stp>FPT</stp>
        <stp>A</stp>
        <stp>FPO</stp>
        <stp>-0A</stp>
        <stp>STD</stp>
        <stp>Mixed</stp>
        <stp>CONSOL</stp>
        <stp>Yes</stp>
        <stp>CURRENCY</stp>
        <stp>USD</stp>
        <tr r="J16" s="23"/>
      </tp>
      <tp>
        <v>4.785137924563708</v>
        <stp/>
        <stp>##V3_BQLV12</stp>
        <stp>[Fundamental &amp; Technical Model (1).xlsm]Ratios!R16C13</stp>
        <stp>SYK US Equity</stp>
        <stp>RETURN_ON_ASSET</stp>
        <stp>FPT</stp>
        <stp>A</stp>
        <stp>FPO</stp>
        <stp>-1A</stp>
        <stp>STD</stp>
        <stp>Mixed</stp>
        <stp>CONSOL</stp>
        <stp>Yes</stp>
        <tr r="M16" s="8"/>
      </tp>
      <tp t="s">
        <v>2009 Y</v>
        <stp/>
        <stp>##V3_BDPV12</stp>
        <stp>SYK US Equity</stp>
        <stp>FISCAL_YEAR_PERIOD</stp>
        <stp>[Fundamental &amp; Technical Model (1).xlsm]Segments!R86C5</stp>
        <stp>EQY_FUND_RELATIVE_PERIOD</stp>
        <stp>-9FY</stp>
        <tr r="E86" s="17"/>
      </tp>
      <tp t="s">
        <v>2013 Y</v>
        <stp/>
        <stp>##V3_BDPV12</stp>
        <stp>SYK US Equity</stp>
        <stp>FISCAL_YEAR_PERIOD</stp>
        <stp>[Fundamental &amp; Technical Model (1).xlsm]Segments!R86C9</stp>
        <stp>EQY_FUND_RELATIVE_PERIOD</stp>
        <stp>-5FY</stp>
        <tr r="I86" s="17"/>
      </tp>
      <tp t="s">
        <v>2009 Y</v>
        <stp/>
        <stp>##V3_BDPV12</stp>
        <stp>SYK US Equity</stp>
        <stp>FISCAL_YEAR_PERIOD</stp>
        <stp>[Fundamental &amp; Technical Model (1).xlsm]Segments!R14C5</stp>
        <stp>EQY_FUND_RELATIVE_PERIOD</stp>
        <stp>-9FY</stp>
        <tr r="E14" s="17"/>
      </tp>
      <tp t="s">
        <v>2013 Y</v>
        <stp/>
        <stp>##V3_BDPV12</stp>
        <stp>SYK US Equity</stp>
        <stp>FISCAL_YEAR_PERIOD</stp>
        <stp>[Fundamental &amp; Technical Model (1).xlsm]Segments!R14C9</stp>
        <stp>EQY_FUND_RELATIVE_PERIOD</stp>
        <stp>-5FY</stp>
        <tr r="I14" s="17"/>
      </tp>
      <tp t="s">
        <v>2009 Y</v>
        <stp/>
        <stp>##V3_BDPV12</stp>
        <stp>SYK US Equity</stp>
        <stp>FISCAL_YEAR_PERIOD</stp>
        <stp>[Fundamental &amp; Technical Model (1).xlsm]Segments!R28C5</stp>
        <stp>EQY_FUND_RELATIVE_PERIOD</stp>
        <stp>-9FY</stp>
        <tr r="E28" s="17"/>
      </tp>
      <tp t="s">
        <v>2013 Y</v>
        <stp/>
        <stp>##V3_BDPV12</stp>
        <stp>SYK US Equity</stp>
        <stp>FISCAL_YEAR_PERIOD</stp>
        <stp>[Fundamental &amp; Technical Model (1).xlsm]Segments!R28C9</stp>
        <stp>EQY_FUND_RELATIVE_PERIOD</stp>
        <stp>-5FY</stp>
        <tr r="I28" s="17"/>
      </tp>
      <tp t="s">
        <v>2009 Y</v>
        <stp/>
        <stp>##V3_BDPV12</stp>
        <stp>SYK US Equity</stp>
        <stp>FISCAL_YEAR_PERIOD</stp>
        <stp>[Fundamental &amp; Technical Model (1).xlsm]Segments!R43C5</stp>
        <stp>EQY_FUND_RELATIVE_PERIOD</stp>
        <stp>-9FY</stp>
        <tr r="E43" s="17"/>
      </tp>
      <tp t="s">
        <v>2013 Y</v>
        <stp/>
        <stp>##V3_BDPV12</stp>
        <stp>SYK US Equity</stp>
        <stp>FISCAL_YEAR_PERIOD</stp>
        <stp>[Fundamental &amp; Technical Model (1).xlsm]Segments!R43C9</stp>
        <stp>EQY_FUND_RELATIVE_PERIOD</stp>
        <stp>-5FY</stp>
        <tr r="I43" s="17"/>
      </tp>
      <tp t="s">
        <v>2009 Y</v>
        <stp/>
        <stp>##V3_BDPV12</stp>
        <stp>SYK US Equity</stp>
        <stp>FISCAL_YEAR_PERIOD</stp>
        <stp>[Fundamental &amp; Technical Model (1).xlsm]Segments!R57C5</stp>
        <stp>EQY_FUND_RELATIVE_PERIOD</stp>
        <stp>-9FY</stp>
        <tr r="E57" s="17"/>
      </tp>
      <tp t="s">
        <v>2013 Y</v>
        <stp/>
        <stp>##V3_BDPV12</stp>
        <stp>SYK US Equity</stp>
        <stp>FISCAL_YEAR_PERIOD</stp>
        <stp>[Fundamental &amp; Technical Model (1).xlsm]Segments!R57C9</stp>
        <stp>EQY_FUND_RELATIVE_PERIOD</stp>
        <stp>-5FY</stp>
        <tr r="I57" s="17"/>
      </tp>
      <tp t="s">
        <v>2009 Y</v>
        <stp/>
        <stp>##V3_BDPV12</stp>
        <stp>SYK US Equity</stp>
        <stp>FISCAL_YEAR_PERIOD</stp>
        <stp>[Fundamental &amp; Technical Model (1).xlsm]Segments!R72C5</stp>
        <stp>EQY_FUND_RELATIVE_PERIOD</stp>
        <stp>-9FY</stp>
        <tr r="E72" s="17"/>
      </tp>
      <tp t="s">
        <v>2013 Y</v>
        <stp/>
        <stp>##V3_BDPV12</stp>
        <stp>SYK US Equity</stp>
        <stp>FISCAL_YEAR_PERIOD</stp>
        <stp>[Fundamental &amp; Technical Model (1).xlsm]Segments!R72C9</stp>
        <stp>EQY_FUND_RELATIVE_PERIOD</stp>
        <stp>-5FY</stp>
        <tr r="I72" s="17"/>
      </tp>
      <tp t="s">
        <v>#N/A N/A</v>
        <stp/>
        <stp>##V3_BDSV12</stp>
        <stp>SYK US Equity</stp>
        <stp>PG_CAPITAL_EXPENDITURES</stp>
        <stp>[Fundamental &amp; Technical Model (1).xlsm]Segments!R178C14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178" s="17"/>
      </tp>
      <tp t="s">
        <v>#N/A N/A</v>
        <stp/>
        <stp>##V3_BDSV12</stp>
        <stp>SYK US Equity</stp>
        <stp>PG_CAPITAL_EXPENDITURES</stp>
        <stp>[Fundamental &amp; Technical Model (1).xlsm]Segments!R178C13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178" s="17"/>
      </tp>
      <tp t="s">
        <v>#N/A N/A</v>
        <stp/>
        <stp>##V3_BDSV12</stp>
        <stp>SYK US Equity</stp>
        <stp>PG_CAPITAL_EXPENDITURES</stp>
        <stp>[Fundamental &amp; Technical Model (1).xlsm]Segments!R178C12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178" s="17"/>
      </tp>
      <tp t="s">
        <v>#N/A N/A</v>
        <stp/>
        <stp>##V3_BDSV12</stp>
        <stp>SYK US Equity</stp>
        <stp>PG_CAPITAL_EXPENDITURES</stp>
        <stp>[Fundamental &amp; Technical Model (1).xlsm]Segments!R178C11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178" s="17"/>
      </tp>
      <tp t="s">
        <v>#N/A N/A</v>
        <stp/>
        <stp>##V3_BDSV12</stp>
        <stp>SYK US Equity</stp>
        <stp>PG_CAPITAL_EXPENDITURES</stp>
        <stp>[Fundamental &amp; Technical Model (1).xlsm]Segments!R178C10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178" s="17"/>
      </tp>
      <tp>
        <v>0</v>
        <stp/>
        <stp>##V3_BQLV12</stp>
        <stp>[Fundamental &amp; Technical Model (1).xlsm]Cash Flow!R24C9</stp>
        <stp>SYK US Equity</stp>
        <stp>CF_DECR_INVEST/10^6</stp>
        <stp>FPT</stp>
        <stp>A</stp>
        <stp>FPO</stp>
        <stp>-5A</stp>
        <stp>STD</stp>
        <stp>Mixed</stp>
        <stp>CONSOL</stp>
        <stp>Yes</stp>
        <stp>CURRENCY</stp>
        <stp>USD</stp>
        <tr r="I24" s="4"/>
      </tp>
      <tp>
        <v>1020</v>
        <stp/>
        <stp>##V3_BQLV12</stp>
        <stp>[Fundamental &amp; Technical Model (1).xlsm]Cash Flow!R15C13</stp>
        <stp>SYK US Equity</stp>
        <stp>CF_NET_INC/10^6</stp>
        <stp>FPT</stp>
        <stp>A</stp>
        <stp>FPO</stp>
        <stp>-1A</stp>
        <stp>STD</stp>
        <stp>Mixed</stp>
        <stp>CONSOL</stp>
        <stp>Yes</stp>
        <stp>CURRENCY</stp>
        <stp>USD</stp>
        <tr r="M15" s="4"/>
      </tp>
      <tp t="s">
        <v>2014 Y</v>
        <stp/>
        <stp>##V3_BDPV12</stp>
        <stp>SYK US Equity</stp>
        <stp>FISCAL_YEAR_PERIOD</stp>
        <stp>[Fundamental &amp; Technical Model (1).xlsm]Segments!R130C10</stp>
        <stp>EQY_FUND_RELATIVE_PERIOD</stp>
        <stp>-4FY</stp>
        <tr r="J130" s="17"/>
      </tp>
      <tp t="s">
        <v>2018 Y</v>
        <stp/>
        <stp>##V3_BDPV12</stp>
        <stp>SYK US Equity</stp>
        <stp>FISCAL_YEAR_PERIOD</stp>
        <stp>[Fundamental &amp; Technical Model (1).xlsm]Segments!R130C14</stp>
        <stp>EQY_FUND_RELATIVE_PERIOD</stp>
        <stp>-0FY</stp>
        <tr r="N130" s="17"/>
      </tp>
      <tp t="s">
        <v>2016 Y</v>
        <stp/>
        <stp>##V3_BDPV12</stp>
        <stp>SYK US Equity</stp>
        <stp>FISCAL_YEAR_PERIOD</stp>
        <stp>[Fundamental &amp; Technical Model (1).xlsm]Segments!R173C12</stp>
        <stp>EQY_FUND_RELATIVE_PERIOD</stp>
        <stp>-2FY</stp>
        <tr r="L173" s="17"/>
      </tp>
      <tp t="e">
        <v>#N/A</v>
        <stp/>
        <stp>##V3_BDHV12</stp>
        <stp>SYK US Equity</stp>
        <stp>LOW_PRICE_TO_FREE_CASH_FLOW</stp>
        <stp>-6FY</stp>
        <stp>-6FY</stp>
        <stp>[Fundamental &amp; Technical Model (1).xlsm]Multiples!R60C7</stp>
        <stp>EQY_CONSOLIDATED</stp>
        <stp>Yes</stp>
        <stp>ACCOUNTING_STANDARD_OVERRIDE</stp>
        <stp>Mixed</stp>
        <stp>Per</stp>
        <stp>FY</stp>
        <stp>Days=A</stp>
        <tr r="G60" s="16"/>
        <tr r="G60" s="16"/>
      </tp>
      <tp>
        <v>7.0346342994663598</v>
        <stp/>
        <stp>##V3_BQLV12</stp>
        <stp>[Fundamental &amp; Technical Model (1).xlsm]Ratios!R32C5</stp>
        <stp>SYK US Equity</stp>
        <stp>SALES_REV_TURN(FPO=-9A, FPT=A)/((BS_NET_FIX_ASSET(FPO=-9A)+BS_NET_FIX_ASSET(FPO=-10A))/2)</stp>
        <stp>FPT</stp>
        <stp>A</stp>
        <stp>STD</stp>
        <stp>Mixed</stp>
        <stp>CONSOL</stp>
        <stp>Yes</stp>
        <tr r="E32" s="8"/>
      </tp>
      <tp t="s">
        <v>2015 Y</v>
        <stp/>
        <stp>##V3_BDPV12</stp>
        <stp>SYK US Equity</stp>
        <stp>FISCAL_YEAR_PERIOD</stp>
        <stp>[Fundamental &amp; Technical Model (1).xlsm]Segments!R159C11</stp>
        <stp>EQY_FUND_RELATIVE_PERIOD</stp>
        <stp>-3FY</stp>
        <tr r="K159" s="17"/>
      </tp>
      <tp t="s">
        <v>2017 Y</v>
        <stp/>
        <stp>##V3_BDPV12</stp>
        <stp>SYK US Equity</stp>
        <stp>FISCAL_YEAR_PERIOD</stp>
        <stp>[Fundamental &amp; Technical Model (1).xlsm]Segments!R159C13</stp>
        <stp>EQY_FUND_RELATIVE_PERIOD</stp>
        <stp>-1FY</stp>
        <tr r="M159" s="17"/>
      </tp>
      <tp t="e">
        <v>#N/A</v>
        <stp/>
        <stp>##V3_BDHV12</stp>
        <stp>SYK US Equity</stp>
        <stp>HIGH_DIVIDEND_YIELD</stp>
        <stp>-9FY</stp>
        <stp>-9FY</stp>
        <stp>[Fundamental &amp; Technical Model (1).xlsm]Multiples!R65C4</stp>
        <stp>EQY_CONSOLIDATED</stp>
        <stp>Yes</stp>
        <stp>ACCOUNTING_STANDARD_OVERRIDE</stp>
        <stp>Mixed</stp>
        <stp>Per</stp>
        <stp>FY</stp>
        <stp>Days=A</stp>
        <tr r="D65" s="16"/>
        <tr r="D65" s="16"/>
      </tp>
      <tp>
        <v>14.377048516974872</v>
        <stp/>
        <stp>##V3_BQLV12</stp>
        <stp>[Fundamental &amp; Technical Model (1).xlsm]Ratios!R16C14</stp>
        <stp>SYK US Equity</stp>
        <stp>RETURN_ON_ASSET</stp>
        <stp>FPT</stp>
        <stp>A</stp>
        <stp>FPO</stp>
        <stp>-0A</stp>
        <stp>STD</stp>
        <stp>Mixed</stp>
        <stp>CONSOL</stp>
        <stp>Yes</stp>
        <tr r="N16" s="8"/>
      </tp>
      <tp t="e">
        <v>#N/A</v>
        <stp/>
        <stp>##V3_BDHV12</stp>
        <stp>SYK US Equity</stp>
        <stp>WACC_COST_PFD</stp>
        <stp>-1FY</stp>
        <stp>-1FY</stp>
        <stp>[Fundamental &amp; Technical Model (1).xlsm]Capital Structure Summary!R21C9</stp>
        <stp>Per</stp>
        <stp>FY</stp>
        <tr r="I21" s="21"/>
      </tp>
      <tp>
        <v>66.378443595415234</v>
        <stp/>
        <stp>##V3_BQLV12</stp>
        <stp>[Fundamental &amp; Technical Model (1).xlsm]Ratios!R21C11</stp>
        <stp>SYK US Equity</stp>
        <stp>GROSS_MARGIN</stp>
        <stp>FPT</stp>
        <stp>A</stp>
        <stp>FPO</stp>
        <stp>-3A</stp>
        <stp>STD</stp>
        <stp>Mixed</stp>
        <stp>CONSOL</stp>
        <stp>Yes</stp>
        <tr r="K21" s="8"/>
      </tp>
      <tp>
        <v>65.734490517518481</v>
        <stp/>
        <stp>##V3_BQLV12</stp>
        <stp>[Fundamental &amp; Technical Model (1).xlsm]Ratios!R21C13</stp>
        <stp>SYK US Equity</stp>
        <stp>GROSS_MARGIN</stp>
        <stp>FPT</stp>
        <stp>A</stp>
        <stp>FPO</stp>
        <stp>-1A</stp>
        <stp>STD</stp>
        <stp>Mixed</stp>
        <stp>CONSOL</stp>
        <stp>Yes</stp>
        <tr r="M21" s="8"/>
      </tp>
      <tp>
        <v>-56.8</v>
        <stp/>
        <stp>##V3_BQLV12</stp>
        <stp>[Fundamental &amp; Technical Model (1).xlsm]Income Statement!R36C4</stp>
        <stp>SYK US Equity</stp>
        <stp>IS_NET_NON_OPER_LOSS/10^6</stp>
        <stp>FPT</stp>
        <stp>A</stp>
        <stp>FPO</stp>
        <stp>-10A</stp>
        <stp>STD</stp>
        <stp>Mixed</stp>
        <stp>CONSOL</stp>
        <stp>Yes</stp>
        <stp>CURRENCY</stp>
        <stp>USD</stp>
        <tr r="D36" s="2"/>
      </tp>
      <tp t="s">
        <v>2010 A</v>
        <stp/>
        <stp>##V3_BQLV12</stp>
        <stp>[Fundamental &amp; Technical Model (1).xlsm]Cash Flow!R12C6</stp>
        <stp>SYK US Equity</stp>
        <stp>IS_EPS().PERIOD</stp>
        <stp>FPT</stp>
        <stp>A</stp>
        <stp>FPO</stp>
        <stp>-8A</stp>
        <stp>STD</stp>
        <stp>Mixed</stp>
        <stp>CONSOL</stp>
        <stp>Yes</stp>
        <tr r="F12" s="4"/>
      </tp>
      <tp>
        <v>515</v>
        <stp/>
        <stp>##V3_BQLV12</stp>
        <stp>[Fundamental &amp; Technical Model (1).xlsm]Cash Flow!R15C10</stp>
        <stp>SYK US Equity</stp>
        <stp>CF_NET_INC/10^6</stp>
        <stp>FPT</stp>
        <stp>A</stp>
        <stp>FPO</stp>
        <stp>-4A</stp>
        <stp>STD</stp>
        <stp>Mixed</stp>
        <stp>CONSOL</stp>
        <stp>Yes</stp>
        <stp>CURRENCY</stp>
        <stp>USD</stp>
        <tr r="J15" s="4"/>
      </tp>
      <tp>
        <v>36976871973.200005</v>
        <stp/>
        <stp>##V3_BDPV12</stp>
        <stp>EW Equity</stp>
        <stp>cur_mkt_cap</stp>
        <stp>[Fundamental &amp; Technical Model (1).xlsm]Public Comparables!R12C8</stp>
        <tr r="H12" s="24"/>
      </tp>
      <tp t="s">
        <v>2014 Y</v>
        <stp/>
        <stp>##V3_BDPV12</stp>
        <stp>SYK US Equity</stp>
        <stp>FISCAL_YEAR_PERIOD</stp>
        <stp>[Fundamental &amp; Technical Model (1).xlsm]Segments!R101C10</stp>
        <stp>EQY_FUND_RELATIVE_PERIOD</stp>
        <stp>-4FY</stp>
        <tr r="J101" s="17"/>
      </tp>
      <tp t="s">
        <v>2018 Y</v>
        <stp/>
        <stp>##V3_BDPV12</stp>
        <stp>SYK US Equity</stp>
        <stp>FISCAL_YEAR_PERIOD</stp>
        <stp>[Fundamental &amp; Technical Model (1).xlsm]Segments!R101C14</stp>
        <stp>EQY_FUND_RELATIVE_PERIOD</stp>
        <stp>-0FY</stp>
        <tr r="N101" s="17"/>
      </tp>
      <tp t="e">
        <v>#N/A</v>
        <stp/>
        <stp>##V3_BDHV12</stp>
        <stp>SYK US Equity</stp>
        <stp>HIGH_DIVIDEND_YIELD</stp>
        <stp>-6FY</stp>
        <stp>-6FY</stp>
        <stp>[Fundamental &amp; Technical Model (1).xlsm]Multiples!R65C7</stp>
        <stp>EQY_CONSOLIDATED</stp>
        <stp>Yes</stp>
        <stp>ACCOUNTING_STANDARD_OVERRIDE</stp>
        <stp>Mixed</stp>
        <stp>Per</stp>
        <stp>FY</stp>
        <stp>Days=A</stp>
        <tr r="G65" s="16"/>
        <tr r="G65" s="16"/>
      </tp>
      <tp t="s">
        <v>2016 Y</v>
        <stp/>
        <stp>##V3_BDPV12</stp>
        <stp>SYK US Equity</stp>
        <stp>FISCAL_YEAR_PERIOD</stp>
        <stp>[Fundamental &amp; Technical Model (1).xlsm]Segments!R144C12</stp>
        <stp>EQY_FUND_RELATIVE_PERIOD</stp>
        <stp>-2FY</stp>
        <tr r="L144" s="17"/>
      </tp>
      <tp t="e">
        <v>#N/A</v>
        <stp/>
        <stp>##V3_BDHV12</stp>
        <stp>SYK US Equity</stp>
        <stp>LOW_PRICE_TO_FREE_CASH_FLOW</stp>
        <stp>-9FY</stp>
        <stp>-9FY</stp>
        <stp>[Fundamental &amp; Technical Model (1).xlsm]Multiples!R60C4</stp>
        <stp>EQY_CONSOLIDATED</stp>
        <stp>Yes</stp>
        <stp>ACCOUNTING_STANDARD_OVERRIDE</stp>
        <stp>Mixed</stp>
        <stp>Per</stp>
        <stp>FY</stp>
        <stp>Days=A</stp>
        <tr r="D60" s="16"/>
        <tr r="D60" s="16"/>
      </tp>
      <tp>
        <v>7504</v>
        <stp/>
        <stp>##V3_BQLV12</stp>
        <stp>[Fundamental &amp; Technical Model (1).xlsm]Key Stats!R18C8</stp>
        <stp>SYK US Equity</stp>
        <stp>GROSS_PROFIT/10^6</stp>
        <stp>FPT</stp>
        <stp>A</stp>
        <stp>FPO</stp>
        <stp>-2A</stp>
        <stp>STD</stp>
        <stp>Mixed</stp>
        <stp>CONSOL</stp>
        <stp>Yes</stp>
        <stp>CURRENCY</stp>
        <stp>USD</stp>
        <tr r="H18" s="23"/>
      </tp>
      <tp>
        <v>8180</v>
        <stp/>
        <stp>##V3_BQLV12</stp>
        <stp>[Fundamental &amp; Technical Model (1).xlsm]Key Stats!R18C9</stp>
        <stp>SYK US Equity</stp>
        <stp>GROSS_PROFIT/10^6</stp>
        <stp>FPT</stp>
        <stp>A</stp>
        <stp>FPO</stp>
        <stp>-1A</stp>
        <stp>STD</stp>
        <stp>Mixed</stp>
        <stp>CONSOL</stp>
        <stp>Yes</stp>
        <stp>CURRENCY</stp>
        <stp>USD</stp>
        <tr r="I18" s="23"/>
      </tp>
      <tp>
        <v>5876</v>
        <stp/>
        <stp>##V3_BQLV12</stp>
        <stp>[Fundamental &amp; Technical Model (1).xlsm]Key Stats!R18C4</stp>
        <stp>SYK US Equity</stp>
        <stp>GROSS_PROFIT/10^6</stp>
        <stp>FPT</stp>
        <stp>A</stp>
        <stp>FPO</stp>
        <stp>-6A</stp>
        <stp>STD</stp>
        <stp>Mixed</stp>
        <stp>CONSOL</stp>
        <stp>Yes</stp>
        <stp>CURRENCY</stp>
        <stp>USD</stp>
        <tr r="D18" s="23"/>
      </tp>
      <tp>
        <v>6019</v>
        <stp/>
        <stp>##V3_BQLV12</stp>
        <stp>[Fundamental &amp; Technical Model (1).xlsm]Key Stats!R18C5</stp>
        <stp>SYK US Equity</stp>
        <stp>GROSS_PROFIT/10^6</stp>
        <stp>FPT</stp>
        <stp>A</stp>
        <stp>FPO</stp>
        <stp>-5A</stp>
        <stp>STD</stp>
        <stp>Mixed</stp>
        <stp>CONSOL</stp>
        <stp>Yes</stp>
        <stp>CURRENCY</stp>
        <stp>USD</stp>
        <tr r="E18" s="23"/>
      </tp>
      <tp>
        <v>6356</v>
        <stp/>
        <stp>##V3_BQLV12</stp>
        <stp>[Fundamental &amp; Technical Model (1).xlsm]Key Stats!R18C6</stp>
        <stp>SYK US Equity</stp>
        <stp>GROSS_PROFIT/10^6</stp>
        <stp>FPT</stp>
        <stp>A</stp>
        <stp>FPO</stp>
        <stp>-4A</stp>
        <stp>STD</stp>
        <stp>Mixed</stp>
        <stp>CONSOL</stp>
        <stp>Yes</stp>
        <stp>CURRENCY</stp>
        <stp>USD</stp>
        <tr r="F18" s="23"/>
      </tp>
      <tp>
        <v>6601.9999999999991</v>
        <stp/>
        <stp>##V3_BQLV12</stp>
        <stp>[Fundamental &amp; Technical Model (1).xlsm]Key Stats!R18C7</stp>
        <stp>SYK US Equity</stp>
        <stp>GROSS_PROFIT/10^6</stp>
        <stp>FPT</stp>
        <stp>A</stp>
        <stp>FPO</stp>
        <stp>-3A</stp>
        <stp>STD</stp>
        <stp>Mixed</stp>
        <stp>CONSOL</stp>
        <stp>Yes</stp>
        <stp>CURRENCY</stp>
        <stp>USD</stp>
        <tr r="G18" s="23"/>
      </tp>
      <tp t="e">
        <v>#N/A</v>
        <stp/>
        <stp>##V3_BDHV12</stp>
        <stp>SYK US Equity</stp>
        <stp>PX_TO_TANG_BV_PER_SH</stp>
        <stp>-10FY</stp>
        <stp>-10FY</stp>
        <stp>[Fundamental &amp; Technical Model (1).xlsm]Multiples!R45C3</stp>
        <stp>EQY_CONSOLIDATED</stp>
        <stp>Yes</stp>
        <stp>ACCOUNTING_STANDARD_OVERRIDE</stp>
        <stp>Mixed</stp>
        <stp>Per</stp>
        <stp>FY</stp>
        <stp>Days=A</stp>
        <tr r="C45" s="16"/>
        <tr r="C45" s="16"/>
      </tp>
      <tp>
        <v>8.5843822704766453</v>
        <stp/>
        <stp>##V3_BQLV12</stp>
        <stp>[Fundamental &amp; Technical Model (1).xlsm]Ratios!R16C11</stp>
        <stp>SYK US Equity</stp>
        <stp>RETURN_ON_ASSET</stp>
        <stp>FPT</stp>
        <stp>A</stp>
        <stp>FPO</stp>
        <stp>-3A</stp>
        <stp>STD</stp>
        <stp>Mixed</stp>
        <stp>CONSOL</stp>
        <stp>Yes</stp>
        <tr r="K16" s="8"/>
      </tp>
      <tp t="e">
        <v>#N/A</v>
        <stp/>
        <stp>##V3_BDHV12</stp>
        <stp>SYK US Equity</stp>
        <stp>WACC_COST_PFD</stp>
        <stp>-2FY</stp>
        <stp>-2FY</stp>
        <stp>[Fundamental &amp; Technical Model (1).xlsm]Capital Structure Summary!R21C7</stp>
        <stp>Per</stp>
        <stp>FY</stp>
        <tr r="G21" s="21"/>
      </tp>
      <tp t="s">
        <v>--</v>
        <stp/>
        <stp>##V3_BDPV12</stp>
        <stp>SYK US Equity</stp>
        <stp>BS_CAPITAL_LEASE_YR_4</stp>
        <stp>[Fundamental &amp; Technical Model (1).xlsm]Capital Structure Summary!R86C11</stp>
        <stp>EQY_FUND_RELATIVE_PERIOD</stp>
        <stp>-0FY</stp>
        <stp>EQY_FUND_CRNCY</stp>
        <stp>USD</stp>
        <stp>EQY_CONSOLIDATED</stp>
        <stp>Yes</stp>
        <stp>ACCOUNTING_STANDARD_OVERRIDE</stp>
        <stp>Mixed</stp>
        <stp>Fill=--</stp>
        <tr r="K86" s="21"/>
      </tp>
      <tp t="s">
        <v>2010 Y</v>
        <stp/>
        <stp>##V3_BDPV12</stp>
        <stp>SYK US Equity</stp>
        <stp>FISCAL_YEAR_PERIOD</stp>
        <stp>[Fundamental &amp; Technical Model (1).xlsm]Segments!R86C6</stp>
        <stp>EQY_FUND_RELATIVE_PERIOD</stp>
        <stp>-8FY</stp>
        <tr r="F86" s="17"/>
      </tp>
      <tp t="s">
        <v>2012 Y</v>
        <stp/>
        <stp>##V3_BDPV12</stp>
        <stp>SYK US Equity</stp>
        <stp>FISCAL_YEAR_PERIOD</stp>
        <stp>[Fundamental &amp; Technical Model (1).xlsm]Segments!R86C8</stp>
        <stp>EQY_FUND_RELATIVE_PERIOD</stp>
        <stp>-6FY</stp>
        <tr r="H86" s="17"/>
      </tp>
      <tp t="s">
        <v>2010 Y</v>
        <stp/>
        <stp>##V3_BDPV12</stp>
        <stp>SYK US Equity</stp>
        <stp>FISCAL_YEAR_PERIOD</stp>
        <stp>[Fundamental &amp; Technical Model (1).xlsm]Segments!R14C6</stp>
        <stp>EQY_FUND_RELATIVE_PERIOD</stp>
        <stp>-8FY</stp>
        <tr r="F14" s="17"/>
      </tp>
      <tp t="s">
        <v>2012 Y</v>
        <stp/>
        <stp>##V3_BDPV12</stp>
        <stp>SYK US Equity</stp>
        <stp>FISCAL_YEAR_PERIOD</stp>
        <stp>[Fundamental &amp; Technical Model (1).xlsm]Segments!R14C8</stp>
        <stp>EQY_FUND_RELATIVE_PERIOD</stp>
        <stp>-6FY</stp>
        <tr r="H14" s="17"/>
      </tp>
      <tp t="s">
        <v>2010 Y</v>
        <stp/>
        <stp>##V3_BDPV12</stp>
        <stp>SYK US Equity</stp>
        <stp>FISCAL_YEAR_PERIOD</stp>
        <stp>[Fundamental &amp; Technical Model (1).xlsm]Segments!R28C6</stp>
        <stp>EQY_FUND_RELATIVE_PERIOD</stp>
        <stp>-8FY</stp>
        <tr r="F28" s="17"/>
      </tp>
      <tp t="s">
        <v>2012 Y</v>
        <stp/>
        <stp>##V3_BDPV12</stp>
        <stp>SYK US Equity</stp>
        <stp>FISCAL_YEAR_PERIOD</stp>
        <stp>[Fundamental &amp; Technical Model (1).xlsm]Segments!R28C8</stp>
        <stp>EQY_FUND_RELATIVE_PERIOD</stp>
        <stp>-6FY</stp>
        <tr r="H28" s="17"/>
      </tp>
      <tp t="s">
        <v>2010 Y</v>
        <stp/>
        <stp>##V3_BDPV12</stp>
        <stp>SYK US Equity</stp>
        <stp>FISCAL_YEAR_PERIOD</stp>
        <stp>[Fundamental &amp; Technical Model (1).xlsm]Segments!R43C6</stp>
        <stp>EQY_FUND_RELATIVE_PERIOD</stp>
        <stp>-8FY</stp>
        <tr r="F43" s="17"/>
      </tp>
      <tp t="s">
        <v>2012 Y</v>
        <stp/>
        <stp>##V3_BDPV12</stp>
        <stp>SYK US Equity</stp>
        <stp>FISCAL_YEAR_PERIOD</stp>
        <stp>[Fundamental &amp; Technical Model (1).xlsm]Segments!R43C8</stp>
        <stp>EQY_FUND_RELATIVE_PERIOD</stp>
        <stp>-6FY</stp>
        <tr r="H43" s="17"/>
      </tp>
      <tp>
        <v>77</v>
        <stp/>
        <stp>##V3_BQLV12</stp>
        <stp>[Fundamental &amp; Technical Model (1).xlsm]Income Statement!R88C10</stp>
        <stp>SYK US Equity</stp>
        <stp>IS_EXPENSE_STOCK_BASED_COMP/10^6</stp>
        <stp>FPT</stp>
        <stp>A</stp>
        <stp>FPO</stp>
        <stp>-4A</stp>
        <stp>STD</stp>
        <stp>Mixed</stp>
        <stp>CONSOL</stp>
        <stp>Yes</stp>
        <stp>CURRENCY</stp>
        <stp>USD</stp>
        <tr r="J88" s="2"/>
      </tp>
      <tp>
        <v>119</v>
        <stp/>
        <stp>##V3_BQLV12</stp>
        <stp>[Fundamental &amp; Technical Model (1).xlsm]Income Statement!R88C14</stp>
        <stp>SYK US Equity</stp>
        <stp>IS_EXPENSE_STOCK_BASED_COMP/10^6</stp>
        <stp>FPT</stp>
        <stp>A</stp>
        <stp>FPO</stp>
        <stp>-0A</stp>
        <stp>STD</stp>
        <stp>Mixed</stp>
        <stp>CONSOL</stp>
        <stp>Yes</stp>
        <stp>CURRENCY</stp>
        <stp>USD</stp>
        <tr r="N88" s="2"/>
      </tp>
      <tp>
        <v>86</v>
        <stp/>
        <stp>##V3_BQLV12</stp>
        <stp>[Fundamental &amp; Technical Model (1).xlsm]Income Statement!R88C11</stp>
        <stp>SYK US Equity</stp>
        <stp>IS_EXPENSE_STOCK_BASED_COMP/10^6</stp>
        <stp>FPT</stp>
        <stp>A</stp>
        <stp>FPO</stp>
        <stp>-3A</stp>
        <stp>STD</stp>
        <stp>Mixed</stp>
        <stp>CONSOL</stp>
        <stp>Yes</stp>
        <stp>CURRENCY</stp>
        <stp>USD</stp>
        <tr r="K88" s="2"/>
      </tp>
      <tp>
        <v>113</v>
        <stp/>
        <stp>##V3_BQLV12</stp>
        <stp>[Fundamental &amp; Technical Model (1).xlsm]Income Statement!R88C13</stp>
        <stp>SYK US Equity</stp>
        <stp>IS_EXPENSE_STOCK_BASED_COMP/10^6</stp>
        <stp>FPT</stp>
        <stp>A</stp>
        <stp>FPO</stp>
        <stp>-1A</stp>
        <stp>STD</stp>
        <stp>Mixed</stp>
        <stp>CONSOL</stp>
        <stp>Yes</stp>
        <stp>CURRENCY</stp>
        <stp>USD</stp>
        <tr r="M88" s="2"/>
      </tp>
      <tp>
        <v>97</v>
        <stp/>
        <stp>##V3_BQLV12</stp>
        <stp>[Fundamental &amp; Technical Model (1).xlsm]Income Statement!R88C12</stp>
        <stp>SYK US Equity</stp>
        <stp>IS_EXPENSE_STOCK_BASED_COMP/10^6</stp>
        <stp>FPT</stp>
        <stp>A</stp>
        <stp>FPO</stp>
        <stp>-2A</stp>
        <stp>STD</stp>
        <stp>Mixed</stp>
        <stp>CONSOL</stp>
        <stp>Yes</stp>
        <stp>CURRENCY</stp>
        <stp>USD</stp>
        <tr r="L88" s="2"/>
      </tp>
      <tp t="s">
        <v>2010 Y</v>
        <stp/>
        <stp>##V3_BDPV12</stp>
        <stp>SYK US Equity</stp>
        <stp>FISCAL_YEAR_PERIOD</stp>
        <stp>[Fundamental &amp; Technical Model (1).xlsm]Segments!R57C6</stp>
        <stp>EQY_FUND_RELATIVE_PERIOD</stp>
        <stp>-8FY</stp>
        <tr r="F57" s="17"/>
      </tp>
      <tp t="s">
        <v>2012 Y</v>
        <stp/>
        <stp>##V3_BDPV12</stp>
        <stp>SYK US Equity</stp>
        <stp>FISCAL_YEAR_PERIOD</stp>
        <stp>[Fundamental &amp; Technical Model (1).xlsm]Segments!R57C8</stp>
        <stp>EQY_FUND_RELATIVE_PERIOD</stp>
        <stp>-6FY</stp>
        <tr r="H57" s="17"/>
      </tp>
      <tp t="e">
        <v>#N/A</v>
        <stp/>
        <stp>##V3_BDHV12</stp>
        <stp>SYK US Equity</stp>
        <stp>LOW_EV_TO_T12M_SALES</stp>
        <stp>-4FY</stp>
        <stp>-4FY</stp>
        <stp>[Fundamental &amp; Technical Model (1).xlsm]Multiples!R18C9</stp>
        <stp>EQY_CONSOLIDATED</stp>
        <stp>Yes</stp>
        <stp>ACCOUNTING_STANDARD_OVERRIDE</stp>
        <stp>Mixed</stp>
        <stp>Per</stp>
        <stp>FY</stp>
        <stp>Days=A</stp>
        <tr r="I18" s="16"/>
        <tr r="I18" s="16"/>
      </tp>
      <tp t="s">
        <v>2010 Y</v>
        <stp/>
        <stp>##V3_BDPV12</stp>
        <stp>SYK US Equity</stp>
        <stp>FISCAL_YEAR_PERIOD</stp>
        <stp>[Fundamental &amp; Technical Model (1).xlsm]Segments!R72C6</stp>
        <stp>EQY_FUND_RELATIVE_PERIOD</stp>
        <stp>-8FY</stp>
        <tr r="F72" s="17"/>
      </tp>
      <tp t="s">
        <v>2012 Y</v>
        <stp/>
        <stp>##V3_BDPV12</stp>
        <stp>SYK US Equity</stp>
        <stp>FISCAL_YEAR_PERIOD</stp>
        <stp>[Fundamental &amp; Technical Model (1).xlsm]Segments!R72C8</stp>
        <stp>EQY_FUND_RELATIVE_PERIOD</stp>
        <stp>-6FY</stp>
        <tr r="H72" s="17"/>
      </tp>
      <tp>
        <v>22.55</v>
        <stp/>
        <stp>##V3_BDPV12</stp>
        <stp>SYK US Equity</stp>
        <stp>BS_WEIGHTED_AVG_FV_PER_OPTION</stp>
        <stp>[Fundamental &amp; Technical Model (1).xlsm]Supplemental!R20C10</stp>
        <stp>EQY_FUND_RELATIVE_PERIOD</stp>
        <stp>-3FY</stp>
        <stp>EQY_FUND_CRNCY</stp>
        <stp>USD</stp>
        <stp>EQY_CONSOLIDATED</stp>
        <stp>Yes</stp>
        <stp>ACCOUNTING_STANDARD_OVERRIDE</stp>
        <stp>Mixed</stp>
        <stp>Fill=--</stp>
        <tr r="J20" s="19"/>
      </tp>
      <tp>
        <v>17.73</v>
        <stp/>
        <stp>##V3_BDPV12</stp>
        <stp>SYK US Equity</stp>
        <stp>BS_WEIGHTED_AVG_FV_PER_OPTION</stp>
        <stp>[Fundamental &amp; Technical Model (1).xlsm]Supplemental!R20C11</stp>
        <stp>EQY_FUND_RELATIVE_PERIOD</stp>
        <stp>-2FY</stp>
        <stp>EQY_FUND_CRNCY</stp>
        <stp>USD</stp>
        <stp>EQY_CONSOLIDATED</stp>
        <stp>Yes</stp>
        <stp>ACCOUNTING_STANDARD_OVERRIDE</stp>
        <stp>Mixed</stp>
        <stp>Fill=--</stp>
        <tr r="K20" s="19"/>
      </tp>
      <tp>
        <v>22.43</v>
        <stp/>
        <stp>##V3_BDPV12</stp>
        <stp>SYK US Equity</stp>
        <stp>BS_WEIGHTED_AVG_FV_PER_OPTION</stp>
        <stp>[Fundamental &amp; Technical Model (1).xlsm]Supplemental!R20C12</stp>
        <stp>EQY_FUND_RELATIVE_PERIOD</stp>
        <stp>-1FY</stp>
        <stp>EQY_FUND_CRNCY</stp>
        <stp>USD</stp>
        <stp>EQY_CONSOLIDATED</stp>
        <stp>Yes</stp>
        <stp>ACCOUNTING_STANDARD_OVERRIDE</stp>
        <stp>Mixed</stp>
        <stp>Fill=--</stp>
        <tr r="L20" s="19"/>
      </tp>
      <tp>
        <v>28.52</v>
        <stp/>
        <stp>##V3_BDPV12</stp>
        <stp>SYK US Equity</stp>
        <stp>BS_WEIGHTED_AVG_FV_PER_OPTION</stp>
        <stp>[Fundamental &amp; Technical Model (1).xlsm]Supplemental!R20C13</stp>
        <stp>EQY_FUND_RELATIVE_PERIOD</stp>
        <stp>-0FY</stp>
        <stp>EQY_FUND_CRNCY</stp>
        <stp>USD</stp>
        <stp>EQY_CONSOLIDATED</stp>
        <stp>Yes</stp>
        <stp>ACCOUNTING_STANDARD_OVERRIDE</stp>
        <stp>Mixed</stp>
        <stp>Fill=--</stp>
        <tr r="M20" s="19"/>
      </tp>
      <tp>
        <v>373.81008500000002</v>
        <stp/>
        <stp>##V3_BQLV12</stp>
        <stp>[Fundamental &amp; Technical Model (1).xlsm]Key Stats!R36C4</stp>
        <stp>SYK US Equity</stp>
        <stp>EQY_SH_OUT/10^6</stp>
        <stp>ExcelFill=B</stp>
        <tr r="D36" s="23"/>
      </tp>
      <tp>
        <v>-44</v>
        <stp/>
        <stp>##V3_BQLV12</stp>
        <stp>[Fundamental &amp; Technical Model (1).xlsm]Income Statement!R36C5</stp>
        <stp>SYK US Equity</stp>
        <stp>IS_NET_NON_OPER_LOSS/10^6</stp>
        <stp>FPT</stp>
        <stp>A</stp>
        <stp>FPO</stp>
        <stp>-9A</stp>
        <stp>STD</stp>
        <stp>Mixed</stp>
        <stp>CONSOL</stp>
        <stp>Yes</stp>
        <stp>CURRENCY</stp>
        <stp>USD</stp>
        <tr r="E36" s="2"/>
      </tp>
      <tp>
        <v>-31</v>
        <stp/>
        <stp>##V3_BQLV12</stp>
        <stp>[Fundamental &amp; Technical Model (1).xlsm]Income Statement!R36C6</stp>
        <stp>SYK US Equity</stp>
        <stp>IS_NET_NON_OPER_LOSS/10^6</stp>
        <stp>FPT</stp>
        <stp>A</stp>
        <stp>FPO</stp>
        <stp>-8A</stp>
        <stp>STD</stp>
        <stp>Mixed</stp>
        <stp>CONSOL</stp>
        <stp>Yes</stp>
        <stp>CURRENCY</stp>
        <stp>USD</stp>
        <tr r="F36" s="2"/>
      </tp>
      <tp>
        <v>0</v>
        <stp/>
        <stp>##V3_BQLV12</stp>
        <stp>[Fundamental &amp; Technical Model (1).xlsm]Income Statement!R36C7</stp>
        <stp>SYK US Equity</stp>
        <stp>IS_NET_NON_OPER_LOSS/10^6</stp>
        <stp>FPT</stp>
        <stp>A</stp>
        <stp>FPO</stp>
        <stp>-7A</stp>
        <stp>STD</stp>
        <stp>Mixed</stp>
        <stp>CONSOL</stp>
        <stp>Yes</stp>
        <stp>CURRENCY</stp>
        <stp>USD</stp>
        <tr r="G36" s="2"/>
      </tp>
      <tp>
        <v>-27</v>
        <stp/>
        <stp>##V3_BQLV12</stp>
        <stp>[Fundamental &amp; Technical Model (1).xlsm]Income Statement!R36C8</stp>
        <stp>SYK US Equity</stp>
        <stp>IS_NET_NON_OPER_LOSS/10^6</stp>
        <stp>FPT</stp>
        <stp>A</stp>
        <stp>FPO</stp>
        <stp>-6A</stp>
        <stp>STD</stp>
        <stp>Mixed</stp>
        <stp>CONSOL</stp>
        <stp>Yes</stp>
        <stp>CURRENCY</stp>
        <stp>USD</stp>
        <tr r="H36" s="2"/>
      </tp>
      <tp>
        <v>-39</v>
        <stp/>
        <stp>##V3_BQLV12</stp>
        <stp>[Fundamental &amp; Technical Model (1).xlsm]Income Statement!R36C9</stp>
        <stp>SYK US Equity</stp>
        <stp>IS_NET_NON_OPER_LOSS/10^6</stp>
        <stp>FPT</stp>
        <stp>A</stp>
        <stp>FPO</stp>
        <stp>-5A</stp>
        <stp>STD</stp>
        <stp>Mixed</stp>
        <stp>CONSOL</stp>
        <stp>Yes</stp>
        <stp>CURRENCY</stp>
        <stp>USD</stp>
        <tr r="I36" s="2"/>
      </tp>
      <tp t="s">
        <v>2009 A</v>
        <stp/>
        <stp>##V3_BQLV12</stp>
        <stp>[Fundamental &amp; Technical Model (1).xlsm]Cash Flow!R12C5</stp>
        <stp>SYK US Equity</stp>
        <stp>IS_EPS().PERIOD</stp>
        <stp>FPT</stp>
        <stp>A</stp>
        <stp>FPO</stp>
        <stp>-9A</stp>
        <stp>STD</stp>
        <stp>Mixed</stp>
        <stp>CONSOL</stp>
        <stp>Yes</stp>
        <tr r="E12" s="4"/>
      </tp>
      <tp>
        <v>1439</v>
        <stp/>
        <stp>##V3_BQLV12</stp>
        <stp>[Fundamental &amp; Technical Model (1).xlsm]Cash Flow!R15C11</stp>
        <stp>SYK US Equity</stp>
        <stp>CF_NET_INC/10^6</stp>
        <stp>FPT</stp>
        <stp>A</stp>
        <stp>FPO</stp>
        <stp>-3A</stp>
        <stp>STD</stp>
        <stp>Mixed</stp>
        <stp>CONSOL</stp>
        <stp>Yes</stp>
        <stp>CURRENCY</stp>
        <stp>USD</stp>
        <tr r="K15" s="4"/>
      </tp>
      <tp>
        <v>34024.904630703997</v>
        <stp/>
        <stp>##V3_BDPV12</stp>
        <stp>ZBH Equity</stp>
        <stp>curr_entp_val</stp>
        <stp>[Fundamental &amp; Technical Model (1).xlsm]Public Comparables!R13C9</stp>
        <tr r="I13" s="24"/>
      </tp>
      <tp t="e">
        <v>#N/A</v>
        <stp/>
        <stp>##V3_BDHV12</stp>
        <stp>SYK US Equity</stp>
        <stp>HIGH_DIVIDEND_YIELD</stp>
        <stp>-7FY</stp>
        <stp>-7FY</stp>
        <stp>[Fundamental &amp; Technical Model (1).xlsm]Multiples!R65C6</stp>
        <stp>EQY_CONSOLIDATED</stp>
        <stp>Yes</stp>
        <stp>ACCOUNTING_STANDARD_OVERRIDE</stp>
        <stp>Mixed</stp>
        <stp>Per</stp>
        <stp>FY</stp>
        <stp>Days=A</stp>
        <tr r="F65" s="16"/>
        <tr r="F65" s="16"/>
      </tp>
      <tp t="s">
        <v>2015 Y</v>
        <stp/>
        <stp>##V3_BDPV12</stp>
        <stp>SYK US Equity</stp>
        <stp>FISCAL_YEAR_PERIOD</stp>
        <stp>[Fundamental &amp; Technical Model (1).xlsm]Segments!R173C11</stp>
        <stp>EQY_FUND_RELATIVE_PERIOD</stp>
        <stp>-3FY</stp>
        <tr r="K173" s="17"/>
      </tp>
      <tp t="s">
        <v>2017 Y</v>
        <stp/>
        <stp>##V3_BDPV12</stp>
        <stp>SYK US Equity</stp>
        <stp>FISCAL_YEAR_PERIOD</stp>
        <stp>[Fundamental &amp; Technical Model (1).xlsm]Segments!R173C13</stp>
        <stp>EQY_FUND_RELATIVE_PERIOD</stp>
        <stp>-1FY</stp>
        <tr r="M173" s="17"/>
      </tp>
      <tp t="s">
        <v>2014 Y</v>
        <stp/>
        <stp>##V3_BDPV12</stp>
        <stp>SYK US Equity</stp>
        <stp>FISCAL_YEAR_PERIOD</stp>
        <stp>[Fundamental &amp; Technical Model (1).xlsm]Segments!R115C10</stp>
        <stp>EQY_FUND_RELATIVE_PERIOD</stp>
        <stp>-4FY</stp>
        <tr r="J115" s="17"/>
      </tp>
      <tp t="s">
        <v>2018 Y</v>
        <stp/>
        <stp>##V3_BDPV12</stp>
        <stp>SYK US Equity</stp>
        <stp>FISCAL_YEAR_PERIOD</stp>
        <stp>[Fundamental &amp; Technical Model (1).xlsm]Segments!R115C14</stp>
        <stp>EQY_FUND_RELATIVE_PERIOD</stp>
        <stp>-0FY</stp>
        <tr r="N115" s="17"/>
      </tp>
      <tp t="s">
        <v>2016 Y</v>
        <stp/>
        <stp>##V3_BDPV12</stp>
        <stp>SYK US Equity</stp>
        <stp>FISCAL_YEAR_PERIOD</stp>
        <stp>[Fundamental &amp; Technical Model (1).xlsm]Segments!R159C12</stp>
        <stp>EQY_FUND_RELATIVE_PERIOD</stp>
        <stp>-2FY</stp>
        <tr r="L159" s="17"/>
      </tp>
      <tp t="e">
        <v>#N/A</v>
        <stp/>
        <stp>##V3_BDHV12</stp>
        <stp>SYK US Equity</stp>
        <stp>LOW_PRICE_TO_FREE_CASH_FLOW</stp>
        <stp>-8FY</stp>
        <stp>-8FY</stp>
        <stp>[Fundamental &amp; Technical Model (1).xlsm]Multiples!R60C5</stp>
        <stp>EQY_CONSOLIDATED</stp>
        <stp>Yes</stp>
        <stp>ACCOUNTING_STANDARD_OVERRIDE</stp>
        <stp>Mixed</stp>
        <stp>Per</stp>
        <stp>FY</stp>
        <stp>Days=A</stp>
        <tr r="E60" s="16"/>
        <tr r="E60" s="16"/>
      </tp>
      <tp>
        <v>33.799999999999997</v>
        <stp/>
        <stp>##V3_BDPV12</stp>
        <stp>ZBH Equity</stp>
        <stp>EBIT</stp>
        <stp>[Fundamental &amp; Technical Model (1).xlsm]Public Comparables!R13C12</stp>
        <tr r="L13" s="24"/>
      </tp>
      <tp>
        <v>8.9798811406139247</v>
        <stp/>
        <stp>##V3_BQLV12</stp>
        <stp>[Fundamental &amp; Technical Model (1).xlsm]Ratios!R16C12</stp>
        <stp>SYK US Equity</stp>
        <stp>RETURN_ON_ASSET</stp>
        <stp>FPT</stp>
        <stp>A</stp>
        <stp>FPO</stp>
        <stp>-2A</stp>
        <stp>STD</stp>
        <stp>Mixed</stp>
        <stp>CONSOL</stp>
        <stp>Yes</stp>
        <tr r="L16" s="8"/>
      </tp>
      <tp t="s">
        <v>--</v>
        <stp/>
        <stp>##V3_BDPV12</stp>
        <stp>SYK US Equity</stp>
        <stp>BS_CAPITAL_LEASE_YR_5</stp>
        <stp>[Fundamental &amp; Technical Model (1).xlsm]Capital Structure Summary!R87C11</stp>
        <stp>EQY_FUND_RELATIVE_PERIOD</stp>
        <stp>-0FY</stp>
        <stp>EQY_FUND_CRNCY</stp>
        <stp>USD</stp>
        <stp>EQY_CONSOLIDATED</stp>
        <stp>Yes</stp>
        <stp>ACCOUNTING_STANDARD_OVERRIDE</stp>
        <stp>Mixed</stp>
        <stp>Fill=--</stp>
        <tr r="K87" s="21"/>
      </tp>
      <tp t="e">
        <v>#N/A</v>
        <stp/>
        <stp>##V3_BDHV12</stp>
        <stp>SYK US Equity</stp>
        <stp>EQY_DPS</stp>
        <stp>FY 2015</stp>
        <stp>FY 2018</stp>
        <stp>[Fundamental &amp; Technical Model (1).xlsm]Multi-Stage GGM!R6C5</stp>
        <stp>Dir=H</stp>
        <stp>Per=Y</stp>
        <stp>Dts=H</stp>
        <stp>cols=4;rows=1</stp>
        <tr r="E6" s="29"/>
      </tp>
      <tp t="e">
        <v>#N/A</v>
        <stp/>
        <stp>##V3_BDHV12</stp>
        <stp>SYK US Equity</stp>
        <stp>WACC_COST_PFD</stp>
        <stp>-3FY</stp>
        <stp>-3FY</stp>
        <stp>[Fundamental &amp; Technical Model (1).xlsm]Capital Structure Summary!R21C5</stp>
        <stp>Per</stp>
        <stp>FY</stp>
        <tr r="E21" s="21"/>
      </tp>
      <tp t="e">
        <v>#N/A</v>
        <stp/>
        <stp>##V3_BDHV12</stp>
        <stp>SYK US Equity</stp>
        <stp>LOW_EV_TO_T12M_SALES</stp>
        <stp>-5FY</stp>
        <stp>-5FY</stp>
        <stp>[Fundamental &amp; Technical Model (1).xlsm]Multiples!R18C8</stp>
        <stp>EQY_CONSOLIDATED</stp>
        <stp>Yes</stp>
        <stp>ACCOUNTING_STANDARD_OVERRIDE</stp>
        <stp>Mixed</stp>
        <stp>Per</stp>
        <stp>FY</stp>
        <stp>Days=A</stp>
        <tr r="H18" s="16"/>
        <tr r="H18" s="16"/>
      </tp>
      <tp>
        <v>66.260485651214125</v>
        <stp/>
        <stp>##V3_BQLV12</stp>
        <stp>[Fundamental &amp; Technical Model (1).xlsm]Ratios!R21C12</stp>
        <stp>SYK US Equity</stp>
        <stp>GROSS_MARGIN</stp>
        <stp>FPT</stp>
        <stp>A</stp>
        <stp>FPO</stp>
        <stp>-2A</stp>
        <stp>STD</stp>
        <stp>Mixed</stp>
        <stp>CONSOL</stp>
        <stp>Yes</stp>
        <tr r="L21" s="8"/>
      </tp>
      <tp>
        <v>0</v>
        <stp/>
        <stp>##V3_BQLV12</stp>
        <stp>[Fundamental &amp; Technical Model (1).xlsm]Cash Flow!R26C7</stp>
        <stp>SYK US Equity</stp>
        <stp>CF_INCR_INVEST/10^6</stp>
        <stp>FPT</stp>
        <stp>A</stp>
        <stp>FPO</stp>
        <stp>-7A</stp>
        <stp>STD</stp>
        <stp>Mixed</stp>
        <stp>CONSOL</stp>
        <stp>Yes</stp>
        <stp>CURRENCY</stp>
        <stp>USD</stp>
        <tr r="G26" s="4"/>
      </tp>
      <tp>
        <v>0</v>
        <stp/>
        <stp>##V3_BQLV12</stp>
        <stp>[Fundamental &amp; Technical Model (1).xlsm]Cash Flow!R23C7</stp>
        <stp>SYK US Equity</stp>
        <stp>CF_INCR_INVEST/10^6</stp>
        <stp>FPT</stp>
        <stp>A</stp>
        <stp>FPO</stp>
        <stp>-7A</stp>
        <stp>STD</stp>
        <stp>Mixed</stp>
        <stp>CONSOL</stp>
        <stp>Yes</stp>
        <stp>CURRENCY</stp>
        <stp>USD</stp>
        <tr r="G23" s="4"/>
      </tp>
      <tp t="s">
        <v>2015 Y</v>
        <stp/>
        <stp>##V3_BDPV12</stp>
        <stp>SYK US Equity</stp>
        <stp>FISCAL_YEAR_PERIOD</stp>
        <stp>[Fundamental &amp; Technical Model (1).xlsm]Segments!R101C11</stp>
        <stp>EQY_FUND_RELATIVE_PERIOD</stp>
        <stp>-3FY</stp>
        <tr r="K101" s="17"/>
      </tp>
      <tp t="s">
        <v>2017 Y</v>
        <stp/>
        <stp>##V3_BDPV12</stp>
        <stp>SYK US Equity</stp>
        <stp>FISCAL_YEAR_PERIOD</stp>
        <stp>[Fundamental &amp; Technical Model (1).xlsm]Segments!R101C13</stp>
        <stp>EQY_FUND_RELATIVE_PERIOD</stp>
        <stp>-1FY</stp>
        <tr r="M101" s="17"/>
      </tp>
      <tp>
        <v>3522</v>
        <stp/>
        <stp>##V3_BQLV12</stp>
        <stp>[Fundamental &amp; Technical Model (1).xlsm]Key Stats!R27C11</stp>
        <stp>SYK US Equity</stp>
        <stp>NET_INCOME/10^6</stp>
        <stp>FPT=LTM</stp>
        <stp>FPO</stp>
        <stp>-0</stp>
        <stp>STD</stp>
        <stp>Mixed</stp>
        <stp>CONSOL</stp>
        <stp>Yes</stp>
        <stp>CURRENCY</stp>
        <stp>USD</stp>
        <tr r="K27" s="23"/>
      </tp>
      <tp>
        <v>-0.22418879056047206</v>
        <stp/>
        <stp>##V3_BQLV12</stp>
        <stp>[Fundamental &amp; Technical Model (1).xlsm]Key Stats!R31C5</stp>
        <stp>SYK US Equity</stp>
        <stp>DILUTED_EPS_BEF_XO_ITEMS_GROWTH/100</stp>
        <stp>FPT</stp>
        <stp>A</stp>
        <stp>FPO</stp>
        <stp>-5A</stp>
        <stp>STD</stp>
        <stp>Mixed</stp>
        <stp>CONSOL</stp>
        <stp>Yes</stp>
        <stp>CURRENCY</stp>
        <stp>USD</stp>
        <tr r="E31" s="23"/>
      </tp>
      <tp>
        <v>1.0589933928125779</v>
        <stp/>
        <stp>##V3_BQLV12</stp>
        <stp>[Fundamental &amp; Technical Model (1).xlsm]Key Stats!R64C5</stp>
        <stp>SYK US Equity</stp>
        <stp>DIVIDEND_YIELD*100</stp>
        <stp>FPT=A</stp>
        <stp>FPO=1</stp>
        <stp>STD</stp>
        <stp>Mixed</stp>
        <stp>CONSOL</stp>
        <stp>Yes</stp>
        <stp>CURRENCY</stp>
        <stp>USD</stp>
        <tr r="E64" s="23"/>
      </tp>
      <tp t="s">
        <v>#N/A N/A</v>
        <stp/>
        <stp>##V3_BDSV12</stp>
        <stp>SYK US Equity</stp>
        <stp>PG_CAPITAL_EXPENDITURES</stp>
        <stp>[Fundamental &amp; Technical Model (1).xlsm]Segments!R171C4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171" s="17"/>
      </tp>
      <tp t="s">
        <v>--</v>
        <stp/>
        <stp>##V3_BDPV12</stp>
        <stp>SYK US Equity</stp>
        <stp>BS_CAPITAL_LEASE_YR_2</stp>
        <stp>[Fundamental &amp; Technical Model (1).xlsm]Capital Structure Summary!R84C11</stp>
        <stp>EQY_FUND_RELATIVE_PERIOD</stp>
        <stp>-0FY</stp>
        <stp>EQY_FUND_CRNCY</stp>
        <stp>USD</stp>
        <stp>EQY_CONSOLIDATED</stp>
        <stp>Yes</stp>
        <stp>ACCOUNTING_STANDARD_OVERRIDE</stp>
        <stp>Mixed</stp>
        <stp>Fill=--</stp>
        <tr r="K84" s="21"/>
      </tp>
      <tp t="e">
        <v>#N/A</v>
        <stp/>
        <stp>##V3_BDHV12</stp>
        <stp>SYK US Equity</stp>
        <stp>WACC_COST_PFD</stp>
        <stp>-4FY</stp>
        <stp>-4FY</stp>
        <stp>[Fundamental &amp; Technical Model (1).xlsm]Capital Structure Summary!R21C3</stp>
        <stp>Per</stp>
        <stp>FY</stp>
        <tr r="C21" s="21"/>
      </tp>
      <tp>
        <v>727</v>
        <stp/>
        <stp>##V3_BDPV12</stp>
        <stp>SYK US Equity</stp>
        <stp>BS_ST_PORTION_OF_LT_DEBT</stp>
        <stp>[Fundamental &amp; Technical Model (1).xlsm]Capital Structure Summary!R51C3</stp>
        <stp>EQY_FUND_RELATIVE_PERIOD</stp>
        <stp>-4FY</stp>
        <stp>EQY_FUND_CRNCY</stp>
        <stp>USD</stp>
        <stp>EQY_CONSOLIDATED</stp>
        <stp>Yes</stp>
        <stp>ACCOUNTING_STANDARD_OVERRIDE</stp>
        <stp>Mixed</stp>
        <stp>Fill=--</stp>
        <tr r="C51" s="21"/>
      </tp>
      <tp>
        <v>768</v>
        <stp/>
        <stp>##V3_BDPV12</stp>
        <stp>SYK US Equity</stp>
        <stp>BS_ST_PORTION_OF_LT_DEBT</stp>
        <stp>[Fundamental &amp; Technical Model (1).xlsm]Capital Structure Summary!R51C5</stp>
        <stp>EQY_FUND_RELATIVE_PERIOD</stp>
        <stp>-3FY</stp>
        <stp>EQY_FUND_CRNCY</stp>
        <stp>USD</stp>
        <stp>EQY_CONSOLIDATED</stp>
        <stp>Yes</stp>
        <stp>ACCOUNTING_STANDARD_OVERRIDE</stp>
        <stp>Mixed</stp>
        <stp>Fill=--</stp>
        <tr r="E51" s="21"/>
      </tp>
      <tp>
        <v>228</v>
        <stp/>
        <stp>##V3_BDPV12</stp>
        <stp>SYK US Equity</stp>
        <stp>BS_ST_PORTION_OF_LT_DEBT</stp>
        <stp>[Fundamental &amp; Technical Model (1).xlsm]Capital Structure Summary!R51C7</stp>
        <stp>EQY_FUND_RELATIVE_PERIOD</stp>
        <stp>-2FY</stp>
        <stp>EQY_FUND_CRNCY</stp>
        <stp>USD</stp>
        <stp>EQY_CONSOLIDATED</stp>
        <stp>Yes</stp>
        <stp>ACCOUNTING_STANDARD_OVERRIDE</stp>
        <stp>Mixed</stp>
        <stp>Fill=--</stp>
        <tr r="G51" s="21"/>
      </tp>
      <tp>
        <v>632</v>
        <stp/>
        <stp>##V3_BDPV12</stp>
        <stp>SYK US Equity</stp>
        <stp>BS_ST_PORTION_OF_LT_DEBT</stp>
        <stp>[Fundamental &amp; Technical Model (1).xlsm]Capital Structure Summary!R51C9</stp>
        <stp>EQY_FUND_RELATIVE_PERIOD</stp>
        <stp>-1FY</stp>
        <stp>EQY_FUND_CRNCY</stp>
        <stp>USD</stp>
        <stp>EQY_CONSOLIDATED</stp>
        <stp>Yes</stp>
        <stp>ACCOUNTING_STANDARD_OVERRIDE</stp>
        <stp>Mixed</stp>
        <stp>Fill=--</stp>
        <tr r="I51" s="21"/>
      </tp>
      <tp>
        <v>336</v>
        <stp/>
        <stp>##V3_BQLV12</stp>
        <stp>[Fundamental &amp; Technical Model (1).xlsm]Income Statement!R83C5</stp>
        <stp>SYK US Equity</stp>
        <stp>IS_CAP_INT_EXP/10^6</stp>
        <stp>FPT</stp>
        <stp>A</stp>
        <stp>FPO</stp>
        <stp>-9A</stp>
        <stp>STD</stp>
        <stp>Mixed</stp>
        <stp>CONSOL</stp>
        <stp>Yes</stp>
        <stp>CURRENCY</stp>
        <stp>USD</stp>
        <tr r="E83" s="2"/>
      </tp>
      <tp>
        <v>43465</v>
        <stp/>
        <stp>##V3_BQLV12</stp>
        <stp>[Fundamental &amp; Technical Model (1).xlsm]Key Stats!R52C4</stp>
        <stp>SYK US Equity</stp>
        <stp>IS_EPS().PERIOD_END_DATE</stp>
        <stp>FPT=A</stp>
        <stp>FPO=0</stp>
        <stp>STD</stp>
        <stp>Mixed</stp>
        <stp>CONSOL</stp>
        <stp>Yes</stp>
        <stp>CURRENCY</stp>
        <stp>USD</stp>
        <tr r="D52" s="23"/>
      </tp>
      <tp t="e">
        <v>#N/A</v>
        <stp/>
        <stp>##V3_BDHV12</stp>
        <stp>SYK US Equity</stp>
        <stp>PX_TO_TANG_BV_PER_SH</stp>
        <stp>-5FY</stp>
        <stp>-5FY</stp>
        <stp>[Fundamental &amp; Technical Model (1).xlsm]Multiples!R45C8</stp>
        <stp>EQY_CONSOLIDATED</stp>
        <stp>Yes</stp>
        <stp>ACCOUNTING_STANDARD_OVERRIDE</stp>
        <stp>Mixed</stp>
        <stp>Per</stp>
        <stp>FY</stp>
        <stp>Days=A</stp>
        <tr r="H45" s="16"/>
        <tr r="H45" s="16"/>
      </tp>
      <tp>
        <v>517</v>
        <stp/>
        <stp>##V3_BQLV12</stp>
        <stp>[Fundamental &amp; Technical Model (1).xlsm]Income Statement!R46C5</stp>
        <stp>SYK US Equity</stp>
        <stp>IS_INC_TAX_EXP/10^6</stp>
        <stp>FPT</stp>
        <stp>A</stp>
        <stp>FPO</stp>
        <stp>-9A</stp>
        <stp>STD</stp>
        <stp>Mixed</stp>
        <stp>CONSOL</stp>
        <stp>Yes</stp>
        <stp>CURRENCY</stp>
        <stp>USD</stp>
        <tr r="E46" s="2"/>
      </tp>
      <tp>
        <v>0</v>
        <stp/>
        <stp>##V3_BQLV12</stp>
        <stp>[Fundamental &amp; Technical Model (1).xlsm]Cash Flow!R26C6</stp>
        <stp>SYK US Equity</stp>
        <stp>CF_INCR_INVEST/10^6</stp>
        <stp>FPT</stp>
        <stp>A</stp>
        <stp>FPO</stp>
        <stp>-8A</stp>
        <stp>STD</stp>
        <stp>Mixed</stp>
        <stp>CONSOL</stp>
        <stp>Yes</stp>
        <stp>CURRENCY</stp>
        <stp>USD</stp>
        <tr r="F26" s="4"/>
      </tp>
      <tp>
        <v>0</v>
        <stp/>
        <stp>##V3_BQLV12</stp>
        <stp>[Fundamental &amp; Technical Model (1).xlsm]Cash Flow!R23C6</stp>
        <stp>SYK US Equity</stp>
        <stp>CF_INCR_INVEST/10^6</stp>
        <stp>FPT</stp>
        <stp>A</stp>
        <stp>FPO</stp>
        <stp>-8A</stp>
        <stp>STD</stp>
        <stp>Mixed</stp>
        <stp>CONSOL</stp>
        <stp>Yes</stp>
        <stp>CURRENCY</stp>
        <stp>USD</stp>
        <tr r="F23" s="4"/>
      </tp>
      <tp>
        <v>1553.9</v>
        <stp/>
        <stp>##V3_BQLV12</stp>
        <stp>[Fundamental &amp; Technical Model (1).xlsm]Income Statement!R78C4</stp>
        <stp>SYK US Equity</stp>
        <stp>EBIT/10^6</stp>
        <stp>FPT</stp>
        <stp>A</stp>
        <stp>FPO</stp>
        <stp>-10A</stp>
        <stp>STD</stp>
        <stp>Mixed</stp>
        <stp>CONSOL</stp>
        <stp>Yes</stp>
        <stp>CURRENCY</stp>
        <stp>USD</stp>
        <tr r="D78" s="2"/>
      </tp>
      <tp t="s">
        <v>2008 A</v>
        <stp/>
        <stp>##V3_BQLV12</stp>
        <stp>[Fundamental &amp; Technical Model (1).xlsm]Cash Flow!R12C4</stp>
        <stp>SYK US Equity</stp>
        <stp>IS_EPS().PERIOD</stp>
        <stp>FPT</stp>
        <stp>A</stp>
        <stp>FPO</stp>
        <stp>-10A</stp>
        <stp>STD</stp>
        <stp>Mixed</stp>
        <stp>CONSOL</stp>
        <stp>Yes</stp>
        <tr r="D12" s="4"/>
      </tp>
      <tp t="s">
        <v>2016 Y</v>
        <stp/>
        <stp>##V3_BDPV12</stp>
        <stp>SYK US Equity</stp>
        <stp>FISCAL_YEAR_PERIOD</stp>
        <stp>[Fundamental &amp; Technical Model (1).xlsm]Segments!R130C12</stp>
        <stp>EQY_FUND_RELATIVE_PERIOD</stp>
        <stp>-2FY</stp>
        <tr r="L130" s="17"/>
      </tp>
      <tp t="s">
        <v>2014 Y</v>
        <stp/>
        <stp>##V3_BDPV12</stp>
        <stp>SYK US Equity</stp>
        <stp>FISCAL_YEAR_PERIOD</stp>
        <stp>[Fundamental &amp; Technical Model (1).xlsm]Segments!R173C10</stp>
        <stp>EQY_FUND_RELATIVE_PERIOD</stp>
        <stp>-4FY</stp>
        <tr r="J173" s="17"/>
      </tp>
      <tp t="s">
        <v>2018 Y</v>
        <stp/>
        <stp>##V3_BDPV12</stp>
        <stp>SYK US Equity</stp>
        <stp>FISCAL_YEAR_PERIOD</stp>
        <stp>[Fundamental &amp; Technical Model (1).xlsm]Segments!R173C14</stp>
        <stp>EQY_FUND_RELATIVE_PERIOD</stp>
        <stp>-0FY</stp>
        <tr r="N173" s="17"/>
      </tp>
      <tp t="s">
        <v>2015 Y</v>
        <stp/>
        <stp>##V3_BDPV12</stp>
        <stp>SYK US Equity</stp>
        <stp>FISCAL_YEAR_PERIOD</stp>
        <stp>[Fundamental &amp; Technical Model (1).xlsm]Segments!R115C11</stp>
        <stp>EQY_FUND_RELATIVE_PERIOD</stp>
        <stp>-3FY</stp>
        <tr r="K115" s="17"/>
      </tp>
      <tp t="s">
        <v>2017 Y</v>
        <stp/>
        <stp>##V3_BDPV12</stp>
        <stp>SYK US Equity</stp>
        <stp>FISCAL_YEAR_PERIOD</stp>
        <stp>[Fundamental &amp; Technical Model (1).xlsm]Segments!R115C13</stp>
        <stp>EQY_FUND_RELATIVE_PERIOD</stp>
        <stp>-1FY</stp>
        <tr r="M115" s="17"/>
      </tp>
      <tp>
        <v>-1.7391304347826101E-2</v>
        <stp/>
        <stp>##V3_BQLV12</stp>
        <stp>[Fundamental &amp; Technical Model (1).xlsm]Key Stats!R31C4</stp>
        <stp>SYK US Equity</stp>
        <stp>DILUTED_EPS_BEF_XO_ITEMS_GROWTH/100</stp>
        <stp>FPT</stp>
        <stp>A</stp>
        <stp>FPO</stp>
        <stp>-6A</stp>
        <stp>STD</stp>
        <stp>Mixed</stp>
        <stp>CONSOL</stp>
        <stp>Yes</stp>
        <stp>CURRENCY</stp>
        <stp>USD</stp>
        <tr r="D31" s="23"/>
      </tp>
      <tp t="s">
        <v>#N/A N/A</v>
        <stp/>
        <stp>##V3_BDSV12</stp>
        <stp>SYK US Equity</stp>
        <stp>PG_CAPITAL_EXPENDITURES</stp>
        <stp>[Fundamental &amp; Technical Model (1).xlsm]Segments!R171C5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171" s="17"/>
      </tp>
      <tp>
        <v>3.83779</v>
        <stp/>
        <stp>##V3_BDPV12</stp>
        <stp>DHR Equity</stp>
        <stp>trail_12M_EPS</stp>
        <stp>[Fundamental &amp; Technical Model (1).xlsm]Public Comparables!R9C13</stp>
        <tr r="M9" s="24"/>
      </tp>
      <tp t="s">
        <v>--</v>
        <stp/>
        <stp>##V3_BDPV12</stp>
        <stp>SYK US Equity</stp>
        <stp>ARDR_STOCK_OPTION_VAL_DVD_YLD</stp>
        <stp>[Fundamental &amp; Technical Model (1).xlsm]Supplemental!R30C3</stp>
        <stp>EQY_FUND_RELATIVE_PERIOD</stp>
        <stp>-10FY</stp>
        <stp>EQY_FUND_CRNCY</stp>
        <stp>USD</stp>
        <stp>EQY_CONSOLIDATED</stp>
        <stp>Yes</stp>
        <stp>ACCOUNTING_STANDARD_OVERRIDE</stp>
        <stp>Mixed</stp>
        <stp>Fill=--</stp>
        <tr r="C30" s="19"/>
      </tp>
      <tp>
        <v>3.1191326994125128</v>
        <stp/>
        <stp>##V3_BQLV12</stp>
        <stp>[Fundamental &amp; Technical Model (1).xlsm]Ratios!R16C10</stp>
        <stp>SYK US Equity</stp>
        <stp>RETURN_ON_ASSET</stp>
        <stp>FPT</stp>
        <stp>A</stp>
        <stp>FPO</stp>
        <stp>-4A</stp>
        <stp>STD</stp>
        <stp>Mixed</stp>
        <stp>CONSOL</stp>
        <stp>Yes</stp>
        <tr r="J16" s="8"/>
      </tp>
      <tp t="s">
        <v>--</v>
        <stp/>
        <stp>##V3_BDPV12</stp>
        <stp>SYK US Equity</stp>
        <stp>BS_CAPITAL_LEASE_YR_3</stp>
        <stp>[Fundamental &amp; Technical Model (1).xlsm]Capital Structure Summary!R85C11</stp>
        <stp>EQY_FUND_RELATIVE_PERIOD</stp>
        <stp>-0FY</stp>
        <stp>EQY_FUND_CRNCY</stp>
        <stp>USD</stp>
        <stp>EQY_CONSOLIDATED</stp>
        <stp>Yes</stp>
        <stp>ACCOUNTING_STANDARD_OVERRIDE</stp>
        <stp>Mixed</stp>
        <stp>Fill=--</stp>
        <tr r="K85" s="21"/>
      </tp>
      <tp>
        <v>43830</v>
        <stp/>
        <stp>##V3_BQLV12</stp>
        <stp>[Fundamental &amp; Technical Model (1).xlsm]Key Stats!R52C6</stp>
        <stp>SYK US Equity</stp>
        <stp>IS_EPS().PERIOD_END_DATE</stp>
        <stp>FPT=A</stp>
        <stp>FPO=1</stp>
        <stp>STD</stp>
        <stp>Mixed</stp>
        <stp>CONSOL</stp>
        <stp>Yes</stp>
        <stp>CURRENCY</stp>
        <stp>USD</stp>
        <tr r="F52" s="23"/>
      </tp>
      <tp t="e">
        <v>#N/A</v>
        <stp/>
        <stp>##V3_BDHV12</stp>
        <stp>SYK US Equity</stp>
        <stp>PX_TO_TANG_BV_PER_SH</stp>
        <stp>-4FY</stp>
        <stp>-4FY</stp>
        <stp>[Fundamental &amp; Technical Model (1).xlsm]Multiples!R45C9</stp>
        <stp>EQY_CONSOLIDATED</stp>
        <stp>Yes</stp>
        <stp>ACCOUNTING_STANDARD_OVERRIDE</stp>
        <stp>Mixed</stp>
        <stp>Per</stp>
        <stp>FY</stp>
        <stp>Days=A</stp>
        <tr r="I45" s="16"/>
        <tr r="I45" s="16"/>
      </tp>
      <tp>
        <v>0</v>
        <stp/>
        <stp>##V3_BQLV12</stp>
        <stp>[Fundamental &amp; Technical Model (1).xlsm]Cash Flow!R26C5</stp>
        <stp>SYK US Equity</stp>
        <stp>CF_INCR_INVEST/10^6</stp>
        <stp>FPT</stp>
        <stp>A</stp>
        <stp>FPO</stp>
        <stp>-9A</stp>
        <stp>STD</stp>
        <stp>Mixed</stp>
        <stp>CONSOL</stp>
        <stp>Yes</stp>
        <stp>CURRENCY</stp>
        <stp>USD</stp>
        <tr r="E26" s="4"/>
      </tp>
      <tp>
        <v>0</v>
        <stp/>
        <stp>##V3_BQLV12</stp>
        <stp>[Fundamental &amp; Technical Model (1).xlsm]Cash Flow!R23C5</stp>
        <stp>SYK US Equity</stp>
        <stp>CF_INCR_INVEST/10^6</stp>
        <stp>FPT</stp>
        <stp>A</stp>
        <stp>FPO</stp>
        <stp>-9A</stp>
        <stp>STD</stp>
        <stp>Mixed</stp>
        <stp>CONSOL</stp>
        <stp>Yes</stp>
        <stp>CURRENCY</stp>
        <stp>USD</stp>
        <tr r="E23" s="4"/>
      </tp>
      <tp>
        <v>3553</v>
        <stp/>
        <stp>##V3_BQLV12</stp>
        <stp>[Fundamental &amp; Technical Model (1).xlsm]Cash Flow!R15C14</stp>
        <stp>SYK US Equity</stp>
        <stp>CF_NET_INC/10^6</stp>
        <stp>FPT</stp>
        <stp>A</stp>
        <stp>FPO</stp>
        <stp>-0A</stp>
        <stp>STD</stp>
        <stp>Mixed</stp>
        <stp>CONSOL</stp>
        <stp>Yes</stp>
        <stp>CURRENCY</stp>
        <stp>USD</stp>
        <tr r="N15" s="4"/>
      </tp>
      <tp t="s">
        <v>2016 Y</v>
        <stp/>
        <stp>##V3_BDPV12</stp>
        <stp>SYK US Equity</stp>
        <stp>FISCAL_YEAR_PERIOD</stp>
        <stp>[Fundamental &amp; Technical Model (1).xlsm]Segments!R101C12</stp>
        <stp>EQY_FUND_RELATIVE_PERIOD</stp>
        <stp>-2FY</stp>
        <tr r="L101" s="17"/>
      </tp>
      <tp t="s">
        <v>2014 Y</v>
        <stp/>
        <stp>##V3_BDPV12</stp>
        <stp>SYK US Equity</stp>
        <stp>FISCAL_YEAR_PERIOD</stp>
        <stp>[Fundamental &amp; Technical Model (1).xlsm]Segments!R144C10</stp>
        <stp>EQY_FUND_RELATIVE_PERIOD</stp>
        <stp>-4FY</stp>
        <tr r="J144" s="17"/>
      </tp>
      <tp t="s">
        <v>2018 Y</v>
        <stp/>
        <stp>##V3_BDPV12</stp>
        <stp>SYK US Equity</stp>
        <stp>FISCAL_YEAR_PERIOD</stp>
        <stp>[Fundamental &amp; Technical Model (1).xlsm]Segments!R144C14</stp>
        <stp>EQY_FUND_RELATIVE_PERIOD</stp>
        <stp>-0FY</stp>
        <tr r="N144" s="17"/>
      </tp>
      <tp>
        <v>0</v>
        <stp/>
        <stp>##V3_BQLV12</stp>
        <stp>[Fundamental &amp; Technical Model (1).xlsm]Cash Flow!R24C4</stp>
        <stp>SYK US Equity</stp>
        <stp>CF_DECR_INVEST/10^6</stp>
        <stp>FPT</stp>
        <stp>A</stp>
        <stp>FPO</stp>
        <stp>-10A</stp>
        <stp>STD</stp>
        <stp>Mixed</stp>
        <stp>CONSOL</stp>
        <stp>Yes</stp>
        <stp>CURRENCY</stp>
        <stp>USD</stp>
        <tr r="D24" s="4"/>
      </tp>
      <tp>
        <v>1.8208955223880592</v>
        <stp/>
        <stp>##V3_BQLV12</stp>
        <stp>[Fundamental &amp; Technical Model (1).xlsm]Key Stats!R31C7</stp>
        <stp>SYK US Equity</stp>
        <stp>DILUTED_EPS_BEF_XO_ITEMS_GROWTH/100</stp>
        <stp>FPT</stp>
        <stp>A</stp>
        <stp>FPO</stp>
        <stp>-3A</stp>
        <stp>STD</stp>
        <stp>Mixed</stp>
        <stp>CONSOL</stp>
        <stp>Yes</stp>
        <stp>CURRENCY</stp>
        <stp>USD</stp>
        <tr r="G31" s="23"/>
      </tp>
      <tp>
        <v>0</v>
        <stp/>
        <stp>##V3_BQLV12</stp>
        <stp>[Fundamental &amp; Technical Model (1).xlsm]Cash Flow!R26C4</stp>
        <stp>SYK US Equity</stp>
        <stp>CF_INCR_INVEST/10^6</stp>
        <stp>FPT</stp>
        <stp>A</stp>
        <stp>FPO</stp>
        <stp>-10A</stp>
        <stp>STD</stp>
        <stp>Mixed</stp>
        <stp>CONSOL</stp>
        <stp>Yes</stp>
        <stp>CURRENCY</stp>
        <stp>USD</stp>
        <tr r="D26" s="4"/>
      </tp>
      <tp>
        <v>0</v>
        <stp/>
        <stp>##V3_BQLV12</stp>
        <stp>[Fundamental &amp; Technical Model (1).xlsm]Cash Flow!R23C4</stp>
        <stp>SYK US Equity</stp>
        <stp>CF_INCR_INVEST/10^6</stp>
        <stp>FPT</stp>
        <stp>A</stp>
        <stp>FPO</stp>
        <stp>-10A</stp>
        <stp>STD</stp>
        <stp>Mixed</stp>
        <stp>CONSOL</stp>
        <stp>Yes</stp>
        <stp>CURRENCY</stp>
        <stp>USD</stp>
        <tr r="D23" s="4"/>
      </tp>
      <tp t="e">
        <v>#N/A</v>
        <stp/>
        <stp>##V3_BDHV12</stp>
        <stp>SYK US Equity</stp>
        <stp>AVERAGE_PRICE_TO_BOOK_RATIO</stp>
        <stp>-4FY</stp>
        <stp>-4FY</stp>
        <stp>[Fundamental &amp; Technical Model (1).xlsm]Multiples!R40C9</stp>
        <stp>EQY_CONSOLIDATED</stp>
        <stp>Yes</stp>
        <stp>ACCOUNTING_STANDARD_OVERRIDE</stp>
        <stp>Mixed</stp>
        <stp>Per</stp>
        <stp>FY</stp>
        <stp>Days=A</stp>
        <tr r="I40" s="16"/>
        <tr r="I40" s="16"/>
      </tp>
      <tp t="s">
        <v>#N/A N/A</v>
        <stp/>
        <stp>##V3_BDSV12</stp>
        <stp>SYK US Equity</stp>
        <stp>PG_CAPITAL_EXPENDITURES</stp>
        <stp>[Fundamental &amp; Technical Model (1).xlsm]Segments!R171C6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171" s="17"/>
      </tp>
      <tp>
        <v>0</v>
        <stp/>
        <stp>##V3_BQLV12</stp>
        <stp>[Fundamental &amp; Technical Model (1).xlsm]Income Statement!R35C12</stp>
        <stp>SYK US Equity</stp>
        <stp>IS_FOREIGN_EXCH_LOSS/10^6</stp>
        <stp>FPT</stp>
        <stp>A</stp>
        <stp>FPO</stp>
        <stp>-2A</stp>
        <stp>STD</stp>
        <stp>Mixed</stp>
        <stp>CONSOL</stp>
        <stp>Yes</stp>
        <stp>CURRENCY</stp>
        <stp>USD</stp>
        <tr r="L35" s="2"/>
      </tp>
      <tp>
        <v>0</v>
        <stp/>
        <stp>##V3_BQLV12</stp>
        <stp>[Fundamental &amp; Technical Model (1).xlsm]Income Statement!R35C13</stp>
        <stp>SYK US Equity</stp>
        <stp>IS_FOREIGN_EXCH_LOSS/10^6</stp>
        <stp>FPT</stp>
        <stp>A</stp>
        <stp>FPO</stp>
        <stp>-1A</stp>
        <stp>STD</stp>
        <stp>Mixed</stp>
        <stp>CONSOL</stp>
        <stp>Yes</stp>
        <stp>CURRENCY</stp>
        <stp>USD</stp>
        <tr r="M35" s="2"/>
      </tp>
      <tp>
        <v>0</v>
        <stp/>
        <stp>##V3_BQLV12</stp>
        <stp>[Fundamental &amp; Technical Model (1).xlsm]Income Statement!R35C10</stp>
        <stp>SYK US Equity</stp>
        <stp>IS_FOREIGN_EXCH_LOSS/10^6</stp>
        <stp>FPT</stp>
        <stp>A</stp>
        <stp>FPO</stp>
        <stp>-4A</stp>
        <stp>STD</stp>
        <stp>Mixed</stp>
        <stp>CONSOL</stp>
        <stp>Yes</stp>
        <stp>CURRENCY</stp>
        <stp>USD</stp>
        <tr r="J35" s="2"/>
      </tp>
      <tp>
        <v>0</v>
        <stp/>
        <stp>##V3_BQLV12</stp>
        <stp>[Fundamental &amp; Technical Model (1).xlsm]Income Statement!R35C11</stp>
        <stp>SYK US Equity</stp>
        <stp>IS_FOREIGN_EXCH_LOSS/10^6</stp>
        <stp>FPT</stp>
        <stp>A</stp>
        <stp>FPO</stp>
        <stp>-3A</stp>
        <stp>STD</stp>
        <stp>Mixed</stp>
        <stp>CONSOL</stp>
        <stp>Yes</stp>
        <stp>CURRENCY</stp>
        <stp>USD</stp>
        <tr r="K35" s="2"/>
      </tp>
      <tp>
        <v>0</v>
        <stp/>
        <stp>##V3_BQLV12</stp>
        <stp>[Fundamental &amp; Technical Model (1).xlsm]Income Statement!R35C14</stp>
        <stp>SYK US Equity</stp>
        <stp>IS_FOREIGN_EXCH_LOSS/10^6</stp>
        <stp>FPT</stp>
        <stp>A</stp>
        <stp>FPO</stp>
        <stp>-0A</stp>
        <stp>STD</stp>
        <stp>Mixed</stp>
        <stp>CONSOL</stp>
        <stp>Yes</stp>
        <stp>CURRENCY</stp>
        <stp>USD</stp>
        <tr r="N35" s="2"/>
      </tp>
      <tp>
        <v>-27</v>
        <stp/>
        <stp>##V3_BQLV12</stp>
        <stp>[Fundamental &amp; Technical Model (1).xlsm]Income Statement!R36C10</stp>
        <stp>SYK US Equity</stp>
        <stp>IS_NET_NON_OPER_LOSS/10^6</stp>
        <stp>FPT</stp>
        <stp>A</stp>
        <stp>FPO</stp>
        <stp>-4A</stp>
        <stp>STD</stp>
        <stp>Mixed</stp>
        <stp>CONSOL</stp>
        <stp>Yes</stp>
        <stp>CURRENCY</stp>
        <stp>USD</stp>
        <tr r="J36" s="2"/>
      </tp>
      <tp>
        <v>18</v>
        <stp/>
        <stp>##V3_BQLV12</stp>
        <stp>[Fundamental &amp; Technical Model (1).xlsm]Income Statement!R36C11</stp>
        <stp>SYK US Equity</stp>
        <stp>IS_NET_NON_OPER_LOSS/10^6</stp>
        <stp>FPT</stp>
        <stp>A</stp>
        <stp>FPO</stp>
        <stp>-3A</stp>
        <stp>STD</stp>
        <stp>Mixed</stp>
        <stp>CONSOL</stp>
        <stp>Yes</stp>
        <stp>CURRENCY</stp>
        <stp>USD</stp>
        <tr r="K36" s="2"/>
      </tp>
      <tp>
        <v>26</v>
        <stp/>
        <stp>##V3_BQLV12</stp>
        <stp>[Fundamental &amp; Technical Model (1).xlsm]Income Statement!R36C12</stp>
        <stp>SYK US Equity</stp>
        <stp>IS_NET_NON_OPER_LOSS/10^6</stp>
        <stp>FPT</stp>
        <stp>A</stp>
        <stp>FPO</stp>
        <stp>-2A</stp>
        <stp>STD</stp>
        <stp>Mixed</stp>
        <stp>CONSOL</stp>
        <stp>Yes</stp>
        <stp>CURRENCY</stp>
        <stp>USD</stp>
        <tr r="L36" s="2"/>
      </tp>
      <tp>
        <v>-13</v>
        <stp/>
        <stp>##V3_BQLV12</stp>
        <stp>[Fundamental &amp; Technical Model (1).xlsm]Income Statement!R36C13</stp>
        <stp>SYK US Equity</stp>
        <stp>IS_NET_NON_OPER_LOSS/10^6</stp>
        <stp>FPT</stp>
        <stp>A</stp>
        <stp>FPO</stp>
        <stp>-1A</stp>
        <stp>STD</stp>
        <stp>Mixed</stp>
        <stp>CONSOL</stp>
        <stp>Yes</stp>
        <stp>CURRENCY</stp>
        <stp>USD</stp>
        <tr r="M36" s="2"/>
      </tp>
      <tp>
        <v>-83</v>
        <stp/>
        <stp>##V3_BQLV12</stp>
        <stp>[Fundamental &amp; Technical Model (1).xlsm]Income Statement!R36C14</stp>
        <stp>SYK US Equity</stp>
        <stp>IS_NET_NON_OPER_LOSS/10^6</stp>
        <stp>FPT</stp>
        <stp>A</stp>
        <stp>FPO</stp>
        <stp>-0A</stp>
        <stp>STD</stp>
        <stp>Mixed</stp>
        <stp>CONSOL</stp>
        <stp>Yes</stp>
        <stp>CURRENCY</stp>
        <stp>USD</stp>
        <tr r="N36" s="2"/>
      </tp>
      <tp>
        <v>0</v>
        <stp/>
        <stp>##V3_BDPV12</stp>
        <stp>SYK US Equity</stp>
        <stp>ST_CAPITAL_LEASE_OBLIGATIONS</stp>
        <stp>[Fundamental &amp; Technical Model (1).xlsm]Capital Structure Summary!R93C11</stp>
        <stp>EQY_FUND_RELATIVE_PERIOD</stp>
        <stp>-0FY</stp>
        <stp>EQY_FUND_CRNCY</stp>
        <stp>USD</stp>
        <stp>EQY_CONSOLIDATED</stp>
        <stp>Yes</stp>
        <stp>ACCOUNTING_STANDARD_OVERRIDE</stp>
        <stp>Mixed</stp>
        <stp>Fill=--</stp>
        <tr r="K93" s="21"/>
      </tp>
      <tp>
        <v>5397.4</v>
        <stp/>
        <stp>##V3_BQLV12</stp>
        <stp>[Fundamental &amp; Technical Model (1).xlsm]Balance Sheet!R55C5</stp>
        <stp>SYK US Equity</stp>
        <stp>BS_PURE_RETAINED_EARNINGS/10^6</stp>
        <stp>FPT</stp>
        <stp>A</stp>
        <stp>FPO</stp>
        <stp>-9A</stp>
        <stp>STD</stp>
        <stp>Mixed</stp>
        <stp>CONSOL</stp>
        <stp>Yes</stp>
        <stp>CURRENCY</stp>
        <stp>USD</stp>
        <tr r="E55" s="3"/>
      </tp>
      <tp>
        <v>63</v>
        <stp/>
        <stp>##V3_BQLV12</stp>
        <stp>[Fundamental &amp; Technical Model (1).xlsm]Balance Sheet!R32C8</stp>
        <stp>SYK US Equity</stp>
        <stp>BS_DEFERRED_TAX_ASSETS_LT/10^6</stp>
        <stp>FPT</stp>
        <stp>A</stp>
        <stp>FPO</stp>
        <stp>-6A</stp>
        <stp>STD</stp>
        <stp>Mixed</stp>
        <stp>CONSOL</stp>
        <stp>Yes</stp>
        <stp>CURRENCY</stp>
        <stp>USD</stp>
        <tr r="H32" s="3"/>
      </tp>
      <tp>
        <v>6017</v>
        <stp/>
        <stp>##V3_BQLV12</stp>
        <stp>[Fundamental &amp; Technical Model (1).xlsm]Balance Sheet!R55C6</stp>
        <stp>SYK US Equity</stp>
        <stp>BS_PURE_RETAINED_EARNINGS/10^6</stp>
        <stp>FPT</stp>
        <stp>A</stp>
        <stp>FPO</stp>
        <stp>-8A</stp>
        <stp>STD</stp>
        <stp>Mixed</stp>
        <stp>CONSOL</stp>
        <stp>Yes</stp>
        <stp>CURRENCY</stp>
        <stp>USD</stp>
        <tr r="F55" s="3"/>
      </tp>
      <tp>
        <v>34</v>
        <stp/>
        <stp>##V3_BQLV12</stp>
        <stp>[Fundamental &amp; Technical Model (1).xlsm]Balance Sheet!R32C9</stp>
        <stp>SYK US Equity</stp>
        <stp>BS_DEFERRED_TAX_ASSETS_LT/10^6</stp>
        <stp>FPT</stp>
        <stp>A</stp>
        <stp>FPO</stp>
        <stp>-5A</stp>
        <stp>STD</stp>
        <stp>Mixed</stp>
        <stp>CONSOL</stp>
        <stp>Yes</stp>
        <stp>CURRENCY</stp>
        <stp>USD</stp>
        <tr r="I32" s="3"/>
      </tp>
      <tp>
        <v>6479</v>
        <stp/>
        <stp>##V3_BQLV12</stp>
        <stp>[Fundamental &amp; Technical Model (1).xlsm]Balance Sheet!R55C7</stp>
        <stp>SYK US Equity</stp>
        <stp>BS_PURE_RETAINED_EARNINGS/10^6</stp>
        <stp>FPT</stp>
        <stp>A</stp>
        <stp>FPO</stp>
        <stp>-7A</stp>
        <stp>STD</stp>
        <stp>Mixed</stp>
        <stp>CONSOL</stp>
        <stp>Yes</stp>
        <stp>CURRENCY</stp>
        <stp>USD</stp>
        <tr r="G55" s="3"/>
      </tp>
      <tp>
        <v>0</v>
        <stp/>
        <stp>##V3_BDPV12</stp>
        <stp>SYK US Equity</stp>
        <stp>LT_CAPITAL_LEASE_OBLIGATIONS</stp>
        <stp>[Fundamental &amp; Technical Model (1).xlsm]Capital Structure Summary!R94C11</stp>
        <stp>EQY_FUND_RELATIVE_PERIOD</stp>
        <stp>-0FY</stp>
        <stp>EQY_FUND_CRNCY</stp>
        <stp>USD</stp>
        <stp>EQY_CONSOLIDATED</stp>
        <stp>Yes</stp>
        <stp>ACCOUNTING_STANDARD_OVERRIDE</stp>
        <stp>Mixed</stp>
        <stp>Fill=--</stp>
        <tr r="K94" s="21"/>
      </tp>
      <tp>
        <v>248</v>
        <stp/>
        <stp>##V3_BQLV12</stp>
        <stp>[Fundamental &amp; Technical Model (1).xlsm]Balance Sheet!R32C6</stp>
        <stp>SYK US Equity</stp>
        <stp>BS_DEFERRED_TAX_ASSETS_LT/10^6</stp>
        <stp>FPT</stp>
        <stp>A</stp>
        <stp>FPO</stp>
        <stp>-8A</stp>
        <stp>STD</stp>
        <stp>Mixed</stp>
        <stp>CONSOL</stp>
        <stp>Yes</stp>
        <stp>CURRENCY</stp>
        <stp>USD</stp>
        <tr r="F32" s="3"/>
      </tp>
      <tp>
        <v>7332</v>
        <stp/>
        <stp>##V3_BQLV12</stp>
        <stp>[Fundamental &amp; Technical Model (1).xlsm]Balance Sheet!R55C8</stp>
        <stp>SYK US Equity</stp>
        <stp>BS_PURE_RETAINED_EARNINGS/10^6</stp>
        <stp>FPT</stp>
        <stp>A</stp>
        <stp>FPO</stp>
        <stp>-6A</stp>
        <stp>STD</stp>
        <stp>Mixed</stp>
        <stp>CONSOL</stp>
        <stp>Yes</stp>
        <stp>CURRENCY</stp>
        <stp>USD</stp>
        <tr r="H55" s="3"/>
      </tp>
      <tp>
        <v>62</v>
        <stp/>
        <stp>##V3_BQLV12</stp>
        <stp>[Fundamental &amp; Technical Model (1).xlsm]Balance Sheet!R32C7</stp>
        <stp>SYK US Equity</stp>
        <stp>BS_DEFERRED_TAX_ASSETS_LT/10^6</stp>
        <stp>FPT</stp>
        <stp>A</stp>
        <stp>FPO</stp>
        <stp>-7A</stp>
        <stp>STD</stp>
        <stp>Mixed</stp>
        <stp>CONSOL</stp>
        <stp>Yes</stp>
        <stp>CURRENCY</stp>
        <stp>USD</stp>
        <tr r="G32" s="3"/>
      </tp>
      <tp>
        <v>7617</v>
        <stp/>
        <stp>##V3_BQLV12</stp>
        <stp>[Fundamental &amp; Technical Model (1).xlsm]Balance Sheet!R55C9</stp>
        <stp>SYK US Equity</stp>
        <stp>BS_PURE_RETAINED_EARNINGS/10^6</stp>
        <stp>FPT</stp>
        <stp>A</stp>
        <stp>FPO</stp>
        <stp>-5A</stp>
        <stp>STD</stp>
        <stp>Mixed</stp>
        <stp>CONSOL</stp>
        <stp>Yes</stp>
        <stp>CURRENCY</stp>
        <stp>USD</stp>
        <tr r="I55" s="3"/>
      </tp>
      <tp>
        <v>258.89999999999998</v>
        <stp/>
        <stp>##V3_BQLV12</stp>
        <stp>[Fundamental &amp; Technical Model (1).xlsm]Balance Sheet!R32C5</stp>
        <stp>SYK US Equity</stp>
        <stp>BS_DEFERRED_TAX_ASSETS_LT/10^6</stp>
        <stp>FPT</stp>
        <stp>A</stp>
        <stp>FPO</stp>
        <stp>-9A</stp>
        <stp>STD</stp>
        <stp>Mixed</stp>
        <stp>CONSOL</stp>
        <stp>Yes</stp>
        <stp>CURRENCY</stp>
        <stp>USD</stp>
        <tr r="E32" s="3"/>
      </tp>
      <tp>
        <v>25.5</v>
        <stp/>
        <stp>##V3_BDPV12</stp>
        <stp>SYK US Equity</stp>
        <stp>ARDR_STOCK_OPTION_VAL_EXP_VOL</stp>
        <stp>[Fundamental &amp; Technical Model (1).xlsm]Supplemental!R29C10</stp>
        <stp>EQY_FUND_RELATIVE_PERIOD</stp>
        <stp>-3FY</stp>
        <stp>EQY_FUND_CRNCY</stp>
        <stp>USD</stp>
        <stp>EQY_CONSOLIDATED</stp>
        <stp>Yes</stp>
        <stp>ACCOUNTING_STANDARD_OVERRIDE</stp>
        <stp>Mixed</stp>
        <stp>Fill=--</stp>
        <tr r="J29" s="19"/>
      </tp>
      <tp>
        <v>20.5</v>
        <stp/>
        <stp>##V3_BDPV12</stp>
        <stp>SYK US Equity</stp>
        <stp>ARDR_STOCK_OPTION_VAL_EXP_VOL</stp>
        <stp>[Fundamental &amp; Technical Model (1).xlsm]Supplemental!R29C11</stp>
        <stp>EQY_FUND_RELATIVE_PERIOD</stp>
        <stp>-2FY</stp>
        <stp>EQY_FUND_CRNCY</stp>
        <stp>USD</stp>
        <stp>EQY_CONSOLIDATED</stp>
        <stp>Yes</stp>
        <stp>ACCOUNTING_STANDARD_OVERRIDE</stp>
        <stp>Mixed</stp>
        <stp>Fill=--</stp>
        <tr r="K29" s="19"/>
      </tp>
      <tp>
        <v>19.399999999999999</v>
        <stp/>
        <stp>##V3_BDPV12</stp>
        <stp>SYK US Equity</stp>
        <stp>ARDR_STOCK_OPTION_VAL_EXP_VOL</stp>
        <stp>[Fundamental &amp; Technical Model (1).xlsm]Supplemental!R29C12</stp>
        <stp>EQY_FUND_RELATIVE_PERIOD</stp>
        <stp>-1FY</stp>
        <stp>EQY_FUND_CRNCY</stp>
        <stp>USD</stp>
        <stp>EQY_CONSOLIDATED</stp>
        <stp>Yes</stp>
        <stp>ACCOUNTING_STANDARD_OVERRIDE</stp>
        <stp>Mixed</stp>
        <stp>Fill=--</stp>
        <tr r="L29" s="19"/>
      </tp>
      <tp>
        <v>16.8</v>
        <stp/>
        <stp>##V3_BDPV12</stp>
        <stp>SYK US Equity</stp>
        <stp>ARDR_STOCK_OPTION_VAL_EXP_VOL</stp>
        <stp>[Fundamental &amp; Technical Model (1).xlsm]Supplemental!R29C13</stp>
        <stp>EQY_FUND_RELATIVE_PERIOD</stp>
        <stp>-0FY</stp>
        <stp>EQY_FUND_CRNCY</stp>
        <stp>USD</stp>
        <stp>EQY_CONSOLIDATED</stp>
        <stp>Yes</stp>
        <stp>ACCOUNTING_STANDARD_OVERRIDE</stp>
        <stp>Mixed</stp>
        <stp>Fill=--</stp>
        <tr r="M29" s="19"/>
      </tp>
      <tp>
        <v>0</v>
        <stp/>
        <stp>##V3_BQLV12</stp>
        <stp>[Fundamental &amp; Technical Model (1).xlsm]Income Statement!R83C7</stp>
        <stp>SYK US Equity</stp>
        <stp>IS_CAP_INT_EXP/10^6</stp>
        <stp>FPT</stp>
        <stp>A</stp>
        <stp>FPO</stp>
        <stp>-7A</stp>
        <stp>STD</stp>
        <stp>Mixed</stp>
        <stp>CONSOL</stp>
        <stp>Yes</stp>
        <stp>CURRENCY</stp>
        <stp>USD</stp>
        <tr r="G83" s="2"/>
      </tp>
      <tp>
        <v>44196</v>
        <stp/>
        <stp>##V3_BQLV12</stp>
        <stp>[Fundamental &amp; Technical Model (1).xlsm]Key Stats!R52C7</stp>
        <stp>SYK US Equity</stp>
        <stp>IS_EPS().PERIOD_END_DATE</stp>
        <stp>FPT=A</stp>
        <stp>FPO=2</stp>
        <stp>STD</stp>
        <stp>Mixed</stp>
        <stp>CONSOL</stp>
        <stp>Yes</stp>
        <stp>CURRENCY</stp>
        <stp>USD</stp>
        <tr r="G52" s="23"/>
      </tp>
      <tp>
        <v>341</v>
        <stp/>
        <stp>##V3_BQLV12</stp>
        <stp>[Fundamental &amp; Technical Model (1).xlsm]Income Statement!R46C7</stp>
        <stp>SYK US Equity</stp>
        <stp>IS_INC_TAX_EXP/10^6</stp>
        <stp>FPT</stp>
        <stp>A</stp>
        <stp>FPO</stp>
        <stp>-7A</stp>
        <stp>STD</stp>
        <stp>Mixed</stp>
        <stp>CONSOL</stp>
        <stp>Yes</stp>
        <stp>CURRENCY</stp>
        <stp>USD</stp>
        <tr r="G46" s="2"/>
      </tp>
      <tp>
        <v>367.8</v>
        <stp/>
        <stp>##V3_BQLV12</stp>
        <stp>[Fundamental &amp; Technical Model (1).xlsm]Income Statement!R24C4</stp>
        <stp>SYK US Equity</stp>
        <stp>IS_RD_EXPEND/10^6</stp>
        <stp>FPT</stp>
        <stp>A</stp>
        <stp>FPO</stp>
        <stp>-10A</stp>
        <stp>STD</stp>
        <stp>Mixed</stp>
        <stp>CONSOL</stp>
        <stp>Yes</stp>
        <stp>CURRENCY</stp>
        <stp>USD</stp>
        <tr r="D24" s="2"/>
      </tp>
      <tp>
        <v>0</v>
        <stp/>
        <stp>##V3_BQLV12</stp>
        <stp>[Fundamental &amp; Technical Model (1).xlsm]Income Statement!R35C4</stp>
        <stp>SYK US Equity</stp>
        <stp>IS_FOREIGN_EXCH_LOSS/10^6</stp>
        <stp>FPT</stp>
        <stp>A</stp>
        <stp>FPO</stp>
        <stp>-10A</stp>
        <stp>STD</stp>
        <stp>Mixed</stp>
        <stp>CONSOL</stp>
        <stp>Yes</stp>
        <stp>CURRENCY</stp>
        <stp>USD</stp>
        <tr r="D35" s="2"/>
      </tp>
      <tp t="s">
        <v>2015 Y</v>
        <stp/>
        <stp>##V3_BDPV12</stp>
        <stp>SYK US Equity</stp>
        <stp>FISCAL_YEAR_PERIOD</stp>
        <stp>[Fundamental &amp; Technical Model (1).xlsm]Segments!R130C11</stp>
        <stp>EQY_FUND_RELATIVE_PERIOD</stp>
        <stp>-3FY</stp>
        <tr r="K130" s="17"/>
      </tp>
      <tp t="s">
        <v>2017 Y</v>
        <stp/>
        <stp>##V3_BDPV12</stp>
        <stp>SYK US Equity</stp>
        <stp>FISCAL_YEAR_PERIOD</stp>
        <stp>[Fundamental &amp; Technical Model (1).xlsm]Segments!R130C13</stp>
        <stp>EQY_FUND_RELATIVE_PERIOD</stp>
        <stp>-1FY</stp>
        <tr r="M130" s="17"/>
      </tp>
      <tp t="s">
        <v>2016 Y</v>
        <stp/>
        <stp>##V3_BDPV12</stp>
        <stp>SYK US Equity</stp>
        <stp>FISCAL_YEAR_PERIOD</stp>
        <stp>[Fundamental &amp; Technical Model (1).xlsm]Segments!R115C12</stp>
        <stp>EQY_FUND_RELATIVE_PERIOD</stp>
        <stp>-2FY</stp>
        <tr r="L115" s="17"/>
      </tp>
      <tp t="s">
        <v>2014 Y</v>
        <stp/>
        <stp>##V3_BDPV12</stp>
        <stp>SYK US Equity</stp>
        <stp>FISCAL_YEAR_PERIOD</stp>
        <stp>[Fundamental &amp; Technical Model (1).xlsm]Segments!R159C10</stp>
        <stp>EQY_FUND_RELATIVE_PERIOD</stp>
        <stp>-4FY</stp>
        <tr r="J159" s="17"/>
      </tp>
      <tp t="s">
        <v>2018 Y</v>
        <stp/>
        <stp>##V3_BDPV12</stp>
        <stp>SYK US Equity</stp>
        <stp>FISCAL_YEAR_PERIOD</stp>
        <stp>[Fundamental &amp; Technical Model (1).xlsm]Segments!R159C14</stp>
        <stp>EQY_FUND_RELATIVE_PERIOD</stp>
        <stp>-0FY</stp>
        <tr r="N159" s="17"/>
      </tp>
      <tp>
        <v>-0.49049429657794669</v>
        <stp/>
        <stp>##V3_BQLV12</stp>
        <stp>[Fundamental &amp; Technical Model (1).xlsm]Key Stats!R31C6</stp>
        <stp>SYK US Equity</stp>
        <stp>DILUTED_EPS_BEF_XO_ITEMS_GROWTH/100</stp>
        <stp>FPT</stp>
        <stp>A</stp>
        <stp>FPO</stp>
        <stp>-4A</stp>
        <stp>STD</stp>
        <stp>Mixed</stp>
        <stp>CONSOL</stp>
        <stp>Yes</stp>
        <stp>CURRENCY</stp>
        <stp>USD</stp>
        <tr r="F31" s="23"/>
      </tp>
      <tp t="e">
        <v>#N/A</v>
        <stp/>
        <stp>##V3_BDHV12</stp>
        <stp>SYK US Equity</stp>
        <stp>AVERAGE_PRICE_TO_BOOK_RATIO</stp>
        <stp>-5FY</stp>
        <stp>-5FY</stp>
        <stp>[Fundamental &amp; Technical Model (1).xlsm]Multiples!R40C8</stp>
        <stp>EQY_CONSOLIDATED</stp>
        <stp>Yes</stp>
        <stp>ACCOUNTING_STANDARD_OVERRIDE</stp>
        <stp>Mixed</stp>
        <stp>Per</stp>
        <stp>FY</stp>
        <stp>Days=A</stp>
        <tr r="H40" s="16"/>
        <tr r="H40" s="16"/>
      </tp>
      <tp>
        <v>1.0589933928125779</v>
        <stp/>
        <stp>##V3_BQLV12</stp>
        <stp>[Fundamental &amp; Technical Model (1).xlsm]Key Stats!R64C7</stp>
        <stp>SYK US Equity</stp>
        <stp>DIVIDEND_YIELD*100</stp>
        <stp>FPT=A</stp>
        <stp>FPO=2</stp>
        <stp>STD</stp>
        <stp>Mixed</stp>
        <stp>CONSOL</stp>
        <stp>Yes</stp>
        <stp>CURRENCY</stp>
        <stp>USD</stp>
        <tr r="G64" s="23"/>
      </tp>
      <tp t="s">
        <v>#N/A N/A</v>
        <stp/>
        <stp>##V3_BDSV12</stp>
        <stp>SYK US Equity</stp>
        <stp>PG_CAPITAL_EXPENDITURES</stp>
        <stp>[Fundamental &amp; Technical Model (1).xlsm]Segments!R171C7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171" s="17"/>
      </tp>
      <tp t="s">
        <v>--</v>
        <stp/>
        <stp>##V3_BDPV12</stp>
        <stp>SYK US Equity</stp>
        <stp>BS_CAPITAL_LEASE_YR_1</stp>
        <stp>[Fundamental &amp; Technical Model (1).xlsm]Capital Structure Summary!R83C11</stp>
        <stp>EQY_FUND_RELATIVE_PERIOD</stp>
        <stp>-0FY</stp>
        <stp>EQY_FUND_CRNCY</stp>
        <stp>USD</stp>
        <stp>EQY_CONSOLIDATED</stp>
        <stp>Yes</stp>
        <stp>ACCOUNTING_STANDARD_OVERRIDE</stp>
        <stp>Mixed</stp>
        <stp>Fill=--</stp>
        <tr r="K83" s="21"/>
      </tp>
      <tp>
        <v>0</v>
        <stp/>
        <stp>##V3_BQLV12</stp>
        <stp>[Fundamental &amp; Technical Model (1).xlsm]Income Statement!R83C6</stp>
        <stp>SYK US Equity</stp>
        <stp>IS_CAP_INT_EXP/10^6</stp>
        <stp>FPT</stp>
        <stp>A</stp>
        <stp>FPO</stp>
        <stp>-8A</stp>
        <stp>STD</stp>
        <stp>Mixed</stp>
        <stp>CONSOL</stp>
        <stp>Yes</stp>
        <stp>CURRENCY</stp>
        <stp>USD</stp>
        <tr r="F83" s="2"/>
      </tp>
      <tp>
        <v>65.695090439276484</v>
        <stp/>
        <stp>##V3_BQLV12</stp>
        <stp>[Fundamental &amp; Technical Model (1).xlsm]Ratios!R21C10</stp>
        <stp>SYK US Equity</stp>
        <stp>GROSS_MARGIN</stp>
        <stp>FPT</stp>
        <stp>A</stp>
        <stp>FPO</stp>
        <stp>-4A</stp>
        <stp>STD</stp>
        <stp>Mixed</stp>
        <stp>CONSOL</stp>
        <stp>Yes</stp>
        <tr r="J21" s="8"/>
      </tp>
      <tp>
        <v>65.715756194397471</v>
        <stp/>
        <stp>##V3_BQLV12</stp>
        <stp>[Fundamental &amp; Technical Model (1).xlsm]Ratios!R21C14</stp>
        <stp>SYK US Equity</stp>
        <stp>GROSS_MARGIN</stp>
        <stp>FPT</stp>
        <stp>A</stp>
        <stp>FPO</stp>
        <stp>-0A</stp>
        <stp>STD</stp>
        <stp>Mixed</stp>
        <stp>CONSOL</stp>
        <stp>Yes</stp>
        <tr r="N21" s="8"/>
      </tp>
      <tp>
        <v>44561</v>
        <stp/>
        <stp>##V3_BQLV12</stp>
        <stp>[Fundamental &amp; Technical Model (1).xlsm]Key Stats!R52C8</stp>
        <stp>SYK US Equity</stp>
        <stp>IS_EPS().PERIOD_END_DATE</stp>
        <stp>FPT=A</stp>
        <stp>FPO=3</stp>
        <stp>STD</stp>
        <stp>Mixed</stp>
        <stp>CONSOL</stp>
        <stp>Yes</stp>
        <stp>CURRENCY</stp>
        <stp>USD</stp>
        <tr r="H52" s="23"/>
      </tp>
      <tp>
        <v>456</v>
        <stp/>
        <stp>##V3_BQLV12</stp>
        <stp>[Fundamental &amp; Technical Model (1).xlsm]Income Statement!R46C6</stp>
        <stp>SYK US Equity</stp>
        <stp>IS_INC_TAX_EXP/10^6</stp>
        <stp>FPT</stp>
        <stp>A</stp>
        <stp>FPO</stp>
        <stp>-8A</stp>
        <stp>STD</stp>
        <stp>Mixed</stp>
        <stp>CONSOL</stp>
        <stp>Yes</stp>
        <stp>CURRENCY</stp>
        <stp>USD</stp>
        <tr r="F46" s="2"/>
      </tp>
      <tp>
        <v>1.34</v>
        <stp/>
        <stp>##V3_BQLV12</stp>
        <stp>[Fundamental &amp; Technical Model (1).xlsm]Income Statement!R66C10</stp>
        <stp>SYK US Equity</stp>
        <stp>IS_DILUTED_EPS</stp>
        <stp>FPT</stp>
        <stp>A</stp>
        <stp>FPO</stp>
        <stp>-4A</stp>
        <stp>STD</stp>
        <stp>Mixed</stp>
        <stp>CONSOL</stp>
        <stp>Yes</stp>
        <stp>CURRENCY</stp>
        <stp>USD</stp>
        <tr r="J66" s="2"/>
      </tp>
      <tp t="s">
        <v>#N/A N/A</v>
        <stp/>
        <stp>##V3_BDSV12</stp>
        <stp>SYK US Equity</stp>
        <stp>PG_CAPITAL_EXPENDITURES</stp>
        <stp>[Fundamental &amp; Technical Model (1).xlsm]Segments!R181C12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181" s="17"/>
      </tp>
      <tp>
        <v>3.78</v>
        <stp/>
        <stp>##V3_BQLV12</stp>
        <stp>[Fundamental &amp; Technical Model (1).xlsm]Income Statement!R66C11</stp>
        <stp>SYK US Equity</stp>
        <stp>IS_DILUTED_EPS</stp>
        <stp>FPT</stp>
        <stp>A</stp>
        <stp>FPO</stp>
        <stp>-3A</stp>
        <stp>STD</stp>
        <stp>Mixed</stp>
        <stp>CONSOL</stp>
        <stp>Yes</stp>
        <stp>CURRENCY</stp>
        <stp>USD</stp>
        <tr r="K66" s="2"/>
      </tp>
      <tp t="s">
        <v>#N/A N/A</v>
        <stp/>
        <stp>##V3_BDSV12</stp>
        <stp>SYK US Equity</stp>
        <stp>PG_CAPITAL_EXPENDITURES</stp>
        <stp>[Fundamental &amp; Technical Model (1).xlsm]Segments!R181C13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181" s="17"/>
      </tp>
      <tp>
        <v>4.3499999999999996</v>
        <stp/>
        <stp>##V3_BQLV12</stp>
        <stp>[Fundamental &amp; Technical Model (1).xlsm]Income Statement!R66C12</stp>
        <stp>SYK US Equity</stp>
        <stp>IS_DILUTED_EPS</stp>
        <stp>FPT</stp>
        <stp>A</stp>
        <stp>FPO</stp>
        <stp>-2A</stp>
        <stp>STD</stp>
        <stp>Mixed</stp>
        <stp>CONSOL</stp>
        <stp>Yes</stp>
        <stp>CURRENCY</stp>
        <stp>USD</stp>
        <tr r="L66" s="2"/>
      </tp>
      <tp t="s">
        <v>#N/A N/A</v>
        <stp/>
        <stp>##V3_BDSV12</stp>
        <stp>SYK US Equity</stp>
        <stp>PG_CAPITAL_EXPENDITURES</stp>
        <stp>[Fundamental &amp; Technical Model (1).xlsm]Segments!R181C10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181" s="17"/>
      </tp>
      <tp>
        <v>2.68</v>
        <stp/>
        <stp>##V3_BQLV12</stp>
        <stp>[Fundamental &amp; Technical Model (1).xlsm]Income Statement!R66C13</stp>
        <stp>SYK US Equity</stp>
        <stp>IS_DILUTED_EPS</stp>
        <stp>FPT</stp>
        <stp>A</stp>
        <stp>FPO</stp>
        <stp>-1A</stp>
        <stp>STD</stp>
        <stp>Mixed</stp>
        <stp>CONSOL</stp>
        <stp>Yes</stp>
        <stp>CURRENCY</stp>
        <stp>USD</stp>
        <tr r="M66" s="2"/>
      </tp>
      <tp t="s">
        <v>#N/A N/A</v>
        <stp/>
        <stp>##V3_BDSV12</stp>
        <stp>SYK US Equity</stp>
        <stp>PG_CAPITAL_EXPENDITURES</stp>
        <stp>[Fundamental &amp; Technical Model (1).xlsm]Segments!R181C11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181" s="17"/>
      </tp>
      <tp>
        <v>9.34</v>
        <stp/>
        <stp>##V3_BQLV12</stp>
        <stp>[Fundamental &amp; Technical Model (1).xlsm]Income Statement!R66C14</stp>
        <stp>SYK US Equity</stp>
        <stp>IS_DILUTED_EPS</stp>
        <stp>FPT</stp>
        <stp>A</stp>
        <stp>FPO</stp>
        <stp>-0A</stp>
        <stp>STD</stp>
        <stp>Mixed</stp>
        <stp>CONSOL</stp>
        <stp>Yes</stp>
        <stp>CURRENCY</stp>
        <stp>USD</stp>
        <tr r="N66" s="2"/>
      </tp>
      <tp t="s">
        <v>#N/A N/A</v>
        <stp/>
        <stp>##V3_BDSV12</stp>
        <stp>SYK US Equity</stp>
        <stp>PG_CAPITAL_EXPENDITURES</stp>
        <stp>[Fundamental &amp; Technical Model (1).xlsm]Segments!R181C14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181" s="17"/>
      </tp>
      <tp>
        <v>-0.38390804597701139</v>
        <stp/>
        <stp>##V3_BQLV12</stp>
        <stp>[Fundamental &amp; Technical Model (1).xlsm]Key Stats!R31C9</stp>
        <stp>SYK US Equity</stp>
        <stp>DILUTED_EPS_BEF_XO_ITEMS_GROWTH/100</stp>
        <stp>FPT</stp>
        <stp>A</stp>
        <stp>FPO</stp>
        <stp>-1A</stp>
        <stp>STD</stp>
        <stp>Mixed</stp>
        <stp>CONSOL</stp>
        <stp>Yes</stp>
        <stp>CURRENCY</stp>
        <stp>USD</stp>
        <tr r="I31" s="23"/>
      </tp>
      <tp t="e">
        <v>#N/A</v>
        <stp/>
        <stp>##V3_BDHV12</stp>
        <stp>SYK US Equity</stp>
        <stp>AVERAGE_PRICE_TO_BOOK_RATIO</stp>
        <stp>-6FY</stp>
        <stp>-6FY</stp>
        <stp>[Fundamental &amp; Technical Model (1).xlsm]Multiples!R40C7</stp>
        <stp>EQY_CONSOLIDATED</stp>
        <stp>Yes</stp>
        <stp>ACCOUNTING_STANDARD_OVERRIDE</stp>
        <stp>Mixed</stp>
        <stp>Per</stp>
        <stp>FY</stp>
        <stp>Days=A</stp>
        <tr r="G40" s="16"/>
        <tr r="G40" s="16"/>
      </tp>
      <tp>
        <v>66.124824402970091</v>
        <stp/>
        <stp>##V3_BQLV12</stp>
        <stp>[Fundamental &amp; Technical Model (1).xlsm]Ratios!R48C13</stp>
        <stp>SYK US Equity</stp>
        <stp>LT_DEBT_TO_COM_EQY</stp>
        <stp>FPT</stp>
        <stp>A</stp>
        <stp>FPO</stp>
        <stp>-1A</stp>
        <stp>STD</stp>
        <stp>Mixed</stp>
        <stp>CONSOL</stp>
        <stp>Yes</stp>
        <tr r="M48" s="8"/>
      </tp>
      <tp>
        <v>1373</v>
        <stp/>
        <stp>##V3_BDPV12</stp>
        <stp>SYK US Equity</stp>
        <stp>BS_ST_BORROW</stp>
        <stp>[Fundamental &amp; Technical Model (1).xlsm]Capital Structure Summary!R50C11</stp>
        <stp>EQY_FUND_RELATIVE_PERIOD</stp>
        <stp>-0FY</stp>
        <stp>EQY_FUND_CRNCY</stp>
        <stp>USD</stp>
        <stp>EQY_CONSOLIDATED</stp>
        <stp>Yes</stp>
        <stp>ACCOUNTING_STANDARD_OVERRIDE</stp>
        <stp>Mixed</stp>
        <stp>Fill=--</stp>
        <tr r="K50" s="21"/>
      </tp>
      <tp>
        <v>1373</v>
        <stp/>
        <stp>##V3_BDPV12</stp>
        <stp>SYK US Equity</stp>
        <stp>BS_ST_BORROW</stp>
        <stp>[Fundamental &amp; Technical Model (1).xlsm]Capital Structure Summary!R30C11</stp>
        <stp>EQY_FUND_RELATIVE_PERIOD</stp>
        <stp>-0FY</stp>
        <stp>EQY_FUND_CRNCY</stp>
        <stp>USD</stp>
        <stp>EQY_CONSOLIDATED</stp>
        <stp>Yes</stp>
        <stp>ACCOUNTING_STANDARD_OVERRIDE</stp>
        <stp>Mixed</stp>
        <stp>Fill=--</stp>
        <tr r="K30" s="21"/>
      </tp>
      <tp t="s">
        <v>--</v>
        <stp/>
        <stp>##V3_BDPV12</stp>
        <stp>SYK US Equity</stp>
        <stp>ARDR_STOCK_OPTION_VAL_EXP_VOL</stp>
        <stp>[Fundamental &amp; Technical Model (1).xlsm]Supplemental!R29C3</stp>
        <stp>EQY_FUND_RELATIVE_PERIOD</stp>
        <stp>-10FY</stp>
        <stp>EQY_FUND_CRNCY</stp>
        <stp>USD</stp>
        <stp>EQY_CONSOLIDATED</stp>
        <stp>Yes</stp>
        <stp>ACCOUNTING_STANDARD_OVERRIDE</stp>
        <stp>Mixed</stp>
        <stp>Fill=--</stp>
        <tr r="C29" s="19"/>
      </tp>
      <tp>
        <v>38.309498895477269</v>
        <stp/>
        <stp>##V3_BQLV12</stp>
        <stp>[Fundamental &amp; Technical Model (1).xlsm]Ratios!R49C13</stp>
        <stp>SYK US Equity</stp>
        <stp>LT_DEBT_TO_TOT_CAP</stp>
        <stp>FPT</stp>
        <stp>A</stp>
        <stp>FPO</stp>
        <stp>-1A</stp>
        <stp>STD</stp>
        <stp>Mixed</stp>
        <stp>CONSOL</stp>
        <stp>Yes</stp>
        <tr r="M49" s="8"/>
      </tp>
      <tp t="s">
        <v>#N/A N/A</v>
        <stp/>
        <stp>##V3_BDSV12</stp>
        <stp>SYK US Equity</stp>
        <stp>PG_CAPITAL_EXPENDITURES</stp>
        <stp>[Fundamental &amp; Technical Model (1).xlsm]Segments!R180C5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180" s="17"/>
      </tp>
      <tp>
        <v>-5</v>
        <stp/>
        <stp>##V3_BDSV12</stp>
        <stp>SYK US Equity</stp>
        <stp>PG_CAPITAL_EXPENDITURES</stp>
        <stp>[Fundamental &amp; Technical Model (1).xlsm]Segments!R166C5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166" s="17"/>
        <tr r="E166" s="17"/>
      </tp>
      <tp t="s">
        <v>#N/A N/A</v>
        <stp/>
        <stp>##V3_BDSV12</stp>
        <stp>SYK US Equity</stp>
        <stp>PG_CAPITAL_EXPENDITURES</stp>
        <stp>[Fundamental &amp; Technical Model (1).xlsm]Segments!R179C5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179" s="17"/>
      </tp>
      <tp>
        <v>-42</v>
        <stp/>
        <stp>##V3_BDSV12</stp>
        <stp>SYK US Equity</stp>
        <stp>PG_CAPITAL_EXPENDITURES</stp>
        <stp>[Fundamental &amp; Technical Model (1).xlsm]Segments!R165C5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165" s="17"/>
        <tr r="E165" s="17"/>
      </tp>
      <tp t="s">
        <v>#N/A N/A</v>
        <stp/>
        <stp>##V3_BDSV12</stp>
        <stp>SYK US Equity</stp>
        <stp>PG_CAPITAL_EXPENDITURES</stp>
        <stp>[Fundamental &amp; Technical Model (1).xlsm]Segments!R182C5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182" s="17"/>
      </tp>
      <tp>
        <v>-71</v>
        <stp/>
        <stp>##V3_BDSV12</stp>
        <stp>SYK US Equity</stp>
        <stp>PG_CAPITAL_EXPENDITURES</stp>
        <stp>[Fundamental &amp; Technical Model (1).xlsm]Segments!R168C5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168" s="17"/>
        <tr r="E168" s="17"/>
      </tp>
      <tp t="s">
        <v>#N/A N/A</v>
        <stp/>
        <stp>##V3_BDSV12</stp>
        <stp>SYK US Equity</stp>
        <stp>PG_CAPITAL_EXPENDITURES</stp>
        <stp>[Fundamental &amp; Technical Model (1).xlsm]Segments!R181C5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181" s="17"/>
      </tp>
      <tp t="s">
        <v>#N/A N/A</v>
        <stp/>
        <stp>##V3_BDSV12</stp>
        <stp>SYK US Equity</stp>
        <stp>PG_CAPITAL_EXPENDITURES</stp>
        <stp>[Fundamental &amp; Technical Model (1).xlsm]Segments!R167C5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167" s="17"/>
      </tp>
      <tp t="s">
        <v>#N/A N/A</v>
        <stp/>
        <stp>##V3_BDSV12</stp>
        <stp>SYK US Equity</stp>
        <stp>PG_CAPITAL_EXPENDITURES</stp>
        <stp>[Fundamental &amp; Technical Model (1).xlsm]Segments!R176C5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176" s="17"/>
      </tp>
      <tp>
        <v>-13</v>
        <stp/>
        <stp>##V3_BDSV12</stp>
        <stp>SYK US Equity</stp>
        <stp>PG_CAPITAL_EXPENDITURES</stp>
        <stp>[Fundamental &amp; Technical Model (1).xlsm]Segments!R162C5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162" s="17"/>
        <tr r="E162" s="17"/>
      </tp>
      <tp t="s">
        <v>#N/A N/A</v>
        <stp/>
        <stp>##V3_BDSV12</stp>
        <stp>SYK US Equity</stp>
        <stp>PG_CAPITAL_EXPENDITURES</stp>
        <stp>[Fundamental &amp; Technical Model (1).xlsm]Segments!R178C5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178" s="17"/>
      </tp>
      <tp t="s">
        <v>#N/A N/A</v>
        <stp/>
        <stp>##V3_BDSV12</stp>
        <stp>SYK US Equity</stp>
        <stp>PG_CAPITAL_EXPENDITURES</stp>
        <stp>[Fundamental &amp; Technical Model (1).xlsm]Segments!R164C5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164" s="17"/>
      </tp>
      <tp t="s">
        <v>#N/A N/A</v>
        <stp/>
        <stp>##V3_BDSV12</stp>
        <stp>SYK US Equity</stp>
        <stp>PG_CAPITAL_EXPENDITURES</stp>
        <stp>[Fundamental &amp; Technical Model (1).xlsm]Segments!R177C5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177" s="17"/>
      </tp>
      <tp t="s">
        <v>#N/A N/A</v>
        <stp/>
        <stp>##V3_BDSV12</stp>
        <stp>SYK US Equity</stp>
        <stp>PG_CAPITAL_EXPENDITURES</stp>
        <stp>[Fundamental &amp; Technical Model (1).xlsm]Segments!R163C5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163" s="17"/>
      </tp>
      <tp t="s">
        <v>#N/A N/A</v>
        <stp/>
        <stp>##V3_BDSV12</stp>
        <stp>SYK US Equity</stp>
        <stp>PG_CAPITAL_EXPENDITURES</stp>
        <stp>[Fundamental &amp; Technical Model (1).xlsm]Segments!R184C5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184" s="17"/>
      </tp>
      <tp t="s">
        <v>#N/A N/A</v>
        <stp/>
        <stp>##V3_BDSV12</stp>
        <stp>SYK US Equity</stp>
        <stp>PG_CAPITAL_EXPENDITURES</stp>
        <stp>[Fundamental &amp; Technical Model (1).xlsm]Segments!R170C5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170" s="17"/>
      </tp>
      <tp>
        <v>0</v>
        <stp/>
        <stp>##V3_BQLV12</stp>
        <stp>[Fundamental &amp; Technical Model (1).xlsm]Income Statement!R83C9</stp>
        <stp>SYK US Equity</stp>
        <stp>IS_CAP_INT_EXP/10^6</stp>
        <stp>FPT</stp>
        <stp>A</stp>
        <stp>FPO</stp>
        <stp>-5A</stp>
        <stp>STD</stp>
        <stp>Mixed</stp>
        <stp>CONSOL</stp>
        <stp>Yes</stp>
        <stp>CURRENCY</stp>
        <stp>USD</stp>
        <tr r="I83" s="2"/>
      </tp>
      <tp t="s">
        <v>#N/A N/A</v>
        <stp/>
        <stp>##V3_BDSV12</stp>
        <stp>SYK US Equity</stp>
        <stp>PG_CAPITAL_EXPENDITURES</stp>
        <stp>[Fundamental &amp; Technical Model (1).xlsm]Segments!R183C5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183" s="17"/>
      </tp>
      <tp t="s">
        <v>#N/A N/A</v>
        <stp/>
        <stp>##V3_BDSV12</stp>
        <stp>SYK US Equity</stp>
        <stp>PG_CAPITAL_EXPENDITURES</stp>
        <stp>[Fundamental &amp; Technical Model (1).xlsm]Segments!R169C5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169" s="17"/>
      </tp>
      <tp t="e">
        <v>#N/A</v>
        <stp/>
        <stp>##V3_BDHV12</stp>
        <stp>SYK US Equity</stp>
        <stp>PX_TO_TANG_BV_PER_SH</stp>
        <stp>-9FY</stp>
        <stp>-9FY</stp>
        <stp>[Fundamental &amp; Technical Model (1).xlsm]Multiples!R45C4</stp>
        <stp>EQY_CONSOLIDATED</stp>
        <stp>Yes</stp>
        <stp>ACCOUNTING_STANDARD_OVERRIDE</stp>
        <stp>Mixed</stp>
        <stp>Per</stp>
        <stp>FY</stp>
        <stp>Days=A</stp>
        <tr r="D45" s="16"/>
        <tr r="D45" s="16"/>
      </tp>
      <tp t="s">
        <v>#N/A N/A</v>
        <stp/>
        <stp>##V3_BDSV12</stp>
        <stp>SYK US Equity</stp>
        <stp>PG_REVENUE</stp>
        <stp>[Fundamental &amp; Technical Model (1).xlsm]Segments!R40C4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40" s="17"/>
      </tp>
      <tp>
        <v>0</v>
        <stp/>
        <stp>##V3_BDPV12</stp>
        <stp>SYK US Equity</stp>
        <stp>ARD_RENTAL_EXP_COST_OF_REVENUE</stp>
        <stp>[Fundamental &amp; Technical Model (1).xlsm]Income Statement!R86C12</stp>
        <stp>EQY FUND RELATIVE PERIOD</stp>
        <stp>-2FY</stp>
        <stp>EQY_FUND_CRNCY</stp>
        <stp>USD</stp>
        <stp>EQY_CONSOLIDATED</stp>
        <stp>Yes</stp>
        <stp>ACCOUNTING_STANDARD_OVERRIDE</stp>
        <stp>Mixed</stp>
        <stp>Fill=0</stp>
        <tr r="L86" s="2"/>
      </tp>
      <tp>
        <v>0</v>
        <stp/>
        <stp>##V3_BDPV12</stp>
        <stp>SYK US Equity</stp>
        <stp>ARD_RENTAL_EXP_COST_OF_REVENUE</stp>
        <stp>[Fundamental &amp; Technical Model (1).xlsm]Income Statement!R86C11</stp>
        <stp>EQY FUND RELATIVE PERIOD</stp>
        <stp>-3FY</stp>
        <stp>EQY_FUND_CRNCY</stp>
        <stp>USD</stp>
        <stp>EQY_CONSOLIDATED</stp>
        <stp>Yes</stp>
        <stp>ACCOUNTING_STANDARD_OVERRIDE</stp>
        <stp>Mixed</stp>
        <stp>Fill=0</stp>
        <tr r="K86" s="2"/>
      </tp>
      <tp>
        <v>0</v>
        <stp/>
        <stp>##V3_BDPV12</stp>
        <stp>SYK US Equity</stp>
        <stp>ARD_RENTAL_EXP_COST_OF_REVENUE</stp>
        <stp>[Fundamental &amp; Technical Model (1).xlsm]Income Statement!R86C13</stp>
        <stp>EQY FUND RELATIVE PERIOD</stp>
        <stp>-1FY</stp>
        <stp>EQY_FUND_CRNCY</stp>
        <stp>USD</stp>
        <stp>EQY_CONSOLIDATED</stp>
        <stp>Yes</stp>
        <stp>ACCOUNTING_STANDARD_OVERRIDE</stp>
        <stp>Mixed</stp>
        <stp>Fill=0</stp>
        <tr r="M86" s="2"/>
      </tp>
      <tp>
        <v>0</v>
        <stp/>
        <stp>##V3_BDPV12</stp>
        <stp>SYK US Equity</stp>
        <stp>ARD_RENTAL_EXP_COST_OF_REVENUE</stp>
        <stp>[Fundamental &amp; Technical Model (1).xlsm]Income Statement!R86C10</stp>
        <stp>EQY FUND RELATIVE PERIOD</stp>
        <stp>-4FY</stp>
        <stp>EQY_FUND_CRNCY</stp>
        <stp>USD</stp>
        <stp>EQY_CONSOLIDATED</stp>
        <stp>Yes</stp>
        <stp>ACCOUNTING_STANDARD_OVERRIDE</stp>
        <stp>Mixed</stp>
        <stp>Fill=0</stp>
        <tr r="J86" s="2"/>
      </tp>
      <tp>
        <v>0</v>
        <stp/>
        <stp>##V3_BDPV12</stp>
        <stp>SYK US Equity</stp>
        <stp>ARD_RENTAL_EXP_COST_OF_REVENUE</stp>
        <stp>[Fundamental &amp; Technical Model (1).xlsm]Income Statement!R86C14</stp>
        <stp>EQY FUND RELATIVE PERIOD</stp>
        <stp>-0FY</stp>
        <stp>EQY_FUND_CRNCY</stp>
        <stp>USD</stp>
        <stp>EQY_CONSOLIDATED</stp>
        <stp>Yes</stp>
        <stp>ACCOUNTING_STANDARD_OVERRIDE</stp>
        <stp>Mixed</stp>
        <stp>Fill=0</stp>
        <tr r="N86" s="2"/>
      </tp>
      <tp>
        <v>206</v>
        <stp/>
        <stp>##V3_BQLV12</stp>
        <stp>[Fundamental &amp; Technical Model (1).xlsm]Income Statement!R46C9</stp>
        <stp>SYK US Equity</stp>
        <stp>IS_INC_TAX_EXP/10^6</stp>
        <stp>FPT</stp>
        <stp>A</stp>
        <stp>FPO</stp>
        <stp>-5A</stp>
        <stp>STD</stp>
        <stp>Mixed</stp>
        <stp>CONSOL</stp>
        <stp>Yes</stp>
        <stp>CURRENCY</stp>
        <stp>USD</stp>
        <tr r="I46" s="2"/>
      </tp>
      <tp t="s">
        <v>#N/A N/A</v>
        <stp/>
        <stp>##V3_BDSV12</stp>
        <stp>SYK US Equity</stp>
        <stp>PG_CAPITAL_EXPENDITURES</stp>
        <stp>[Fundamental &amp; Technical Model (1).xlsm]Segments!R180C11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180" s="17"/>
      </tp>
      <tp t="s">
        <v>#N/A N/A</v>
        <stp/>
        <stp>##V3_BDSV12</stp>
        <stp>SYK US Equity</stp>
        <stp>PG_CAPITAL_EXPENDITURES</stp>
        <stp>[Fundamental &amp; Technical Model (1).xlsm]Segments!R180C10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180" s="17"/>
      </tp>
      <tp t="s">
        <v>#N/A N/A</v>
        <stp/>
        <stp>##V3_BDSV12</stp>
        <stp>SYK US Equity</stp>
        <stp>PG_CAPITAL_EXPENDITURES</stp>
        <stp>[Fundamental &amp; Technical Model (1).xlsm]Segments!R180C13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180" s="17"/>
      </tp>
      <tp t="s">
        <v>#N/A N/A</v>
        <stp/>
        <stp>##V3_BDSV12</stp>
        <stp>SYK US Equity</stp>
        <stp>PG_CAPITAL_EXPENDITURES</stp>
        <stp>[Fundamental &amp; Technical Model (1).xlsm]Segments!R180C12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180" s="17"/>
      </tp>
      <tp t="s">
        <v>#N/A N/A</v>
        <stp/>
        <stp>##V3_BDSV12</stp>
        <stp>SYK US Equity</stp>
        <stp>PG_CAPITAL_EXPENDITURES</stp>
        <stp>[Fundamental &amp; Technical Model (1).xlsm]Segments!R180C14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180" s="17"/>
      </tp>
      <tp t="e">
        <v>#N/A</v>
        <stp/>
        <stp>##V3_BDHV12</stp>
        <stp>SYK US Equity</stp>
        <stp>HIGH_EV_TO_T12M_EBITDA</stp>
        <stp>-10FY</stp>
        <stp>-10FY</stp>
        <stp>[Fundamental &amp; Technical Model (1).xlsm]Multiples!R23C3</stp>
        <stp>EQY_CONSOLIDATED</stp>
        <stp>Yes</stp>
        <stp>ACCOUNTING_STANDARD_OVERRIDE</stp>
        <stp>Mixed</stp>
        <stp>Per</stp>
        <stp>FY</stp>
        <stp>Days=A</stp>
        <tr r="C23" s="16"/>
        <tr r="C23" s="16"/>
      </tp>
      <tp>
        <v>0.15079365079365076</v>
        <stp/>
        <stp>##V3_BQLV12</stp>
        <stp>[Fundamental &amp; Technical Model (1).xlsm]Key Stats!R31C8</stp>
        <stp>SYK US Equity</stp>
        <stp>DILUTED_EPS_BEF_XO_ITEMS_GROWTH/100</stp>
        <stp>FPT</stp>
        <stp>A</stp>
        <stp>FPO</stp>
        <stp>-2A</stp>
        <stp>STD</stp>
        <stp>Mixed</stp>
        <stp>CONSOL</stp>
        <stp>Yes</stp>
        <stp>CURRENCY</stp>
        <stp>USD</stp>
        <tr r="H31" s="23"/>
      </tp>
      <tp t="e">
        <v>#N/A</v>
        <stp/>
        <stp>##V3_BDHV12</stp>
        <stp>SYK US Equity</stp>
        <stp>AVERAGE_PRICE_TO_BOOK_RATIO</stp>
        <stp>-7FY</stp>
        <stp>-7FY</stp>
        <stp>[Fundamental &amp; Technical Model (1).xlsm]Multiples!R40C6</stp>
        <stp>EQY_CONSOLIDATED</stp>
        <stp>Yes</stp>
        <stp>ACCOUNTING_STANDARD_OVERRIDE</stp>
        <stp>Mixed</stp>
        <stp>Per</stp>
        <stp>FY</stp>
        <stp>Days=A</stp>
        <tr r="F40" s="16"/>
        <tr r="F40" s="16"/>
      </tp>
      <tp>
        <v>66.3</v>
        <stp/>
        <stp>##V3_BQLV12</stp>
        <stp>[Fundamental &amp; Technical Model (1).xlsm]Balance Sheet!R76C5</stp>
        <stp>SYK US Equity</stp>
        <stp>BS_ALLOW_DOUBTFUL_ACC_REC/10^6</stp>
        <stp>FPT</stp>
        <stp>A</stp>
        <stp>FPO</stp>
        <stp>-9A</stp>
        <stp>STD</stp>
        <stp>Mixed</stp>
        <stp>CONSOL</stp>
        <stp>Yes</stp>
        <stp>CURRENCY</stp>
        <stp>USD</stp>
        <tr r="E76" s="3"/>
      </tp>
      <tp>
        <v>56</v>
        <stp/>
        <stp>##V3_BQLV12</stp>
        <stp>[Fundamental &amp; Technical Model (1).xlsm]Balance Sheet!R76C7</stp>
        <stp>SYK US Equity</stp>
        <stp>BS_ALLOW_DOUBTFUL_ACC_REC/10^6</stp>
        <stp>FPT</stp>
        <stp>A</stp>
        <stp>FPO</stp>
        <stp>-7A</stp>
        <stp>STD</stp>
        <stp>Mixed</stp>
        <stp>CONSOL</stp>
        <stp>Yes</stp>
        <stp>CURRENCY</stp>
        <stp>USD</stp>
        <tr r="G76" s="3"/>
      </tp>
      <tp>
        <v>57</v>
        <stp/>
        <stp>##V3_BQLV12</stp>
        <stp>[Fundamental &amp; Technical Model (1).xlsm]Balance Sheet!R76C6</stp>
        <stp>SYK US Equity</stp>
        <stp>BS_ALLOW_DOUBTFUL_ACC_REC/10^6</stp>
        <stp>FPT</stp>
        <stp>A</stp>
        <stp>FPO</stp>
        <stp>-8A</stp>
        <stp>STD</stp>
        <stp>Mixed</stp>
        <stp>CONSOL</stp>
        <stp>Yes</stp>
        <stp>CURRENCY</stp>
        <stp>USD</stp>
        <tr r="F76" s="3"/>
      </tp>
      <tp>
        <v>72.344416027280474</v>
        <stp/>
        <stp>##V3_BQLV12</stp>
        <stp>[Fundamental &amp; Technical Model (1).xlsm]Ratios!R48C14</stp>
        <stp>SYK US Equity</stp>
        <stp>LT_DEBT_TO_COM_EQY</stp>
        <stp>FPT</stp>
        <stp>A</stp>
        <stp>FPO</stp>
        <stp>-0A</stp>
        <stp>STD</stp>
        <stp>Mixed</stp>
        <stp>CONSOL</stp>
        <stp>Yes</stp>
        <tr r="N48" s="8"/>
      </tp>
      <tp>
        <v>72</v>
        <stp/>
        <stp>##V3_BQLV12</stp>
        <stp>[Fundamental &amp; Technical Model (1).xlsm]Balance Sheet!R76C9</stp>
        <stp>SYK US Equity</stp>
        <stp>BS_ALLOW_DOUBTFUL_ACC_REC/10^6</stp>
        <stp>FPT</stp>
        <stp>A</stp>
        <stp>FPO</stp>
        <stp>-5A</stp>
        <stp>STD</stp>
        <stp>Mixed</stp>
        <stp>CONSOL</stp>
        <stp>Yes</stp>
        <stp>CURRENCY</stp>
        <stp>USD</stp>
        <tr r="I76" s="3"/>
      </tp>
      <tp>
        <v>58</v>
        <stp/>
        <stp>##V3_BQLV12</stp>
        <stp>[Fundamental &amp; Technical Model (1).xlsm]Balance Sheet!R76C8</stp>
        <stp>SYK US Equity</stp>
        <stp>BS_ALLOW_DOUBTFUL_ACC_REC/10^6</stp>
        <stp>FPT</stp>
        <stp>A</stp>
        <stp>FPO</stp>
        <stp>-6A</stp>
        <stp>STD</stp>
        <stp>Mixed</stp>
        <stp>CONSOL</stp>
        <stp>Yes</stp>
        <stp>CURRENCY</stp>
        <stp>USD</stp>
        <tr r="H76" s="3"/>
      </tp>
      <tp>
        <v>39.307054518504792</v>
        <stp/>
        <stp>##V3_BQLV12</stp>
        <stp>[Fundamental &amp; Technical Model (1).xlsm]Ratios!R49C14</stp>
        <stp>SYK US Equity</stp>
        <stp>LT_DEBT_TO_TOT_CAP</stp>
        <stp>FPT</stp>
        <stp>A</stp>
        <stp>FPO</stp>
        <stp>-0A</stp>
        <stp>STD</stp>
        <stp>Mixed</stp>
        <stp>CONSOL</stp>
        <stp>Yes</stp>
        <tr r="N49" s="8"/>
      </tp>
      <tp>
        <v>2.4850746268656714</v>
        <stp/>
        <stp>##V3_BQLV12</stp>
        <stp>[Fundamental &amp; Technical Model (1).xlsm]Key Stats!R31C10</stp>
        <stp>SYK US Equity</stp>
        <stp>DILUTED_EPS_BEF_XO_ITEMS_GROWTH/100</stp>
        <stp>FPT</stp>
        <stp>A</stp>
        <stp>FPO</stp>
        <stp>-0A</stp>
        <stp>STD</stp>
        <stp>Mixed</stp>
        <stp>CONSOL</stp>
        <stp>Yes</stp>
        <stp>CURRENCY</stp>
        <stp>USD</stp>
        <tr r="J31" s="23"/>
      </tp>
      <tp t="s">
        <v>#N/A N/A</v>
        <stp/>
        <stp>##V3_BDSV12</stp>
        <stp>SYK US Equity</stp>
        <stp>PG_CAPITAL_EXPENDITURES</stp>
        <stp>[Fundamental &amp; Technical Model (1).xlsm]Segments!R179C4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179" s="17"/>
      </tp>
      <tp>
        <v>-52.1</v>
        <stp/>
        <stp>##V3_BDSV12</stp>
        <stp>SYK US Equity</stp>
        <stp>PG_CAPITAL_EXPENDITURES</stp>
        <stp>[Fundamental &amp; Technical Model (1).xlsm]Segments!R165C4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165" s="17"/>
        <tr r="D165" s="17"/>
      </tp>
      <tp t="s">
        <v>#N/A N/A</v>
        <stp/>
        <stp>##V3_BDSV12</stp>
        <stp>SYK US Equity</stp>
        <stp>PG_CAPITAL_EXPENDITURES</stp>
        <stp>[Fundamental &amp; Technical Model (1).xlsm]Segments!R180C4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180" s="17"/>
      </tp>
      <tp>
        <v>-7.8</v>
        <stp/>
        <stp>##V3_BDSV12</stp>
        <stp>SYK US Equity</stp>
        <stp>PG_CAPITAL_EXPENDITURES</stp>
        <stp>[Fundamental &amp; Technical Model (1).xlsm]Segments!R166C4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166" s="17"/>
        <tr r="D166" s="17"/>
      </tp>
      <tp t="s">
        <v>#N/A N/A</v>
        <stp/>
        <stp>##V3_BDSV12</stp>
        <stp>SYK US Equity</stp>
        <stp>PG_CAPITAL_EXPENDITURES</stp>
        <stp>[Fundamental &amp; Technical Model (1).xlsm]Segments!R181C4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181" s="17"/>
      </tp>
      <tp>
        <v>-95.3</v>
        <stp/>
        <stp>##V3_BDSV12</stp>
        <stp>SYK US Equity</stp>
        <stp>PG_CAPITAL_EXPENDITURES</stp>
        <stp>[Fundamental &amp; Technical Model (1).xlsm]Segments!R167C4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167" s="17"/>
        <tr r="D167" s="17"/>
      </tp>
      <tp t="s">
        <v>#N/A N/A</v>
        <stp/>
        <stp>##V3_BDSV12</stp>
        <stp>SYK US Equity</stp>
        <stp>PG_CAPITAL_EXPENDITURES</stp>
        <stp>[Fundamental &amp; Technical Model (1).xlsm]Segments!R182C4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182" s="17"/>
      </tp>
      <tp t="s">
        <v>#N/A N/A</v>
        <stp/>
        <stp>##V3_BDSV12</stp>
        <stp>SYK US Equity</stp>
        <stp>PG_CAPITAL_EXPENDITURES</stp>
        <stp>[Fundamental &amp; Technical Model (1).xlsm]Segments!R168C4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168" s="17"/>
      </tp>
      <tp t="s">
        <v>#N/A N/A</v>
        <stp/>
        <stp>##V3_BDSV12</stp>
        <stp>SYK US Equity</stp>
        <stp>PG_CAPITAL_EXPENDITURES</stp>
        <stp>[Fundamental &amp; Technical Model (1).xlsm]Segments!R176C4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176" s="17"/>
      </tp>
      <tp t="s">
        <v>#N/A N/A</v>
        <stp/>
        <stp>##V3_BDSV12</stp>
        <stp>SYK US Equity</stp>
        <stp>PG_CAPITAL_EXPENDITURES</stp>
        <stp>[Fundamental &amp; Technical Model (1).xlsm]Segments!R162C4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162" s="17"/>
      </tp>
      <tp t="s">
        <v>#N/A N/A</v>
        <stp/>
        <stp>##V3_BDSV12</stp>
        <stp>SYK US Equity</stp>
        <stp>PG_CAPITAL_EXPENDITURES</stp>
        <stp>[Fundamental &amp; Technical Model (1).xlsm]Segments!R177C4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177" s="17"/>
      </tp>
      <tp t="s">
        <v>#N/A N/A</v>
        <stp/>
        <stp>##V3_BDSV12</stp>
        <stp>SYK US Equity</stp>
        <stp>PG_CAPITAL_EXPENDITURES</stp>
        <stp>[Fundamental &amp; Technical Model (1).xlsm]Segments!R163C4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163" s="17"/>
      </tp>
      <tp t="s">
        <v>#N/A N/A</v>
        <stp/>
        <stp>##V3_BDSV12</stp>
        <stp>SYK US Equity</stp>
        <stp>PG_CAPITAL_EXPENDITURES</stp>
        <stp>[Fundamental &amp; Technical Model (1).xlsm]Segments!R178C4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178" s="17"/>
      </tp>
      <tp t="s">
        <v>#N/A N/A</v>
        <stp/>
        <stp>##V3_BDSV12</stp>
        <stp>SYK US Equity</stp>
        <stp>PG_CAPITAL_EXPENDITURES</stp>
        <stp>[Fundamental &amp; Technical Model (1).xlsm]Segments!R164C4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164" s="17"/>
      </tp>
      <tp t="s">
        <v>#N/A N/A</v>
        <stp/>
        <stp>##V3_BDSV12</stp>
        <stp>SYK US Equity</stp>
        <stp>PG_CAPITAL_EXPENDITURES</stp>
        <stp>[Fundamental &amp; Technical Model (1).xlsm]Segments!R183C4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183" s="17"/>
      </tp>
      <tp t="s">
        <v>#N/A N/A</v>
        <stp/>
        <stp>##V3_BDSV12</stp>
        <stp>SYK US Equity</stp>
        <stp>PG_CAPITAL_EXPENDITURES</stp>
        <stp>[Fundamental &amp; Technical Model (1).xlsm]Segments!R169C4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169" s="17"/>
      </tp>
      <tp>
        <v>0</v>
        <stp/>
        <stp>##V3_BQLV12</stp>
        <stp>[Fundamental &amp; Technical Model (1).xlsm]Income Statement!R83C8</stp>
        <stp>SYK US Equity</stp>
        <stp>IS_CAP_INT_EXP/10^6</stp>
        <stp>FPT</stp>
        <stp>A</stp>
        <stp>FPO</stp>
        <stp>-6A</stp>
        <stp>STD</stp>
        <stp>Mixed</stp>
        <stp>CONSOL</stp>
        <stp>Yes</stp>
        <stp>CURRENCY</stp>
        <stp>USD</stp>
        <tr r="H83" s="2"/>
      </tp>
      <tp t="s">
        <v>#N/A N/A</v>
        <stp/>
        <stp>##V3_BDSV12</stp>
        <stp>SYK US Equity</stp>
        <stp>PG_CAPITAL_EXPENDITURES</stp>
        <stp>[Fundamental &amp; Technical Model (1).xlsm]Segments!R184C4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184" s="17"/>
      </tp>
      <tp t="s">
        <v>#N/A N/A</v>
        <stp/>
        <stp>##V3_BDSV12</stp>
        <stp>SYK US Equity</stp>
        <stp>PG_CAPITAL_EXPENDITURES</stp>
        <stp>[Fundamental &amp; Technical Model (1).xlsm]Segments!R170C4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170" s="17"/>
      </tp>
      <tp>
        <v>6914</v>
        <stp/>
        <stp>##V3_BDPV12</stp>
        <stp>SYK US Equity</stp>
        <stp>SHORT_AND_LONG_TERM_DEBT</stp>
        <stp>[Fundamental &amp; Technical Model (1).xlsm]Capital Structure Summary!R43C7</stp>
        <stp>EQY_FUND_RELATIVE_PERIOD</stp>
        <stp>-2FY</stp>
        <stp>EQY_FUND_CRNCY</stp>
        <stp>USD</stp>
        <stp>EQY_CONSOLIDATED</stp>
        <stp>Yes</stp>
        <stp>ACCOUNTING_STANDARD_OVERRIDE</stp>
        <stp>Mixed</stp>
        <stp>Fill=--</stp>
        <tr r="G43" s="21"/>
      </tp>
      <tp>
        <v>6914</v>
        <stp/>
        <stp>##V3_BDPV12</stp>
        <stp>SYK US Equity</stp>
        <stp>SHORT_AND_LONG_TERM_DEBT</stp>
        <stp>[Fundamental &amp; Technical Model (1).xlsm]Capital Structure Summary!R45C7</stp>
        <stp>EQY_FUND_RELATIVE_PERIOD</stp>
        <stp>-2FY</stp>
        <stp>EQY_FUND_CRNCY</stp>
        <stp>USD</stp>
        <stp>EQY_CONSOLIDATED</stp>
        <stp>Yes</stp>
        <stp>ACCOUNTING_STANDARD_OVERRIDE</stp>
        <stp>Mixed</stp>
        <stp>Fill=--</stp>
        <tr r="G45" s="21"/>
      </tp>
      <tp t="e">
        <v>#N/A</v>
        <stp/>
        <stp>##V3_BDHV12</stp>
        <stp>SYK US Equity</stp>
        <stp>PX_TO_TANG_BV_PER_SH</stp>
        <stp>-8FY</stp>
        <stp>-8FY</stp>
        <stp>[Fundamental &amp; Technical Model (1).xlsm]Multiples!R45C5</stp>
        <stp>EQY_CONSOLIDATED</stp>
        <stp>Yes</stp>
        <stp>ACCOUNTING_STANDARD_OVERRIDE</stp>
        <stp>Mixed</stp>
        <stp>Per</stp>
        <stp>FY</stp>
        <stp>Days=A</stp>
        <tr r="E45" s="16"/>
        <tr r="E45" s="16"/>
      </tp>
      <tp>
        <v>3973</v>
        <stp/>
        <stp>##V3_BDPV12</stp>
        <stp>SYK US Equity</stp>
        <stp>SHORT_AND_LONG_TERM_DEBT</stp>
        <stp>[Fundamental &amp; Technical Model (1).xlsm]Capital Structure Summary!R43C3</stp>
        <stp>EQY_FUND_RELATIVE_PERIOD</stp>
        <stp>-4FY</stp>
        <stp>EQY_FUND_CRNCY</stp>
        <stp>USD</stp>
        <stp>EQY_CONSOLIDATED</stp>
        <stp>Yes</stp>
        <stp>ACCOUNTING_STANDARD_OVERRIDE</stp>
        <stp>Mixed</stp>
        <stp>Fill=--</stp>
        <tr r="C43" s="21"/>
      </tp>
      <tp>
        <v>3973</v>
        <stp/>
        <stp>##V3_BDPV12</stp>
        <stp>SYK US Equity</stp>
        <stp>SHORT_AND_LONG_TERM_DEBT</stp>
        <stp>[Fundamental &amp; Technical Model (1).xlsm]Capital Structure Summary!R45C3</stp>
        <stp>EQY_FUND_RELATIVE_PERIOD</stp>
        <stp>-4FY</stp>
        <stp>EQY_FUND_CRNCY</stp>
        <stp>USD</stp>
        <stp>EQY_CONSOLIDATED</stp>
        <stp>Yes</stp>
        <stp>ACCOUNTING_STANDARD_OVERRIDE</stp>
        <stp>Mixed</stp>
        <stp>Fill=--</stp>
        <tr r="C45" s="21"/>
      </tp>
      <tp>
        <v>3998</v>
        <stp/>
        <stp>##V3_BDPV12</stp>
        <stp>SYK US Equity</stp>
        <stp>SHORT_AND_LONG_TERM_DEBT</stp>
        <stp>[Fundamental &amp; Technical Model (1).xlsm]Capital Structure Summary!R43C5</stp>
        <stp>EQY_FUND_RELATIVE_PERIOD</stp>
        <stp>-3FY</stp>
        <stp>EQY_FUND_CRNCY</stp>
        <stp>USD</stp>
        <stp>EQY_CONSOLIDATED</stp>
        <stp>Yes</stp>
        <stp>ACCOUNTING_STANDARD_OVERRIDE</stp>
        <stp>Mixed</stp>
        <stp>Fill=--</stp>
        <tr r="E43" s="21"/>
      </tp>
      <tp>
        <v>3998</v>
        <stp/>
        <stp>##V3_BDPV12</stp>
        <stp>SYK US Equity</stp>
        <stp>SHORT_AND_LONG_TERM_DEBT</stp>
        <stp>[Fundamental &amp; Technical Model (1).xlsm]Capital Structure Summary!R45C5</stp>
        <stp>EQY_FUND_RELATIVE_PERIOD</stp>
        <stp>-3FY</stp>
        <stp>EQY_FUND_CRNCY</stp>
        <stp>USD</stp>
        <stp>EQY_CONSOLIDATED</stp>
        <stp>Yes</stp>
        <stp>ACCOUNTING_STANDARD_OVERRIDE</stp>
        <stp>Mixed</stp>
        <stp>Fill=--</stp>
        <tr r="E45" s="21"/>
      </tp>
      <tp t="s">
        <v>#N/A N/A</v>
        <stp/>
        <stp>##V3_BDSV12</stp>
        <stp>SYK US Equity</stp>
        <stp>PG_REVENUE</stp>
        <stp>[Fundamental &amp; Technical Model (1).xlsm]Segments!R40C5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40" s="17"/>
      </tp>
      <tp>
        <v>7222</v>
        <stp/>
        <stp>##V3_BDPV12</stp>
        <stp>SYK US Equity</stp>
        <stp>SHORT_AND_LONG_TERM_DEBT</stp>
        <stp>[Fundamental &amp; Technical Model (1).xlsm]Capital Structure Summary!R43C9</stp>
        <stp>EQY_FUND_RELATIVE_PERIOD</stp>
        <stp>-1FY</stp>
        <stp>EQY_FUND_CRNCY</stp>
        <stp>USD</stp>
        <stp>EQY_CONSOLIDATED</stp>
        <stp>Yes</stp>
        <stp>ACCOUNTING_STANDARD_OVERRIDE</stp>
        <stp>Mixed</stp>
        <stp>Fill=--</stp>
        <tr r="I43" s="21"/>
      </tp>
      <tp>
        <v>7222</v>
        <stp/>
        <stp>##V3_BDPV12</stp>
        <stp>SYK US Equity</stp>
        <stp>SHORT_AND_LONG_TERM_DEBT</stp>
        <stp>[Fundamental &amp; Technical Model (1).xlsm]Capital Structure Summary!R45C9</stp>
        <stp>EQY_FUND_RELATIVE_PERIOD</stp>
        <stp>-1FY</stp>
        <stp>EQY_FUND_CRNCY</stp>
        <stp>USD</stp>
        <stp>EQY_CONSOLIDATED</stp>
        <stp>Yes</stp>
        <stp>ACCOUNTING_STANDARD_OVERRIDE</stp>
        <stp>Mixed</stp>
        <stp>Fill=--</stp>
        <tr r="I45" s="21"/>
      </tp>
      <tp>
        <v>407</v>
        <stp/>
        <stp>##V3_BQLV12</stp>
        <stp>[Fundamental &amp; Technical Model (1).xlsm]Income Statement!R46C8</stp>
        <stp>SYK US Equity</stp>
        <stp>IS_INC_TAX_EXP/10^6</stp>
        <stp>FPT</stp>
        <stp>A</stp>
        <stp>FPO</stp>
        <stp>-6A</stp>
        <stp>STD</stp>
        <stp>Mixed</stp>
        <stp>CONSOL</stp>
        <stp>Yes</stp>
        <stp>CURRENCY</stp>
        <stp>USD</stp>
        <tr r="H46" s="2"/>
      </tp>
      <tp t="s">
        <v>#N/A N/A</v>
        <stp/>
        <stp>##V3_BDSV12</stp>
        <stp>SYK US Equity</stp>
        <stp>PG_CAPITAL_EXPENDITURES</stp>
        <stp>[Fundamental &amp; Technical Model (1).xlsm]Segments!R183C14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183" s="17"/>
      </tp>
      <tp>
        <v>0</v>
        <stp/>
        <stp>##V3_BQLV12</stp>
        <stp>[Fundamental &amp; Technical Model (1).xlsm]Cash Flow!R26C9</stp>
        <stp>SYK US Equity</stp>
        <stp>CF_INCR_INVEST/10^6</stp>
        <stp>FPT</stp>
        <stp>A</stp>
        <stp>FPO</stp>
        <stp>-5A</stp>
        <stp>STD</stp>
        <stp>Mixed</stp>
        <stp>CONSOL</stp>
        <stp>Yes</stp>
        <stp>CURRENCY</stp>
        <stp>USD</stp>
        <tr r="I26" s="4"/>
      </tp>
      <tp>
        <v>0</v>
        <stp/>
        <stp>##V3_BQLV12</stp>
        <stp>[Fundamental &amp; Technical Model (1).xlsm]Cash Flow!R23C9</stp>
        <stp>SYK US Equity</stp>
        <stp>CF_INCR_INVEST/10^6</stp>
        <stp>FPT</stp>
        <stp>A</stp>
        <stp>FPO</stp>
        <stp>-5A</stp>
        <stp>STD</stp>
        <stp>Mixed</stp>
        <stp>CONSOL</stp>
        <stp>Yes</stp>
        <stp>CURRENCY</stp>
        <stp>USD</stp>
        <tr r="I23" s="4"/>
      </tp>
      <tp t="s">
        <v>#N/A N/A</v>
        <stp/>
        <stp>##V3_BDSV12</stp>
        <stp>SYK US Equity</stp>
        <stp>PG_CAPITAL_EXPENDITURES</stp>
        <stp>[Fundamental &amp; Technical Model (1).xlsm]Segments!R183C10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183" s="17"/>
      </tp>
      <tp t="s">
        <v>#N/A N/A</v>
        <stp/>
        <stp>##V3_BDSV12</stp>
        <stp>SYK US Equity</stp>
        <stp>PG_CAPITAL_EXPENDITURES</stp>
        <stp>[Fundamental &amp; Technical Model (1).xlsm]Segments!R183C11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183" s="17"/>
      </tp>
      <tp t="s">
        <v>#N/A N/A</v>
        <stp/>
        <stp>##V3_BDSV12</stp>
        <stp>SYK US Equity</stp>
        <stp>PG_CAPITAL_EXPENDITURES</stp>
        <stp>[Fundamental &amp; Technical Model (1).xlsm]Segments!R183C12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183" s="17"/>
      </tp>
      <tp t="s">
        <v>#N/A N/A</v>
        <stp/>
        <stp>##V3_BDSV12</stp>
        <stp>SYK US Equity</stp>
        <stp>PG_CAPITAL_EXPENDITURES</stp>
        <stp>[Fundamental &amp; Technical Model (1).xlsm]Segments!R183C13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183" s="17"/>
      </tp>
      <tp t="s">
        <v>12/31/2008</v>
        <stp/>
        <stp>##V3_BDPV12</stp>
        <stp>SYK US Equity</stp>
        <stp>LATEST_PERIOD_END_DT_FULL_RECORD</stp>
        <stp>[Fundamental &amp; Technical Model (1).xlsm]Multiples!R13C3</stp>
        <stp>EQY_FUND_RELATIVE_PERIOD</stp>
        <stp>-10FY</stp>
        <stp>EQY_CONSOLIDATED</stp>
        <stp>Yes</stp>
        <tr r="C13" s="16"/>
        <tr r="C13" s="16"/>
      </tp>
      <tp t="e">
        <v>#N/A</v>
        <stp/>
        <stp>##V3_BDHV12</stp>
        <stp>SYK US Equity</stp>
        <stp>HIGH_EV_TO_T12M_EBITDA</stp>
        <stp>-0FY</stp>
        <stp>-0FY</stp>
        <stp>[Fundamental &amp; Technical Model (1).xlsm]Multiples!R23C13</stp>
        <stp>EQY_CONSOLIDATED</stp>
        <stp>Yes</stp>
        <stp>ACCOUNTING_STANDARD_OVERRIDE</stp>
        <stp>Mixed</stp>
        <stp>Per</stp>
        <stp>FY</stp>
        <stp>Days=A</stp>
        <tr r="M23" s="16"/>
        <tr r="M23" s="16"/>
      </tp>
      <tp t="e">
        <v>#N/A</v>
        <stp/>
        <stp>##V3_BDHV12</stp>
        <stp>SYK US Equity</stp>
        <stp>HIGH_EV_TO_T12M_EBITDA</stp>
        <stp>-1FY</stp>
        <stp>-1FY</stp>
        <stp>[Fundamental &amp; Technical Model (1).xlsm]Multiples!R23C12</stp>
        <stp>EQY_CONSOLIDATED</stp>
        <stp>Yes</stp>
        <stp>ACCOUNTING_STANDARD_OVERRIDE</stp>
        <stp>Mixed</stp>
        <stp>Per</stp>
        <stp>FY</stp>
        <stp>Days=A</stp>
        <tr r="L23" s="16"/>
        <tr r="L23" s="16"/>
      </tp>
      <tp t="e">
        <v>#N/A</v>
        <stp/>
        <stp>##V3_BDHV12</stp>
        <stp>SYK US Equity</stp>
        <stp>HIGH_EV_TO_T12M_EBITDA</stp>
        <stp>-2FY</stp>
        <stp>-2FY</stp>
        <stp>[Fundamental &amp; Technical Model (1).xlsm]Multiples!R23C11</stp>
        <stp>EQY_CONSOLIDATED</stp>
        <stp>Yes</stp>
        <stp>ACCOUNTING_STANDARD_OVERRIDE</stp>
        <stp>Mixed</stp>
        <stp>Per</stp>
        <stp>FY</stp>
        <stp>Days=A</stp>
        <tr r="K23" s="16"/>
        <tr r="K23" s="16"/>
      </tp>
      <tp t="e">
        <v>#N/A</v>
        <stp/>
        <stp>##V3_BDHV12</stp>
        <stp>SYK US Equity</stp>
        <stp>HIGH_EV_TO_T12M_EBITDA</stp>
        <stp>-3FY</stp>
        <stp>-3FY</stp>
        <stp>[Fundamental &amp; Technical Model (1).xlsm]Multiples!R23C10</stp>
        <stp>EQY_CONSOLIDATED</stp>
        <stp>Yes</stp>
        <stp>ACCOUNTING_STANDARD_OVERRIDE</stp>
        <stp>Mixed</stp>
        <stp>Per</stp>
        <stp>FY</stp>
        <stp>Days=A</stp>
        <tr r="J23" s="16"/>
        <tr r="J23" s="16"/>
      </tp>
      <tp>
        <v>0.65</v>
        <stp/>
        <stp>##V3_BQLV12</stp>
        <stp>[Fundamental &amp; Technical Model (1).xlsm]Income Statement!R42C7</stp>
        <stp>SYK US Equity</stp>
        <stp>IS_LEGAL_LITIG_SETTLE_AFTER_TAX/10^6</stp>
        <stp>FPT</stp>
        <stp>A</stp>
        <stp>FPO</stp>
        <stp>-7A</stp>
        <stp>STD</stp>
        <stp>Mixed</stp>
        <stp>CONSOL</stp>
        <stp>Yes</stp>
        <stp>CURRENCY</stp>
        <stp>USD</stp>
        <tr r="G42" s="2"/>
      </tp>
      <tp>
        <v>-40.950000000000003</v>
        <stp/>
        <stp>##V3_BQLV12</stp>
        <stp>[Fundamental &amp; Technical Model (1).xlsm]Income Statement!R42C5</stp>
        <stp>SYK US Equity</stp>
        <stp>IS_LEGAL_LITIG_SETTLE_AFTER_TAX/10^6</stp>
        <stp>FPT</stp>
        <stp>A</stp>
        <stp>FPO</stp>
        <stp>-9A</stp>
        <stp>STD</stp>
        <stp>Mixed</stp>
        <stp>CONSOL</stp>
        <stp>Yes</stp>
        <stp>CURRENCY</stp>
        <stp>USD</stp>
        <tr r="E42" s="2"/>
      </tp>
      <tp>
        <v>523</v>
        <stp/>
        <stp>##V3_BQLV12</stp>
        <stp>[Fundamental &amp; Technical Model (1).xlsm]Income Statement!R42C9</stp>
        <stp>SYK US Equity</stp>
        <stp>IS_LEGAL_LITIG_SETTLE_AFTER_TAX/10^6</stp>
        <stp>FPT</stp>
        <stp>A</stp>
        <stp>FPO</stp>
        <stp>-5A</stp>
        <stp>STD</stp>
        <stp>Mixed</stp>
        <stp>CONSOL</stp>
        <stp>Yes</stp>
        <stp>CURRENCY</stp>
        <stp>USD</stp>
        <tr r="I42" s="2"/>
      </tp>
      <tp t="s">
        <v>#N/A</v>
        <stp/>
        <stp>##V3_BQLV12</stp>
        <stp>[Fundamental &amp; Technical Model (1).xlsm]Income Statement!R42C6</stp>
        <stp>SYK US Equity</stp>
        <stp>IS_LEGAL_LITIG_SETTLE_AFTER_TAX/10^6</stp>
        <stp>FPT</stp>
        <stp>A</stp>
        <stp>FPO</stp>
        <stp>-8A</stp>
        <stp>STD</stp>
        <stp>Mixed</stp>
        <stp>CONSOL</stp>
        <stp>Yes</stp>
        <stp>CURRENCY</stp>
        <stp>USD</stp>
        <tr r="F42" s="2"/>
      </tp>
      <tp>
        <v>166</v>
        <stp/>
        <stp>##V3_BQLV12</stp>
        <stp>[Fundamental &amp; Technical Model (1).xlsm]Income Statement!R42C8</stp>
        <stp>SYK US Equity</stp>
        <stp>IS_LEGAL_LITIG_SETTLE_AFTER_TAX/10^6</stp>
        <stp>FPT</stp>
        <stp>A</stp>
        <stp>FPO</stp>
        <stp>-6A</stp>
        <stp>STD</stp>
        <stp>Mixed</stp>
        <stp>CONSOL</stp>
        <stp>Yes</stp>
        <stp>CURRENCY</stp>
        <stp>USD</stp>
        <tr r="H42" s="2"/>
      </tp>
      <tp t="e">
        <v>#N/A</v>
        <stp/>
        <stp>##V3_BDHV12</stp>
        <stp>SYK US Equity</stp>
        <stp>AVERAGE_PRICE_TO_BOOK_RATIO</stp>
        <stp>-8FY</stp>
        <stp>-8FY</stp>
        <stp>[Fundamental &amp; Technical Model (1).xlsm]Multiples!R40C5</stp>
        <stp>EQY_CONSOLIDATED</stp>
        <stp>Yes</stp>
        <stp>ACCOUNTING_STANDARD_OVERRIDE</stp>
        <stp>Mixed</stp>
        <stp>Per</stp>
        <stp>FY</stp>
        <stp>Days=A</stp>
        <tr r="E40" s="16"/>
        <tr r="E40" s="16"/>
      </tp>
      <tp>
        <v>38.221125602161905</v>
        <stp/>
        <stp>##V3_BQLV12</stp>
        <stp>[Fundamental &amp; Technical Model (1).xlsm]Ratios!R48C11</stp>
        <stp>SYK US Equity</stp>
        <stp>LT_DEBT_TO_COM_EQY</stp>
        <stp>FPT</stp>
        <stp>A</stp>
        <stp>FPO</stp>
        <stp>-3A</stp>
        <stp>STD</stp>
        <stp>Mixed</stp>
        <stp>CONSOL</stp>
        <stp>Yes</stp>
        <tr r="K48" s="8"/>
      </tp>
      <tp>
        <v>25.955477539296258</v>
        <stp/>
        <stp>##V3_BQLV12</stp>
        <stp>[Fundamental &amp; Technical Model (1).xlsm]Ratios!R49C11</stp>
        <stp>SYK US Equity</stp>
        <stp>LT_DEBT_TO_TOT_CAP</stp>
        <stp>FPT</stp>
        <stp>A</stp>
        <stp>FPO</stp>
        <stp>-3A</stp>
        <stp>STD</stp>
        <stp>Mixed</stp>
        <stp>CONSOL</stp>
        <stp>Yes</stp>
        <tr r="K49" s="8"/>
      </tp>
      <tp>
        <v>9.4777327935222679</v>
        <stp/>
        <stp>##V3_BDPV12</stp>
        <stp>SYK US Equity</stp>
        <stp>EBITDA_LES_CAP_EXPEND_TO_INT_EXP</stp>
        <stp>[Fundamental &amp; Technical Model (1).xlsm]Capital Structure Summary!R67C9</stp>
        <stp>EQY_FUND_RELATIVE_PERIOD</stp>
        <stp>-1FY</stp>
        <stp>EQY_FUND_CRNCY</stp>
        <stp>USD</stp>
        <stp>EQY_CONSOLIDATED</stp>
        <stp>Yes</stp>
        <stp>ACCOUNTING_STANDARD_OVERRIDE</stp>
        <stp>Mixed</stp>
        <stp>Fill=--</stp>
        <tr r="I67" s="21"/>
      </tp>
      <tp>
        <v>18.407407407407408</v>
        <stp/>
        <stp>##V3_BDPV12</stp>
        <stp>SYK US Equity</stp>
        <stp>EBITDA_LES_CAP_EXPEND_TO_INT_EXP</stp>
        <stp>[Fundamental &amp; Technical Model (1).xlsm]Capital Structure Summary!R67C5</stp>
        <stp>EQY_FUND_RELATIVE_PERIOD</stp>
        <stp>-3FY</stp>
        <stp>EQY_FUND_CRNCY</stp>
        <stp>USD</stp>
        <stp>EQY_CONSOLIDATED</stp>
        <stp>Yes</stp>
        <stp>ACCOUNTING_STANDARD_OVERRIDE</stp>
        <stp>Mixed</stp>
        <stp>Fill=--</stp>
        <tr r="E67" s="21"/>
      </tp>
      <tp>
        <v>12.309734513274336</v>
        <stp/>
        <stp>##V3_BDPV12</stp>
        <stp>SYK US Equity</stp>
        <stp>EBITDA_LES_CAP_EXPEND_TO_INT_EXP</stp>
        <stp>[Fundamental &amp; Technical Model (1).xlsm]Capital Structure Summary!R67C3</stp>
        <stp>EQY_FUND_RELATIVE_PERIOD</stp>
        <stp>-4FY</stp>
        <stp>EQY_FUND_CRNCY</stp>
        <stp>USD</stp>
        <stp>EQY_CONSOLIDATED</stp>
        <stp>Yes</stp>
        <stp>ACCOUNTING_STANDARD_OVERRIDE</stp>
        <stp>Mixed</stp>
        <stp>Fill=--</stp>
        <tr r="C67" s="21"/>
      </tp>
      <tp>
        <v>9.7850877192982448</v>
        <stp/>
        <stp>##V3_BDPV12</stp>
        <stp>SYK US Equity</stp>
        <stp>EBITDA_LES_CAP_EXPEND_TO_INT_EXP</stp>
        <stp>[Fundamental &amp; Technical Model (1).xlsm]Capital Structure Summary!R67C7</stp>
        <stp>EQY_FUND_RELATIVE_PERIOD</stp>
        <stp>-2FY</stp>
        <stp>EQY_FUND_CRNCY</stp>
        <stp>USD</stp>
        <stp>EQY_CONSOLIDATED</stp>
        <stp>Yes</stp>
        <stp>ACCOUNTING_STANDARD_OVERRIDE</stp>
        <stp>Mixed</stp>
        <stp>Fill=--</stp>
        <tr r="G67" s="21"/>
      </tp>
      <tp t="s">
        <v>#N/A N/A</v>
        <stp/>
        <stp>##V3_BDSV12</stp>
        <stp>SYK US Equity</stp>
        <stp>PG_CAPITAL_EXPENDITURES</stp>
        <stp>[Fundamental &amp; Technical Model (1).xlsm]Segments!R182C7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182" s="17"/>
      </tp>
      <tp t="s">
        <v>#N/A N/A</v>
        <stp/>
        <stp>##V3_BDSV12</stp>
        <stp>SYK US Equity</stp>
        <stp>PG_CAPITAL_EXPENDITURES</stp>
        <stp>[Fundamental &amp; Technical Model (1).xlsm]Segments!R168C7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168" s="17"/>
      </tp>
      <tp t="s">
        <v>#N/A N/A</v>
        <stp/>
        <stp>##V3_BDSV12</stp>
        <stp>SYK US Equity</stp>
        <stp>PG_CAPITAL_EXPENDITURES</stp>
        <stp>[Fundamental &amp; Technical Model (1).xlsm]Segments!R181C7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181" s="17"/>
      </tp>
      <tp t="s">
        <v>#N/A N/A</v>
        <stp/>
        <stp>##V3_BDSV12</stp>
        <stp>SYK US Equity</stp>
        <stp>PG_CAPITAL_EXPENDITURES</stp>
        <stp>[Fundamental &amp; Technical Model (1).xlsm]Segments!R167C7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167" s="17"/>
      </tp>
      <tp t="s">
        <v>#N/A N/A</v>
        <stp/>
        <stp>##V3_BDSV12</stp>
        <stp>SYK US Equity</stp>
        <stp>PG_CAPITAL_EXPENDITURES</stp>
        <stp>[Fundamental &amp; Technical Model (1).xlsm]Segments!R180C7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180" s="17"/>
      </tp>
      <tp t="s">
        <v>#N/A N/A</v>
        <stp/>
        <stp>##V3_BDSV12</stp>
        <stp>SYK US Equity</stp>
        <stp>PG_CAPITAL_EXPENDITURES</stp>
        <stp>[Fundamental &amp; Technical Model (1).xlsm]Segments!R166C7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166" s="17"/>
      </tp>
      <tp t="s">
        <v>#N/A N/A</v>
        <stp/>
        <stp>##V3_BDSV12</stp>
        <stp>SYK US Equity</stp>
        <stp>PG_CAPITAL_EXPENDITURES</stp>
        <stp>[Fundamental &amp; Technical Model (1).xlsm]Segments!R179C7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179" s="17"/>
      </tp>
      <tp>
        <v>-56</v>
        <stp/>
        <stp>##V3_BDSV12</stp>
        <stp>SYK US Equity</stp>
        <stp>PG_CAPITAL_EXPENDITURES</stp>
        <stp>[Fundamental &amp; Technical Model (1).xlsm]Segments!R165C7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165" s="17"/>
        <tr r="G165" s="17"/>
      </tp>
      <tp t="s">
        <v>#N/A N/A</v>
        <stp/>
        <stp>##V3_BDSV12</stp>
        <stp>SYK US Equity</stp>
        <stp>PG_CAPITAL_EXPENDITURES</stp>
        <stp>[Fundamental &amp; Technical Model (1).xlsm]Segments!R178C7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178" s="17"/>
      </tp>
      <tp>
        <v>-24</v>
        <stp/>
        <stp>##V3_BDSV12</stp>
        <stp>SYK US Equity</stp>
        <stp>PG_CAPITAL_EXPENDITURES</stp>
        <stp>[Fundamental &amp; Technical Model (1).xlsm]Segments!R164C7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164" s="17"/>
        <tr r="G164" s="17"/>
      </tp>
      <tp t="s">
        <v>#N/A N/A</v>
        <stp/>
        <stp>##V3_BDSV12</stp>
        <stp>SYK US Equity</stp>
        <stp>PG_CAPITAL_EXPENDITURES</stp>
        <stp>[Fundamental &amp; Technical Model (1).xlsm]Segments!R177C7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177" s="17"/>
      </tp>
      <tp>
        <v>-119</v>
        <stp/>
        <stp>##V3_BDSV12</stp>
        <stp>SYK US Equity</stp>
        <stp>PG_CAPITAL_EXPENDITURES</stp>
        <stp>[Fundamental &amp; Technical Model (1).xlsm]Segments!R163C7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163" s="17"/>
        <tr r="G163" s="17"/>
      </tp>
      <tp t="s">
        <v>#N/A N/A</v>
        <stp/>
        <stp>##V3_BDSV12</stp>
        <stp>SYK US Equity</stp>
        <stp>PG_CAPITAL_EXPENDITURES</stp>
        <stp>[Fundamental &amp; Technical Model (1).xlsm]Segments!R176C7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176" s="17"/>
      </tp>
      <tp>
        <v>-27</v>
        <stp/>
        <stp>##V3_BDSV12</stp>
        <stp>SYK US Equity</stp>
        <stp>PG_CAPITAL_EXPENDITURES</stp>
        <stp>[Fundamental &amp; Technical Model (1).xlsm]Segments!R162C7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162" s="17"/>
        <tr r="G162" s="17"/>
      </tp>
      <tp t="s">
        <v>#N/A N/A</v>
        <stp/>
        <stp>##V3_BDSV12</stp>
        <stp>SYK US Equity</stp>
        <stp>PG_CAPITAL_EXPENDITURES</stp>
        <stp>[Fundamental &amp; Technical Model (1).xlsm]Segments!R184C7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184" s="17"/>
      </tp>
      <tp t="s">
        <v>#N/A N/A</v>
        <stp/>
        <stp>##V3_BDSV12</stp>
        <stp>SYK US Equity</stp>
        <stp>PG_CAPITAL_EXPENDITURES</stp>
        <stp>[Fundamental &amp; Technical Model (1).xlsm]Segments!R170C7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170" s="17"/>
      </tp>
      <tp t="s">
        <v>#N/A N/A</v>
        <stp/>
        <stp>##V3_BDSV12</stp>
        <stp>SYK US Equity</stp>
        <stp>PG_CAPITAL_EXPENDITURES</stp>
        <stp>[Fundamental &amp; Technical Model (1).xlsm]Segments!R183C7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183" s="17"/>
      </tp>
      <tp t="s">
        <v>#N/A N/A</v>
        <stp/>
        <stp>##V3_BDSV12</stp>
        <stp>SYK US Equity</stp>
        <stp>PG_CAPITAL_EXPENDITURES</stp>
        <stp>[Fundamental &amp; Technical Model (1).xlsm]Segments!R169C7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169" s="17"/>
      </tp>
      <tp t="s">
        <v>#N/A N/A</v>
        <stp/>
        <stp>##V3_BDSV12</stp>
        <stp>SYK US Equity</stp>
        <stp>PG_REVENUE</stp>
        <stp>[Fundamental &amp; Technical Model (1).xlsm]Segments!R40C6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40" s="17"/>
      </tp>
      <tp t="e">
        <v>#N/A</v>
        <stp/>
        <stp>##V3_BDHV12</stp>
        <stp>SYK US Equity</stp>
        <stp>PX_TO_TANG_BV_PER_SH</stp>
        <stp>-7FY</stp>
        <stp>-7FY</stp>
        <stp>[Fundamental &amp; Technical Model (1).xlsm]Multiples!R45C6</stp>
        <stp>EQY_CONSOLIDATED</stp>
        <stp>Yes</stp>
        <stp>ACCOUNTING_STANDARD_OVERRIDE</stp>
        <stp>Mixed</stp>
        <stp>Per</stp>
        <stp>FY</stp>
        <stp>Days=A</stp>
        <tr r="F45" s="16"/>
        <tr r="F45" s="16"/>
      </tp>
      <tp t="s">
        <v>#N/A N/A</v>
        <stp/>
        <stp>##V3_BDSV12</stp>
        <stp>SYK US Equity</stp>
        <stp>PG_CAPITAL_EXPENDITURES</stp>
        <stp>[Fundamental &amp; Technical Model (1).xlsm]Segments!R182C13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182" s="17"/>
      </tp>
      <tp t="s">
        <v>#N/A N/A</v>
        <stp/>
        <stp>##V3_BDSV12</stp>
        <stp>SYK US Equity</stp>
        <stp>PG_CAPITAL_EXPENDITURES</stp>
        <stp>[Fundamental &amp; Technical Model (1).xlsm]Segments!R182C12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182" s="17"/>
      </tp>
      <tp t="s">
        <v>#N/A N/A</v>
        <stp/>
        <stp>##V3_BDSV12</stp>
        <stp>SYK US Equity</stp>
        <stp>PG_CAPITAL_EXPENDITURES</stp>
        <stp>[Fundamental &amp; Technical Model (1).xlsm]Segments!R182C11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182" s="17"/>
      </tp>
      <tp t="s">
        <v>#N/A N/A</v>
        <stp/>
        <stp>##V3_BDSV12</stp>
        <stp>SYK US Equity</stp>
        <stp>PG_CAPITAL_EXPENDITURES</stp>
        <stp>[Fundamental &amp; Technical Model (1).xlsm]Segments!R182C10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182" s="17"/>
      </tp>
      <tp t="s">
        <v>#N/A N/A</v>
        <stp/>
        <stp>##V3_BDSV12</stp>
        <stp>SYK US Equity</stp>
        <stp>PG_CAPITAL_EXPENDITURES</stp>
        <stp>[Fundamental &amp; Technical Model (1).xlsm]Segments!R182C14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182" s="17"/>
      </tp>
      <tp>
        <v>0</v>
        <stp/>
        <stp>##V3_BQLV12</stp>
        <stp>[Fundamental &amp; Technical Model (1).xlsm]Cash Flow!R26C8</stp>
        <stp>SYK US Equity</stp>
        <stp>CF_INCR_INVEST/10^6</stp>
        <stp>FPT</stp>
        <stp>A</stp>
        <stp>FPO</stp>
        <stp>-6A</stp>
        <stp>STD</stp>
        <stp>Mixed</stp>
        <stp>CONSOL</stp>
        <stp>Yes</stp>
        <stp>CURRENCY</stp>
        <stp>USD</stp>
        <tr r="H26" s="4"/>
      </tp>
      <tp>
        <v>0</v>
        <stp/>
        <stp>##V3_BQLV12</stp>
        <stp>[Fundamental &amp; Technical Model (1).xlsm]Cash Flow!R23C8</stp>
        <stp>SYK US Equity</stp>
        <stp>CF_INCR_INVEST/10^6</stp>
        <stp>FPT</stp>
        <stp>A</stp>
        <stp>FPO</stp>
        <stp>-6A</stp>
        <stp>STD</stp>
        <stp>Mixed</stp>
        <stp>CONSOL</stp>
        <stp>Yes</stp>
        <stp>CURRENCY</stp>
        <stp>USD</stp>
        <tr r="H23" s="4"/>
      </tp>
      <tp>
        <v>394</v>
        <stp/>
        <stp>##V3_BQLV12</stp>
        <stp>[Fundamental &amp; Technical Model (1).xlsm]Income Statement!R24C6</stp>
        <stp>SYK US Equity</stp>
        <stp>IS_RD_EXPEND/10^6</stp>
        <stp>FPT</stp>
        <stp>A</stp>
        <stp>FPO</stp>
        <stp>-8A</stp>
        <stp>STD</stp>
        <stp>Mixed</stp>
        <stp>CONSOL</stp>
        <stp>Yes</stp>
        <stp>CURRENCY</stp>
        <stp>USD</stp>
        <tr r="F24" s="2"/>
      </tp>
      <tp>
        <v>462</v>
        <stp/>
        <stp>##V3_BQLV12</stp>
        <stp>[Fundamental &amp; Technical Model (1).xlsm]Income Statement!R24C7</stp>
        <stp>SYK US Equity</stp>
        <stp>IS_RD_EXPEND/10^6</stp>
        <stp>FPT</stp>
        <stp>A</stp>
        <stp>FPO</stp>
        <stp>-7A</stp>
        <stp>STD</stp>
        <stp>Mixed</stp>
        <stp>CONSOL</stp>
        <stp>Yes</stp>
        <stp>CURRENCY</stp>
        <stp>USD</stp>
        <tr r="G24" s="2"/>
      </tp>
      <tp>
        <v>336</v>
        <stp/>
        <stp>##V3_BQLV12</stp>
        <stp>[Fundamental &amp; Technical Model (1).xlsm]Income Statement!R24C5</stp>
        <stp>SYK US Equity</stp>
        <stp>IS_RD_EXPEND/10^6</stp>
        <stp>FPT</stp>
        <stp>A</stp>
        <stp>FPO</stp>
        <stp>-9A</stp>
        <stp>STD</stp>
        <stp>Mixed</stp>
        <stp>CONSOL</stp>
        <stp>Yes</stp>
        <stp>CURRENCY</stp>
        <stp>USD</stp>
        <tr r="E24" s="2"/>
      </tp>
      <tp>
        <v>471</v>
        <stp/>
        <stp>##V3_BQLV12</stp>
        <stp>[Fundamental &amp; Technical Model (1).xlsm]Income Statement!R24C8</stp>
        <stp>SYK US Equity</stp>
        <stp>IS_RD_EXPEND/10^6</stp>
        <stp>FPT</stp>
        <stp>A</stp>
        <stp>FPO</stp>
        <stp>-6A</stp>
        <stp>STD</stp>
        <stp>Mixed</stp>
        <stp>CONSOL</stp>
        <stp>Yes</stp>
        <stp>CURRENCY</stp>
        <stp>USD</stp>
        <tr r="H24" s="2"/>
      </tp>
      <tp>
        <v>536</v>
        <stp/>
        <stp>##V3_BQLV12</stp>
        <stp>[Fundamental &amp; Technical Model (1).xlsm]Income Statement!R24C9</stp>
        <stp>SYK US Equity</stp>
        <stp>IS_RD_EXPEND/10^6</stp>
        <stp>FPT</stp>
        <stp>A</stp>
        <stp>FPO</stp>
        <stp>-5A</stp>
        <stp>STD</stp>
        <stp>Mixed</stp>
        <stp>CONSOL</stp>
        <stp>Yes</stp>
        <stp>CURRENCY</stp>
        <stp>USD</stp>
        <tr r="I24" s="2"/>
      </tp>
      <tp>
        <v>2153</v>
        <stp/>
        <stp>##V3_BDPV12</stp>
        <stp>SYK US Equity</stp>
        <stp>BS_BEYOND_YEAR_5_PRINCIPAL</stp>
        <stp>[Fundamental &amp; Technical Model (1).xlsm]Capital Structure Summary!R79C5</stp>
        <stp>EQY_FUND_RELATIVE_PERIOD</stp>
        <stp>-3FY</stp>
        <stp>EQY_FUND_CRNCY</stp>
        <stp>USD</stp>
        <stp>EQY_CONSOLIDATED</stp>
        <stp>Yes</stp>
        <stp>ACCOUNTING_STANDARD_OVERRIDE</stp>
        <stp>Mixed</stp>
        <stp>Fill=--</stp>
        <tr r="E79" s="21"/>
      </tp>
      <tp>
        <v>1902</v>
        <stp/>
        <stp>##V3_BDPV12</stp>
        <stp>SYK US Equity</stp>
        <stp>BS_BEYOND_YEAR_5_PRINCIPAL</stp>
        <stp>[Fundamental &amp; Technical Model (1).xlsm]Capital Structure Summary!R79C3</stp>
        <stp>EQY_FUND_RELATIVE_PERIOD</stp>
        <stp>-4FY</stp>
        <stp>EQY_FUND_CRNCY</stp>
        <stp>USD</stp>
        <stp>EQY_CONSOLIDATED</stp>
        <stp>Yes</stp>
        <stp>ACCOUNTING_STANDARD_OVERRIDE</stp>
        <stp>Mixed</stp>
        <stp>Fill=--</stp>
        <tr r="C79" s="21"/>
      </tp>
      <tp>
        <v>2400</v>
        <stp/>
        <stp>##V3_BDPV12</stp>
        <stp>BSX Equity</stp>
        <stp>Trail_12M_ebitda</stp>
        <stp>[Fundamental &amp; Technical Model (1).xlsm]Public Comparables!R11C11</stp>
        <tr r="K11" s="24"/>
      </tp>
      <tp>
        <v>2384</v>
        <stp/>
        <stp>##V3_BDPV12</stp>
        <stp>BAX Equity</stp>
        <stp>Trail_12M_ebitda</stp>
        <stp>[Fundamental &amp; Technical Model (1).xlsm]Public Comparables!R14C11</stp>
        <tr r="K14" s="24"/>
      </tp>
      <tp>
        <v>4150</v>
        <stp/>
        <stp>##V3_BDPV12</stp>
        <stp>SYK US Equity</stp>
        <stp>BS_BEYOND_YEAR_5_PRINCIPAL</stp>
        <stp>[Fundamental &amp; Technical Model (1).xlsm]Capital Structure Summary!R79C7</stp>
        <stp>EQY_FUND_RELATIVE_PERIOD</stp>
        <stp>-2FY</stp>
        <stp>EQY_FUND_CRNCY</stp>
        <stp>USD</stp>
        <stp>EQY_CONSOLIDATED</stp>
        <stp>Yes</stp>
        <stp>ACCOUNTING_STANDARD_OVERRIDE</stp>
        <stp>Mixed</stp>
        <stp>Fill=--</stp>
        <tr r="G79" s="21"/>
      </tp>
      <tp>
        <v>4150</v>
        <stp/>
        <stp>##V3_BDPV12</stp>
        <stp>SYK US Equity</stp>
        <stp>BS_BEYOND_YEAR_5_PRINCIPAL</stp>
        <stp>[Fundamental &amp; Technical Model (1).xlsm]Capital Structure Summary!R79C9</stp>
        <stp>EQY_FUND_RELATIVE_PERIOD</stp>
        <stp>-1FY</stp>
        <stp>EQY_FUND_CRNCY</stp>
        <stp>USD</stp>
        <stp>EQY_CONSOLIDATED</stp>
        <stp>Yes</stp>
        <stp>ACCOUNTING_STANDARD_OVERRIDE</stp>
        <stp>Mixed</stp>
        <stp>Fill=--</stp>
        <tr r="I79" s="21"/>
      </tp>
      <tp t="e">
        <v>#N/A</v>
        <stp/>
        <stp>##V3_BDHV12</stp>
        <stp>SYK US Equity</stp>
        <stp>AVERAGE_PRICE_TO_BOOK_RATIO</stp>
        <stp>-9FY</stp>
        <stp>-9FY</stp>
        <stp>[Fundamental &amp; Technical Model (1).xlsm]Multiples!R40C4</stp>
        <stp>EQY_CONSOLIDATED</stp>
        <stp>Yes</stp>
        <stp>ACCOUNTING_STANDARD_OVERRIDE</stp>
        <stp>Mixed</stp>
        <stp>Per</stp>
        <stp>FY</stp>
        <stp>Days=A</stp>
        <tr r="D40" s="16"/>
        <tr r="D40" s="16"/>
      </tp>
      <tp>
        <v>70.010471204188477</v>
        <stp/>
        <stp>##V3_BQLV12</stp>
        <stp>[Fundamental &amp; Technical Model (1).xlsm]Ratios!R48C12</stp>
        <stp>SYK US Equity</stp>
        <stp>LT_DEBT_TO_COM_EQY</stp>
        <stp>FPT</stp>
        <stp>A</stp>
        <stp>FPO</stp>
        <stp>-2A</stp>
        <stp>STD</stp>
        <stp>Mixed</stp>
        <stp>CONSOL</stp>
        <stp>Yes</stp>
        <tr r="L48" s="8"/>
      </tp>
      <tp>
        <v>40.609815354713312</v>
        <stp/>
        <stp>##V3_BQLV12</stp>
        <stp>[Fundamental &amp; Technical Model (1).xlsm]Ratios!R49C12</stp>
        <stp>SYK US Equity</stp>
        <stp>LT_DEBT_TO_TOT_CAP</stp>
        <stp>FPT</stp>
        <stp>A</stp>
        <stp>FPO</stp>
        <stp>-2A</stp>
        <stp>STD</stp>
        <stp>Mixed</stp>
        <stp>CONSOL</stp>
        <stp>Yes</stp>
        <tr r="L49" s="8"/>
      </tp>
      <tp t="s">
        <v>#N/A N/A</v>
        <stp/>
        <stp>##V3_BDSV12</stp>
        <stp>SYK US Equity</stp>
        <stp>PG_CAPITAL_EXPENDITURES</stp>
        <stp>[Fundamental &amp; Technical Model (1).xlsm]Segments!R181C6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181" s="17"/>
      </tp>
      <tp t="s">
        <v>#N/A N/A</v>
        <stp/>
        <stp>##V3_BDSV12</stp>
        <stp>SYK US Equity</stp>
        <stp>PG_CAPITAL_EXPENDITURES</stp>
        <stp>[Fundamental &amp; Technical Model (1).xlsm]Segments!R167C6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167" s="17"/>
      </tp>
      <tp t="s">
        <v>#N/A N/A</v>
        <stp/>
        <stp>##V3_BDSV12</stp>
        <stp>SYK US Equity</stp>
        <stp>PG_CAPITAL_EXPENDITURES</stp>
        <stp>[Fundamental &amp; Technical Model (1).xlsm]Segments!R182C6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182" s="17"/>
      </tp>
      <tp t="s">
        <v>#N/A N/A</v>
        <stp/>
        <stp>##V3_BDSV12</stp>
        <stp>SYK US Equity</stp>
        <stp>PG_CAPITAL_EXPENDITURES</stp>
        <stp>[Fundamental &amp; Technical Model (1).xlsm]Segments!R168C6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168" s="17"/>
      </tp>
      <tp t="s">
        <v>#N/A N/A</v>
        <stp/>
        <stp>##V3_BDSV12</stp>
        <stp>SYK US Equity</stp>
        <stp>PG_CAPITAL_EXPENDITURES</stp>
        <stp>[Fundamental &amp; Technical Model (1).xlsm]Segments!R179C6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179" s="17"/>
      </tp>
      <tp>
        <v>-47</v>
        <stp/>
        <stp>##V3_BDSV12</stp>
        <stp>SYK US Equity</stp>
        <stp>PG_CAPITAL_EXPENDITURES</stp>
        <stp>[Fundamental &amp; Technical Model (1).xlsm]Segments!R165C6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165" s="17"/>
        <tr r="F165" s="17"/>
      </tp>
      <tp t="s">
        <v>#N/A N/A</v>
        <stp/>
        <stp>##V3_BDSV12</stp>
        <stp>SYK US Equity</stp>
        <stp>PG_CAPITAL_EXPENDITURES</stp>
        <stp>[Fundamental &amp; Technical Model (1).xlsm]Segments!R180C6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180" s="17"/>
      </tp>
      <tp t="s">
        <v>#N/A N/A</v>
        <stp/>
        <stp>##V3_BDSV12</stp>
        <stp>SYK US Equity</stp>
        <stp>PG_CAPITAL_EXPENDITURES</stp>
        <stp>[Fundamental &amp; Technical Model (1).xlsm]Segments!R166C6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166" s="17"/>
      </tp>
      <tp t="s">
        <v>2015 Y</v>
        <stp/>
        <stp>##V3_BDPV12</stp>
        <stp>SYK US Equity</stp>
        <stp>FISCAL_YEAR_PERIOD</stp>
        <stp>[Fundamental &amp; Technical Model (1).xlsm]Multiples!R12C10</stp>
        <stp>EQY_FUND_RELATIVE_PERIOD</stp>
        <stp>-3FY</stp>
        <tr r="J12" s="16"/>
      </tp>
      <tp t="s">
        <v>2016 Y</v>
        <stp/>
        <stp>##V3_BDPV12</stp>
        <stp>SYK US Equity</stp>
        <stp>FISCAL_YEAR_PERIOD</stp>
        <stp>[Fundamental &amp; Technical Model (1).xlsm]Multiples!R12C11</stp>
        <stp>EQY_FUND_RELATIVE_PERIOD</stp>
        <stp>-2FY</stp>
        <tr r="K12" s="16"/>
      </tp>
      <tp t="s">
        <v>2017 Y</v>
        <stp/>
        <stp>##V3_BDPV12</stp>
        <stp>SYK US Equity</stp>
        <stp>FISCAL_YEAR_PERIOD</stp>
        <stp>[Fundamental &amp; Technical Model (1).xlsm]Multiples!R12C12</stp>
        <stp>EQY_FUND_RELATIVE_PERIOD</stp>
        <stp>-1FY</stp>
        <tr r="L12" s="16"/>
      </tp>
      <tp t="s">
        <v>2018 Y</v>
        <stp/>
        <stp>##V3_BDPV12</stp>
        <stp>SYK US Equity</stp>
        <stp>FISCAL_YEAR_PERIOD</stp>
        <stp>[Fundamental &amp; Technical Model (1).xlsm]Multiples!R12C13</stp>
        <stp>EQY_FUND_RELATIVE_PERIOD</stp>
        <stp>-0FY</stp>
        <tr r="M12" s="16"/>
      </tp>
      <tp t="s">
        <v>#N/A N/A</v>
        <stp/>
        <stp>##V3_BDSV12</stp>
        <stp>SYK US Equity</stp>
        <stp>PG_CAPITAL_EXPENDITURES</stp>
        <stp>[Fundamental &amp; Technical Model (1).xlsm]Segments!R177C6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177" s="17"/>
      </tp>
      <tp>
        <v>-106</v>
        <stp/>
        <stp>##V3_BDSV12</stp>
        <stp>SYK US Equity</stp>
        <stp>PG_CAPITAL_EXPENDITURES</stp>
        <stp>[Fundamental &amp; Technical Model (1).xlsm]Segments!R163C6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163" s="17"/>
        <tr r="F163" s="17"/>
      </tp>
      <tp t="s">
        <v>#N/A N/A</v>
        <stp/>
        <stp>##V3_BDSV12</stp>
        <stp>SYK US Equity</stp>
        <stp>PG_CAPITAL_EXPENDITURES</stp>
        <stp>[Fundamental &amp; Technical Model (1).xlsm]Segments!R178C6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178" s="17"/>
      </tp>
      <tp>
        <v>-16</v>
        <stp/>
        <stp>##V3_BDSV12</stp>
        <stp>SYK US Equity</stp>
        <stp>PG_CAPITAL_EXPENDITURES</stp>
        <stp>[Fundamental &amp; Technical Model (1).xlsm]Segments!R164C6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164" s="17"/>
        <tr r="F164" s="17"/>
      </tp>
      <tp t="s">
        <v>#N/A N/A</v>
        <stp/>
        <stp>##V3_BDSV12</stp>
        <stp>SYK US Equity</stp>
        <stp>PG_CAPITAL_EXPENDITURES</stp>
        <stp>[Fundamental &amp; Technical Model (1).xlsm]Segments!R176C6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176" s="17"/>
      </tp>
      <tp>
        <v>-13</v>
        <stp/>
        <stp>##V3_BDSV12</stp>
        <stp>SYK US Equity</stp>
        <stp>PG_CAPITAL_EXPENDITURES</stp>
        <stp>[Fundamental &amp; Technical Model (1).xlsm]Segments!R162C6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162" s="17"/>
        <tr r="F162" s="17"/>
      </tp>
      <tp t="s">
        <v>#N/A N/A</v>
        <stp/>
        <stp>##V3_BDSV12</stp>
        <stp>SYK US Equity</stp>
        <stp>PG_CAPITAL_EXPENDITURES</stp>
        <stp>[Fundamental &amp; Technical Model (1).xlsm]Segments!R183C6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183" s="17"/>
      </tp>
      <tp t="s">
        <v>#N/A N/A</v>
        <stp/>
        <stp>##V3_BDSV12</stp>
        <stp>SYK US Equity</stp>
        <stp>PG_CAPITAL_EXPENDITURES</stp>
        <stp>[Fundamental &amp; Technical Model (1).xlsm]Segments!R169C6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169" s="17"/>
      </tp>
      <tp t="s">
        <v>#N/A N/A</v>
        <stp/>
        <stp>##V3_BDSV12</stp>
        <stp>SYK US Equity</stp>
        <stp>PG_CAPITAL_EXPENDITURES</stp>
        <stp>[Fundamental &amp; Technical Model (1).xlsm]Segments!R184C6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184" s="17"/>
      </tp>
      <tp t="s">
        <v>#N/A N/A</v>
        <stp/>
        <stp>##V3_BDSV12</stp>
        <stp>SYK US Equity</stp>
        <stp>PG_CAPITAL_EXPENDITURES</stp>
        <stp>[Fundamental &amp; Technical Model (1).xlsm]Segments!R170C6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170" s="17"/>
      </tp>
      <tp>
        <v>43550</v>
        <stp/>
        <stp>##V3_BTH</stp>
        <stp>SYK US Equity</stp>
        <stp>SMAVG</stp>
        <stp>3/26/2019</stp>
        <stp>4/25/2019</stp>
        <stp>[Fundamental &amp; Technical Model (1).xlsm]Technical Analysis Data!R87C7</stp>
        <stp>SMAVG</stp>
        <stp>TAPeriod=200</stp>
        <stp>DSClose=PX_LAST</stp>
        <stp>Dir=H</stp>
        <stp>Dts=S</stp>
        <stp>cols=22;rows=2</stp>
        <tr r="G87" s="31"/>
      </tp>
      <tp t="s">
        <v>#N/A N/A</v>
        <stp/>
        <stp>##V3_BDSV12</stp>
        <stp>SYK US Equity</stp>
        <stp>PG_REVENUE</stp>
        <stp>[Fundamental &amp; Technical Model (1).xlsm]Segments!R40C7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40" s="17"/>
      </tp>
      <tp t="e">
        <v>#N/A</v>
        <stp/>
        <stp>##V3_BDHV12</stp>
        <stp>SYK US Equity</stp>
        <stp>PX_TO_TANG_BV_PER_SH</stp>
        <stp>-6FY</stp>
        <stp>-6FY</stp>
        <stp>[Fundamental &amp; Technical Model (1).xlsm]Multiples!R45C7</stp>
        <stp>EQY_CONSOLIDATED</stp>
        <stp>Yes</stp>
        <stp>ACCOUNTING_STANDARD_OVERRIDE</stp>
        <stp>Mixed</stp>
        <stp>Per</stp>
        <stp>FY</stp>
        <stp>Days=A</stp>
        <tr r="G45" s="16"/>
        <tr r="G45" s="16"/>
      </tp>
      <tp>
        <v>1.6</v>
        <stp/>
        <stp>##V3_BDPV12</stp>
        <stp>SYK US Equity</stp>
        <stp>ARDR_STOCK_OPTION_VAL_DVD_YLD</stp>
        <stp>[Fundamental &amp; Technical Model (1).xlsm]Supplemental!R30C10</stp>
        <stp>EQY_FUND_RELATIVE_PERIOD</stp>
        <stp>-3FY</stp>
        <stp>EQY_FUND_CRNCY</stp>
        <stp>USD</stp>
        <stp>EQY_CONSOLIDATED</stp>
        <stp>Yes</stp>
        <stp>ACCOUNTING_STANDARD_OVERRIDE</stp>
        <stp>Mixed</stp>
        <stp>Fill=--</stp>
        <tr r="J30" s="19"/>
      </tp>
      <tp>
        <v>1.6</v>
        <stp/>
        <stp>##V3_BDPV12</stp>
        <stp>SYK US Equity</stp>
        <stp>ARDR_STOCK_OPTION_VAL_DVD_YLD</stp>
        <stp>[Fundamental &amp; Technical Model (1).xlsm]Supplemental!R30C11</stp>
        <stp>EQY_FUND_RELATIVE_PERIOD</stp>
        <stp>-2FY</stp>
        <stp>EQY_FUND_CRNCY</stp>
        <stp>USD</stp>
        <stp>EQY_CONSOLIDATED</stp>
        <stp>Yes</stp>
        <stp>ACCOUNTING_STANDARD_OVERRIDE</stp>
        <stp>Mixed</stp>
        <stp>Fill=--</stp>
        <tr r="K30" s="19"/>
      </tp>
      <tp>
        <v>1.5</v>
        <stp/>
        <stp>##V3_BDPV12</stp>
        <stp>SYK US Equity</stp>
        <stp>ARDR_STOCK_OPTION_VAL_DVD_YLD</stp>
        <stp>[Fundamental &amp; Technical Model (1).xlsm]Supplemental!R30C12</stp>
        <stp>EQY_FUND_RELATIVE_PERIOD</stp>
        <stp>-1FY</stp>
        <stp>EQY_FUND_CRNCY</stp>
        <stp>USD</stp>
        <stp>EQY_CONSOLIDATED</stp>
        <stp>Yes</stp>
        <stp>ACCOUNTING_STANDARD_OVERRIDE</stp>
        <stp>Mixed</stp>
        <stp>Fill=--</stp>
        <tr r="L30" s="19"/>
      </tp>
      <tp>
        <v>1.2</v>
        <stp/>
        <stp>##V3_BDPV12</stp>
        <stp>SYK US Equity</stp>
        <stp>ARDR_STOCK_OPTION_VAL_DVD_YLD</stp>
        <stp>[Fundamental &amp; Technical Model (1).xlsm]Supplemental!R30C13</stp>
        <stp>EQY_FUND_RELATIVE_PERIOD</stp>
        <stp>-0FY</stp>
        <stp>EQY_FUND_CRNCY</stp>
        <stp>USD</stp>
        <stp>EQY_CONSOLIDATED</stp>
        <stp>Yes</stp>
        <stp>ACCOUNTING_STANDARD_OVERRIDE</stp>
        <stp>Mixed</stp>
        <stp>Fill=--</stp>
        <tr r="M30" s="19"/>
      </tp>
      <tp>
        <v>0</v>
        <stp/>
        <stp>##V3_BDPV12</stp>
        <stp>SYK US Equity</stp>
        <stp>BS_PFD_EQY</stp>
        <stp>[Fundamental &amp; Technical Model (1).xlsm]Capital Structure Summary!R32C7</stp>
        <stp>EQY_FUND_RELATIVE_PERIOD</stp>
        <stp>-2FY</stp>
        <stp>EQY_FUND_CRNCY</stp>
        <stp>USD</stp>
        <stp>EQY_CONSOLIDATED</stp>
        <stp>Yes</stp>
        <stp>ACCOUNTING_STANDARD_OVERRIDE</stp>
        <stp>Mixed</stp>
        <stp>Fill=--</stp>
        <tr r="G32" s="21"/>
      </tp>
      <tp>
        <v>0</v>
        <stp/>
        <stp>##V3_BDPV12</stp>
        <stp>SYK US Equity</stp>
        <stp>BS_PFD_EQY</stp>
        <stp>[Fundamental &amp; Technical Model (1).xlsm]Capital Structure Summary!R32C5</stp>
        <stp>EQY_FUND_RELATIVE_PERIOD</stp>
        <stp>-3FY</stp>
        <stp>EQY_FUND_CRNCY</stp>
        <stp>USD</stp>
        <stp>EQY_CONSOLIDATED</stp>
        <stp>Yes</stp>
        <stp>ACCOUNTING_STANDARD_OVERRIDE</stp>
        <stp>Mixed</stp>
        <stp>Fill=--</stp>
        <tr r="E32" s="21"/>
      </tp>
      <tp>
        <v>0</v>
        <stp/>
        <stp>##V3_BDPV12</stp>
        <stp>SYK US Equity</stp>
        <stp>BS_PFD_EQY</stp>
        <stp>[Fundamental &amp; Technical Model (1).xlsm]Capital Structure Summary!R32C3</stp>
        <stp>EQY_FUND_RELATIVE_PERIOD</stp>
        <stp>-4FY</stp>
        <stp>EQY_FUND_CRNCY</stp>
        <stp>USD</stp>
        <stp>EQY_CONSOLIDATED</stp>
        <stp>Yes</stp>
        <stp>ACCOUNTING_STANDARD_OVERRIDE</stp>
        <stp>Mixed</stp>
        <stp>Fill=--</stp>
        <tr r="C32" s="21"/>
      </tp>
      <tp t="s">
        <v>#N/A N/A</v>
        <stp/>
        <stp>##V3_BDSV12</stp>
        <stp>SYK US Equity</stp>
        <stp>PG_ASSETS</stp>
        <stp>[Fundamental &amp; Technical Model (1).xlsm]Segments!R119C9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119" s="17"/>
      </tp>
      <tp t="s">
        <v>#N/A N/A</v>
        <stp/>
        <stp>##V3_BDSV12</stp>
        <stp>SYK US Equity</stp>
        <stp>PG_ASSETS</stp>
        <stp>[Fundamental &amp; Technical Model (1).xlsm]Segments!R119C8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119" s="17"/>
      </tp>
      <tp t="s">
        <v>#N/A N/A</v>
        <stp/>
        <stp>##V3_BDSV12</stp>
        <stp>SYK US Equity</stp>
        <stp>PG_ASSETS</stp>
        <stp>[Fundamental &amp; Technical Model (1).xlsm]Segments!R118C9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118" s="17"/>
      </tp>
      <tp t="s">
        <v>#N/A N/A</v>
        <stp/>
        <stp>##V3_BDSV12</stp>
        <stp>SYK US Equity</stp>
        <stp>PG_ASSETS</stp>
        <stp>[Fundamental &amp; Technical Model (1).xlsm]Segments!R118C8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118" s="17"/>
      </tp>
      <tp>
        <v>0</v>
        <stp/>
        <stp>##V3_BDPV12</stp>
        <stp>SYK US Equity</stp>
        <stp>BS_PFD_EQY</stp>
        <stp>[Fundamental &amp; Technical Model (1).xlsm]Capital Structure Summary!R32C9</stp>
        <stp>EQY_FUND_RELATIVE_PERIOD</stp>
        <stp>-1FY</stp>
        <stp>EQY_FUND_CRNCY</stp>
        <stp>USD</stp>
        <stp>EQY_CONSOLIDATED</stp>
        <stp>Yes</stp>
        <stp>ACCOUNTING_STANDARD_OVERRIDE</stp>
        <stp>Mixed</stp>
        <stp>Fill=--</stp>
        <tr r="I32" s="21"/>
      </tp>
      <tp>
        <v>2.78</v>
        <stp/>
        <stp>##V3_BQLV12</stp>
        <stp>[Fundamental &amp; Technical Model (1).xlsm]Income Statement!R67C4</stp>
        <stp>SYK US Equity</stp>
        <stp>IS_DIL_EPS_BEF_XO</stp>
        <stp>FPT</stp>
        <stp>A</stp>
        <stp>FPO</stp>
        <stp>-10A</stp>
        <stp>STD</stp>
        <stp>Mixed</stp>
        <stp>CONSOL</stp>
        <stp>Yes</stp>
        <stp>CURRENCY</stp>
        <stp>USD</stp>
        <tr r="D67" s="2"/>
      </tp>
      <tp t="s">
        <v>#N/A N/A</v>
        <stp/>
        <stp>##V3_BDSV12</stp>
        <stp>SYK US Equity</stp>
        <stp>PG_ASSETS</stp>
        <stp>[Fundamental &amp; Technical Model (1).xlsm]Segments!R119C3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119" s="17"/>
      </tp>
      <tp t="s">
        <v>#N/A N/A</v>
        <stp/>
        <stp>##V3_BDSV12</stp>
        <stp>SYK US Equity</stp>
        <stp>PG_ASSETS</stp>
        <stp>[Fundamental &amp; Technical Model (1).xlsm]Segments!R118C3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118" s="17"/>
      </tp>
      <tp t="s">
        <v>2012 A</v>
        <stp/>
        <stp>##V3_BQLV12</stp>
        <stp>[Fundamental &amp; Technical Model (1).xlsm]Cash Flow!R12C8</stp>
        <stp>SYK US Equity</stp>
        <stp>IS_EPS().PERIOD</stp>
        <stp>FPT</stp>
        <stp>A</stp>
        <stp>FPO</stp>
        <stp>-6A</stp>
        <stp>STD</stp>
        <stp>Mixed</stp>
        <stp>CONSOL</stp>
        <stp>Yes</stp>
        <tr r="H12" s="4"/>
      </tp>
      <tp t="e">
        <v>#N/A</v>
        <stp/>
        <stp>##V3_BDHV12</stp>
        <stp>SYK US Equity</stp>
        <stp>HIGH_DIVIDEND_YIELD</stp>
        <stp>-4FY</stp>
        <stp>-4FY</stp>
        <stp>[Fundamental &amp; Technical Model (1).xlsm]Multiples!R65C9</stp>
        <stp>EQY_CONSOLIDATED</stp>
        <stp>Yes</stp>
        <stp>ACCOUNTING_STANDARD_OVERRIDE</stp>
        <stp>Mixed</stp>
        <stp>Per</stp>
        <stp>FY</stp>
        <stp>Days=A</stp>
        <tr r="I65" s="16"/>
        <tr r="I65" s="16"/>
      </tp>
      <tp t="e">
        <v>#N/A</v>
        <stp/>
        <stp>##V3_BDHV12</stp>
        <stp>SYK US Equity</stp>
        <stp>AVERAGE_PRICE_EARNINGS_RATIO</stp>
        <stp>-10FY</stp>
        <stp>-10FY</stp>
        <stp>[Fundamental &amp; Technical Model (1).xlsm]Multiples!R34C3</stp>
        <stp>EQY_CONSOLIDATED</stp>
        <stp>Yes</stp>
        <stp>ACCOUNTING_STANDARD_OVERRIDE</stp>
        <stp>Mixed</stp>
        <stp>Per</stp>
        <stp>FY</stp>
        <stp>Days=A</stp>
        <tr r="C34" s="16"/>
        <tr r="C34" s="16"/>
      </tp>
      <tp>
        <v>787</v>
        <stp/>
        <stp>##V3_BQLV12</stp>
        <stp>[Fundamental &amp; Technical Model (1).xlsm]Income Statement!R24C13</stp>
        <stp>SYK US Equity</stp>
        <stp>IS_RD_EXPEND/10^6</stp>
        <stp>FPT</stp>
        <stp>A</stp>
        <stp>FPO</stp>
        <stp>-1A</stp>
        <stp>STD</stp>
        <stp>Mixed</stp>
        <stp>CONSOL</stp>
        <stp>Yes</stp>
        <stp>CURRENCY</stp>
        <stp>USD</stp>
        <tr r="M24" s="2"/>
      </tp>
      <tp>
        <v>715</v>
        <stp/>
        <stp>##V3_BQLV12</stp>
        <stp>[Fundamental &amp; Technical Model (1).xlsm]Income Statement!R24C12</stp>
        <stp>SYK US Equity</stp>
        <stp>IS_RD_EXPEND/10^6</stp>
        <stp>FPT</stp>
        <stp>A</stp>
        <stp>FPO</stp>
        <stp>-2A</stp>
        <stp>STD</stp>
        <stp>Mixed</stp>
        <stp>CONSOL</stp>
        <stp>Yes</stp>
        <stp>CURRENCY</stp>
        <stp>USD</stp>
        <tr r="L24" s="2"/>
      </tp>
      <tp>
        <v>625</v>
        <stp/>
        <stp>##V3_BQLV12</stp>
        <stp>[Fundamental &amp; Technical Model (1).xlsm]Income Statement!R24C11</stp>
        <stp>SYK US Equity</stp>
        <stp>IS_RD_EXPEND/10^6</stp>
        <stp>FPT</stp>
        <stp>A</stp>
        <stp>FPO</stp>
        <stp>-3A</stp>
        <stp>STD</stp>
        <stp>Mixed</stp>
        <stp>CONSOL</stp>
        <stp>Yes</stp>
        <stp>CURRENCY</stp>
        <stp>USD</stp>
        <tr r="K24" s="2"/>
      </tp>
      <tp>
        <v>614</v>
        <stp/>
        <stp>##V3_BQLV12</stp>
        <stp>[Fundamental &amp; Technical Model (1).xlsm]Income Statement!R24C10</stp>
        <stp>SYK US Equity</stp>
        <stp>IS_RD_EXPEND/10^6</stp>
        <stp>FPT</stp>
        <stp>A</stp>
        <stp>FPO</stp>
        <stp>-4A</stp>
        <stp>STD</stp>
        <stp>Mixed</stp>
        <stp>CONSOL</stp>
        <stp>Yes</stp>
        <stp>CURRENCY</stp>
        <stp>USD</stp>
        <tr r="J24" s="2"/>
      </tp>
      <tp>
        <v>862</v>
        <stp/>
        <stp>##V3_BQLV12</stp>
        <stp>[Fundamental &amp; Technical Model (1).xlsm]Income Statement!R24C14</stp>
        <stp>SYK US Equity</stp>
        <stp>IS_RD_EXPEND/10^6</stp>
        <stp>FPT</stp>
        <stp>A</stp>
        <stp>FPO</stp>
        <stp>-0A</stp>
        <stp>STD</stp>
        <stp>Mixed</stp>
        <stp>CONSOL</stp>
        <stp>Yes</stp>
        <stp>CURRENCY</stp>
        <stp>USD</stp>
        <tr r="N24" s="2"/>
      </tp>
      <tp t="s">
        <v>#N/A N/A</v>
        <stp/>
        <stp>##V3_BDSV12</stp>
        <stp>SYK US Equity</stp>
        <stp>PG_GROSS_PROFIT</stp>
        <stp>[Fundamental &amp; Technical Model (1).xlsm]Segments!R55C7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55" s="17"/>
      </tp>
      <tp t="s">
        <v>--</v>
        <stp/>
        <stp>##V3_BDPV12</stp>
        <stp>SYK US Equity</stp>
        <stp>BS_WEIGHTED_AVG_FV_PER_OPTION</stp>
        <stp>[Fundamental &amp; Technical Model (1).xlsm]Supplemental!R20C3</stp>
        <stp>EQY_FUND_RELATIVE_PERIOD</stp>
        <stp>-10FY</stp>
        <stp>EQY_FUND_CRNCY</stp>
        <stp>USD</stp>
        <stp>EQY_CONSOLIDATED</stp>
        <stp>Yes</stp>
        <stp>ACCOUNTING_STANDARD_OVERRIDE</stp>
        <stp>Mixed</stp>
        <stp>Fill=--</stp>
        <tr r="C20" s="19"/>
      </tp>
      <tp t="s">
        <v>2011 Y</v>
        <stp/>
        <stp>##V3_BDPV12</stp>
        <stp>SYK US Equity</stp>
        <stp>FISCAL_YEAR_PERIOD</stp>
        <stp>[Fundamental &amp; Technical Model (1).xlsm]Segments!R86C7</stp>
        <stp>EQY_FUND_RELATIVE_PERIOD</stp>
        <stp>-7FY</stp>
        <tr r="G86" s="17"/>
      </tp>
      <tp t="s">
        <v>2011 Y</v>
        <stp/>
        <stp>##V3_BDPV12</stp>
        <stp>SYK US Equity</stp>
        <stp>FISCAL_YEAR_PERIOD</stp>
        <stp>[Fundamental &amp; Technical Model (1).xlsm]Segments!R14C7</stp>
        <stp>EQY_FUND_RELATIVE_PERIOD</stp>
        <stp>-7FY</stp>
        <tr r="G14" s="17"/>
      </tp>
      <tp t="s">
        <v>2011 Y</v>
        <stp/>
        <stp>##V3_BDPV12</stp>
        <stp>SYK US Equity</stp>
        <stp>FISCAL_YEAR_PERIOD</stp>
        <stp>[Fundamental &amp; Technical Model (1).xlsm]Segments!R28C7</stp>
        <stp>EQY_FUND_RELATIVE_PERIOD</stp>
        <stp>-7FY</stp>
        <tr r="G28" s="17"/>
      </tp>
      <tp t="s">
        <v>2011 Y</v>
        <stp/>
        <stp>##V3_BDPV12</stp>
        <stp>SYK US Equity</stp>
        <stp>FISCAL_YEAR_PERIOD</stp>
        <stp>[Fundamental &amp; Technical Model (1).xlsm]Segments!R43C7</stp>
        <stp>EQY_FUND_RELATIVE_PERIOD</stp>
        <stp>-7FY</stp>
        <tr r="G43" s="17"/>
      </tp>
      <tp t="s">
        <v>2011 Y</v>
        <stp/>
        <stp>##V3_BDPV12</stp>
        <stp>SYK US Equity</stp>
        <stp>FISCAL_YEAR_PERIOD</stp>
        <stp>[Fundamental &amp; Technical Model (1).xlsm]Segments!R57C7</stp>
        <stp>EQY_FUND_RELATIVE_PERIOD</stp>
        <stp>-7FY</stp>
        <tr r="G57" s="17"/>
      </tp>
      <tp t="s">
        <v>2011 Y</v>
        <stp/>
        <stp>##V3_BDPV12</stp>
        <stp>SYK US Equity</stp>
        <stp>FISCAL_YEAR_PERIOD</stp>
        <stp>[Fundamental &amp; Technical Model (1).xlsm]Segments!R72C7</stp>
        <stp>EQY_FUND_RELATIVE_PERIOD</stp>
        <stp>-7FY</stp>
        <tr r="G72" s="17"/>
      </tp>
      <tp t="e">
        <v>#N/A</v>
        <stp/>
        <stp>##V3_BDHV12</stp>
        <stp>SYK US Equity</stp>
        <stp>LOW_EV_TO_T12M_SALES</stp>
        <stp>-6FY</stp>
        <stp>-6FY</stp>
        <stp>[Fundamental &amp; Technical Model (1).xlsm]Multiples!R18C7</stp>
        <stp>EQY_CONSOLIDATED</stp>
        <stp>Yes</stp>
        <stp>ACCOUNTING_STANDARD_OVERRIDE</stp>
        <stp>Mixed</stp>
        <stp>Per</stp>
        <stp>FY</stp>
        <stp>Days=A</stp>
        <tr r="G18" s="16"/>
        <tr r="G18" s="16"/>
      </tp>
      <tp t="s">
        <v>#N/A N/A</v>
        <stp/>
        <stp>##V3_BDSV12</stp>
        <stp>SYK US Equity</stp>
        <stp>PG_CAPITAL_EXPENDITURES</stp>
        <stp>[Fundamental &amp; Technical Model (1).xlsm]Segments!R184C14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184" s="17"/>
      </tp>
      <tp>
        <v>0</v>
        <stp/>
        <stp>##V3_BQLV12</stp>
        <stp>[Fundamental &amp; Technical Model (1).xlsm]Cash Flow!R24C5</stp>
        <stp>SYK US Equity</stp>
        <stp>CF_DECR_INVEST/10^6</stp>
        <stp>FPT</stp>
        <stp>A</stp>
        <stp>FPO</stp>
        <stp>-9A</stp>
        <stp>STD</stp>
        <stp>Mixed</stp>
        <stp>CONSOL</stp>
        <stp>Yes</stp>
        <stp>CURRENCY</stp>
        <stp>USD</stp>
        <tr r="E24" s="4"/>
      </tp>
      <tp t="s">
        <v>#N/A N/A</v>
        <stp/>
        <stp>##V3_BDSV12</stp>
        <stp>SYK US Equity</stp>
        <stp>PG_CAPITAL_EXPENDITURES</stp>
        <stp>[Fundamental &amp; Technical Model (1).xlsm]Segments!R184C11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184" s="17"/>
      </tp>
      <tp t="s">
        <v>#N/A N/A</v>
        <stp/>
        <stp>##V3_BDSV12</stp>
        <stp>SYK US Equity</stp>
        <stp>PG_CAPITAL_EXPENDITURES</stp>
        <stp>[Fundamental &amp; Technical Model (1).xlsm]Segments!R184C10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184" s="17"/>
      </tp>
      <tp t="s">
        <v>#N/A N/A</v>
        <stp/>
        <stp>##V3_BDSV12</stp>
        <stp>SYK US Equity</stp>
        <stp>PG_CAPITAL_EXPENDITURES</stp>
        <stp>[Fundamental &amp; Technical Model (1).xlsm]Segments!R184C13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184" s="17"/>
      </tp>
      <tp t="s">
        <v>#N/A N/A</v>
        <stp/>
        <stp>##V3_BDSV12</stp>
        <stp>SYK US Equity</stp>
        <stp>PG_CAPITAL_EXPENDITURES</stp>
        <stp>[Fundamental &amp; Technical Model (1).xlsm]Segments!R184C12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184" s="17"/>
      </tp>
      <tp t="s">
        <v>2011 A</v>
        <stp/>
        <stp>##V3_BQLV12</stp>
        <stp>[Fundamental &amp; Technical Model (1).xlsm]Cash Flow!R12C7</stp>
        <stp>SYK US Equity</stp>
        <stp>IS_EPS().PERIOD</stp>
        <stp>FPT</stp>
        <stp>A</stp>
        <stp>FPO</stp>
        <stp>-7A</stp>
        <stp>STD</stp>
        <stp>Mixed</stp>
        <stp>CONSOL</stp>
        <stp>Yes</stp>
        <tr r="G12" s="4"/>
      </tp>
      <tp>
        <v>1.5069751616195985</v>
        <stp/>
        <stp>##V3_BDPV12</stp>
        <stp>SYK US Equity</stp>
        <stp>NET_DEBT_TO_EBITDA</stp>
        <stp>[Fundamental &amp; Technical Model (1).xlsm]Capital Structure Summary!R58C9</stp>
        <stp>EQY_FUND_RELATIVE_PERIOD</stp>
        <stp>-1FY</stp>
        <stp>EQY_FUND_CRNCY</stp>
        <stp>USD</stp>
        <stp>EQY_CONSOLIDATED</stp>
        <stp>Yes</stp>
        <stp>ACCOUNTING_STANDARD_OVERRIDE</stp>
        <stp>Mixed</stp>
        <stp>Fill=--</stp>
        <tr r="I58" s="21"/>
      </tp>
      <tp>
        <v>1.2973171628077913</v>
        <stp/>
        <stp>##V3_BDPV12</stp>
        <stp>SYK US Equity</stp>
        <stp>NET_DEBT_TO_EBITDA</stp>
        <stp>[Fundamental &amp; Technical Model (1).xlsm]Capital Structure Summary!R58C7</stp>
        <stp>EQY_FUND_RELATIVE_PERIOD</stp>
        <stp>-2FY</stp>
        <stp>EQY_FUND_CRNCY</stp>
        <stp>USD</stp>
        <stp>EQY_CONSOLIDATED</stp>
        <stp>Yes</stp>
        <stp>ACCOUNTING_STANDARD_OVERRIDE</stp>
        <stp>Mixed</stp>
        <stp>Fill=--</stp>
        <tr r="G58" s="21"/>
      </tp>
      <tp>
        <v>-0.6323891625615764</v>
        <stp/>
        <stp>##V3_BDPV12</stp>
        <stp>SYK US Equity</stp>
        <stp>NET_DEBT_TO_EBITDA</stp>
        <stp>[Fundamental &amp; Technical Model (1).xlsm]Capital Structure Summary!R58C3</stp>
        <stp>EQY_FUND_RELATIVE_PERIOD</stp>
        <stp>-4FY</stp>
        <stp>EQY_FUND_CRNCY</stp>
        <stp>USD</stp>
        <stp>EQY_CONSOLIDATED</stp>
        <stp>Yes</stp>
        <stp>ACCOUNTING_STANDARD_OVERRIDE</stp>
        <stp>Mixed</stp>
        <stp>Fill=--</stp>
        <tr r="C58" s="21"/>
      </tp>
      <tp>
        <v>-3.5872453498671387E-2</v>
        <stp/>
        <stp>##V3_BDPV12</stp>
        <stp>SYK US Equity</stp>
        <stp>NET_DEBT_TO_EBITDA</stp>
        <stp>[Fundamental &amp; Technical Model (1).xlsm]Capital Structure Summary!R58C5</stp>
        <stp>EQY_FUND_RELATIVE_PERIOD</stp>
        <stp>-3FY</stp>
        <stp>EQY_FUND_CRNCY</stp>
        <stp>USD</stp>
        <stp>EQY_CONSOLIDATED</stp>
        <stp>Yes</stp>
        <stp>ACCOUNTING_STANDARD_OVERRIDE</stp>
        <stp>Mixed</stp>
        <stp>Fill=--</stp>
        <tr r="E58" s="21"/>
      </tp>
      <tp t="e">
        <v>#N/A</v>
        <stp/>
        <stp>##V3_BDHV12</stp>
        <stp>SYK US Equity</stp>
        <stp>HIGH_DIVIDEND_YIELD</stp>
        <stp>-5FY</stp>
        <stp>-5FY</stp>
        <stp>[Fundamental &amp; Technical Model (1).xlsm]Multiples!R65C8</stp>
        <stp>EQY_CONSOLIDATED</stp>
        <stp>Yes</stp>
        <stp>ACCOUNTING_STANDARD_OVERRIDE</stp>
        <stp>Mixed</stp>
        <stp>Per</stp>
        <stp>FY</stp>
        <stp>Days=A</stp>
        <tr r="H65" s="16"/>
        <tr r="H65" s="16"/>
      </tp>
      <tp>
        <v>37.766143106457243</v>
        <stp/>
        <stp>##V3_BQLV12</stp>
        <stp>[Fundamental &amp; Technical Model (1).xlsm]Ratios!R48C10</stp>
        <stp>SYK US Equity</stp>
        <stp>LT_DEBT_TO_COM_EQY</stp>
        <stp>FPT</stp>
        <stp>A</stp>
        <stp>FPO</stp>
        <stp>-4A</stp>
        <stp>STD</stp>
        <stp>Mixed</stp>
        <stp>CONSOL</stp>
        <stp>Yes</stp>
        <tr r="J48" s="8"/>
      </tp>
      <tp t="s">
        <v>USD</v>
        <stp/>
        <stp>##V3_BDPV12</stp>
        <stp>SYK US Equity</stp>
        <stp>EQY FUND CRNCY</stp>
        <stp>[Fundamental &amp; Technical Model (1).xlsm]Income Statement!R7C12</stp>
        <tr r="L7" s="2"/>
      </tp>
      <tp t="s">
        <v>#N/A N/A</v>
        <stp/>
        <stp>##V3_BDSV12</stp>
        <stp>SYK US Equity</stp>
        <stp>PG_GROSS_PROFIT</stp>
        <stp>[Fundamental &amp; Technical Model (1).xlsm]Segments!R55C6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55" s="17"/>
      </tp>
      <tp>
        <v>25.827498408656908</v>
        <stp/>
        <stp>##V3_BQLV12</stp>
        <stp>[Fundamental &amp; Technical Model (1).xlsm]Ratios!R49C10</stp>
        <stp>SYK US Equity</stp>
        <stp>LT_DEBT_TO_TOT_CAP</stp>
        <stp>FPT</stp>
        <stp>A</stp>
        <stp>FPO</stp>
        <stp>-4A</stp>
        <stp>STD</stp>
        <stp>Mixed</stp>
        <stp>CONSOL</stp>
        <stp>Yes</stp>
        <tr r="J49" s="8"/>
      </tp>
      <tp>
        <v>-81</v>
        <stp/>
        <stp>##V3_BDPV12</stp>
        <stp>SYK US Equity</stp>
        <stp>NET_DEBT</stp>
        <stp>[Fundamental &amp; Technical Model (1).xlsm]Capital Structure Summary!R49C5</stp>
        <stp>EQY_FUND_RELATIVE_PERIOD</stp>
        <stp>-3FY</stp>
        <stp>EQY_FUND_CRNCY</stp>
        <stp>USD</stp>
        <stp>EQY_CONSOLIDATED</stp>
        <stp>Yes</stp>
        <stp>ACCOUNTING_STANDARD_OVERRIDE</stp>
        <stp>Mixed</stp>
        <stp>Fill=--</stp>
        <tr r="E49" s="21"/>
      </tp>
      <tp>
        <v>-1027</v>
        <stp/>
        <stp>##V3_BDPV12</stp>
        <stp>SYK US Equity</stp>
        <stp>NET_DEBT</stp>
        <stp>[Fundamental &amp; Technical Model (1).xlsm]Capital Structure Summary!R49C3</stp>
        <stp>EQY_FUND_RELATIVE_PERIOD</stp>
        <stp>-4FY</stp>
        <stp>EQY_FUND_CRNCY</stp>
        <stp>USD</stp>
        <stp>EQY_CONSOLIDATED</stp>
        <stp>Yes</stp>
        <stp>ACCOUNTING_STANDARD_OVERRIDE</stp>
        <stp>Mixed</stp>
        <stp>Fill=--</stp>
        <tr r="C49" s="21"/>
      </tp>
      <tp>
        <v>3530</v>
        <stp/>
        <stp>##V3_BDPV12</stp>
        <stp>SYK US Equity</stp>
        <stp>NET_DEBT</stp>
        <stp>[Fundamental &amp; Technical Model (1).xlsm]Capital Structure Summary!R49C7</stp>
        <stp>EQY_FUND_RELATIVE_PERIOD</stp>
        <stp>-2FY</stp>
        <stp>EQY_FUND_CRNCY</stp>
        <stp>USD</stp>
        <stp>EQY_CONSOLIDATED</stp>
        <stp>Yes</stp>
        <stp>ACCOUNTING_STANDARD_OVERRIDE</stp>
        <stp>Mixed</stp>
        <stp>Fill=--</stp>
        <tr r="G49" s="21"/>
      </tp>
      <tp>
        <v>4429</v>
        <stp/>
        <stp>##V3_BDPV12</stp>
        <stp>SYK US Equity</stp>
        <stp>NET_DEBT</stp>
        <stp>[Fundamental &amp; Technical Model (1).xlsm]Capital Structure Summary!R49C9</stp>
        <stp>EQY_FUND_RELATIVE_PERIOD</stp>
        <stp>-1FY</stp>
        <stp>EQY_FUND_CRNCY</stp>
        <stp>USD</stp>
        <stp>EQY_CONSOLIDATED</stp>
        <stp>Yes</stp>
        <stp>ACCOUNTING_STANDARD_OVERRIDE</stp>
        <stp>Mixed</stp>
        <stp>Fill=--</stp>
        <tr r="I49" s="21"/>
      </tp>
      <tp t="e">
        <v>#N/A</v>
        <stp/>
        <stp>##V3_BDHV12</stp>
        <stp>SYK US Equity</stp>
        <stp>LOW_EV_TO_T12M_SALES</stp>
        <stp>-7FY</stp>
        <stp>-7FY</stp>
        <stp>[Fundamental &amp; Technical Model (1).xlsm]Multiples!R18C6</stp>
        <stp>EQY_CONSOLIDATED</stp>
        <stp>Yes</stp>
        <stp>ACCOUNTING_STANDARD_OVERRIDE</stp>
        <stp>Mixed</stp>
        <stp>Per</stp>
        <stp>FY</stp>
        <stp>Days=A</stp>
        <tr r="F18" s="16"/>
        <tr r="F18" s="16"/>
      </tp>
      <tp t="s">
        <v>#N/A N/A</v>
        <stp/>
        <stp>##V3_BDSV12</stp>
        <stp>SYK US Equity</stp>
        <stp>PG_CAPITAL_EXPENDITURES</stp>
        <stp>[Fundamental &amp; Technical Model (1).xlsm]Segments!R177C14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177" s="17"/>
      </tp>
      <tp t="s">
        <v>#N/A N/A</v>
        <stp/>
        <stp>##V3_BDSV12</stp>
        <stp>SYK US Equity</stp>
        <stp>PG_CAPITAL_EXPENDITURES</stp>
        <stp>[Fundamental &amp; Technical Model (1).xlsm]Segments!R177C12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177" s="17"/>
      </tp>
      <tp t="s">
        <v>#N/A N/A</v>
        <stp/>
        <stp>##V3_BDSV12</stp>
        <stp>SYK US Equity</stp>
        <stp>PG_CAPITAL_EXPENDITURES</stp>
        <stp>[Fundamental &amp; Technical Model (1).xlsm]Segments!R177C13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177" s="17"/>
      </tp>
      <tp t="s">
        <v>#N/A N/A</v>
        <stp/>
        <stp>##V3_BDSV12</stp>
        <stp>SYK US Equity</stp>
        <stp>PG_CAPITAL_EXPENDITURES</stp>
        <stp>[Fundamental &amp; Technical Model (1).xlsm]Segments!R177C10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177" s="17"/>
      </tp>
      <tp>
        <v>326</v>
        <stp/>
        <stp>##V3_BDPV12</stp>
        <stp>SYK US Equity</stp>
        <stp>BS_FUTURE_MIN_OPER_LEASE_OBLIG</stp>
        <stp>[Fundamental &amp; Technical Model (1).xlsm]Capital Structure Summary!R107C9</stp>
        <stp>EQY_FUND_RELATIVE_PERIOD</stp>
        <stp>-1FY</stp>
        <stp>EQY_FUND_CRNCY</stp>
        <stp>USD</stp>
        <stp>EQY_CONSOLIDATED</stp>
        <stp>Yes</stp>
        <stp>ACCOUNTING_STANDARD_OVERRIDE</stp>
        <stp>Mixed</stp>
        <stp>Fill=--</stp>
        <tr r="I107" s="21"/>
      </tp>
      <tp t="s">
        <v>#N/A N/A</v>
        <stp/>
        <stp>##V3_BDSV12</stp>
        <stp>SYK US Equity</stp>
        <stp>PG_CAPITAL_EXPENDITURES</stp>
        <stp>[Fundamental &amp; Technical Model (1).xlsm]Segments!R177C11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177" s="17"/>
      </tp>
      <tp>
        <v>216</v>
        <stp/>
        <stp>##V3_BDPV12</stp>
        <stp>SYK US Equity</stp>
        <stp>BS_FUTURE_MIN_OPER_LEASE_OBLIG</stp>
        <stp>[Fundamental &amp; Technical Model (1).xlsm]Capital Structure Summary!R107C3</stp>
        <stp>EQY_FUND_RELATIVE_PERIOD</stp>
        <stp>-4FY</stp>
        <stp>EQY_FUND_CRNCY</stp>
        <stp>USD</stp>
        <stp>EQY_CONSOLIDATED</stp>
        <stp>Yes</stp>
        <stp>ACCOUNTING_STANDARD_OVERRIDE</stp>
        <stp>Mixed</stp>
        <stp>Fill=--</stp>
        <tr r="C107" s="21"/>
      </tp>
      <tp>
        <v>263</v>
        <stp/>
        <stp>##V3_BDPV12</stp>
        <stp>SYK US Equity</stp>
        <stp>BS_FUTURE_MIN_OPER_LEASE_OBLIG</stp>
        <stp>[Fundamental &amp; Technical Model (1).xlsm]Capital Structure Summary!R107C5</stp>
        <stp>EQY_FUND_RELATIVE_PERIOD</stp>
        <stp>-3FY</stp>
        <stp>EQY_FUND_CRNCY</stp>
        <stp>USD</stp>
        <stp>EQY_CONSOLIDATED</stp>
        <stp>Yes</stp>
        <stp>ACCOUNTING_STANDARD_OVERRIDE</stp>
        <stp>Mixed</stp>
        <stp>Fill=--</stp>
        <tr r="E107" s="21"/>
      </tp>
      <tp>
        <v>269</v>
        <stp/>
        <stp>##V3_BDPV12</stp>
        <stp>SYK US Equity</stp>
        <stp>BS_FUTURE_MIN_OPER_LEASE_OBLIG</stp>
        <stp>[Fundamental &amp; Technical Model (1).xlsm]Capital Structure Summary!R107C7</stp>
        <stp>EQY_FUND_RELATIVE_PERIOD</stp>
        <stp>-2FY</stp>
        <stp>EQY_FUND_CRNCY</stp>
        <stp>USD</stp>
        <stp>EQY_CONSOLIDATED</stp>
        <stp>Yes</stp>
        <stp>ACCOUNTING_STANDARD_OVERRIDE</stp>
        <stp>Mixed</stp>
        <stp>Fill=--</stp>
        <tr r="G107" s="21"/>
      </tp>
      <tp>
        <v>0</v>
        <stp/>
        <stp>##V3_BQLV12</stp>
        <stp>[Fundamental &amp; Technical Model (1).xlsm]Cash Flow!R24C6</stp>
        <stp>SYK US Equity</stp>
        <stp>CF_DECR_INVEST/10^6</stp>
        <stp>FPT</stp>
        <stp>A</stp>
        <stp>FPO</stp>
        <stp>-8A</stp>
        <stp>STD</stp>
        <stp>Mixed</stp>
        <stp>CONSOL</stp>
        <stp>Yes</stp>
        <stp>CURRENCY</stp>
        <stp>USD</stp>
        <tr r="F24" s="4"/>
      </tp>
      <tp>
        <v>25624204630.703999</v>
        <stp/>
        <stp>##V3_BDPV12</stp>
        <stp>ZBH Equity</stp>
        <stp>cur_mkt_cap</stp>
        <stp>[Fundamental &amp; Technical Model (1).xlsm]Public Comparables!R13C8</stp>
        <tr r="H13" s="24"/>
      </tp>
      <tp t="s">
        <v>--</v>
        <stp/>
        <stp>##V3_BDPV12</stp>
        <stp>SYK US Equity</stp>
        <stp>BS_OPTIONS_GRANTED</stp>
        <stp>[Fundamental &amp; Technical Model (1).xlsm]Supplemental!R15C6</stp>
        <stp>EQY_FUND_RELATIVE_PERIOD</stp>
        <stp>-7FY</stp>
        <stp>EQY_FUND_CRNCY</stp>
        <stp>USD</stp>
        <stp>EQY_CONSOLIDATED</stp>
        <stp>Yes</stp>
        <stp>ACCOUNTING_STANDARD_OVERRIDE</stp>
        <stp>Mixed</stp>
        <stp>Fill=--</stp>
        <tr r="F15" s="19"/>
      </tp>
      <tp>
        <v>2.6</v>
        <stp/>
        <stp>##V3_BDPV12</stp>
        <stp>SYK US Equity</stp>
        <stp>BS_OPTIONS_GRANTED</stp>
        <stp>[Fundamental &amp; Technical Model (1).xlsm]Supplemental!R15C7</stp>
        <stp>EQY_FUND_RELATIVE_PERIOD</stp>
        <stp>-6FY</stp>
        <stp>EQY_FUND_CRNCY</stp>
        <stp>USD</stp>
        <stp>EQY_CONSOLIDATED</stp>
        <stp>Yes</stp>
        <stp>ACCOUNTING_STANDARD_OVERRIDE</stp>
        <stp>Mixed</stp>
        <stp>Fill=--</stp>
        <tr r="G15" s="19"/>
      </tp>
      <tp>
        <v>5.5</v>
        <stp/>
        <stp>##V3_BDPV12</stp>
        <stp>SYK US Equity</stp>
        <stp>BS_OPTIONS_GRANTED</stp>
        <stp>[Fundamental &amp; Technical Model (1).xlsm]Supplemental!R15C4</stp>
        <stp>EQY_FUND_RELATIVE_PERIOD</stp>
        <stp>-9FY</stp>
        <stp>EQY_FUND_CRNCY</stp>
        <stp>USD</stp>
        <stp>EQY_CONSOLIDATED</stp>
        <stp>Yes</stp>
        <stp>ACCOUNTING_STANDARD_OVERRIDE</stp>
        <stp>Mixed</stp>
        <stp>Fill=--</stp>
        <tr r="D15" s="19"/>
      </tp>
      <tp>
        <v>2.6</v>
        <stp/>
        <stp>##V3_BDPV12</stp>
        <stp>SYK US Equity</stp>
        <stp>BS_OPTIONS_GRANTED</stp>
        <stp>[Fundamental &amp; Technical Model (1).xlsm]Supplemental!R15C5</stp>
        <stp>EQY_FUND_RELATIVE_PERIOD</stp>
        <stp>-8FY</stp>
        <stp>EQY_FUND_CRNCY</stp>
        <stp>USD</stp>
        <stp>EQY_CONSOLIDATED</stp>
        <stp>Yes</stp>
        <stp>ACCOUNTING_STANDARD_OVERRIDE</stp>
        <stp>Mixed</stp>
        <stp>Fill=--</stp>
        <tr r="E15" s="19"/>
      </tp>
      <tp>
        <v>3.0999999999999996</v>
        <stp/>
        <stp>##V3_BDPV12</stp>
        <stp>SYK US Equity</stp>
        <stp>BS_OPTIONS_GRANTED</stp>
        <stp>[Fundamental &amp; Technical Model (1).xlsm]Supplemental!R15C8</stp>
        <stp>EQY_FUND_RELATIVE_PERIOD</stp>
        <stp>-5FY</stp>
        <stp>EQY_FUND_CRNCY</stp>
        <stp>USD</stp>
        <stp>EQY_CONSOLIDATED</stp>
        <stp>Yes</stp>
        <stp>ACCOUNTING_STANDARD_OVERRIDE</stp>
        <stp>Mixed</stp>
        <stp>Fill=--</stp>
        <tr r="H15" s="19"/>
      </tp>
      <tp>
        <v>2.5</v>
        <stp/>
        <stp>##V3_BDPV12</stp>
        <stp>SYK US Equity</stp>
        <stp>BS_OPTIONS_GRANTED</stp>
        <stp>[Fundamental &amp; Technical Model (1).xlsm]Supplemental!R15C9</stp>
        <stp>EQY_FUND_RELATIVE_PERIOD</stp>
        <stp>-4FY</stp>
        <stp>EQY_FUND_CRNCY</stp>
        <stp>USD</stp>
        <stp>EQY_CONSOLIDATED</stp>
        <stp>Yes</stp>
        <stp>ACCOUNTING_STANDARD_OVERRIDE</stp>
        <stp>Mixed</stp>
        <stp>Fill=--</stp>
        <tr r="I15" s="19"/>
      </tp>
      <tp t="e">
        <v>#N/A</v>
        <stp/>
        <stp>##V3_BDHV12</stp>
        <stp>SYK US Equity</stp>
        <stp>LOW_PRICE_TO_FREE_CASH_FLOW</stp>
        <stp>-5FY</stp>
        <stp>-5FY</stp>
        <stp>[Fundamental &amp; Technical Model (1).xlsm]Multiples!R60C8</stp>
        <stp>EQY_CONSOLIDATED</stp>
        <stp>Yes</stp>
        <stp>ACCOUNTING_STANDARD_OVERRIDE</stp>
        <stp>Mixed</stp>
        <stp>Per</stp>
        <stp>FY</stp>
        <stp>Days=A</stp>
        <tr r="H60" s="16"/>
        <tr r="H60" s="16"/>
      </tp>
      <tp t="s">
        <v>#N/A N/A</v>
        <stp/>
        <stp>##V3_BDSV12</stp>
        <stp>SYK US Equity</stp>
        <stp>PG_GROSS_PROFIT</stp>
        <stp>[Fundamental &amp; Technical Model (1).xlsm]Segments!R55C5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55" s="17"/>
      </tp>
      <tp t="s">
        <v>2008 A</v>
        <stp/>
        <stp>##V3_BQLV12</stp>
        <stp>[Fundamental &amp; Technical Model (1).xlsm]Income Statement!R13C4</stp>
        <stp>SYK US Equity</stp>
        <stp>IS_EPS().PERIOD</stp>
        <stp>FPT</stp>
        <stp>A</stp>
        <stp>FPO</stp>
        <stp>-10A</stp>
        <stp>STD</stp>
        <stp>Mixed</stp>
        <stp>CONSOL</stp>
        <stp>Yes</stp>
        <tr r="D13" s="2"/>
      </tp>
      <tp t="e">
        <v>#N/A</v>
        <stp/>
        <stp>##V3_BDHV12</stp>
        <stp>SYK US Equity</stp>
        <stp>LOW_EV_TO_T12M_SALES</stp>
        <stp>-8FY</stp>
        <stp>-8FY</stp>
        <stp>[Fundamental &amp; Technical Model (1).xlsm]Multiples!R18C5</stp>
        <stp>EQY_CONSOLIDATED</stp>
        <stp>Yes</stp>
        <stp>ACCOUNTING_STANDARD_OVERRIDE</stp>
        <stp>Mixed</stp>
        <stp>Per</stp>
        <stp>FY</stp>
        <stp>Days=A</stp>
        <tr r="E18" s="16"/>
        <tr r="E18" s="16"/>
      </tp>
      <tp t="s">
        <v>#N/A N/A</v>
        <stp/>
        <stp>##V3_BDSV12</stp>
        <stp>SYK US Equity</stp>
        <stp>PG_ASSETS</stp>
        <stp>[Fundamental &amp; Technical Model (1).xlsm]Segments!R126C9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126" s="17"/>
      </tp>
      <tp t="s">
        <v>#N/A N/A</v>
        <stp/>
        <stp>##V3_BDSV12</stp>
        <stp>SYK US Equity</stp>
        <stp>PG_ASSETS</stp>
        <stp>[Fundamental &amp; Technical Model (1).xlsm]Segments!R126C8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126" s="17"/>
      </tp>
      <tp t="s">
        <v>#N/A N/A</v>
        <stp/>
        <stp>##V3_BDSV12</stp>
        <stp>SYK US Equity</stp>
        <stp>PG_ASSETS</stp>
        <stp>[Fundamental &amp; Technical Model (1).xlsm]Segments!R122C3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122" s="17"/>
      </tp>
      <tp t="s">
        <v>#N/A N/A</v>
        <stp/>
        <stp>##V3_BDSV12</stp>
        <stp>SYK US Equity</stp>
        <stp>PG_CAPITAL_EXPENDITURES</stp>
        <stp>[Fundamental &amp; Technical Model (1).xlsm]Segments!R176C14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176" s="17"/>
      </tp>
      <tp t="s">
        <v>#N/A N/A</v>
        <stp/>
        <stp>##V3_BDSV12</stp>
        <stp>SYK US Equity</stp>
        <stp>PG_ASSETS</stp>
        <stp>[Fundamental &amp; Technical Model (1).xlsm]Segments!R125C9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125" s="17"/>
      </tp>
      <tp t="s">
        <v>#N/A N/A</v>
        <stp/>
        <stp>##V3_BDSV12</stp>
        <stp>SYK US Equity</stp>
        <stp>PG_ASSETS</stp>
        <stp>[Fundamental &amp; Technical Model (1).xlsm]Segments!R125C8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125" s="17"/>
      </tp>
      <tp t="s">
        <v>#N/A N/A</v>
        <stp/>
        <stp>##V3_BDSV12</stp>
        <stp>SYK US Equity</stp>
        <stp>PG_ASSETS</stp>
        <stp>[Fundamental &amp; Technical Model (1).xlsm]Segments!R123C3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123" s="17"/>
      </tp>
      <tp t="s">
        <v>#N/A N/A</v>
        <stp/>
        <stp>##V3_BDSV12</stp>
        <stp>SYK US Equity</stp>
        <stp>PG_ASSETS</stp>
        <stp>[Fundamental &amp; Technical Model (1).xlsm]Segments!R121C3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121" s="17"/>
      </tp>
      <tp t="s">
        <v>#N/A N/A</v>
        <stp/>
        <stp>##V3_BDSV12</stp>
        <stp>SYK US Equity</stp>
        <stp>PG_CAPITAL_EXPENDITURES</stp>
        <stp>[Fundamental &amp; Technical Model (1).xlsm]Segments!R176C11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176" s="17"/>
      </tp>
      <tp t="s">
        <v>#N/A N/A</v>
        <stp/>
        <stp>##V3_BDSV12</stp>
        <stp>SYK US Equity</stp>
        <stp>PG_ASSETS</stp>
        <stp>[Fundamental &amp; Technical Model (1).xlsm]Segments!R120C3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120" s="17"/>
      </tp>
      <tp t="s">
        <v>#N/A N/A</v>
        <stp/>
        <stp>##V3_BDSV12</stp>
        <stp>SYK US Equity</stp>
        <stp>PG_ASSETS</stp>
        <stp>[Fundamental &amp; Technical Model (1).xlsm]Segments!R124C3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124" s="17"/>
      </tp>
      <tp t="s">
        <v>#N/A N/A</v>
        <stp/>
        <stp>##V3_BDSV12</stp>
        <stp>SYK US Equity</stp>
        <stp>PG_CAPITAL_EXPENDITURES</stp>
        <stp>[Fundamental &amp; Technical Model (1).xlsm]Segments!R176C10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176" s="17"/>
      </tp>
      <tp t="s">
        <v>#N/A N/A</v>
        <stp/>
        <stp>##V3_BDSV12</stp>
        <stp>SYK US Equity</stp>
        <stp>PG_CAPITAL_EXPENDITURES</stp>
        <stp>[Fundamental &amp; Technical Model (1).xlsm]Segments!R176C13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176" s="17"/>
      </tp>
      <tp t="s">
        <v>#N/A N/A</v>
        <stp/>
        <stp>##V3_BDSV12</stp>
        <stp>SYK US Equity</stp>
        <stp>PG_CAPITAL_EXPENDITURES</stp>
        <stp>[Fundamental &amp; Technical Model (1).xlsm]Segments!R176C12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176" s="17"/>
      </tp>
      <tp t="s">
        <v>#N/A N/A</v>
        <stp/>
        <stp>##V3_BDSV12</stp>
        <stp>SYK US Equity</stp>
        <stp>PG_ASSETS</stp>
        <stp>[Fundamental &amp; Technical Model (1).xlsm]Segments!R122C9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122" s="17"/>
      </tp>
      <tp t="s">
        <v>#N/A N/A</v>
        <stp/>
        <stp>##V3_BDSV12</stp>
        <stp>SYK US Equity</stp>
        <stp>PG_ASSETS</stp>
        <stp>[Fundamental &amp; Technical Model (1).xlsm]Segments!R126C3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126" s="17"/>
      </tp>
      <tp t="s">
        <v>#N/A N/A</v>
        <stp/>
        <stp>##V3_BDSV12</stp>
        <stp>SYK US Equity</stp>
        <stp>PG_ASSETS</stp>
        <stp>[Fundamental &amp; Technical Model (1).xlsm]Segments!R122C8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122" s="17"/>
      </tp>
      <tp>
        <v>0</v>
        <stp/>
        <stp>##V3_BQLV12</stp>
        <stp>[Fundamental &amp; Technical Model (1).xlsm]Cash Flow!R24C7</stp>
        <stp>SYK US Equity</stp>
        <stp>CF_DECR_INVEST/10^6</stp>
        <stp>FPT</stp>
        <stp>A</stp>
        <stp>FPO</stp>
        <stp>-7A</stp>
        <stp>STD</stp>
        <stp>Mixed</stp>
        <stp>CONSOL</stp>
        <stp>Yes</stp>
        <stp>CURRENCY</stp>
        <stp>USD</stp>
        <tr r="G24" s="4"/>
      </tp>
      <tp>
        <v>1313</v>
        <stp/>
        <stp>##V3_BDPV12</stp>
        <stp>ISRG Equity</stp>
        <stp>Trail_12M_ebitda</stp>
        <stp>[Fundamental &amp; Technical Model (1).xlsm]Public Comparables!R10C11</stp>
        <tr r="K10" s="24"/>
      </tp>
      <tp t="s">
        <v>#N/A N/A</v>
        <stp/>
        <stp>##V3_BDSV12</stp>
        <stp>SYK US Equity</stp>
        <stp>PG_ASSETS</stp>
        <stp>[Fundamental &amp; Technical Model (1).xlsm]Segments!R123C9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123" s="17"/>
      </tp>
      <tp t="s">
        <v>#N/A N/A</v>
        <stp/>
        <stp>##V3_BDSV12</stp>
        <stp>SYK US Equity</stp>
        <stp>PG_ASSETS</stp>
        <stp>[Fundamental &amp; Technical Model (1).xlsm]Segments!R121C9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121" s="17"/>
      </tp>
      <tp t="s">
        <v>#N/A N/A</v>
        <stp/>
        <stp>##V3_BDSV12</stp>
        <stp>SYK US Equity</stp>
        <stp>PG_ASSETS</stp>
        <stp>[Fundamental &amp; Technical Model (1).xlsm]Segments!R125C3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125" s="17"/>
      </tp>
      <tp t="s">
        <v>#N/A N/A</v>
        <stp/>
        <stp>##V3_BDSV12</stp>
        <stp>SYK US Equity</stp>
        <stp>PG_ASSETS</stp>
        <stp>[Fundamental &amp; Technical Model (1).xlsm]Segments!R123C8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123" s="17"/>
      </tp>
      <tp t="s">
        <v>#N/A N/A</v>
        <stp/>
        <stp>##V3_BDSV12</stp>
        <stp>SYK US Equity</stp>
        <stp>PG_ASSETS</stp>
        <stp>[Fundamental &amp; Technical Model (1).xlsm]Segments!R121C8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121" s="17"/>
      </tp>
      <tp t="s">
        <v>#N/A N/A</v>
        <stp/>
        <stp>##V3_BDSV12</stp>
        <stp>SYK US Equity</stp>
        <stp>PG_ASSETS</stp>
        <stp>[Fundamental &amp; Technical Model (1).xlsm]Segments!R120C9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120" s="17"/>
      </tp>
      <tp t="s">
        <v>#N/A N/A</v>
        <stp/>
        <stp>##V3_BDSV12</stp>
        <stp>SYK US Equity</stp>
        <stp>PG_ASSETS</stp>
        <stp>[Fundamental &amp; Technical Model (1).xlsm]Segments!R124C9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124" s="17"/>
      </tp>
      <tp t="s">
        <v>#N/A N/A</v>
        <stp/>
        <stp>##V3_BDSV12</stp>
        <stp>SYK US Equity</stp>
        <stp>PG_ASSETS</stp>
        <stp>[Fundamental &amp; Technical Model (1).xlsm]Segments!R120C8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120" s="17"/>
      </tp>
      <tp t="s">
        <v>#N/A N/A</v>
        <stp/>
        <stp>##V3_BDSV12</stp>
        <stp>SYK US Equity</stp>
        <stp>PG_ASSETS</stp>
        <stp>[Fundamental &amp; Technical Model (1).xlsm]Segments!R124C8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124" s="17"/>
      </tp>
      <tp t="s">
        <v>2013 A</v>
        <stp/>
        <stp>##V3_BQLV12</stp>
        <stp>[Fundamental &amp; Technical Model (1).xlsm]Cash Flow!R12C9</stp>
        <stp>SYK US Equity</stp>
        <stp>IS_EPS().PERIOD</stp>
        <stp>FPT</stp>
        <stp>A</stp>
        <stp>FPO</stp>
        <stp>-5A</stp>
        <stp>STD</stp>
        <stp>Mixed</stp>
        <stp>CONSOL</stp>
        <stp>Yes</stp>
        <tr r="I12" s="4"/>
      </tp>
      <tp t="s">
        <v>#N/A</v>
        <stp/>
        <stp>##V3_BQLV12</stp>
        <stp>[Fundamental &amp; Technical Model (1).xlsm]Income Statement!R41C4</stp>
        <stp>SYK US Equity</stp>
        <stp>IS_IMPAIRMENT_ASSETS/10^6</stp>
        <stp>FPT</stp>
        <stp>A</stp>
        <stp>FPO</stp>
        <stp>-10A</stp>
        <stp>STD</stp>
        <stp>Mixed</stp>
        <stp>CONSOL</stp>
        <stp>Yes</stp>
        <stp>CURRENCY</stp>
        <stp>USD</stp>
        <tr r="D41" s="2"/>
      </tp>
      <tp t="e">
        <v>#N/A</v>
        <stp/>
        <stp>##V3_BDHV12</stp>
        <stp>SYK US Equity</stp>
        <stp>LOW_PRICE_TO_FREE_CASH_FLOW</stp>
        <stp>-4FY</stp>
        <stp>-4FY</stp>
        <stp>[Fundamental &amp; Technical Model (1).xlsm]Multiples!R60C9</stp>
        <stp>EQY_CONSOLIDATED</stp>
        <stp>Yes</stp>
        <stp>ACCOUNTING_STANDARD_OVERRIDE</stp>
        <stp>Mixed</stp>
        <stp>Per</stp>
        <stp>FY</stp>
        <stp>Days=A</stp>
        <tr r="I60" s="16"/>
        <tr r="I60" s="16"/>
      </tp>
      <tp>
        <v>397.9</v>
        <stp/>
        <stp>##V3_BQLV12</stp>
        <stp>[Fundamental &amp; Technical Model (1).xlsm]Balance Sheet!R63C5</stp>
        <stp>SYK US Equity</stp>
        <stp>BS_SH_OUT/10^6</stp>
        <stp>FPT</stp>
        <stp>A</stp>
        <stp>FPO</stp>
        <stp>-9A</stp>
        <stp>STD</stp>
        <stp>Mixed</stp>
        <stp>CONSOL</stp>
        <stp>Yes</stp>
        <stp>CURRENCY</stp>
        <stp>USD</stp>
        <tr r="E63" s="3"/>
      </tp>
      <tp>
        <v>397.9</v>
        <stp/>
        <stp>##V3_BQLV12</stp>
        <stp>[Fundamental &amp; Technical Model (1).xlsm]Balance Sheet!R64C5</stp>
        <stp>SYK US Equity</stp>
        <stp>BS_SH_OUT/10^6</stp>
        <stp>FPT</stp>
        <stp>A</stp>
        <stp>FPO</stp>
        <stp>-9A</stp>
        <stp>STD</stp>
        <stp>Mixed</stp>
        <stp>CONSOL</stp>
        <stp>Yes</stp>
        <stp>CURRENCY</stp>
        <stp>USD</stp>
        <tr r="E64" s="3"/>
      </tp>
      <tp>
        <v>391</v>
        <stp/>
        <stp>##V3_BQLV12</stp>
        <stp>[Fundamental &amp; Technical Model (1).xlsm]Balance Sheet!R63C6</stp>
        <stp>SYK US Equity</stp>
        <stp>BS_SH_OUT/10^6</stp>
        <stp>FPT</stp>
        <stp>A</stp>
        <stp>FPO</stp>
        <stp>-8A</stp>
        <stp>STD</stp>
        <stp>Mixed</stp>
        <stp>CONSOL</stp>
        <stp>Yes</stp>
        <stp>CURRENCY</stp>
        <stp>USD</stp>
        <tr r="F63" s="3"/>
      </tp>
      <tp>
        <v>391</v>
        <stp/>
        <stp>##V3_BQLV12</stp>
        <stp>[Fundamental &amp; Technical Model (1).xlsm]Balance Sheet!R64C6</stp>
        <stp>SYK US Equity</stp>
        <stp>BS_SH_OUT/10^6</stp>
        <stp>FPT</stp>
        <stp>A</stp>
        <stp>FPO</stp>
        <stp>-8A</stp>
        <stp>STD</stp>
        <stp>Mixed</stp>
        <stp>CONSOL</stp>
        <stp>Yes</stp>
        <stp>CURRENCY</stp>
        <stp>USD</stp>
        <tr r="F64" s="3"/>
      </tp>
      <tp>
        <v>381</v>
        <stp/>
        <stp>##V3_BQLV12</stp>
        <stp>[Fundamental &amp; Technical Model (1).xlsm]Balance Sheet!R64C7</stp>
        <stp>SYK US Equity</stp>
        <stp>BS_SH_OUT/10^6</stp>
        <stp>FPT</stp>
        <stp>A</stp>
        <stp>FPO</stp>
        <stp>-7A</stp>
        <stp>STD</stp>
        <stp>Mixed</stp>
        <stp>CONSOL</stp>
        <stp>Yes</stp>
        <stp>CURRENCY</stp>
        <stp>USD</stp>
        <tr r="G64" s="3"/>
      </tp>
      <tp>
        <v>381</v>
        <stp/>
        <stp>##V3_BQLV12</stp>
        <stp>[Fundamental &amp; Technical Model (1).xlsm]Balance Sheet!R63C7</stp>
        <stp>SYK US Equity</stp>
        <stp>BS_SH_OUT/10^6</stp>
        <stp>FPT</stp>
        <stp>A</stp>
        <stp>FPO</stp>
        <stp>-7A</stp>
        <stp>STD</stp>
        <stp>Mixed</stp>
        <stp>CONSOL</stp>
        <stp>Yes</stp>
        <stp>CURRENCY</stp>
        <stp>USD</stp>
        <tr r="G63" s="3"/>
      </tp>
      <tp>
        <v>9.3782209999999999</v>
        <stp/>
        <stp>##V3_BDPV12</stp>
        <stp>BDX Equity</stp>
        <stp>trail_12M_EPS</stp>
        <stp>[Fundamental &amp; Technical Model (1).xlsm]Public Comparables!R8C13</stp>
        <tr r="M8" s="24"/>
      </tp>
      <tp>
        <v>380</v>
        <stp/>
        <stp>##V3_BQLV12</stp>
        <stp>[Fundamental &amp; Technical Model (1).xlsm]Balance Sheet!R64C8</stp>
        <stp>SYK US Equity</stp>
        <stp>BS_SH_OUT/10^6</stp>
        <stp>FPT</stp>
        <stp>A</stp>
        <stp>FPO</stp>
        <stp>-6A</stp>
        <stp>STD</stp>
        <stp>Mixed</stp>
        <stp>CONSOL</stp>
        <stp>Yes</stp>
        <stp>CURRENCY</stp>
        <stp>USD</stp>
        <tr r="H64" s="3"/>
      </tp>
      <tp>
        <v>380</v>
        <stp/>
        <stp>##V3_BQLV12</stp>
        <stp>[Fundamental &amp; Technical Model (1).xlsm]Balance Sheet!R63C8</stp>
        <stp>SYK US Equity</stp>
        <stp>BS_SH_OUT/10^6</stp>
        <stp>FPT</stp>
        <stp>A</stp>
        <stp>FPO</stp>
        <stp>-6A</stp>
        <stp>STD</stp>
        <stp>Mixed</stp>
        <stp>CONSOL</stp>
        <stp>Yes</stp>
        <stp>CURRENCY</stp>
        <stp>USD</stp>
        <tr r="H63" s="3"/>
      </tp>
      <tp>
        <v>378</v>
        <stp/>
        <stp>##V3_BQLV12</stp>
        <stp>[Fundamental &amp; Technical Model (1).xlsm]Balance Sheet!R64C9</stp>
        <stp>SYK US Equity</stp>
        <stp>BS_SH_OUT/10^6</stp>
        <stp>FPT</stp>
        <stp>A</stp>
        <stp>FPO</stp>
        <stp>-5A</stp>
        <stp>STD</stp>
        <stp>Mixed</stp>
        <stp>CONSOL</stp>
        <stp>Yes</stp>
        <stp>CURRENCY</stp>
        <stp>USD</stp>
        <tr r="I64" s="3"/>
      </tp>
      <tp>
        <v>378</v>
        <stp/>
        <stp>##V3_BQLV12</stp>
        <stp>[Fundamental &amp; Technical Model (1).xlsm]Balance Sheet!R63C9</stp>
        <stp>SYK US Equity</stp>
        <stp>BS_SH_OUT/10^6</stp>
        <stp>FPT</stp>
        <stp>A</stp>
        <stp>FPO</stp>
        <stp>-5A</stp>
        <stp>STD</stp>
        <stp>Mixed</stp>
        <stp>CONSOL</stp>
        <stp>Yes</stp>
        <stp>CURRENCY</stp>
        <stp>USD</stp>
        <tr r="I63" s="3"/>
      </tp>
      <tp t="s">
        <v>#N/A N/A</v>
        <stp/>
        <stp>##V3_BDSV12</stp>
        <stp>SYK US Equity</stp>
        <stp>PG_GROSS_PROFIT</stp>
        <stp>[Fundamental &amp; Technical Model (1).xlsm]Segments!R55C4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55" s="17"/>
      </tp>
      <tp>
        <v>17594</v>
        <stp/>
        <stp>##V3_BQLV12</stp>
        <stp>[Fundamental &amp; Technical Model (1).xlsm]Balance Sheet!R77C4</stp>
        <stp>SYK US Equity</stp>
        <stp>NUM_OF_EMPLOYEES</stp>
        <stp>FPT</stp>
        <stp>A</stp>
        <stp>FPO</stp>
        <stp>-10A</stp>
        <stp>STD</stp>
        <stp>Mixed</stp>
        <stp>CONSOL</stp>
        <stp>Yes</stp>
        <stp>CURRENCY</stp>
        <stp>USD</stp>
        <tr r="D77" s="3"/>
      </tp>
      <tp t="e">
        <v>#N/A</v>
        <stp/>
        <stp>##V3_BDHV12</stp>
        <stp>SYK US Equity</stp>
        <stp>LOW_EV_TO_T12M_SALES</stp>
        <stp>-9FY</stp>
        <stp>-9FY</stp>
        <stp>[Fundamental &amp; Technical Model (1).xlsm]Multiples!R18C4</stp>
        <stp>EQY_CONSOLIDATED</stp>
        <stp>Yes</stp>
        <stp>ACCOUNTING_STANDARD_OVERRIDE</stp>
        <stp>Mixed</stp>
        <stp>Per</stp>
        <stp>FY</stp>
        <stp>Days=A</stp>
        <tr r="D18" s="16"/>
        <tr r="D18" s="16"/>
      </tp>
      <tp>
        <v>0</v>
        <stp/>
        <stp>##V3_BQLV12</stp>
        <stp>[Fundamental &amp; Technical Model (1).xlsm]Income Statement!R53C11</stp>
        <stp>SYK US Equity</stp>
        <stp>IS_TOT_CASH_PFD_DVD/10^6</stp>
        <stp>FPT</stp>
        <stp>A</stp>
        <stp>FPO</stp>
        <stp>-3A</stp>
        <stp>STD</stp>
        <stp>Mixed</stp>
        <stp>CONSOL</stp>
        <stp>Yes</stp>
        <stp>CURRENCY</stp>
        <stp>USD</stp>
        <tr r="K53" s="2"/>
      </tp>
      <tp>
        <v>0</v>
        <stp/>
        <stp>##V3_BQLV12</stp>
        <stp>[Fundamental &amp; Technical Model (1).xlsm]Income Statement!R53C13</stp>
        <stp>SYK US Equity</stp>
        <stp>IS_TOT_CASH_PFD_DVD/10^6</stp>
        <stp>FPT</stp>
        <stp>A</stp>
        <stp>FPO</stp>
        <stp>-1A</stp>
        <stp>STD</stp>
        <stp>Mixed</stp>
        <stp>CONSOL</stp>
        <stp>Yes</stp>
        <stp>CURRENCY</stp>
        <stp>USD</stp>
        <tr r="M53" s="2"/>
      </tp>
      <tp>
        <v>0</v>
        <stp/>
        <stp>##V3_BQLV12</stp>
        <stp>[Fundamental &amp; Technical Model (1).xlsm]Income Statement!R53C12</stp>
        <stp>SYK US Equity</stp>
        <stp>IS_TOT_CASH_PFD_DVD/10^6</stp>
        <stp>FPT</stp>
        <stp>A</stp>
        <stp>FPO</stp>
        <stp>-2A</stp>
        <stp>STD</stp>
        <stp>Mixed</stp>
        <stp>CONSOL</stp>
        <stp>Yes</stp>
        <stp>CURRENCY</stp>
        <stp>USD</stp>
        <tr r="L53" s="2"/>
      </tp>
      <tp>
        <v>0</v>
        <stp/>
        <stp>##V3_BQLV12</stp>
        <stp>[Fundamental &amp; Technical Model (1).xlsm]Income Statement!R53C10</stp>
        <stp>SYK US Equity</stp>
        <stp>IS_TOT_CASH_PFD_DVD/10^6</stp>
        <stp>FPT</stp>
        <stp>A</stp>
        <stp>FPO</stp>
        <stp>-4A</stp>
        <stp>STD</stp>
        <stp>Mixed</stp>
        <stp>CONSOL</stp>
        <stp>Yes</stp>
        <stp>CURRENCY</stp>
        <stp>USD</stp>
        <tr r="J53" s="2"/>
      </tp>
      <tp>
        <v>0</v>
        <stp/>
        <stp>##V3_BQLV12</stp>
        <stp>[Fundamental &amp; Technical Model (1).xlsm]Income Statement!R53C14</stp>
        <stp>SYK US Equity</stp>
        <stp>IS_TOT_CASH_PFD_DVD/10^6</stp>
        <stp>FPT</stp>
        <stp>A</stp>
        <stp>FPO</stp>
        <stp>-0A</stp>
        <stp>STD</stp>
        <stp>Mixed</stp>
        <stp>CONSOL</stp>
        <stp>Yes</stp>
        <stp>CURRENCY</stp>
        <stp>USD</stp>
        <tr r="N53" s="2"/>
      </tp>
      <tp>
        <v>9.5</v>
        <stp/>
        <stp>##V3_BQLV12</stp>
        <stp>[Fundamental &amp; Technical Model (1).xlsm]Income Statement!R62C14</stp>
        <stp>SYK US Equity</stp>
        <stp>IS_EPS</stp>
        <stp>FPT</stp>
        <stp>A</stp>
        <stp>FPO</stp>
        <stp>-0A</stp>
        <stp>STD</stp>
        <stp>Mixed</stp>
        <stp>CONSOL</stp>
        <stp>Yes</stp>
        <stp>CURRENCY</stp>
        <stp>USD</stp>
        <tr r="N62" s="2"/>
      </tp>
      <tp>
        <v>1.36</v>
        <stp/>
        <stp>##V3_BQLV12</stp>
        <stp>[Fundamental &amp; Technical Model (1).xlsm]Income Statement!R62C10</stp>
        <stp>SYK US Equity</stp>
        <stp>IS_EPS</stp>
        <stp>FPT</stp>
        <stp>A</stp>
        <stp>FPO</stp>
        <stp>-4A</stp>
        <stp>STD</stp>
        <stp>Mixed</stp>
        <stp>CONSOL</stp>
        <stp>Yes</stp>
        <stp>CURRENCY</stp>
        <stp>USD</stp>
        <tr r="J62" s="2"/>
      </tp>
      <tp>
        <v>3.82</v>
        <stp/>
        <stp>##V3_BQLV12</stp>
        <stp>[Fundamental &amp; Technical Model (1).xlsm]Income Statement!R62C11</stp>
        <stp>SYK US Equity</stp>
        <stp>IS_EPS</stp>
        <stp>FPT</stp>
        <stp>A</stp>
        <stp>FPO</stp>
        <stp>-3A</stp>
        <stp>STD</stp>
        <stp>Mixed</stp>
        <stp>CONSOL</stp>
        <stp>Yes</stp>
        <stp>CURRENCY</stp>
        <stp>USD</stp>
        <tr r="K62" s="2"/>
      </tp>
      <tp>
        <v>4.4000000000000004</v>
        <stp/>
        <stp>##V3_BQLV12</stp>
        <stp>[Fundamental &amp; Technical Model (1).xlsm]Income Statement!R62C12</stp>
        <stp>SYK US Equity</stp>
        <stp>IS_EPS</stp>
        <stp>FPT</stp>
        <stp>A</stp>
        <stp>FPO</stp>
        <stp>-2A</stp>
        <stp>STD</stp>
        <stp>Mixed</stp>
        <stp>CONSOL</stp>
        <stp>Yes</stp>
        <stp>CURRENCY</stp>
        <stp>USD</stp>
        <tr r="L62" s="2"/>
      </tp>
      <tp>
        <v>2.73</v>
        <stp/>
        <stp>##V3_BQLV12</stp>
        <stp>[Fundamental &amp; Technical Model (1).xlsm]Income Statement!R62C13</stp>
        <stp>SYK US Equity</stp>
        <stp>IS_EPS</stp>
        <stp>FPT</stp>
        <stp>A</stp>
        <stp>FPO</stp>
        <stp>-1A</stp>
        <stp>STD</stp>
        <stp>Mixed</stp>
        <stp>CONSOL</stp>
        <stp>Yes</stp>
        <stp>CURRENCY</stp>
        <stp>USD</stp>
        <tr r="M62" s="2"/>
      </tp>
      <tp>
        <v>39813</v>
        <stp/>
        <stp>##V3_BQLV12</stp>
        <stp>[Fundamental &amp; Technical Model (1).xlsm]Cash Flow!R14C4</stp>
        <stp>SYK US Equity</stp>
        <stp>IS_EPS().PERIOD_END_DATE</stp>
        <stp>FPT</stp>
        <stp>A</stp>
        <stp>FPO</stp>
        <stp>-10A</stp>
        <stp>STD</stp>
        <stp>Mixed</stp>
        <stp>CONSOL</stp>
        <stp>Yes</stp>
        <tr r="D14" s="4"/>
      </tp>
      <tp t="e">
        <v>#N/A</v>
        <stp/>
        <stp>##V3_BDHV12</stp>
        <stp>SYK US Equity</stp>
        <stp>HIGH_EV_TO_T12M_EBIT</stp>
        <stp>-10FY</stp>
        <stp>-10FY</stp>
        <stp>[Fundamental &amp; Technical Model (1).xlsm]Multiples!R29C3</stp>
        <stp>EQY_CONSOLIDATED</stp>
        <stp>Yes</stp>
        <stp>ACCOUNTING_STANDARD_OVERRIDE</stp>
        <stp>Mixed</stp>
        <stp>Per</stp>
        <stp>FY</stp>
        <stp>Days=A</stp>
        <tr r="C29" s="16"/>
        <tr r="C29" s="16"/>
      </tp>
      <tp t="e">
        <v>#N/A</v>
        <stp/>
        <stp>##V3_BDHV12</stp>
        <stp>SYK US Equity</stp>
        <stp>EV_TO_T12M_EBITDA</stp>
        <stp>-5FY</stp>
        <stp>-5FY</stp>
        <stp>[Fundamental &amp; Technical Model (1).xlsm]Multiples!R21C8</stp>
        <stp>EQY_CONSOLIDATED</stp>
        <stp>Yes</stp>
        <stp>ACCOUNTING_STANDARD_OVERRIDE</stp>
        <stp>Mixed</stp>
        <stp>Per</stp>
        <stp>FY</stp>
        <stp>Days=A</stp>
        <tr r="H21" s="16"/>
        <tr r="H21" s="16"/>
      </tp>
      <tp>
        <v>920.3</v>
        <stp/>
        <stp>##V3_BDSV12</stp>
        <stp>SYK US Equity</stp>
        <stp>PG_REVENUE</stp>
        <stp>[Fundamental &amp; Technical Model (1).xlsm]Segments!R21C5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21" s="17"/>
        <tr r="E21" s="17"/>
      </tp>
      <tp>
        <v>2405.6999999999998</v>
        <stp/>
        <stp>##V3_BDSV12</stp>
        <stp>SYK US Equity</stp>
        <stp>PG_REVENUE</stp>
        <stp>[Fundamental &amp; Technical Model (1).xlsm]Segments!R35C5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35" s="17"/>
        <tr r="E35" s="17"/>
      </tp>
      <tp>
        <v>2427.6</v>
        <stp/>
        <stp>##V3_BDSV12</stp>
        <stp>SYK US Equity</stp>
        <stp>PG_REVENUE</stp>
        <stp>[Fundamental &amp; Technical Model (1).xlsm]Segments!R20C5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20" s="17"/>
        <tr r="E20" s="17"/>
      </tp>
      <tp t="s">
        <v>#N/A N/A</v>
        <stp/>
        <stp>##V3_BDSV12</stp>
        <stp>SYK US Equity</stp>
        <stp>PG_REVENUE</stp>
        <stp>[Fundamental &amp; Technical Model (1).xlsm]Segments!R34C5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34" s="17"/>
      </tp>
      <tp t="s">
        <v>#N/A N/A</v>
        <stp/>
        <stp>##V3_BDSV12</stp>
        <stp>SYK US Equity</stp>
        <stp>PG_REVENUE</stp>
        <stp>[Fundamental &amp; Technical Model (1).xlsm]Segments!R23C5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23" s="17"/>
      </tp>
      <tp t="s">
        <v>#N/A N/A</v>
        <stp/>
        <stp>##V3_BDSV12</stp>
        <stp>SYK US Equity</stp>
        <stp>PG_REVENUE</stp>
        <stp>[Fundamental &amp; Technical Model (1).xlsm]Segments!R37C5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37" s="17"/>
      </tp>
      <tp t="s">
        <v>#N/A N/A</v>
        <stp/>
        <stp>##V3_BDSV12</stp>
        <stp>SYK US Equity</stp>
        <stp>PG_REVENUE</stp>
        <stp>[Fundamental &amp; Technical Model (1).xlsm]Segments!R22C5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22" s="17"/>
      </tp>
      <tp t="s">
        <v>#N/A N/A</v>
        <stp/>
        <stp>##V3_BDSV12</stp>
        <stp>SYK US Equity</stp>
        <stp>PG_REVENUE</stp>
        <stp>[Fundamental &amp; Technical Model (1).xlsm]Segments!R36C5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36" s="17"/>
      </tp>
      <tp t="s">
        <v>#N/A N/A</v>
        <stp/>
        <stp>##V3_BDSV12</stp>
        <stp>SYK US Equity</stp>
        <stp>PG_REVENUE</stp>
        <stp>[Fundamental &amp; Technical Model (1).xlsm]Segments!R17C5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17" s="17"/>
      </tp>
      <tp>
        <v>4317.3999999999996</v>
        <stp/>
        <stp>##V3_BDSV12</stp>
        <stp>SYK US Equity</stp>
        <stp>PG_REVENUE</stp>
        <stp>[Fundamental &amp; Technical Model (1).xlsm]Segments!R31C5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31" s="17"/>
        <tr r="E31" s="17"/>
      </tp>
      <tp>
        <v>487.3</v>
        <stp/>
        <stp>##V3_BDSV12</stp>
        <stp>SYK US Equity</stp>
        <stp>PG_REVENUE</stp>
        <stp>[Fundamental &amp; Technical Model (1).xlsm]Segments!R19C5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19" s="17"/>
        <tr r="E19" s="17"/>
      </tp>
      <tp t="s">
        <v>#N/A N/A</v>
        <stp/>
        <stp>##V3_BDSV12</stp>
        <stp>SYK US Equity</stp>
        <stp>PG_REVENUE</stp>
        <stp>[Fundamental &amp; Technical Model (1).xlsm]Segments!R33C5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33" s="17"/>
      </tp>
      <tp>
        <v>912</v>
        <stp/>
        <stp>##V3_BDSV12</stp>
        <stp>SYK US Equity</stp>
        <stp>PG_REVENUE</stp>
        <stp>[Fundamental &amp; Technical Model (1).xlsm]Segments!R18C5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18" s="17"/>
        <tr r="E18" s="17"/>
      </tp>
      <tp t="s">
        <v>#N/A N/A</v>
        <stp/>
        <stp>##V3_BDSV12</stp>
        <stp>SYK US Equity</stp>
        <stp>PG_REVENUE</stp>
        <stp>[Fundamental &amp; Technical Model (1).xlsm]Segments!R32C5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32" s="17"/>
      </tp>
      <tp>
        <v>9946</v>
        <stp/>
        <stp>##V3_BQLV12</stp>
        <stp>[Fundamental &amp; Technical Model (1).xlsm]Key Stats!R15C7</stp>
        <stp>SYK US Equity</stp>
        <stp>SALES_REV_TURN/10^6</stp>
        <stp>FPT</stp>
        <stp>A</stp>
        <stp>FPO</stp>
        <stp>-3A</stp>
        <stp>STD</stp>
        <stp>Mixed</stp>
        <stp>CONSOL</stp>
        <stp>Yes</stp>
        <stp>CURRENCY</stp>
        <stp>USD</stp>
        <tr r="G15" s="23"/>
      </tp>
      <tp t="s">
        <v>#N/A N/A</v>
        <stp/>
        <stp>##V3_BDSV12</stp>
        <stp>SYK US Equity</stp>
        <stp>PG_REVENUE</stp>
        <stp>[Fundamental &amp; Technical Model (1).xlsm]Segments!R25C5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25" s="17"/>
      </tp>
      <tp t="s">
        <v>#N/A N/A</v>
        <stp/>
        <stp>##V3_BDSV12</stp>
        <stp>SYK US Equity</stp>
        <stp>PG_REVENUE</stp>
        <stp>[Fundamental &amp; Technical Model (1).xlsm]Segments!R39C5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39" s="17"/>
      </tp>
      <tp>
        <v>3383.5</v>
        <stp/>
        <stp>##V3_BDSV12</stp>
        <stp>SYK US Equity</stp>
        <stp>PG_REVENUE</stp>
        <stp>[Fundamental &amp; Technical Model (1).xlsm]Segments!R24C5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24" s="17"/>
        <tr r="E24" s="17"/>
      </tp>
      <tp t="s">
        <v>#N/A N/A</v>
        <stp/>
        <stp>##V3_BDSV12</stp>
        <stp>SYK US Equity</stp>
        <stp>PG_REVENUE</stp>
        <stp>[Fundamental &amp; Technical Model (1).xlsm]Segments!R38C5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38" s="17"/>
      </tp>
      <tp t="e">
        <v>#N/A</v>
        <stp/>
        <stp>##V3_BDHV12</stp>
        <stp>SYK US Equity</stp>
        <stp>AVERAGE_PRICE_TO_TANGIBLE_BPS</stp>
        <stp>-2FY</stp>
        <stp>-2FY</stp>
        <stp>[Fundamental &amp; Technical Model (1).xlsm]Multiples!R46C11</stp>
        <stp>EQY_CONSOLIDATED</stp>
        <stp>Yes</stp>
        <stp>ACCOUNTING_STANDARD_OVERRIDE</stp>
        <stp>Mixed</stp>
        <stp>Per</stp>
        <stp>FY</stp>
        <stp>Days=A</stp>
        <tr r="K46" s="16"/>
        <tr r="K46" s="16"/>
      </tp>
      <tp t="e">
        <v>#N/A</v>
        <stp/>
        <stp>##V3_BDHV12</stp>
        <stp>SYK US Equity</stp>
        <stp>AVERAGE_PRICE_TO_TANGIBLE_BPS</stp>
        <stp>-3FY</stp>
        <stp>-3FY</stp>
        <stp>[Fundamental &amp; Technical Model (1).xlsm]Multiples!R46C10</stp>
        <stp>EQY_CONSOLIDATED</stp>
        <stp>Yes</stp>
        <stp>ACCOUNTING_STANDARD_OVERRIDE</stp>
        <stp>Mixed</stp>
        <stp>Per</stp>
        <stp>FY</stp>
        <stp>Days=A</stp>
        <tr r="J46" s="16"/>
        <tr r="J46" s="16"/>
      </tp>
      <tp t="e">
        <v>#N/A</v>
        <stp/>
        <stp>##V3_BDHV12</stp>
        <stp>SYK US Equity</stp>
        <stp>AVERAGE_PRICE_TO_TANGIBLE_BPS</stp>
        <stp>-0FY</stp>
        <stp>-0FY</stp>
        <stp>[Fundamental &amp; Technical Model (1).xlsm]Multiples!R46C13</stp>
        <stp>EQY_CONSOLIDATED</stp>
        <stp>Yes</stp>
        <stp>ACCOUNTING_STANDARD_OVERRIDE</stp>
        <stp>Mixed</stp>
        <stp>Per</stp>
        <stp>FY</stp>
        <stp>Days=A</stp>
        <tr r="M46" s="16"/>
      </tp>
      <tp t="e">
        <v>#N/A</v>
        <stp/>
        <stp>##V3_BDHV12</stp>
        <stp>SYK US Equity</stp>
        <stp>AVERAGE_PRICE_TO_TANGIBLE_BPS</stp>
        <stp>-1FY</stp>
        <stp>-1FY</stp>
        <stp>[Fundamental &amp; Technical Model (1).xlsm]Multiples!R46C12</stp>
        <stp>EQY_CONSOLIDATED</stp>
        <stp>Yes</stp>
        <stp>ACCOUNTING_STANDARD_OVERRIDE</stp>
        <stp>Mixed</stp>
        <stp>Per</stp>
        <stp>FY</stp>
        <stp>Days=A</stp>
        <tr r="L46" s="16"/>
      </tp>
      <tp>
        <v>1.2973171628077913</v>
        <stp/>
        <stp>##V3_BQLV12</stp>
        <stp>[Fundamental &amp; Technical Model (1).xlsm]Ratios!R56C12</stp>
        <stp>SYK US Equity</stp>
        <stp>NET_DEBT_TO_EBITDA</stp>
        <stp>FPT</stp>
        <stp>A</stp>
        <stp>FPO</stp>
        <stp>-2A</stp>
        <stp>STD</stp>
        <stp>Mixed</stp>
        <stp>CONSOL</stp>
        <stp>Yes</stp>
        <tr r="L56" s="8"/>
      </tp>
      <tp>
        <v>2.5409775817714078</v>
        <stp/>
        <stp>##V3_BQLV12</stp>
        <stp>[Fundamental &amp; Technical Model (1).xlsm]Ratios!R55C12</stp>
        <stp>SYK US Equity</stp>
        <stp>TOT_DEBT_TO_EBITDA</stp>
        <stp>FPT</stp>
        <stp>A</stp>
        <stp>FPO</stp>
        <stp>-2A</stp>
        <stp>STD</stp>
        <stp>Mixed</stp>
        <stp>CONSOL</stp>
        <stp>Yes</stp>
        <tr r="L55" s="8"/>
      </tp>
      <tp>
        <v>0.76950280840441021</v>
        <stp/>
        <stp>##V3_BQLV12</stp>
        <stp>[Fundamental &amp; Technical Model (1).xlsm]Ratios!R39C14</stp>
        <stp>SYK US Equity</stp>
        <stp>CASH_RATIO</stp>
        <stp>FPT</stp>
        <stp>A</stp>
        <stp>FPO</stp>
        <stp>-0A</stp>
        <stp>STD</stp>
        <stp>Mixed</stp>
        <stp>CONSOL</stp>
        <stp>Yes</stp>
        <tr r="N39" s="8"/>
      </tp>
      <tp>
        <v>43550</v>
        <stp/>
        <stp>##V3_BTH</stp>
        <stp>SYK US Equity</stp>
        <stp>CMCI</stp>
        <stp>3/26/2019</stp>
        <stp>4/25/2019</stp>
        <stp>[Fundamental &amp; Technical Model (1).xlsm]Technical Analysis Data!R15C7</stp>
        <stp>CMCI</stp>
        <stp>TAPeriod=13</stp>
        <stp>DSHigh=PX_HIGH</stp>
        <stp>DSLow=PX_LOW</stp>
        <stp>DSClose=PX_LAST</stp>
        <stp>Dir=H</stp>
        <stp>Dts=S</stp>
        <stp>cols=22;rows=2</stp>
        <tr r="G15" s="31"/>
      </tp>
      <tp t="e">
        <v>#N/A</v>
        <stp/>
        <stp>##V3_BDHV12</stp>
        <stp>SYK US Equity</stp>
        <stp>HIGH_PRICE_TO_FREE_CASH_FLOW</stp>
        <stp>-8FY</stp>
        <stp>-8FY</stp>
        <stp>[Fundamental &amp; Technical Model (1).xlsm]Multiples!R59C5</stp>
        <stp>EQY_CONSOLIDATED</stp>
        <stp>Yes</stp>
        <stp>ACCOUNTING_STANDARD_OVERRIDE</stp>
        <stp>Mixed</stp>
        <stp>Per</stp>
        <stp>FY</stp>
        <stp>Days=A</stp>
        <tr r="E59" s="16"/>
        <tr r="E59" s="16"/>
      </tp>
      <tp t="e">
        <v>#N/A</v>
        <stp/>
        <stp>##V3_BDHV12</stp>
        <stp>SYK US Equity</stp>
        <stp>AVERAGE_PRICE_EARNINGS_RATIO</stp>
        <stp>-4FY</stp>
        <stp>-4FY</stp>
        <stp>[Fundamental &amp; Technical Model (1).xlsm]Multiples!R34C9</stp>
        <stp>EQY_CONSOLIDATED</stp>
        <stp>Yes</stp>
        <stp>ACCOUNTING_STANDARD_OVERRIDE</stp>
        <stp>Mixed</stp>
        <stp>Per</stp>
        <stp>FY</stp>
        <stp>Days=A</stp>
        <tr r="I34" s="16"/>
        <tr r="I34" s="16"/>
      </tp>
      <tp>
        <v>38584244373.080002</v>
        <stp/>
        <stp>##V3_BDPV12</stp>
        <stp>BAX Equity</stp>
        <stp>cur_mkt_cap</stp>
        <stp>[Fundamental &amp; Technical Model (1).xlsm]Public Comparables!R14C8</stp>
        <tr r="H14" s="24"/>
      </tp>
      <tp>
        <v>89</v>
        <stp/>
        <stp>##V3_BDPV12</stp>
        <stp>SYK US Equity</stp>
        <stp>BS_RENTAL_EXP_BEYOND_YEAR_5</stp>
        <stp>[Fundamental &amp; Technical Model (1).xlsm]Capital Structure Summary!R105C11</stp>
        <stp>EQY_FUND_RELATIVE_PERIOD</stp>
        <stp>-0FY</stp>
        <stp>EQY_FUND_CRNCY</stp>
        <stp>USD</stp>
        <stp>EQY_CONSOLIDATED</stp>
        <stp>Yes</stp>
        <stp>ACCOUNTING_STANDARD_OVERRIDE</stp>
        <stp>Mixed</stp>
        <stp>Fill=--</stp>
        <tr r="K105" s="21"/>
      </tp>
      <tp>
        <v>57781.436719569996</v>
        <stp/>
        <stp>##V3_BDPV12</stp>
        <stp>BSX Equity</stp>
        <stp>curr_entp_val</stp>
        <stp>[Fundamental &amp; Technical Model (1).xlsm]Public Comparables!R11C9</stp>
        <tr r="I11" s="24"/>
      </tp>
      <tp t="e">
        <v>#N/A</v>
        <stp/>
        <stp>##V3_BDHV12</stp>
        <stp>SYK US Equity</stp>
        <stp>EV_TO_T12M_EBITDA</stp>
        <stp>-4FY</stp>
        <stp>-4FY</stp>
        <stp>[Fundamental &amp; Technical Model (1).xlsm]Multiples!R21C9</stp>
        <stp>EQY_CONSOLIDATED</stp>
        <stp>Yes</stp>
        <stp>ACCOUNTING_STANDARD_OVERRIDE</stp>
        <stp>Mixed</stp>
        <stp>Per</stp>
        <stp>FY</stp>
        <stp>Days=A</stp>
        <tr r="I21" s="16"/>
        <tr r="I21" s="16"/>
      </tp>
      <tp>
        <v>2750.7</v>
        <stp/>
        <stp>##V3_BDSV12</stp>
        <stp>SYK US Equity</stp>
        <stp>PG_REVENUE</stp>
        <stp>[Fundamental &amp; Technical Model (1).xlsm]Segments!R20C4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20" s="17"/>
        <tr r="D20" s="17"/>
      </tp>
      <tp t="s">
        <v>#N/A N/A</v>
        <stp/>
        <stp>##V3_BDSV12</stp>
        <stp>SYK US Equity</stp>
        <stp>PG_REVENUE</stp>
        <stp>[Fundamental &amp; Technical Model (1).xlsm]Segments!R34C4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34" s="17"/>
      </tp>
      <tp t="s">
        <v>#N/A N/A</v>
        <stp/>
        <stp>##V3_BDSV12</stp>
        <stp>SYK US Equity</stp>
        <stp>PG_REVENUE</stp>
        <stp>[Fundamental &amp; Technical Model (1).xlsm]Segments!R21C4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21" s="17"/>
      </tp>
      <tp>
        <v>2436</v>
        <stp/>
        <stp>##V3_BDSV12</stp>
        <stp>SYK US Equity</stp>
        <stp>PG_REVENUE</stp>
        <stp>[Fundamental &amp; Technical Model (1).xlsm]Segments!R35C4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35" s="17"/>
        <tr r="D35" s="17"/>
      </tp>
      <tp>
        <v>0</v>
        <stp/>
        <stp>##V3_BDSV12</stp>
        <stp>SYK US Equity</stp>
        <stp>PG_REVENUE</stp>
        <stp>[Fundamental &amp; Technical Model (1).xlsm]Segments!R22C4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22" s="17"/>
        <tr r="D22" s="17"/>
      </tp>
      <tp t="s">
        <v>#N/A N/A</v>
        <stp/>
        <stp>##V3_BDSV12</stp>
        <stp>SYK US Equity</stp>
        <stp>PG_REVENUE</stp>
        <stp>[Fundamental &amp; Technical Model (1).xlsm]Segments!R36C4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36" s="17"/>
      </tp>
      <tp>
        <v>2537</v>
        <stp/>
        <stp>##V3_BQLV12</stp>
        <stp>[Fundamental &amp; Technical Model (1).xlsm]Income Statement!R78C14</stp>
        <stp>SYK US Equity</stp>
        <stp>EBIT/10^6</stp>
        <stp>FPT</stp>
        <stp>A</stp>
        <stp>FPO</stp>
        <stp>-0A</stp>
        <stp>STD</stp>
        <stp>Mixed</stp>
        <stp>CONSOL</stp>
        <stp>Yes</stp>
        <stp>CURRENCY</stp>
        <stp>USD</stp>
        <tr r="N78" s="2"/>
      </tp>
      <tp>
        <v>2175</v>
        <stp/>
        <stp>##V3_BQLV12</stp>
        <stp>[Fundamental &amp; Technical Model (1).xlsm]Income Statement!R78C12</stp>
        <stp>SYK US Equity</stp>
        <stp>EBIT/10^6</stp>
        <stp>FPT</stp>
        <stp>A</stp>
        <stp>FPO</stp>
        <stp>-2A</stp>
        <stp>STD</stp>
        <stp>Mixed</stp>
        <stp>CONSOL</stp>
        <stp>Yes</stp>
        <stp>CURRENCY</stp>
        <stp>USD</stp>
        <tr r="L78" s="2"/>
      </tp>
      <tp>
        <v>2297</v>
        <stp/>
        <stp>##V3_BQLV12</stp>
        <stp>[Fundamental &amp; Technical Model (1).xlsm]Income Statement!R78C13</stp>
        <stp>SYK US Equity</stp>
        <stp>EBIT/10^6</stp>
        <stp>FPT</stp>
        <stp>A</stp>
        <stp>FPO</stp>
        <stp>-1A</stp>
        <stp>STD</stp>
        <stp>Mixed</stp>
        <stp>CONSOL</stp>
        <stp>Yes</stp>
        <stp>CURRENCY</stp>
        <stp>USD</stp>
        <tr r="M78" s="2"/>
      </tp>
      <tp>
        <v>1246</v>
        <stp/>
        <stp>##V3_BQLV12</stp>
        <stp>[Fundamental &amp; Technical Model (1).xlsm]Income Statement!R78C10</stp>
        <stp>SYK US Equity</stp>
        <stp>EBIT/10^6</stp>
        <stp>FPT</stp>
        <stp>A</stp>
        <stp>FPO</stp>
        <stp>-4A</stp>
        <stp>STD</stp>
        <stp>Mixed</stp>
        <stp>CONSOL</stp>
        <stp>Yes</stp>
        <stp>CURRENCY</stp>
        <stp>USD</stp>
        <tr r="J78" s="2"/>
      </tp>
      <tp>
        <v>1861</v>
        <stp/>
        <stp>##V3_BQLV12</stp>
        <stp>[Fundamental &amp; Technical Model (1).xlsm]Income Statement!R78C11</stp>
        <stp>SYK US Equity</stp>
        <stp>EBIT/10^6</stp>
        <stp>FPT</stp>
        <stp>A</stp>
        <stp>FPO</stp>
        <stp>-3A</stp>
        <stp>STD</stp>
        <stp>Mixed</stp>
        <stp>CONSOL</stp>
        <stp>Yes</stp>
        <stp>CURRENCY</stp>
        <stp>USD</stp>
        <tr r="K78" s="2"/>
      </tp>
      <tp>
        <v>3967.5</v>
        <stp/>
        <stp>##V3_BDSV12</stp>
        <stp>SYK US Equity</stp>
        <stp>PG_REVENUE</stp>
        <stp>[Fundamental &amp; Technical Model (1).xlsm]Segments!R23C4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23" s="17"/>
        <tr r="D23" s="17"/>
      </tp>
      <tp t="s">
        <v>#N/A N/A</v>
        <stp/>
        <stp>##V3_BDSV12</stp>
        <stp>SYK US Equity</stp>
        <stp>PG_REVENUE</stp>
        <stp>[Fundamental &amp; Technical Model (1).xlsm]Segments!R37C4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37" s="17"/>
      </tp>
      <tp t="s">
        <v>#N/A N/A</v>
        <stp/>
        <stp>##V3_BDSV12</stp>
        <stp>SYK US Equity</stp>
        <stp>PG_REVENUE</stp>
        <stp>[Fundamental &amp; Technical Model (1).xlsm]Segments!R17C4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17" s="17"/>
      </tp>
      <tp>
        <v>4282.2</v>
        <stp/>
        <stp>##V3_BDSV12</stp>
        <stp>SYK US Equity</stp>
        <stp>PG_REVENUE</stp>
        <stp>[Fundamental &amp; Technical Model (1).xlsm]Segments!R31C4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31" s="17"/>
        <tr r="D31" s="17"/>
      </tp>
      <tp t="s">
        <v>#N/A N/A</v>
        <stp/>
        <stp>##V3_BDSV12</stp>
        <stp>SYK US Equity</stp>
        <stp>PG_REVENUE</stp>
        <stp>[Fundamental &amp; Technical Model (1).xlsm]Segments!R18C4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18" s="17"/>
      </tp>
      <tp t="s">
        <v>#N/A N/A</v>
        <stp/>
        <stp>##V3_BDSV12</stp>
        <stp>SYK US Equity</stp>
        <stp>PG_REVENUE</stp>
        <stp>[Fundamental &amp; Technical Model (1).xlsm]Segments!R32C4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32" s="17"/>
      </tp>
      <tp t="s">
        <v>#N/A N/A</v>
        <stp/>
        <stp>##V3_BDSV12</stp>
        <stp>SYK US Equity</stp>
        <stp>PG_REVENUE</stp>
        <stp>[Fundamental &amp; Technical Model (1).xlsm]Segments!R19C4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19" s="17"/>
      </tp>
      <tp t="s">
        <v>#N/A N/A</v>
        <stp/>
        <stp>##V3_BDSV12</stp>
        <stp>SYK US Equity</stp>
        <stp>PG_REVENUE</stp>
        <stp>[Fundamental &amp; Technical Model (1).xlsm]Segments!R33C4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33" s="17"/>
      </tp>
      <tp>
        <v>9675</v>
        <stp/>
        <stp>##V3_BQLV12</stp>
        <stp>[Fundamental &amp; Technical Model (1).xlsm]Key Stats!R15C6</stp>
        <stp>SYK US Equity</stp>
        <stp>SALES_REV_TURN/10^6</stp>
        <stp>FPT</stp>
        <stp>A</stp>
        <stp>FPO</stp>
        <stp>-4A</stp>
        <stp>STD</stp>
        <stp>Mixed</stp>
        <stp>CONSOL</stp>
        <stp>Yes</stp>
        <stp>CURRENCY</stp>
        <stp>USD</stp>
        <tr r="F15" s="23"/>
      </tp>
      <tp t="s">
        <v>#N/A N/A</v>
        <stp/>
        <stp>##V3_BDSV12</stp>
        <stp>SYK US Equity</stp>
        <stp>PG_REVENUE</stp>
        <stp>[Fundamental &amp; Technical Model (1).xlsm]Segments!R24C4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24" s="17"/>
      </tp>
      <tp t="s">
        <v>#N/A N/A</v>
        <stp/>
        <stp>##V3_BDSV12</stp>
        <stp>SYK US Equity</stp>
        <stp>PG_REVENUE</stp>
        <stp>[Fundamental &amp; Technical Model (1).xlsm]Segments!R38C4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38" s="17"/>
      </tp>
      <tp t="s">
        <v>#N/A N/A</v>
        <stp/>
        <stp>##V3_BDSV12</stp>
        <stp>SYK US Equity</stp>
        <stp>PG_REVENUE</stp>
        <stp>[Fundamental &amp; Technical Model (1).xlsm]Segments!R25C4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25" s="17"/>
      </tp>
      <tp t="s">
        <v>#N/A N/A</v>
        <stp/>
        <stp>##V3_BDSV12</stp>
        <stp>SYK US Equity</stp>
        <stp>PG_REVENUE</stp>
        <stp>[Fundamental &amp; Technical Model (1).xlsm]Segments!R39C4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39" s="17"/>
      </tp>
      <tp>
        <v>-2.5243578387953942E-2</v>
        <stp/>
        <stp>##V3_BQLV12</stp>
        <stp>[Fundamental &amp; Technical Model (1).xlsm]Ratios!R56C11</stp>
        <stp>SYK US Equity</stp>
        <stp>NET_DEBT_TO_EBITDA</stp>
        <stp>FPT</stp>
        <stp>A</stp>
        <stp>FPO</stp>
        <stp>-3A</stp>
        <stp>STD</stp>
        <stp>Mixed</stp>
        <stp>CONSOL</stp>
        <stp>Yes</stp>
        <tr r="K56" s="8"/>
      </tp>
      <tp>
        <v>1.7812223206377324</v>
        <stp/>
        <stp>##V3_BQLV12</stp>
        <stp>[Fundamental &amp; Technical Model (1).xlsm]Ratios!R55C11</stp>
        <stp>SYK US Equity</stp>
        <stp>TOT_DEBT_TO_EBITDA</stp>
        <stp>FPT</stp>
        <stp>A</stp>
        <stp>FPO</stp>
        <stp>-3A</stp>
        <stp>STD</stp>
        <stp>Mixed</stp>
        <stp>CONSOL</stp>
        <stp>Yes</stp>
        <tr r="K55" s="8"/>
      </tp>
      <tp>
        <v>1246</v>
        <stp/>
        <stp>##V3_BQLV12</stp>
        <stp>[Fundamental &amp; Technical Model (1).xlsm]Key Stats!R24C6</stp>
        <stp>SYK US Equity</stp>
        <stp>EBIT/10^6</stp>
        <stp>FPT</stp>
        <stp>A</stp>
        <stp>FPO</stp>
        <stp>-4A</stp>
        <stp>STD</stp>
        <stp>Mixed</stp>
        <stp>CONSOL</stp>
        <stp>Yes</stp>
        <stp>CURRENCY</stp>
        <stp>USD</stp>
        <tr r="F24" s="23"/>
      </tp>
      <tp>
        <v>1861</v>
        <stp/>
        <stp>##V3_BQLV12</stp>
        <stp>[Fundamental &amp; Technical Model (1).xlsm]Key Stats!R24C7</stp>
        <stp>SYK US Equity</stp>
        <stp>EBIT/10^6</stp>
        <stp>FPT</stp>
        <stp>A</stp>
        <stp>FPO</stp>
        <stp>-3A</stp>
        <stp>STD</stp>
        <stp>Mixed</stp>
        <stp>CONSOL</stp>
        <stp>Yes</stp>
        <stp>CURRENCY</stp>
        <stp>USD</stp>
        <tr r="G24" s="23"/>
      </tp>
      <tp>
        <v>1741</v>
        <stp/>
        <stp>##V3_BQLV12</stp>
        <stp>[Fundamental &amp; Technical Model (1).xlsm]Key Stats!R24C4</stp>
        <stp>SYK US Equity</stp>
        <stp>EBIT/10^6</stp>
        <stp>FPT</stp>
        <stp>A</stp>
        <stp>FPO</stp>
        <stp>-6A</stp>
        <stp>STD</stp>
        <stp>Mixed</stp>
        <stp>CONSOL</stp>
        <stp>Yes</stp>
        <stp>CURRENCY</stp>
        <stp>USD</stp>
        <tr r="D24" s="23"/>
      </tp>
      <tp>
        <v>1256</v>
        <stp/>
        <stp>##V3_BQLV12</stp>
        <stp>[Fundamental &amp; Technical Model (1).xlsm]Key Stats!R24C5</stp>
        <stp>SYK US Equity</stp>
        <stp>EBIT/10^6</stp>
        <stp>FPT</stp>
        <stp>A</stp>
        <stp>FPO</stp>
        <stp>-5A</stp>
        <stp>STD</stp>
        <stp>Mixed</stp>
        <stp>CONSOL</stp>
        <stp>Yes</stp>
        <stp>CURRENCY</stp>
        <stp>USD</stp>
        <tr r="E24" s="23"/>
      </tp>
      <tp>
        <v>2175</v>
        <stp/>
        <stp>##V3_BQLV12</stp>
        <stp>[Fundamental &amp; Technical Model (1).xlsm]Key Stats!R24C8</stp>
        <stp>SYK US Equity</stp>
        <stp>EBIT/10^6</stp>
        <stp>FPT</stp>
        <stp>A</stp>
        <stp>FPO</stp>
        <stp>-2A</stp>
        <stp>STD</stp>
        <stp>Mixed</stp>
        <stp>CONSOL</stp>
        <stp>Yes</stp>
        <stp>CURRENCY</stp>
        <stp>USD</stp>
        <tr r="H24" s="23"/>
      </tp>
      <tp>
        <v>2297</v>
        <stp/>
        <stp>##V3_BQLV12</stp>
        <stp>[Fundamental &amp; Technical Model (1).xlsm]Key Stats!R24C9</stp>
        <stp>SYK US Equity</stp>
        <stp>EBIT/10^6</stp>
        <stp>FPT</stp>
        <stp>A</stp>
        <stp>FPO</stp>
        <stp>-1A</stp>
        <stp>STD</stp>
        <stp>Mixed</stp>
        <stp>CONSOL</stp>
        <stp>Yes</stp>
        <stp>CURRENCY</stp>
        <stp>USD</stp>
        <tr r="I24" s="23"/>
      </tp>
      <tp>
        <v>0.8014347202295552</v>
        <stp/>
        <stp>##V3_BQLV12</stp>
        <stp>[Fundamental &amp; Technical Model (1).xlsm]Ratios!R39C13</stp>
        <stp>SYK US Equity</stp>
        <stp>CASH_RATIO</stp>
        <stp>FPT</stp>
        <stp>A</stp>
        <stp>FPO</stp>
        <stp>-1A</stp>
        <stp>STD</stp>
        <stp>Mixed</stp>
        <stp>CONSOL</stp>
        <stp>Yes</stp>
        <tr r="M39" s="8"/>
      </tp>
      <tp>
        <v>40908</v>
        <stp/>
        <stp>##V3_BQLV12</stp>
        <stp>[Fundamental &amp; Technical Model (1).xlsm]Income Statement!R15C7</stp>
        <stp>SYK US Equity</stp>
        <stp>IS_EPS().PERIOD_END_DATE</stp>
        <stp>FPT</stp>
        <stp>A</stp>
        <stp>FPO</stp>
        <stp>-7A</stp>
        <stp>STD</stp>
        <stp>Mixed</stp>
        <stp>CONSOL</stp>
        <stp>Yes</stp>
        <tr r="G15" s="2"/>
      </tp>
      <tp>
        <v>277</v>
        <stp/>
        <stp>##V3_BQLV12</stp>
        <stp>[Fundamental &amp; Technical Model (1).xlsm]Cash Flow!R16C8</stp>
        <stp>SYK US Equity</stp>
        <stp>CF_DEPR_AMORT/10^6</stp>
        <stp>FPT</stp>
        <stp>A</stp>
        <stp>FPO</stp>
        <stp>-6A</stp>
        <stp>STD</stp>
        <stp>Mixed</stp>
        <stp>CONSOL</stp>
        <stp>Yes</stp>
        <stp>CURRENCY</stp>
        <stp>USD</stp>
        <tr r="H16" s="4"/>
      </tp>
      <tp>
        <v>307</v>
        <stp/>
        <stp>##V3_BQLV12</stp>
        <stp>[Fundamental &amp; Technical Model (1).xlsm]Cash Flow!R16C9</stp>
        <stp>SYK US Equity</stp>
        <stp>CF_DEPR_AMORT/10^6</stp>
        <stp>FPT</stp>
        <stp>A</stp>
        <stp>FPO</stp>
        <stp>-5A</stp>
        <stp>STD</stp>
        <stp>Mixed</stp>
        <stp>CONSOL</stp>
        <stp>Yes</stp>
        <stp>CURRENCY</stp>
        <stp>USD</stp>
        <tr r="I16" s="4"/>
      </tp>
      <tp t="e">
        <v>#N/A</v>
        <stp/>
        <stp>##V3_BDHV12</stp>
        <stp>SYK US Equity</stp>
        <stp>HIGH_PRICE_TO_FREE_CASH_FLOW</stp>
        <stp>-9FY</stp>
        <stp>-9FY</stp>
        <stp>[Fundamental &amp; Technical Model (1).xlsm]Multiples!R59C4</stp>
        <stp>EQY_CONSOLIDATED</stp>
        <stp>Yes</stp>
        <stp>ACCOUNTING_STANDARD_OVERRIDE</stp>
        <stp>Mixed</stp>
        <stp>Per</stp>
        <stp>FY</stp>
        <stp>Days=A</stp>
        <tr r="D59" s="16"/>
        <tr r="D59" s="16"/>
      </tp>
      <tp t="e">
        <v>#N/A</v>
        <stp/>
        <stp>##V3_BDHV12</stp>
        <stp>SYK US Equity</stp>
        <stp>AVERAGE_PRICE_EARNINGS_RATIO</stp>
        <stp>-5FY</stp>
        <stp>-5FY</stp>
        <stp>[Fundamental &amp; Technical Model (1).xlsm]Multiples!R34C8</stp>
        <stp>EQY_CONSOLIDATED</stp>
        <stp>Yes</stp>
        <stp>ACCOUNTING_STANDARD_OVERRIDE</stp>
        <stp>Mixed</stp>
        <stp>Per</stp>
        <stp>FY</stp>
        <stp>Days=A</stp>
        <tr r="H34" s="16"/>
        <tr r="H34" s="16"/>
      </tp>
      <tp>
        <v>223</v>
        <stp/>
        <stp>##V3_BQLV12</stp>
        <stp>[Fundamental &amp; Technical Model (1).xlsm]Cash Flow!R16C6</stp>
        <stp>SYK US Equity</stp>
        <stp>CF_DEPR_AMORT/10^6</stp>
        <stp>FPT</stp>
        <stp>A</stp>
        <stp>FPO</stp>
        <stp>-8A</stp>
        <stp>STD</stp>
        <stp>Mixed</stp>
        <stp>CONSOL</stp>
        <stp>Yes</stp>
        <stp>CURRENCY</stp>
        <stp>USD</stp>
        <tr r="F16" s="4"/>
      </tp>
      <tp>
        <v>282</v>
        <stp/>
        <stp>##V3_BQLV12</stp>
        <stp>[Fundamental &amp; Technical Model (1).xlsm]Cash Flow!R16C7</stp>
        <stp>SYK US Equity</stp>
        <stp>CF_DEPR_AMORT/10^6</stp>
        <stp>FPT</stp>
        <stp>A</stp>
        <stp>FPO</stp>
        <stp>-7A</stp>
        <stp>STD</stp>
        <stp>Mixed</stp>
        <stp>CONSOL</stp>
        <stp>Yes</stp>
        <stp>CURRENCY</stp>
        <stp>USD</stp>
        <tr r="G16" s="4"/>
      </tp>
      <tp>
        <v>385</v>
        <stp/>
        <stp>##V3_BQLV12</stp>
        <stp>[Fundamental &amp; Technical Model (1).xlsm]Cash Flow!R16C5</stp>
        <stp>SYK US Equity</stp>
        <stp>CF_DEPR_AMORT/10^6</stp>
        <stp>FPT</stp>
        <stp>A</stp>
        <stp>FPO</stp>
        <stp>-9A</stp>
        <stp>STD</stp>
        <stp>Mixed</stp>
        <stp>CONSOL</stp>
        <stp>Yes</stp>
        <stp>CURRENCY</stp>
        <stp>USD</stp>
        <tr r="E16" s="4"/>
      </tp>
      <tp>
        <v>199.85</v>
        <stp/>
        <stp>##V3_BDPV12</stp>
        <stp>SYK Equity</stp>
        <stp>high_52week</stp>
        <stp>[Fundamental &amp; Technical Model (1).xlsm]Public Comparables!R7C6</stp>
        <tr r="F7" s="24"/>
      </tp>
      <tp t="s">
        <v>#N/A N/A</v>
        <stp/>
        <stp>##V3_BDSV12</stp>
        <stp>SYK US Equity</stp>
        <stp>PG_REVENUE</stp>
        <stp>[Fundamental &amp; Technical Model (1).xlsm]Segments!R23C7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23" s="17"/>
      </tp>
      <tp t="s">
        <v>#N/A N/A</v>
        <stp/>
        <stp>##V3_BDSV12</stp>
        <stp>SYK US Equity</stp>
        <stp>PG_REVENUE</stp>
        <stp>[Fundamental &amp; Technical Model (1).xlsm]Segments!R37C7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37" s="17"/>
      </tp>
      <tp t="s">
        <v>#N/A N/A</v>
        <stp/>
        <stp>##V3_BDSV12</stp>
        <stp>SYK US Equity</stp>
        <stp>PG_REVENUE</stp>
        <stp>[Fundamental &amp; Technical Model (1).xlsm]Segments!R22C7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22" s="17"/>
      </tp>
      <tp t="s">
        <v>#N/A N/A</v>
        <stp/>
        <stp>##V3_BDSV12</stp>
        <stp>SYK US Equity</stp>
        <stp>PG_REVENUE</stp>
        <stp>[Fundamental &amp; Technical Model (1).xlsm]Segments!R36C7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36" s="17"/>
      </tp>
      <tp>
        <v>1080</v>
        <stp/>
        <stp>##V3_BDSV12</stp>
        <stp>SYK US Equity</stp>
        <stp>PG_REVENUE</stp>
        <stp>[Fundamental &amp; Technical Model (1).xlsm]Segments!R21C7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21" s="17"/>
        <tr r="G21" s="17"/>
      </tp>
      <tp t="s">
        <v>#N/A N/A</v>
        <stp/>
        <stp>##V3_BDSV12</stp>
        <stp>SYK US Equity</stp>
        <stp>PG_REVENUE</stp>
        <stp>[Fundamental &amp; Technical Model (1).xlsm]Segments!R35C7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35" s="17"/>
      </tp>
      <tp>
        <v>3160</v>
        <stp/>
        <stp>##V3_BDSV12</stp>
        <stp>SYK US Equity</stp>
        <stp>PG_REVENUE</stp>
        <stp>[Fundamental &amp; Technical Model (1).xlsm]Segments!R20C7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20" s="17"/>
        <tr r="G20" s="17"/>
      </tp>
      <tp>
        <v>371</v>
        <stp/>
        <stp>##V3_BDSV12</stp>
        <stp>SYK US Equity</stp>
        <stp>PG_REVENUE</stp>
        <stp>[Fundamental &amp; Technical Model (1).xlsm]Segments!R34C7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34" s="17"/>
        <tr r="G34" s="17"/>
      </tp>
      <tp>
        <v>722</v>
        <stp/>
        <stp>##V3_BDSV12</stp>
        <stp>SYK US Equity</stp>
        <stp>PG_REVENUE</stp>
        <stp>[Fundamental &amp; Technical Model (1).xlsm]Segments!R19C7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19" s="17"/>
        <tr r="G19" s="17"/>
      </tp>
      <tp>
        <v>1285</v>
        <stp/>
        <stp>##V3_BDSV12</stp>
        <stp>SYK US Equity</stp>
        <stp>PG_REVENUE</stp>
        <stp>[Fundamental &amp; Technical Model (1).xlsm]Segments!R33C7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33" s="17"/>
        <tr r="G33" s="17"/>
      </tp>
      <tp>
        <v>1437</v>
        <stp/>
        <stp>##V3_BDSV12</stp>
        <stp>SYK US Equity</stp>
        <stp>PG_REVENUE</stp>
        <stp>[Fundamental &amp; Technical Model (1).xlsm]Segments!R18C7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18" s="17"/>
        <tr r="G18" s="17"/>
      </tp>
      <tp>
        <v>1382</v>
        <stp/>
        <stp>##V3_BDSV12</stp>
        <stp>SYK US Equity</stp>
        <stp>PG_REVENUE</stp>
        <stp>[Fundamental &amp; Technical Model (1).xlsm]Segments!R32C7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32" s="17"/>
        <tr r="G32" s="17"/>
      </tp>
      <tp>
        <v>3710</v>
        <stp/>
        <stp>##V3_BDSV12</stp>
        <stp>SYK US Equity</stp>
        <stp>PG_REVENUE</stp>
        <stp>[Fundamental &amp; Technical Model (1).xlsm]Segments!R17C7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17" s="17"/>
        <tr r="G17" s="17"/>
      </tp>
      <tp>
        <v>5269</v>
        <stp/>
        <stp>##V3_BDSV12</stp>
        <stp>SYK US Equity</stp>
        <stp>PG_REVENUE</stp>
        <stp>[Fundamental &amp; Technical Model (1).xlsm]Segments!R31C7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31" s="17"/>
        <tr r="G31" s="17"/>
      </tp>
      <tp>
        <v>9021</v>
        <stp/>
        <stp>##V3_BQLV12</stp>
        <stp>[Fundamental &amp; Technical Model (1).xlsm]Key Stats!R15C5</stp>
        <stp>SYK US Equity</stp>
        <stp>SALES_REV_TURN/10^6</stp>
        <stp>FPT</stp>
        <stp>A</stp>
        <stp>FPO</stp>
        <stp>-5A</stp>
        <stp>STD</stp>
        <stp>Mixed</stp>
        <stp>CONSOL</stp>
        <stp>Yes</stp>
        <stp>CURRENCY</stp>
        <stp>USD</stp>
        <tr r="E15" s="23"/>
      </tp>
      <tp t="s">
        <v>#N/A N/A</v>
        <stp/>
        <stp>##V3_BDSV12</stp>
        <stp>SYK US Equity</stp>
        <stp>PG_REVENUE</stp>
        <stp>[Fundamental &amp; Technical Model (1).xlsm]Segments!R25C7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25" s="17"/>
      </tp>
      <tp t="s">
        <v>#N/A N/A</v>
        <stp/>
        <stp>##V3_BDSV12</stp>
        <stp>SYK US Equity</stp>
        <stp>PG_REVENUE</stp>
        <stp>[Fundamental &amp; Technical Model (1).xlsm]Segments!R39C7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39" s="17"/>
      </tp>
      <tp t="s">
        <v>#N/A N/A</v>
        <stp/>
        <stp>##V3_BDSV12</stp>
        <stp>SYK US Equity</stp>
        <stp>PG_REVENUE</stp>
        <stp>[Fundamental &amp; Technical Model (1).xlsm]Segments!R24C7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24" s="17"/>
      </tp>
      <tp t="s">
        <v>#N/A N/A</v>
        <stp/>
        <stp>##V3_BDSV12</stp>
        <stp>SYK US Equity</stp>
        <stp>PG_REVENUE</stp>
        <stp>[Fundamental &amp; Technical Model (1).xlsm]Segments!R38C7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38" s="17"/>
      </tp>
      <tp>
        <v>15</v>
        <stp/>
        <stp>##V3_BDPV12</stp>
        <stp>SYK US Equity</stp>
        <stp>BS_RENTAL_EXP_YEAR_5</stp>
        <stp>[Fundamental &amp; Technical Model (1).xlsm]Capital Structure Summary!R101C7</stp>
        <stp>EQY_FUND_RELATIVE_PERIOD</stp>
        <stp>-2FY</stp>
        <stp>EQY_FUND_CRNCY</stp>
        <stp>USD</stp>
        <stp>EQY_CONSOLIDATED</stp>
        <stp>Yes</stp>
        <stp>ACCOUNTING_STANDARD_OVERRIDE</stp>
        <stp>Mixed</stp>
        <stp>Fill=--</stp>
        <tr r="G101" s="21"/>
      </tp>
      <tp>
        <v>19</v>
        <stp/>
        <stp>##V3_BDPV12</stp>
        <stp>SYK US Equity</stp>
        <stp>BS_RENTAL_EXP_YEAR_5</stp>
        <stp>[Fundamental &amp; Technical Model (1).xlsm]Capital Structure Summary!R101C3</stp>
        <stp>EQY_FUND_RELATIVE_PERIOD</stp>
        <stp>-4FY</stp>
        <stp>EQY_FUND_CRNCY</stp>
        <stp>USD</stp>
        <stp>EQY_CONSOLIDATED</stp>
        <stp>Yes</stp>
        <stp>ACCOUNTING_STANDARD_OVERRIDE</stp>
        <stp>Mixed</stp>
        <stp>Fill=--</stp>
        <tr r="C101" s="21"/>
      </tp>
      <tp>
        <v>20</v>
        <stp/>
        <stp>##V3_BDPV12</stp>
        <stp>SYK US Equity</stp>
        <stp>BS_RENTAL_EXP_YEAR_5</stp>
        <stp>[Fundamental &amp; Technical Model (1).xlsm]Capital Structure Summary!R101C5</stp>
        <stp>EQY_FUND_RELATIVE_PERIOD</stp>
        <stp>-3FY</stp>
        <stp>EQY_FUND_CRNCY</stp>
        <stp>USD</stp>
        <stp>EQY_CONSOLIDATED</stp>
        <stp>Yes</stp>
        <stp>ACCOUNTING_STANDARD_OVERRIDE</stp>
        <stp>Mixed</stp>
        <stp>Fill=--</stp>
        <tr r="E101" s="21"/>
      </tp>
      <tp>
        <v>21</v>
        <stp/>
        <stp>##V3_BDPV12</stp>
        <stp>SYK US Equity</stp>
        <stp>BS_RENTAL_EXP_YEAR_5</stp>
        <stp>[Fundamental &amp; Technical Model (1).xlsm]Capital Structure Summary!R101C9</stp>
        <stp>EQY_FUND_RELATIVE_PERIOD</stp>
        <stp>-1FY</stp>
        <stp>EQY_FUND_CRNCY</stp>
        <stp>USD</stp>
        <stp>EQY_CONSOLIDATED</stp>
        <stp>Yes</stp>
        <stp>ACCOUNTING_STANDARD_OVERRIDE</stp>
        <stp>Mixed</stp>
        <stp>Fill=--</stp>
        <tr r="I101" s="21"/>
      </tp>
      <tp>
        <v>1.8895705521472392</v>
        <stp/>
        <stp>##V3_BQLV12</stp>
        <stp>[Fundamental &amp; Technical Model (1).xlsm]Ratios!R56C14</stp>
        <stp>SYK US Equity</stp>
        <stp>NET_DEBT_TO_EBITDA</stp>
        <stp>FPT</stp>
        <stp>A</stp>
        <stp>FPO</stp>
        <stp>-0A</stp>
        <stp>STD</stp>
        <stp>Mixed</stp>
        <stp>CONSOL</stp>
        <stp>Yes</stp>
        <tr r="N56" s="8"/>
      </tp>
      <tp>
        <v>3.0242331288343558</v>
        <stp/>
        <stp>##V3_BQLV12</stp>
        <stp>[Fundamental &amp; Technical Model (1).xlsm]Ratios!R55C14</stp>
        <stp>SYK US Equity</stp>
        <stp>TOT_DEBT_TO_EBITDA</stp>
        <stp>FPT</stp>
        <stp>A</stp>
        <stp>FPO</stp>
        <stp>-0A</stp>
        <stp>STD</stp>
        <stp>Mixed</stp>
        <stp>CONSOL</stp>
        <stp>Yes</stp>
        <tr r="N55" s="8"/>
      </tp>
      <tp>
        <v>1.0749682337992377</v>
        <stp/>
        <stp>##V3_BQLV12</stp>
        <stp>[Fundamental &amp; Technical Model (1).xlsm]Ratios!R39C12</stp>
        <stp>SYK US Equity</stp>
        <stp>CASH_RATIO</stp>
        <stp>FPT</stp>
        <stp>A</stp>
        <stp>FPO</stp>
        <stp>-2A</stp>
        <stp>STD</stp>
        <stp>Mixed</stp>
        <stp>CONSOL</stp>
        <stp>Yes</stp>
        <tr r="L39" s="8"/>
      </tp>
      <tp>
        <v>9021</v>
        <stp/>
        <stp>##V3_BQLV12</stp>
        <stp>[Fundamental &amp; Technical Model (1).xlsm]Income Statement!R16C9</stp>
        <stp>SYK US Equity</stp>
        <stp>SALES_REV_TURN/10^6</stp>
        <stp>FPT</stp>
        <stp>A</stp>
        <stp>FPO</stp>
        <stp>-5A</stp>
        <stp>STD</stp>
        <stp>Mixed</stp>
        <stp>CONSOL</stp>
        <stp>Yes</stp>
        <stp>CURRENCY</stp>
        <stp>USD</stp>
        <tr r="I16" s="2"/>
      </tp>
      <tp t="e">
        <v>#N/A</v>
        <stp/>
        <stp>##V3_BDHV12</stp>
        <stp>SYK US Equity</stp>
        <stp>HIGH_PRICE_TO_FREE_CASH_FLOW</stp>
        <stp>-6FY</stp>
        <stp>-6FY</stp>
        <stp>[Fundamental &amp; Technical Model (1).xlsm]Multiples!R59C7</stp>
        <stp>EQY_CONSOLIDATED</stp>
        <stp>Yes</stp>
        <stp>ACCOUNTING_STANDARD_OVERRIDE</stp>
        <stp>Mixed</stp>
        <stp>Per</stp>
        <stp>FY</stp>
        <stp>Days=A</stp>
        <tr r="G59" s="16"/>
        <tr r="G59" s="16"/>
      </tp>
      <tp>
        <v>-135.6</v>
        <stp/>
        <stp>##V3_BQLV12</stp>
        <stp>[Fundamental &amp; Technical Model (1).xlsm]Cash Flow!R35C4</stp>
        <stp>SYK US Equity</stp>
        <stp>CF_DVD_PAID/10^6</stp>
        <stp>FPT</stp>
        <stp>A</stp>
        <stp>FPO</stp>
        <stp>-10A</stp>
        <stp>STD</stp>
        <stp>Mixed</stp>
        <stp>CONSOL</stp>
        <stp>Yes</stp>
        <stp>CURRENCY</stp>
        <stp>USD</stp>
        <tr r="D35" s="4"/>
      </tp>
      <tp t="s">
        <v>#N/A N/A</v>
        <stp/>
        <stp>##V3_BDSV12</stp>
        <stp>SYK US Equity</stp>
        <stp>PG_REVENUE</stp>
        <stp>[Fundamental &amp; Technical Model (1).xlsm]Segments!R22C6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22" s="17"/>
      </tp>
      <tp t="s">
        <v>#N/A N/A</v>
        <stp/>
        <stp>##V3_BDSV12</stp>
        <stp>SYK US Equity</stp>
        <stp>PG_REVENUE</stp>
        <stp>[Fundamental &amp; Technical Model (1).xlsm]Segments!R36C6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36" s="17"/>
      </tp>
      <tp t="s">
        <v>#N/A N/A</v>
        <stp/>
        <stp>##V3_BDSV12</stp>
        <stp>SYK US Equity</stp>
        <stp>PG_REVENUE</stp>
        <stp>[Fundamental &amp; Technical Model (1).xlsm]Segments!R23C6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23" s="17"/>
      </tp>
      <tp t="s">
        <v>#N/A N/A</v>
        <stp/>
        <stp>##V3_BDSV12</stp>
        <stp>SYK US Equity</stp>
        <stp>PG_REVENUE</stp>
        <stp>[Fundamental &amp; Technical Model (1).xlsm]Segments!R37C6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37" s="17"/>
      </tp>
      <tp>
        <v>2803</v>
        <stp/>
        <stp>##V3_BDSV12</stp>
        <stp>SYK US Equity</stp>
        <stp>PG_REVENUE</stp>
        <stp>[Fundamental &amp; Technical Model (1).xlsm]Segments!R20C6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20" s="17"/>
        <tr r="F20" s="17"/>
      </tp>
      <tp>
        <v>308</v>
        <stp/>
        <stp>##V3_BDSV12</stp>
        <stp>SYK US Equity</stp>
        <stp>PG_REVENUE</stp>
        <stp>[Fundamental &amp; Technical Model (1).xlsm]Segments!R34C6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34" s="17"/>
        <tr r="F34" s="17"/>
      </tp>
      <tp>
        <v>1758</v>
        <stp/>
        <stp>##V3_BQLV12</stp>
        <stp>[Fundamental &amp; Technical Model (1).xlsm]Key Stats!R38C4</stp>
        <stp>SYK US Equity</stp>
        <stp>CASH_AND_ST_INVESTMENTS/10^6</stp>
        <stp>STD</stp>
        <stp>Mixed</stp>
        <stp>CONSOL</stp>
        <stp>Yes</stp>
        <stp>CURRENCY</stp>
        <stp>USD</stp>
        <tr r="D38" s="23"/>
      </tp>
      <tp>
        <v>985</v>
        <stp/>
        <stp>##V3_BDSV12</stp>
        <stp>SYK US Equity</stp>
        <stp>PG_REVENUE</stp>
        <stp>[Fundamental &amp; Technical Model (1).xlsm]Segments!R21C6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21" s="17"/>
        <tr r="F21" s="17"/>
      </tp>
      <tp t="s">
        <v>#N/A N/A</v>
        <stp/>
        <stp>##V3_BDSV12</stp>
        <stp>SYK US Equity</stp>
        <stp>PG_REVENUE</stp>
        <stp>[Fundamental &amp; Technical Model (1).xlsm]Segments!R35C6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35" s="17"/>
      </tp>
      <tp>
        <v>968</v>
        <stp/>
        <stp>##V3_BDSV12</stp>
        <stp>SYK US Equity</stp>
        <stp>PG_REVENUE</stp>
        <stp>[Fundamental &amp; Technical Model (1).xlsm]Segments!R18C6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18" s="17"/>
        <tr r="F18" s="17"/>
      </tp>
      <tp>
        <v>1228</v>
        <stp/>
        <stp>##V3_BDSV12</stp>
        <stp>SYK US Equity</stp>
        <stp>PG_REVENUE</stp>
        <stp>[Fundamental &amp; Technical Model (1).xlsm]Segments!R32C6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32" s="17"/>
        <tr r="F32" s="17"/>
      </tp>
      <tp>
        <v>583</v>
        <stp/>
        <stp>##V3_BDSV12</stp>
        <stp>SYK US Equity</stp>
        <stp>PG_REVENUE</stp>
        <stp>[Fundamental &amp; Technical Model (1).xlsm]Segments!R19C6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19" s="17"/>
        <tr r="F19" s="17"/>
      </tp>
      <tp>
        <v>991</v>
        <stp/>
        <stp>##V3_BDSV12</stp>
        <stp>SYK US Equity</stp>
        <stp>PG_REVENUE</stp>
        <stp>[Fundamental &amp; Technical Model (1).xlsm]Segments!R33C6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33" s="17"/>
        <tr r="F33" s="17"/>
      </tp>
      <tp>
        <v>3549</v>
        <stp/>
        <stp>##V3_BDSV12</stp>
        <stp>SYK US Equity</stp>
        <stp>PG_REVENUE</stp>
        <stp>[Fundamental &amp; Technical Model (1).xlsm]Segments!R17C6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17" s="17"/>
        <tr r="F17" s="17"/>
      </tp>
      <tp>
        <v>4793</v>
        <stp/>
        <stp>##V3_BDSV12</stp>
        <stp>SYK US Equity</stp>
        <stp>PG_REVENUE</stp>
        <stp>[Fundamental &amp; Technical Model (1).xlsm]Segments!R31C6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31" s="17"/>
        <tr r="F31" s="17"/>
      </tp>
      <tp>
        <v>373</v>
        <stp/>
        <stp>##V3_BQLV12</stp>
        <stp>[Fundamental &amp; Technical Model (1).xlsm]Balance Sheet!R64C11</stp>
        <stp>SYK US Equity</stp>
        <stp>BS_SH_OUT/10^6</stp>
        <stp>FPT</stp>
        <stp>A</stp>
        <stp>FPO</stp>
        <stp>-3A</stp>
        <stp>STD</stp>
        <stp>Mixed</stp>
        <stp>CONSOL</stp>
        <stp>Yes</stp>
        <stp>CURRENCY</stp>
        <stp>USD</stp>
        <tr r="K64" s="3"/>
      </tp>
      <tp>
        <v>373</v>
        <stp/>
        <stp>##V3_BQLV12</stp>
        <stp>[Fundamental &amp; Technical Model (1).xlsm]Balance Sheet!R63C11</stp>
        <stp>SYK US Equity</stp>
        <stp>BS_SH_OUT/10^6</stp>
        <stp>FPT</stp>
        <stp>A</stp>
        <stp>FPO</stp>
        <stp>-3A</stp>
        <stp>STD</stp>
        <stp>Mixed</stp>
        <stp>CONSOL</stp>
        <stp>Yes</stp>
        <stp>CURRENCY</stp>
        <stp>USD</stp>
        <tr r="K63" s="3"/>
      </tp>
      <tp>
        <v>378</v>
        <stp/>
        <stp>##V3_BQLV12</stp>
        <stp>[Fundamental &amp; Technical Model (1).xlsm]Balance Sheet!R64C10</stp>
        <stp>SYK US Equity</stp>
        <stp>BS_SH_OUT/10^6</stp>
        <stp>FPT</stp>
        <stp>A</stp>
        <stp>FPO</stp>
        <stp>-4A</stp>
        <stp>STD</stp>
        <stp>Mixed</stp>
        <stp>CONSOL</stp>
        <stp>Yes</stp>
        <stp>CURRENCY</stp>
        <stp>USD</stp>
        <tr r="J64" s="3"/>
      </tp>
      <tp>
        <v>378</v>
        <stp/>
        <stp>##V3_BQLV12</stp>
        <stp>[Fundamental &amp; Technical Model (1).xlsm]Balance Sheet!R63C10</stp>
        <stp>SYK US Equity</stp>
        <stp>BS_SH_OUT/10^6</stp>
        <stp>FPT</stp>
        <stp>A</stp>
        <stp>FPO</stp>
        <stp>-4A</stp>
        <stp>STD</stp>
        <stp>Mixed</stp>
        <stp>CONSOL</stp>
        <stp>Yes</stp>
        <stp>CURRENCY</stp>
        <stp>USD</stp>
        <tr r="J63" s="3"/>
      </tp>
      <tp>
        <v>374.64206000000001</v>
        <stp/>
        <stp>##V3_BQLV12</stp>
        <stp>[Fundamental &amp; Technical Model (1).xlsm]Balance Sheet!R64C13</stp>
        <stp>SYK US Equity</stp>
        <stp>BS_SH_OUT/10^6</stp>
        <stp>FPT</stp>
        <stp>A</stp>
        <stp>FPO</stp>
        <stp>-1A</stp>
        <stp>STD</stp>
        <stp>Mixed</stp>
        <stp>CONSOL</stp>
        <stp>Yes</stp>
        <stp>CURRENCY</stp>
        <stp>USD</stp>
        <tr r="M64" s="3"/>
      </tp>
      <tp>
        <v>374.64206000000001</v>
        <stp/>
        <stp>##V3_BQLV12</stp>
        <stp>[Fundamental &amp; Technical Model (1).xlsm]Balance Sheet!R63C13</stp>
        <stp>SYK US Equity</stp>
        <stp>BS_SH_OUT/10^6</stp>
        <stp>FPT</stp>
        <stp>A</stp>
        <stp>FPO</stp>
        <stp>-1A</stp>
        <stp>STD</stp>
        <stp>Mixed</stp>
        <stp>CONSOL</stp>
        <stp>Yes</stp>
        <stp>CURRENCY</stp>
        <stp>USD</stp>
        <tr r="M63" s="3"/>
      </tp>
      <tp>
        <v>8657</v>
        <stp/>
        <stp>##V3_BQLV12</stp>
        <stp>[Fundamental &amp; Technical Model (1).xlsm]Key Stats!R15C4</stp>
        <stp>SYK US Equity</stp>
        <stp>SALES_REV_TURN/10^6</stp>
        <stp>FPT</stp>
        <stp>A</stp>
        <stp>FPO</stp>
        <stp>-6A</stp>
        <stp>STD</stp>
        <stp>Mixed</stp>
        <stp>CONSOL</stp>
        <stp>Yes</stp>
        <stp>CURRENCY</stp>
        <stp>USD</stp>
        <tr r="D15" s="23"/>
      </tp>
      <tp>
        <v>375</v>
        <stp/>
        <stp>##V3_BQLV12</stp>
        <stp>[Fundamental &amp; Technical Model (1).xlsm]Balance Sheet!R64C12</stp>
        <stp>SYK US Equity</stp>
        <stp>BS_SH_OUT/10^6</stp>
        <stp>FPT</stp>
        <stp>A</stp>
        <stp>FPO</stp>
        <stp>-2A</stp>
        <stp>STD</stp>
        <stp>Mixed</stp>
        <stp>CONSOL</stp>
        <stp>Yes</stp>
        <stp>CURRENCY</stp>
        <stp>USD</stp>
        <tr r="L64" s="3"/>
      </tp>
      <tp>
        <v>375</v>
        <stp/>
        <stp>##V3_BQLV12</stp>
        <stp>[Fundamental &amp; Technical Model (1).xlsm]Balance Sheet!R63C12</stp>
        <stp>SYK US Equity</stp>
        <stp>BS_SH_OUT/10^6</stp>
        <stp>FPT</stp>
        <stp>A</stp>
        <stp>FPO</stp>
        <stp>-2A</stp>
        <stp>STD</stp>
        <stp>Mixed</stp>
        <stp>CONSOL</stp>
        <stp>Yes</stp>
        <stp>CURRENCY</stp>
        <stp>USD</stp>
        <tr r="L63" s="3"/>
      </tp>
      <tp>
        <v>372.66463599999997</v>
        <stp/>
        <stp>##V3_BQLV12</stp>
        <stp>[Fundamental &amp; Technical Model (1).xlsm]Balance Sheet!R64C14</stp>
        <stp>SYK US Equity</stp>
        <stp>BS_SH_OUT/10^6</stp>
        <stp>FPT</stp>
        <stp>A</stp>
        <stp>FPO</stp>
        <stp>-0A</stp>
        <stp>STD</stp>
        <stp>Mixed</stp>
        <stp>CONSOL</stp>
        <stp>Yes</stp>
        <stp>CURRENCY</stp>
        <stp>USD</stp>
        <tr r="N64" s="3"/>
      </tp>
      <tp>
        <v>372.66463599999997</v>
        <stp/>
        <stp>##V3_BQLV12</stp>
        <stp>[Fundamental &amp; Technical Model (1).xlsm]Balance Sheet!R63C14</stp>
        <stp>SYK US Equity</stp>
        <stp>BS_SH_OUT/10^6</stp>
        <stp>FPT</stp>
        <stp>A</stp>
        <stp>FPO</stp>
        <stp>-0A</stp>
        <stp>STD</stp>
        <stp>Mixed</stp>
        <stp>CONSOL</stp>
        <stp>Yes</stp>
        <stp>CURRENCY</stp>
        <stp>USD</stp>
        <tr r="N63" s="3"/>
      </tp>
      <tp t="s">
        <v>#N/A N/A</v>
        <stp/>
        <stp>##V3_BDSV12</stp>
        <stp>SYK US Equity</stp>
        <stp>PG_REVENUE</stp>
        <stp>[Fundamental &amp; Technical Model (1).xlsm]Segments!R24C6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24" s="17"/>
      </tp>
      <tp t="s">
        <v>#N/A N/A</v>
        <stp/>
        <stp>##V3_BDSV12</stp>
        <stp>SYK US Equity</stp>
        <stp>PG_REVENUE</stp>
        <stp>[Fundamental &amp; Technical Model (1).xlsm]Segments!R38C6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38" s="17"/>
      </tp>
      <tp>
        <v>1599</v>
        <stp/>
        <stp>##V3_BDPV12</stp>
        <stp>BAX Equity</stp>
        <stp>EBIT</stp>
        <stp>[Fundamental &amp; Technical Model (1).xlsm]Public Comparables!R14C12</stp>
        <tr r="L14" s="24"/>
      </tp>
      <tp>
        <v>1506</v>
        <stp/>
        <stp>##V3_BDPV12</stp>
        <stp>BSX Equity</stp>
        <stp>EBIT</stp>
        <stp>[Fundamental &amp; Technical Model (1).xlsm]Public Comparables!R11C12</stp>
        <tr r="L11" s="24"/>
      </tp>
      <tp t="s">
        <v>#N/A N/A</v>
        <stp/>
        <stp>##V3_BDSV12</stp>
        <stp>SYK US Equity</stp>
        <stp>PG_REVENUE</stp>
        <stp>[Fundamental &amp; Technical Model (1).xlsm]Segments!R25C6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25" s="17"/>
      </tp>
      <tp t="s">
        <v>#N/A N/A</v>
        <stp/>
        <stp>##V3_BDSV12</stp>
        <stp>SYK US Equity</stp>
        <stp>PG_REVENUE</stp>
        <stp>[Fundamental &amp; Technical Model (1).xlsm]Segments!R39C6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39" s="17"/>
      </tp>
      <tp>
        <v>3879</v>
        <stp/>
        <stp>##V3_BQLV12</stp>
        <stp>[Fundamental &amp; Technical Model (1).xlsm]Key Stats!R24C12</stp>
        <stp>SYK US Equity</stp>
        <stp>EBIT/10^6</stp>
        <stp>FPT</stp>
        <stp>A</stp>
        <stp>FPO</stp>
        <stp>1A</stp>
        <stp>STD</stp>
        <stp>Mixed</stp>
        <stp>CONSOL</stp>
        <stp>Yes</stp>
        <stp>CURRENCY</stp>
        <stp>USD</stp>
        <tr r="L24" s="23"/>
      </tp>
      <tp>
        <v>4215.2352941176468</v>
        <stp/>
        <stp>##V3_BQLV12</stp>
        <stp>[Fundamental &amp; Technical Model (1).xlsm]Key Stats!R24C13</stp>
        <stp>SYK US Equity</stp>
        <stp>EBIT/10^6</stp>
        <stp>FPT</stp>
        <stp>A</stp>
        <stp>FPO</stp>
        <stp>2A</stp>
        <stp>STD</stp>
        <stp>Mixed</stp>
        <stp>CONSOL</stp>
        <stp>Yes</stp>
        <stp>CURRENCY</stp>
        <stp>USD</stp>
        <tr r="M24" s="23"/>
      </tp>
      <tp>
        <v>4531.75</v>
        <stp/>
        <stp>##V3_BQLV12</stp>
        <stp>[Fundamental &amp; Technical Model (1).xlsm]Key Stats!R24C14</stp>
        <stp>SYK US Equity</stp>
        <stp>EBIT/10^6</stp>
        <stp>FPT</stp>
        <stp>A</stp>
        <stp>FPO</stp>
        <stp>3A</stp>
        <stp>STD</stp>
        <stp>Mixed</stp>
        <stp>CONSOL</stp>
        <stp>Yes</stp>
        <stp>CURRENCY</stp>
        <stp>USD</stp>
        <tr r="N24" s="23"/>
      </tp>
      <tp>
        <v>24</v>
        <stp/>
        <stp>##V3_BDPV12</stp>
        <stp>SYK US Equity</stp>
        <stp>BS_RENTAL_EXP_YEAR_4</stp>
        <stp>[Fundamental &amp; Technical Model (1).xlsm]Capital Structure Summary!R100C7</stp>
        <stp>EQY_FUND_RELATIVE_PERIOD</stp>
        <stp>-2FY</stp>
        <stp>EQY_FUND_CRNCY</stp>
        <stp>USD</stp>
        <stp>EQY_CONSOLIDATED</stp>
        <stp>Yes</stp>
        <stp>ACCOUNTING_STANDARD_OVERRIDE</stp>
        <stp>Mixed</stp>
        <stp>Fill=--</stp>
        <tr r="G100" s="21"/>
      </tp>
      <tp>
        <v>25</v>
        <stp/>
        <stp>##V3_BDPV12</stp>
        <stp>SYK US Equity</stp>
        <stp>BS_RENTAL_EXP_YEAR_4</stp>
        <stp>[Fundamental &amp; Technical Model (1).xlsm]Capital Structure Summary!R100C3</stp>
        <stp>EQY_FUND_RELATIVE_PERIOD</stp>
        <stp>-4FY</stp>
        <stp>EQY_FUND_CRNCY</stp>
        <stp>USD</stp>
        <stp>EQY_CONSOLIDATED</stp>
        <stp>Yes</stp>
        <stp>ACCOUNTING_STANDARD_OVERRIDE</stp>
        <stp>Mixed</stp>
        <stp>Fill=--</stp>
        <tr r="C100" s="21"/>
      </tp>
      <tp>
        <v>28</v>
        <stp/>
        <stp>##V3_BDPV12</stp>
        <stp>SYK US Equity</stp>
        <stp>BS_RENTAL_EXP_YEAR_4</stp>
        <stp>[Fundamental &amp; Technical Model (1).xlsm]Capital Structure Summary!R100C5</stp>
        <stp>EQY_FUND_RELATIVE_PERIOD</stp>
        <stp>-3FY</stp>
        <stp>EQY_FUND_CRNCY</stp>
        <stp>USD</stp>
        <stp>EQY_CONSOLIDATED</stp>
        <stp>Yes</stp>
        <stp>ACCOUNTING_STANDARD_OVERRIDE</stp>
        <stp>Mixed</stp>
        <stp>Fill=--</stp>
        <tr r="E100" s="21"/>
      </tp>
      <tp>
        <v>31</v>
        <stp/>
        <stp>##V3_BDPV12</stp>
        <stp>SYK US Equity</stp>
        <stp>BS_RENTAL_EXP_YEAR_4</stp>
        <stp>[Fundamental &amp; Technical Model (1).xlsm]Capital Structure Summary!R100C9</stp>
        <stp>EQY_FUND_RELATIVE_PERIOD</stp>
        <stp>-1FY</stp>
        <stp>EQY_FUND_CRNCY</stp>
        <stp>USD</stp>
        <stp>EQY_CONSOLIDATED</stp>
        <stp>Yes</stp>
        <stp>ACCOUNTING_STANDARD_OVERRIDE</stp>
        <stp>Mixed</stp>
        <stp>Fill=--</stp>
        <tr r="I100" s="21"/>
      </tp>
      <tp>
        <v>1.5069751616195985</v>
        <stp/>
        <stp>##V3_BQLV12</stp>
        <stp>[Fundamental &amp; Technical Model (1).xlsm]Ratios!R56C13</stp>
        <stp>SYK US Equity</stp>
        <stp>NET_DEBT_TO_EBITDA</stp>
        <stp>FPT</stp>
        <stp>A</stp>
        <stp>FPO</stp>
        <stp>-1A</stp>
        <stp>STD</stp>
        <stp>Mixed</stp>
        <stp>CONSOL</stp>
        <stp>Yes</stp>
        <tr r="M56" s="8"/>
      </tp>
      <tp>
        <v>2.4572984008166041</v>
        <stp/>
        <stp>##V3_BQLV12</stp>
        <stp>[Fundamental &amp; Technical Model (1).xlsm]Ratios!R55C13</stp>
        <stp>SYK US Equity</stp>
        <stp>TOT_DEBT_TO_EBITDA</stp>
        <stp>FPT</stp>
        <stp>A</stp>
        <stp>FPO</stp>
        <stp>-1A</stp>
        <stp>STD</stp>
        <stp>Mixed</stp>
        <stp>CONSOL</stp>
        <stp>Yes</stp>
        <tr r="M55" s="8"/>
      </tp>
      <tp>
        <v>1.1644304881530116</v>
        <stp/>
        <stp>##V3_BQLV12</stp>
        <stp>[Fundamental &amp; Technical Model (1).xlsm]Ratios!R39C11</stp>
        <stp>SYK US Equity</stp>
        <stp>CASH_RATIO</stp>
        <stp>FPT</stp>
        <stp>A</stp>
        <stp>FPO</stp>
        <stp>-3A</stp>
        <stp>STD</stp>
        <stp>Mixed</stp>
        <stp>CONSOL</stp>
        <stp>Yes</stp>
        <tr r="K39" s="8"/>
      </tp>
      <tp>
        <v>8657</v>
        <stp/>
        <stp>##V3_BQLV12</stp>
        <stp>[Fundamental &amp; Technical Model (1).xlsm]Income Statement!R16C8</stp>
        <stp>SYK US Equity</stp>
        <stp>SALES_REV_TURN/10^6</stp>
        <stp>FPT</stp>
        <stp>A</stp>
        <stp>FPO</stp>
        <stp>-6A</stp>
        <stp>STD</stp>
        <stp>Mixed</stp>
        <stp>CONSOL</stp>
        <stp>Yes</stp>
        <stp>CURRENCY</stp>
        <stp>USD</stp>
        <tr r="H16" s="2"/>
      </tp>
      <tp>
        <v>3547</v>
        <stp/>
        <stp>##V3_BQLV12</stp>
        <stp>[Fundamental &amp; Technical Model (1).xlsm]Income Statement!R23C10</stp>
        <stp>SYK US Equity</stp>
        <stp>IS_SG_AND_A_EXPENSE/10^6</stp>
        <stp>FPT</stp>
        <stp>A</stp>
        <stp>FPO</stp>
        <stp>-4A</stp>
        <stp>STD</stp>
        <stp>Mixed</stp>
        <stp>CONSOL</stp>
        <stp>Yes</stp>
        <stp>CURRENCY</stp>
        <stp>USD</stp>
        <tr r="J23" s="2"/>
      </tp>
      <tp>
        <v>5099</v>
        <stp/>
        <stp>##V3_BQLV12</stp>
        <stp>[Fundamental &amp; Technical Model (1).xlsm]Income Statement!R23C14</stp>
        <stp>SYK US Equity</stp>
        <stp>IS_SG_AND_A_EXPENSE/10^6</stp>
        <stp>FPT</stp>
        <stp>A</stp>
        <stp>FPO</stp>
        <stp>-0A</stp>
        <stp>STD</stp>
        <stp>Mixed</stp>
        <stp>CONSOL</stp>
        <stp>Yes</stp>
        <stp>CURRENCY</stp>
        <stp>USD</stp>
        <tr r="N23" s="2"/>
      </tp>
      <tp>
        <v>3610</v>
        <stp/>
        <stp>##V3_BQLV12</stp>
        <stp>[Fundamental &amp; Technical Model (1).xlsm]Income Statement!R23C11</stp>
        <stp>SYK US Equity</stp>
        <stp>IS_SG_AND_A_EXPENSE/10^6</stp>
        <stp>FPT</stp>
        <stp>A</stp>
        <stp>FPO</stp>
        <stp>-3A</stp>
        <stp>STD</stp>
        <stp>Mixed</stp>
        <stp>CONSOL</stp>
        <stp>Yes</stp>
        <stp>CURRENCY</stp>
        <stp>USD</stp>
        <tr r="K23" s="2"/>
      </tp>
      <tp>
        <v>4552</v>
        <stp/>
        <stp>##V3_BQLV12</stp>
        <stp>[Fundamental &amp; Technical Model (1).xlsm]Income Statement!R23C13</stp>
        <stp>SYK US Equity</stp>
        <stp>IS_SG_AND_A_EXPENSE/10^6</stp>
        <stp>FPT</stp>
        <stp>A</stp>
        <stp>FPO</stp>
        <stp>-1A</stp>
        <stp>STD</stp>
        <stp>Mixed</stp>
        <stp>CONSOL</stp>
        <stp>Yes</stp>
        <stp>CURRENCY</stp>
        <stp>USD</stp>
        <tr r="M23" s="2"/>
      </tp>
      <tp>
        <v>4137</v>
        <stp/>
        <stp>##V3_BQLV12</stp>
        <stp>[Fundamental &amp; Technical Model (1).xlsm]Income Statement!R23C12</stp>
        <stp>SYK US Equity</stp>
        <stp>IS_SG_AND_A_EXPENSE/10^6</stp>
        <stp>FPT</stp>
        <stp>A</stp>
        <stp>FPO</stp>
        <stp>-2A</stp>
        <stp>STD</stp>
        <stp>Mixed</stp>
        <stp>CONSOL</stp>
        <stp>Yes</stp>
        <stp>CURRENCY</stp>
        <stp>USD</stp>
        <tr r="L23" s="2"/>
      </tp>
      <tp t="e">
        <v>#N/A</v>
        <stp/>
        <stp>##V3_BDHV12</stp>
        <stp>SYK US Equity</stp>
        <stp>HIGH_PRICE_TO_FREE_CASH_FLOW</stp>
        <stp>-7FY</stp>
        <stp>-7FY</stp>
        <stp>[Fundamental &amp; Technical Model (1).xlsm]Multiples!R59C6</stp>
        <stp>EQY_CONSOLIDATED</stp>
        <stp>Yes</stp>
        <stp>ACCOUNTING_STANDARD_OVERRIDE</stp>
        <stp>Mixed</stp>
        <stp>Per</stp>
        <stp>FY</stp>
        <stp>Days=A</stp>
        <tr r="F59" s="16"/>
        <tr r="F59" s="16"/>
      </tp>
      <tp>
        <v>43550</v>
        <stp/>
        <stp>##V3_BTH</stp>
        <stp>SYK US Equity</stp>
        <stp>WLPR</stp>
        <stp>3/26/2019</stp>
        <stp>4/25/2019</stp>
        <stp>[Fundamental &amp; Technical Model (1).xlsm]Technical Analysis Data!R49C7</stp>
        <stp>WLPR</stp>
        <stp>TAPeriod=14</stp>
        <stp>DSHigh=PX_HIGH</stp>
        <stp>DSLow=PX_LOW</stp>
        <stp>DSClose=PX_LAST</stp>
        <stp>Dir=H</stp>
        <stp>Dts=S</stp>
        <stp>cols=22;rows=2</stp>
        <tr r="G49" s="31"/>
      </tp>
      <tp>
        <v>57397.235091590002</v>
        <stp/>
        <stp>##V3_BDPV12</stp>
        <stp>ISRG Equity</stp>
        <stp>curr_entp_val</stp>
        <stp>[Fundamental &amp; Technical Model (1).xlsm]Public Comparables!R10C9</stp>
        <tr r="I10" s="24"/>
      </tp>
      <tp t="s">
        <v>#N/A</v>
        <stp/>
        <stp>##V3_BQLV12</stp>
        <stp>[Fundamental &amp; Technical Model (1).xlsm]Income Statement!R41C8</stp>
        <stp>SYK US Equity</stp>
        <stp>IS_IMPAIRMENT_ASSETS/10^6</stp>
        <stp>FPT</stp>
        <stp>A</stp>
        <stp>FPO</stp>
        <stp>-6A</stp>
        <stp>STD</stp>
        <stp>Mixed</stp>
        <stp>CONSOL</stp>
        <stp>Yes</stp>
        <stp>CURRENCY</stp>
        <stp>USD</stp>
        <tr r="H41" s="2"/>
      </tp>
      <tp t="s">
        <v>#N/A</v>
        <stp/>
        <stp>##V3_BQLV12</stp>
        <stp>[Fundamental &amp; Technical Model (1).xlsm]Income Statement!R41C9</stp>
        <stp>SYK US Equity</stp>
        <stp>IS_IMPAIRMENT_ASSETS/10^6</stp>
        <stp>FPT</stp>
        <stp>A</stp>
        <stp>FPO</stp>
        <stp>-5A</stp>
        <stp>STD</stp>
        <stp>Mixed</stp>
        <stp>CONSOL</stp>
        <stp>Yes</stp>
        <stp>CURRENCY</stp>
        <stp>USD</stp>
        <tr r="I41" s="2"/>
      </tp>
      <tp>
        <v>124</v>
        <stp/>
        <stp>##V3_BQLV12</stp>
        <stp>[Fundamental &amp; Technical Model (1).xlsm]Income Statement!R41C6</stp>
        <stp>SYK US Equity</stp>
        <stp>IS_IMPAIRMENT_ASSETS/10^6</stp>
        <stp>FPT</stp>
        <stp>A</stp>
        <stp>FPO</stp>
        <stp>-8A</stp>
        <stp>STD</stp>
        <stp>Mixed</stp>
        <stp>CONSOL</stp>
        <stp>Yes</stp>
        <stp>CURRENCY</stp>
        <stp>USD</stp>
        <tr r="F41" s="2"/>
      </tp>
      <tp t="s">
        <v>#N/A</v>
        <stp/>
        <stp>##V3_BQLV12</stp>
        <stp>[Fundamental &amp; Technical Model (1).xlsm]Income Statement!R41C7</stp>
        <stp>SYK US Equity</stp>
        <stp>IS_IMPAIRMENT_ASSETS/10^6</stp>
        <stp>FPT</stp>
        <stp>A</stp>
        <stp>FPO</stp>
        <stp>-7A</stp>
        <stp>STD</stp>
        <stp>Mixed</stp>
        <stp>CONSOL</stp>
        <stp>Yes</stp>
        <stp>CURRENCY</stp>
        <stp>USD</stp>
        <tr r="G41" s="2"/>
      </tp>
      <tp t="s">
        <v>#N/A</v>
        <stp/>
        <stp>##V3_BQLV12</stp>
        <stp>[Fundamental &amp; Technical Model (1).xlsm]Income Statement!R41C5</stp>
        <stp>SYK US Equity</stp>
        <stp>IS_IMPAIRMENT_ASSETS/10^6</stp>
        <stp>FPT</stp>
        <stp>A</stp>
        <stp>FPO</stp>
        <stp>-9A</stp>
        <stp>STD</stp>
        <stp>Mixed</stp>
        <stp>CONSOL</stp>
        <stp>Yes</stp>
        <stp>CURRENCY</stp>
        <stp>USD</stp>
        <tr r="E41" s="2"/>
      </tp>
      <tp>
        <v>40543</v>
        <stp/>
        <stp>##V3_BQLV12</stp>
        <stp>[Fundamental &amp; Technical Model (1).xlsm]Cash Flow!R14C6</stp>
        <stp>SYK US Equity</stp>
        <stp>IS_EPS().PERIOD_END_DATE</stp>
        <stp>FPT</stp>
        <stp>A</stp>
        <stp>FPO</stp>
        <stp>-8A</stp>
        <stp>STD</stp>
        <stp>Mixed</stp>
        <stp>CONSOL</stp>
        <stp>Yes</stp>
        <tr r="F14" s="4"/>
      </tp>
      <tp>
        <v>41274</v>
        <stp/>
        <stp>##V3_BQLV12</stp>
        <stp>[Fundamental &amp; Technical Model (1).xlsm]Cash Flow!R14C8</stp>
        <stp>SYK US Equity</stp>
        <stp>IS_EPS().PERIOD_END_DATE</stp>
        <stp>FPT</stp>
        <stp>A</stp>
        <stp>FPO</stp>
        <stp>-6A</stp>
        <stp>STD</stp>
        <stp>Mixed</stp>
        <stp>CONSOL</stp>
        <stp>Yes</stp>
        <tr r="H14" s="4"/>
      </tp>
      <tp>
        <v>40249.244373080001</v>
        <stp/>
        <stp>##V3_BDPV12</stp>
        <stp>BAX Equity</stp>
        <stp>curr_entp_val</stp>
        <stp>[Fundamental &amp; Technical Model (1).xlsm]Public Comparables!R14C9</stp>
        <tr r="I14" s="24"/>
      </tp>
      <tp>
        <v>50871436719.57</v>
        <stp/>
        <stp>##V3_BDPV12</stp>
        <stp>BSX Equity</stp>
        <stp>cur_mkt_cap</stp>
        <stp>[Fundamental &amp; Technical Model (1).xlsm]Public Comparables!R11C8</stp>
        <tr r="H11" s="24"/>
      </tp>
      <tp>
        <v>1624</v>
        <stp/>
        <stp>##V3_BQLV12</stp>
        <stp>[Fundamental &amp; Technical Model (1).xlsm]Key Stats!R21C6</stp>
        <stp>SYK US Equity</stp>
        <stp>EBITDA/10^6</stp>
        <stp>FPT</stp>
        <stp>A</stp>
        <stp>FPO</stp>
        <stp>-4A</stp>
        <stp>STD</stp>
        <stp>Mixed</stp>
        <stp>CONSOL</stp>
        <stp>Yes</stp>
        <stp>CURRENCY</stp>
        <stp>USD</stp>
        <tr r="F21" s="23"/>
      </tp>
      <tp t="s">
        <v>#N/A N/A</v>
        <stp/>
        <stp>##V3_BDSV12</stp>
        <stp>SYK US Equity</stp>
        <stp>PG_DEPR_AMORTIZATION</stp>
        <stp>[Fundamental &amp; Technical Model (1).xlsm]Segments!R154C6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154" s="17"/>
      </tp>
      <tp t="s">
        <v>#N/A N/A</v>
        <stp/>
        <stp>##V3_BDSV12</stp>
        <stp>SYK US Equity</stp>
        <stp>PG_DEPR_AMORTIZATION</stp>
        <stp>[Fundamental &amp; Technical Model (1).xlsm]Segments!R140C6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140" s="17"/>
      </tp>
      <tp t="s">
        <v>#N/A N/A</v>
        <stp/>
        <stp>##V3_BDSV12</stp>
        <stp>SYK US Equity</stp>
        <stp>PG_DEPR_AMORTIZATION</stp>
        <stp>[Fundamental &amp; Technical Model (1).xlsm]Segments!R155C6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155" s="17"/>
      </tp>
      <tp t="s">
        <v>#N/A N/A</v>
        <stp/>
        <stp>##V3_BDSV12</stp>
        <stp>SYK US Equity</stp>
        <stp>PG_DEPR_AMORTIZATION</stp>
        <stp>[Fundamental &amp; Technical Model (1).xlsm]Segments!R141C6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141" s="17"/>
      </tp>
      <tp t="e">
        <v>#N/A</v>
        <stp/>
        <stp>##V3_BDHV12</stp>
        <stp>SYK US Equity</stp>
        <stp>LOW_PRICE_TO_TANGIBLE_BPS</stp>
        <stp>-6FY</stp>
        <stp>-6FY</stp>
        <stp>[Fundamental &amp; Technical Model (1).xlsm]Multiples!R48C7</stp>
        <stp>EQY_CONSOLIDATED</stp>
        <stp>Yes</stp>
        <stp>ACCOUNTING_STANDARD_OVERRIDE</stp>
        <stp>Mixed</stp>
        <stp>Per</stp>
        <stp>FY</stp>
        <stp>Days=A</stp>
        <tr r="G48" s="16"/>
        <tr r="G48" s="16"/>
      </tp>
      <tp t="s">
        <v>#N/A N/A</v>
        <stp/>
        <stp>##V3_BDSV12</stp>
        <stp>SYK US Equity</stp>
        <stp>PG_DEPR_AMORTIZATION</stp>
        <stp>[Fundamental &amp; Technical Model (1).xlsm]Segments!R150C6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150" s="17"/>
      </tp>
      <tp>
        <v>22</v>
        <stp/>
        <stp>##V3_BDSV12</stp>
        <stp>SYK US Equity</stp>
        <stp>PG_DEPR_AMORTIZATION</stp>
        <stp>[Fundamental &amp; Technical Model (1).xlsm]Segments!R136C6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136" s="17"/>
        <tr r="F136" s="17"/>
      </tp>
      <tp t="s">
        <v>#N/A N/A</v>
        <stp/>
        <stp>##V3_BDSV12</stp>
        <stp>SYK US Equity</stp>
        <stp>PG_DEPR_AMORTIZATION</stp>
        <stp>[Fundamental &amp; Technical Model (1).xlsm]Segments!R151C6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151" s="17"/>
      </tp>
      <tp t="s">
        <v>#N/A N/A</v>
        <stp/>
        <stp>##V3_BDSV12</stp>
        <stp>SYK US Equity</stp>
        <stp>PG_DEPR_AMORTIZATION</stp>
        <stp>[Fundamental &amp; Technical Model (1).xlsm]Segments!R137C6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137" s="17"/>
      </tp>
      <tp t="s">
        <v>#N/A N/A</v>
        <stp/>
        <stp>##V3_BDSV12</stp>
        <stp>SYK US Equity</stp>
        <stp>PG_DEPR_AMORTIZATION</stp>
        <stp>[Fundamental &amp; Technical Model (1).xlsm]Segments!R152C6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152" s="17"/>
      </tp>
      <tp t="s">
        <v>#N/A N/A</v>
        <stp/>
        <stp>##V3_BDSV12</stp>
        <stp>SYK US Equity</stp>
        <stp>PG_DEPR_AMORTIZATION</stp>
        <stp>[Fundamental &amp; Technical Model (1).xlsm]Segments!R138C6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138" s="17"/>
      </tp>
      <tp t="s">
        <v>#N/A N/A</v>
        <stp/>
        <stp>##V3_BDSV12</stp>
        <stp>SYK US Equity</stp>
        <stp>PG_DEPR_AMORTIZATION</stp>
        <stp>[Fundamental &amp; Technical Model (1).xlsm]Segments!R153C6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153" s="17"/>
      </tp>
      <tp t="s">
        <v>#N/A N/A</v>
        <stp/>
        <stp>##V3_BDSV12</stp>
        <stp>SYK US Equity</stp>
        <stp>PG_DEPR_AMORTIZATION</stp>
        <stp>[Fundamental &amp; Technical Model (1).xlsm]Segments!R139C6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139" s="17"/>
      </tp>
      <tp t="s">
        <v>#N/A N/A</v>
        <stp/>
        <stp>##V3_BDSV12</stp>
        <stp>SYK US Equity</stp>
        <stp>PG_DEPR_AMORTIZATION</stp>
        <stp>[Fundamental &amp; Technical Model (1).xlsm]Segments!R147C6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147" s="17"/>
      </tp>
      <tp>
        <v>250</v>
        <stp/>
        <stp>##V3_BDSV12</stp>
        <stp>SYK US Equity</stp>
        <stp>PG_DEPR_AMORTIZATION</stp>
        <stp>[Fundamental &amp; Technical Model (1).xlsm]Segments!R133C6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133" s="17"/>
        <tr r="F133" s="17"/>
      </tp>
      <tp>
        <v>1.1208249271463797</v>
        <stp/>
        <stp>##V3_BQLV12</stp>
        <stp>[Fundamental &amp; Technical Model (1).xlsm]Ratios!R39C10</stp>
        <stp>SYK US Equity</stp>
        <stp>CASH_RATIO</stp>
        <stp>FPT</stp>
        <stp>A</stp>
        <stp>FPO</stp>
        <stp>-4A</stp>
        <stp>STD</stp>
        <stp>Mixed</stp>
        <stp>CONSOL</stp>
        <stp>Yes</stp>
        <tr r="J39" s="8"/>
      </tp>
      <tp t="s">
        <v>#N/A N/A</v>
        <stp/>
        <stp>##V3_BDSV12</stp>
        <stp>SYK US Equity</stp>
        <stp>PG_DEPR_AMORTIZATION</stp>
        <stp>[Fundamental &amp; Technical Model (1).xlsm]Segments!R148C6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148" s="17"/>
      </tp>
      <tp>
        <v>77</v>
        <stp/>
        <stp>##V3_BDSV12</stp>
        <stp>SYK US Equity</stp>
        <stp>PG_DEPR_AMORTIZATION</stp>
        <stp>[Fundamental &amp; Technical Model (1).xlsm]Segments!R134C6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134" s="17"/>
        <tr r="F134" s="17"/>
      </tp>
      <tp t="s">
        <v>#N/A N/A</v>
        <stp/>
        <stp>##V3_BDSV12</stp>
        <stp>SYK US Equity</stp>
        <stp>PG_DEPR_AMORTIZATION</stp>
        <stp>[Fundamental &amp; Technical Model (1).xlsm]Segments!R149C6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149" s="17"/>
      </tp>
      <tp>
        <v>61</v>
        <stp/>
        <stp>##V3_BDSV12</stp>
        <stp>SYK US Equity</stp>
        <stp>PG_DEPR_AMORTIZATION</stp>
        <stp>[Fundamental &amp; Technical Model (1).xlsm]Segments!R135C6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135" s="17"/>
        <tr r="F135" s="17"/>
      </tp>
      <tp t="e">
        <v>#N/A</v>
        <stp/>
        <stp>##V3_BDHV12</stp>
        <stp>SYK US Equity</stp>
        <stp>PX_TO_FREE_CASH_FLOW</stp>
        <stp>-8FY</stp>
        <stp>-8FY</stp>
        <stp>[Fundamental &amp; Technical Model (1).xlsm]Multiples!R57C5</stp>
        <stp>EQY_CONSOLIDATED</stp>
        <stp>Yes</stp>
        <stp>ACCOUNTING_STANDARD_OVERRIDE</stp>
        <stp>Mixed</stp>
        <stp>Per</stp>
        <stp>FY</stp>
        <stp>Days=A</stp>
        <tr r="E57" s="16"/>
        <tr r="E57" s="16"/>
      </tp>
      <tp>
        <v>56</v>
        <stp/>
        <stp>##V3_BQLV12</stp>
        <stp>[Fundamental &amp; Technical Model (1).xlsm]Income Statement!R31C7</stp>
        <stp>SYK US Equity</stp>
        <stp>IS_INT_EXPENSE/10^6</stp>
        <stp>FPT</stp>
        <stp>A</stp>
        <stp>FPO</stp>
        <stp>-7A</stp>
        <stp>STD</stp>
        <stp>Mixed</stp>
        <stp>CONSOL</stp>
        <stp>Yes</stp>
        <stp>CURRENCY</stp>
        <stp>USD</stp>
        <tr r="G31" s="2"/>
      </tp>
      <tp>
        <v>-47</v>
        <stp/>
        <stp>##V3_BQLV12</stp>
        <stp>[Fundamental &amp; Technical Model (1).xlsm]Income Statement!R58C11</stp>
        <stp>SYK US Equity</stp>
        <stp>IS_TAX_EFF_ON_ABNORMAL_ITEM/10^6</stp>
        <stp>FPT</stp>
        <stp>A</stp>
        <stp>FPO</stp>
        <stp>-3A</stp>
        <stp>STD</stp>
        <stp>Mixed</stp>
        <stp>CONSOL</stp>
        <stp>Yes</stp>
        <stp>CURRENCY</stp>
        <stp>USD</stp>
        <tr r="K58" s="2"/>
      </tp>
      <tp>
        <v>725</v>
        <stp/>
        <stp>##V3_BQLV12</stp>
        <stp>[Fundamental &amp; Technical Model (1).xlsm]Income Statement!R58C13</stp>
        <stp>SYK US Equity</stp>
        <stp>IS_TAX_EFF_ON_ABNORMAL_ITEM/10^6</stp>
        <stp>FPT</stp>
        <stp>A</stp>
        <stp>FPO</stp>
        <stp>-1A</stp>
        <stp>STD</stp>
        <stp>Mixed</stp>
        <stp>CONSOL</stp>
        <stp>Yes</stp>
        <stp>CURRENCY</stp>
        <stp>USD</stp>
        <tr r="M58" s="2"/>
      </tp>
      <tp>
        <v>-76</v>
        <stp/>
        <stp>##V3_BQLV12</stp>
        <stp>[Fundamental &amp; Technical Model (1).xlsm]Income Statement!R58C12</stp>
        <stp>SYK US Equity</stp>
        <stp>IS_TAX_EFF_ON_ABNORMAL_ITEM/10^6</stp>
        <stp>FPT</stp>
        <stp>A</stp>
        <stp>FPO</stp>
        <stp>-2A</stp>
        <stp>STD</stp>
        <stp>Mixed</stp>
        <stp>CONSOL</stp>
        <stp>Yes</stp>
        <stp>CURRENCY</stp>
        <stp>USD</stp>
        <tr r="L58" s="2"/>
      </tp>
      <tp>
        <v>182</v>
        <stp/>
        <stp>##V3_BQLV12</stp>
        <stp>[Fundamental &amp; Technical Model (1).xlsm]Income Statement!R58C10</stp>
        <stp>SYK US Equity</stp>
        <stp>IS_TAX_EFF_ON_ABNORMAL_ITEM/10^6</stp>
        <stp>FPT</stp>
        <stp>A</stp>
        <stp>FPO</stp>
        <stp>-4A</stp>
        <stp>STD</stp>
        <stp>Mixed</stp>
        <stp>CONSOL</stp>
        <stp>Yes</stp>
        <stp>CURRENCY</stp>
        <stp>USD</stp>
        <tr r="J58" s="2"/>
      </tp>
      <tp>
        <v>-1675</v>
        <stp/>
        <stp>##V3_BQLV12</stp>
        <stp>[Fundamental &amp; Technical Model (1).xlsm]Income Statement!R58C14</stp>
        <stp>SYK US Equity</stp>
        <stp>IS_TAX_EFF_ON_ABNORMAL_ITEM/10^6</stp>
        <stp>FPT</stp>
        <stp>A</stp>
        <stp>FPO</stp>
        <stp>-0A</stp>
        <stp>STD</stp>
        <stp>Mixed</stp>
        <stp>CONSOL</stp>
        <stp>Yes</stp>
        <stp>CURRENCY</stp>
        <stp>USD</stp>
        <tr r="N58" s="2"/>
      </tp>
      <tp>
        <v>2258</v>
        <stp/>
        <stp>##V3_BQLV12</stp>
        <stp>[Fundamental &amp; Technical Model (1).xlsm]Key Stats!R21C7</stp>
        <stp>SYK US Equity</stp>
        <stp>EBITDA/10^6</stp>
        <stp>FPT</stp>
        <stp>A</stp>
        <stp>FPO</stp>
        <stp>-3A</stp>
        <stp>STD</stp>
        <stp>Mixed</stp>
        <stp>CONSOL</stp>
        <stp>Yes</stp>
        <stp>CURRENCY</stp>
        <stp>USD</stp>
        <tr r="G21" s="23"/>
      </tp>
      <tp>
        <v>61</v>
        <stp/>
        <stp>##V3_BQLV12</stp>
        <stp>[Fundamental &amp; Technical Model (1).xlsm]Balance Sheet!R76C11</stp>
        <stp>SYK US Equity</stp>
        <stp>BS_ALLOW_DOUBTFUL_ACC_REC/10^6</stp>
        <stp>FPT</stp>
        <stp>A</stp>
        <stp>FPO</stp>
        <stp>-3A</stp>
        <stp>STD</stp>
        <stp>Mixed</stp>
        <stp>CONSOL</stp>
        <stp>Yes</stp>
        <stp>CURRENCY</stp>
        <stp>USD</stp>
        <tr r="K76" s="3"/>
      </tp>
      <tp>
        <v>59</v>
        <stp/>
        <stp>##V3_BQLV12</stp>
        <stp>[Fundamental &amp; Technical Model (1).xlsm]Balance Sheet!R76C10</stp>
        <stp>SYK US Equity</stp>
        <stp>BS_ALLOW_DOUBTFUL_ACC_REC/10^6</stp>
        <stp>FPT</stp>
        <stp>A</stp>
        <stp>FPO</stp>
        <stp>-4A</stp>
        <stp>STD</stp>
        <stp>Mixed</stp>
        <stp>CONSOL</stp>
        <stp>Yes</stp>
        <stp>CURRENCY</stp>
        <stp>USD</stp>
        <tr r="J76" s="3"/>
      </tp>
      <tp>
        <v>59</v>
        <stp/>
        <stp>##V3_BQLV12</stp>
        <stp>[Fundamental &amp; Technical Model (1).xlsm]Balance Sheet!R76C13</stp>
        <stp>SYK US Equity</stp>
        <stp>BS_ALLOW_DOUBTFUL_ACC_REC/10^6</stp>
        <stp>FPT</stp>
        <stp>A</stp>
        <stp>FPO</stp>
        <stp>-1A</stp>
        <stp>STD</stp>
        <stp>Mixed</stp>
        <stp>CONSOL</stp>
        <stp>Yes</stp>
        <stp>CURRENCY</stp>
        <stp>USD</stp>
        <tr r="M76" s="3"/>
      </tp>
      <tp>
        <v>56</v>
        <stp/>
        <stp>##V3_BQLV12</stp>
        <stp>[Fundamental &amp; Technical Model (1).xlsm]Balance Sheet!R76C12</stp>
        <stp>SYK US Equity</stp>
        <stp>BS_ALLOW_DOUBTFUL_ACC_REC/10^6</stp>
        <stp>FPT</stp>
        <stp>A</stp>
        <stp>FPO</stp>
        <stp>-2A</stp>
        <stp>STD</stp>
        <stp>Mixed</stp>
        <stp>CONSOL</stp>
        <stp>Yes</stp>
        <stp>CURRENCY</stp>
        <stp>USD</stp>
        <tr r="L76" s="3"/>
      </tp>
      <tp>
        <v>64</v>
        <stp/>
        <stp>##V3_BQLV12</stp>
        <stp>[Fundamental &amp; Technical Model (1).xlsm]Balance Sheet!R76C14</stp>
        <stp>SYK US Equity</stp>
        <stp>BS_ALLOW_DOUBTFUL_ACC_REC/10^6</stp>
        <stp>FPT</stp>
        <stp>A</stp>
        <stp>FPO</stp>
        <stp>-0A</stp>
        <stp>STD</stp>
        <stp>Mixed</stp>
        <stp>CONSOL</stp>
        <stp>Yes</stp>
        <stp>CURRENCY</stp>
        <stp>USD</stp>
        <tr r="N76" s="3"/>
      </tp>
      <tp>
        <v>200</v>
        <stp/>
        <stp>##V3_BDPV12</stp>
        <stp>SYK US Equity</stp>
        <stp>BS_YEAR_1_PRINCIPAL</stp>
        <stp>[Fundamental &amp; Technical Model (1).xlsm]Capital Structure Summary!R71C7</stp>
        <stp>EQY_FUND_RELATIVE_PERIOD</stp>
        <stp>-2FY</stp>
        <stp>EQY_FUND_CRNCY</stp>
        <stp>USD</stp>
        <stp>EQY_CONSOLIDATED</stp>
        <stp>Yes</stp>
        <stp>ACCOUNTING_STANDARD_OVERRIDE</stp>
        <stp>Mixed</stp>
        <stp>Fill=--</stp>
        <tr r="G71" s="21"/>
      </tp>
      <tp t="s">
        <v>--</v>
        <stp/>
        <stp>##V3_BDPV12</stp>
        <stp>SYK US Equity</stp>
        <stp>BS_YEAR_2_PRINCIPAL</stp>
        <stp>[Fundamental &amp; Technical Model (1).xlsm]Capital Structure Summary!R72C7</stp>
        <stp>EQY_FUND_RELATIVE_PERIOD</stp>
        <stp>-2FY</stp>
        <stp>EQY_FUND_CRNCY</stp>
        <stp>USD</stp>
        <stp>EQY_CONSOLIDATED</stp>
        <stp>Yes</stp>
        <stp>ACCOUNTING_STANDARD_OVERRIDE</stp>
        <stp>Mixed</stp>
        <stp>Fill=--</stp>
        <tr r="G72" s="21"/>
      </tp>
      <tp t="s">
        <v>--</v>
        <stp/>
        <stp>##V3_BDPV12</stp>
        <stp>SYK US Equity</stp>
        <stp>BS_YEAR_3_PRINCIPAL</stp>
        <stp>[Fundamental &amp; Technical Model (1).xlsm]Capital Structure Summary!R73C7</stp>
        <stp>EQY_FUND_RELATIVE_PERIOD</stp>
        <stp>-2FY</stp>
        <stp>EQY_FUND_CRNCY</stp>
        <stp>USD</stp>
        <stp>EQY_CONSOLIDATED</stp>
        <stp>Yes</stp>
        <stp>ACCOUNTING_STANDARD_OVERRIDE</stp>
        <stp>Mixed</stp>
        <stp>Fill=--</stp>
        <tr r="G73" s="21"/>
      </tp>
      <tp t="s">
        <v>--</v>
        <stp/>
        <stp>##V3_BDPV12</stp>
        <stp>SYK US Equity</stp>
        <stp>BS_YEAR_4_PRINCIPAL</stp>
        <stp>[Fundamental &amp; Technical Model (1).xlsm]Capital Structure Summary!R74C7</stp>
        <stp>EQY_FUND_RELATIVE_PERIOD</stp>
        <stp>-2FY</stp>
        <stp>EQY_FUND_CRNCY</stp>
        <stp>USD</stp>
        <stp>EQY_CONSOLIDATED</stp>
        <stp>Yes</stp>
        <stp>ACCOUNTING_STANDARD_OVERRIDE</stp>
        <stp>Mixed</stp>
        <stp>Fill=--</stp>
        <tr r="G74" s="21"/>
      </tp>
      <tp t="s">
        <v>--</v>
        <stp/>
        <stp>##V3_BDPV12</stp>
        <stp>SYK US Equity</stp>
        <stp>BS_YEAR_5_PRINCIPAL</stp>
        <stp>[Fundamental &amp; Technical Model (1).xlsm]Capital Structure Summary!R75C7</stp>
        <stp>EQY_FUND_RELATIVE_PERIOD</stp>
        <stp>-2FY</stp>
        <stp>EQY_FUND_CRNCY</stp>
        <stp>USD</stp>
        <stp>EQY_CONSOLIDATED</stp>
        <stp>Yes</stp>
        <stp>ACCOUNTING_STANDARD_OVERRIDE</stp>
        <stp>Mixed</stp>
        <stp>Fill=--</stp>
        <tr r="G75" s="21"/>
      </tp>
      <tp>
        <v>768</v>
        <stp/>
        <stp>##V3_BDPV12</stp>
        <stp>SYK US Equity</stp>
        <stp>BS_YEAR_1_PRINCIPAL</stp>
        <stp>[Fundamental &amp; Technical Model (1).xlsm]Capital Structure Summary!R71C5</stp>
        <stp>EQY_FUND_RELATIVE_PERIOD</stp>
        <stp>-3FY</stp>
        <stp>EQY_FUND_CRNCY</stp>
        <stp>USD</stp>
        <stp>EQY_CONSOLIDATED</stp>
        <stp>Yes</stp>
        <stp>ACCOUNTING_STANDARD_OVERRIDE</stp>
        <stp>Mixed</stp>
        <stp>Fill=--</stp>
        <tr r="E71" s="21"/>
      </tp>
      <tp t="s">
        <v>--</v>
        <stp/>
        <stp>##V3_BDPV12</stp>
        <stp>SYK US Equity</stp>
        <stp>BS_YEAR_2_PRINCIPAL</stp>
        <stp>[Fundamental &amp; Technical Model (1).xlsm]Capital Structure Summary!R72C5</stp>
        <stp>EQY_FUND_RELATIVE_PERIOD</stp>
        <stp>-3FY</stp>
        <stp>EQY_FUND_CRNCY</stp>
        <stp>USD</stp>
        <stp>EQY_CONSOLIDATED</stp>
        <stp>Yes</stp>
        <stp>ACCOUNTING_STANDARD_OVERRIDE</stp>
        <stp>Mixed</stp>
        <stp>Fill=--</stp>
        <tr r="E72" s="21"/>
      </tp>
      <tp t="s">
        <v>--</v>
        <stp/>
        <stp>##V3_BDPV12</stp>
        <stp>SYK US Equity</stp>
        <stp>BS_YEAR_3_PRINCIPAL</stp>
        <stp>[Fundamental &amp; Technical Model (1).xlsm]Capital Structure Summary!R73C5</stp>
        <stp>EQY_FUND_RELATIVE_PERIOD</stp>
        <stp>-3FY</stp>
        <stp>EQY_FUND_CRNCY</stp>
        <stp>USD</stp>
        <stp>EQY_CONSOLIDATED</stp>
        <stp>Yes</stp>
        <stp>ACCOUNTING_STANDARD_OVERRIDE</stp>
        <stp>Mixed</stp>
        <stp>Fill=--</stp>
        <tr r="E73" s="21"/>
      </tp>
      <tp t="s">
        <v>--</v>
        <stp/>
        <stp>##V3_BDPV12</stp>
        <stp>SYK US Equity</stp>
        <stp>BS_YEAR_4_PRINCIPAL</stp>
        <stp>[Fundamental &amp; Technical Model (1).xlsm]Capital Structure Summary!R74C5</stp>
        <stp>EQY_FUND_RELATIVE_PERIOD</stp>
        <stp>-3FY</stp>
        <stp>EQY_FUND_CRNCY</stp>
        <stp>USD</stp>
        <stp>EQY_CONSOLIDATED</stp>
        <stp>Yes</stp>
        <stp>ACCOUNTING_STANDARD_OVERRIDE</stp>
        <stp>Mixed</stp>
        <stp>Fill=--</stp>
        <tr r="E74" s="21"/>
      </tp>
      <tp t="s">
        <v>--</v>
        <stp/>
        <stp>##V3_BDPV12</stp>
        <stp>SYK US Equity</stp>
        <stp>BS_YEAR_5_PRINCIPAL</stp>
        <stp>[Fundamental &amp; Technical Model (1).xlsm]Capital Structure Summary!R75C5</stp>
        <stp>EQY_FUND_RELATIVE_PERIOD</stp>
        <stp>-3FY</stp>
        <stp>EQY_FUND_CRNCY</stp>
        <stp>USD</stp>
        <stp>EQY_CONSOLIDATED</stp>
        <stp>Yes</stp>
        <stp>ACCOUNTING_STANDARD_OVERRIDE</stp>
        <stp>Mixed</stp>
        <stp>Fill=--</stp>
        <tr r="E75" s="21"/>
      </tp>
      <tp>
        <v>727</v>
        <stp/>
        <stp>##V3_BDPV12</stp>
        <stp>SYK US Equity</stp>
        <stp>BS_YEAR_1_PRINCIPAL</stp>
        <stp>[Fundamental &amp; Technical Model (1).xlsm]Capital Structure Summary!R71C3</stp>
        <stp>EQY_FUND_RELATIVE_PERIOD</stp>
        <stp>-4FY</stp>
        <stp>EQY_FUND_CRNCY</stp>
        <stp>USD</stp>
        <stp>EQY_CONSOLIDATED</stp>
        <stp>Yes</stp>
        <stp>ACCOUNTING_STANDARD_OVERRIDE</stp>
        <stp>Mixed</stp>
        <stp>Fill=--</stp>
        <tr r="C71" s="21"/>
      </tp>
      <tp t="s">
        <v>--</v>
        <stp/>
        <stp>##V3_BDPV12</stp>
        <stp>SYK US Equity</stp>
        <stp>BS_YEAR_2_PRINCIPAL</stp>
        <stp>[Fundamental &amp; Technical Model (1).xlsm]Capital Structure Summary!R72C3</stp>
        <stp>EQY_FUND_RELATIVE_PERIOD</stp>
        <stp>-4FY</stp>
        <stp>EQY_FUND_CRNCY</stp>
        <stp>USD</stp>
        <stp>EQY_CONSOLIDATED</stp>
        <stp>Yes</stp>
        <stp>ACCOUNTING_STANDARD_OVERRIDE</stp>
        <stp>Mixed</stp>
        <stp>Fill=--</stp>
        <tr r="C72" s="21"/>
      </tp>
      <tp t="s">
        <v>--</v>
        <stp/>
        <stp>##V3_BDPV12</stp>
        <stp>SYK US Equity</stp>
        <stp>BS_YEAR_3_PRINCIPAL</stp>
        <stp>[Fundamental &amp; Technical Model (1).xlsm]Capital Structure Summary!R73C3</stp>
        <stp>EQY_FUND_RELATIVE_PERIOD</stp>
        <stp>-4FY</stp>
        <stp>EQY_FUND_CRNCY</stp>
        <stp>USD</stp>
        <stp>EQY_CONSOLIDATED</stp>
        <stp>Yes</stp>
        <stp>ACCOUNTING_STANDARD_OVERRIDE</stp>
        <stp>Mixed</stp>
        <stp>Fill=--</stp>
        <tr r="C73" s="21"/>
      </tp>
      <tp t="s">
        <v>--</v>
        <stp/>
        <stp>##V3_BDPV12</stp>
        <stp>SYK US Equity</stp>
        <stp>BS_YEAR_4_PRINCIPAL</stp>
        <stp>[Fundamental &amp; Technical Model (1).xlsm]Capital Structure Summary!R74C3</stp>
        <stp>EQY_FUND_RELATIVE_PERIOD</stp>
        <stp>-4FY</stp>
        <stp>EQY_FUND_CRNCY</stp>
        <stp>USD</stp>
        <stp>EQY_CONSOLIDATED</stp>
        <stp>Yes</stp>
        <stp>ACCOUNTING_STANDARD_OVERRIDE</stp>
        <stp>Mixed</stp>
        <stp>Fill=--</stp>
        <tr r="C74" s="21"/>
      </tp>
      <tp t="s">
        <v>--</v>
        <stp/>
        <stp>##V3_BDPV12</stp>
        <stp>SYK US Equity</stp>
        <stp>BS_YEAR_5_PRINCIPAL</stp>
        <stp>[Fundamental &amp; Technical Model (1).xlsm]Capital Structure Summary!R75C3</stp>
        <stp>EQY_FUND_RELATIVE_PERIOD</stp>
        <stp>-4FY</stp>
        <stp>EQY_FUND_CRNCY</stp>
        <stp>USD</stp>
        <stp>EQY_CONSOLIDATED</stp>
        <stp>Yes</stp>
        <stp>ACCOUNTING_STANDARD_OVERRIDE</stp>
        <stp>Mixed</stp>
        <stp>Fill=--</stp>
        <tr r="C75" s="21"/>
      </tp>
      <tp t="s">
        <v>#N/A N/A</v>
        <stp/>
        <stp>##V3_BDSV12</stp>
        <stp>SYK US Equity</stp>
        <stp>PG_DEPR_AMORTIZATION</stp>
        <stp>[Fundamental &amp; Technical Model (1).xlsm]Segments!R155C7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155" s="17"/>
      </tp>
      <tp t="s">
        <v>#N/A N/A</v>
        <stp/>
        <stp>##V3_BDSV12</stp>
        <stp>SYK US Equity</stp>
        <stp>PG_DEPR_AMORTIZATION</stp>
        <stp>[Fundamental &amp; Technical Model (1).xlsm]Segments!R141C7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141" s="17"/>
      </tp>
      <tp t="s">
        <v>#N/A N/A</v>
        <stp/>
        <stp>##V3_BDSV12</stp>
        <stp>SYK US Equity</stp>
        <stp>PG_DEPR_AMORTIZATION</stp>
        <stp>[Fundamental &amp; Technical Model (1).xlsm]Segments!R154C7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154" s="17"/>
      </tp>
      <tp t="s">
        <v>#N/A N/A</v>
        <stp/>
        <stp>##V3_BDSV12</stp>
        <stp>SYK US Equity</stp>
        <stp>PG_DEPR_AMORTIZATION</stp>
        <stp>[Fundamental &amp; Technical Model (1).xlsm]Segments!R140C7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140" s="17"/>
      </tp>
      <tp t="e">
        <v>#N/A</v>
        <stp/>
        <stp>##V3_BDHV12</stp>
        <stp>SYK US Equity</stp>
        <stp>LOW_PRICE_TO_TANGIBLE_BPS</stp>
        <stp>-7FY</stp>
        <stp>-7FY</stp>
        <stp>[Fundamental &amp; Technical Model (1).xlsm]Multiples!R48C6</stp>
        <stp>EQY_CONSOLIDATED</stp>
        <stp>Yes</stp>
        <stp>ACCOUNTING_STANDARD_OVERRIDE</stp>
        <stp>Mixed</stp>
        <stp>Per</stp>
        <stp>FY</stp>
        <stp>Days=A</stp>
        <tr r="F48" s="16"/>
        <tr r="F48" s="16"/>
      </tp>
      <tp>
        <v>5.5108642884116472</v>
        <stp/>
        <stp>##V3_BQLV12</stp>
        <stp>[Fundamental &amp; Technical Model (1).xlsm]Key Stats!R53C5</stp>
        <stp>SYK US Equity</stp>
        <stp>EV_TO_SALES</stp>
        <stp>FPT=LTM</stp>
        <stp>FPO=0</stp>
        <stp>STD</stp>
        <stp>Mixed</stp>
        <stp>CONSOL</stp>
        <stp>Yes</stp>
        <stp>CURRENCY</stp>
        <stp>USD</stp>
        <tr r="E53" s="23"/>
      </tp>
      <tp t="s">
        <v>#N/A N/A</v>
        <stp/>
        <stp>##V3_BDSV12</stp>
        <stp>SYK US Equity</stp>
        <stp>PG_DEPR_AMORTIZATION</stp>
        <stp>[Fundamental &amp; Technical Model (1).xlsm]Segments!R151C7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151" s="17"/>
      </tp>
      <tp t="s">
        <v>#N/A N/A</v>
        <stp/>
        <stp>##V3_BDSV12</stp>
        <stp>SYK US Equity</stp>
        <stp>PG_DEPR_AMORTIZATION</stp>
        <stp>[Fundamental &amp; Technical Model (1).xlsm]Segments!R137C7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137" s="17"/>
      </tp>
      <tp t="s">
        <v>#N/A N/A</v>
        <stp/>
        <stp>##V3_BDSV12</stp>
        <stp>SYK US Equity</stp>
        <stp>PG_DEPR_AMORTIZATION</stp>
        <stp>[Fundamental &amp; Technical Model (1).xlsm]Segments!R150C7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150" s="17"/>
      </tp>
      <tp>
        <v>11</v>
        <stp/>
        <stp>##V3_BDSV12</stp>
        <stp>SYK US Equity</stp>
        <stp>PG_DEPR_AMORTIZATION</stp>
        <stp>[Fundamental &amp; Technical Model (1).xlsm]Segments!R136C7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136" s="17"/>
        <tr r="G136" s="17"/>
      </tp>
      <tp t="s">
        <v>#N/A N/A</v>
        <stp/>
        <stp>##V3_BDSV12</stp>
        <stp>SYK US Equity</stp>
        <stp>PG_DEPR_AMORTIZATION</stp>
        <stp>[Fundamental &amp; Technical Model (1).xlsm]Segments!R153C7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153" s="17"/>
      </tp>
      <tp t="s">
        <v>#N/A N/A</v>
        <stp/>
        <stp>##V3_BDSV12</stp>
        <stp>SYK US Equity</stp>
        <stp>PG_DEPR_AMORTIZATION</stp>
        <stp>[Fundamental &amp; Technical Model (1).xlsm]Segments!R139C7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139" s="17"/>
      </tp>
      <tp t="e">
        <v>#N/A</v>
        <stp/>
        <stp>##V3_BDHV12</stp>
        <stp>SYK US Equity</stp>
        <stp>PX_TO_FREE_CASH_FLOW</stp>
        <stp>-10FY</stp>
        <stp>-10FY</stp>
        <stp>[Fundamental &amp; Technical Model (1).xlsm]Multiples!R57C3</stp>
        <stp>EQY_CONSOLIDATED</stp>
        <stp>Yes</stp>
        <stp>ACCOUNTING_STANDARD_OVERRIDE</stp>
        <stp>Mixed</stp>
        <stp>Per</stp>
        <stp>FY</stp>
        <stp>Days=A</stp>
        <tr r="C57" s="16"/>
        <tr r="C57" s="16"/>
      </tp>
      <tp t="s">
        <v>#N/A N/A</v>
        <stp/>
        <stp>##V3_BDSV12</stp>
        <stp>SYK US Equity</stp>
        <stp>PG_DEPR_AMORTIZATION</stp>
        <stp>[Fundamental &amp; Technical Model (1).xlsm]Segments!R152C7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152" s="17"/>
      </tp>
      <tp t="s">
        <v>#N/A N/A</v>
        <stp/>
        <stp>##V3_BDSV12</stp>
        <stp>SYK US Equity</stp>
        <stp>PG_DEPR_AMORTIZATION</stp>
        <stp>[Fundamental &amp; Technical Model (1).xlsm]Segments!R138C7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138" s="17"/>
      </tp>
      <tp t="s">
        <v>#N/A N/A</v>
        <stp/>
        <stp>##V3_BDSV12</stp>
        <stp>SYK US Equity</stp>
        <stp>PG_DEPR_AMORTIZATION</stp>
        <stp>[Fundamental &amp; Technical Model (1).xlsm]Segments!R147C7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147" s="17"/>
      </tp>
      <tp>
        <v>600</v>
        <stp/>
        <stp>##V3_BDPV12</stp>
        <stp>SYK US Equity</stp>
        <stp>BS_YEAR_1_PRINCIPAL</stp>
        <stp>[Fundamental &amp; Technical Model (1).xlsm]Capital Structure Summary!R71C9</stp>
        <stp>EQY_FUND_RELATIVE_PERIOD</stp>
        <stp>-1FY</stp>
        <stp>EQY_FUND_CRNCY</stp>
        <stp>USD</stp>
        <stp>EQY_CONSOLIDATED</stp>
        <stp>Yes</stp>
        <stp>ACCOUNTING_STANDARD_OVERRIDE</stp>
        <stp>Mixed</stp>
        <stp>Fill=--</stp>
        <tr r="I71" s="21"/>
      </tp>
      <tp t="s">
        <v>--</v>
        <stp/>
        <stp>##V3_BDPV12</stp>
        <stp>SYK US Equity</stp>
        <stp>BS_YEAR_2_PRINCIPAL</stp>
        <stp>[Fundamental &amp; Technical Model (1).xlsm]Capital Structure Summary!R72C9</stp>
        <stp>EQY_FUND_RELATIVE_PERIOD</stp>
        <stp>-1FY</stp>
        <stp>EQY_FUND_CRNCY</stp>
        <stp>USD</stp>
        <stp>EQY_CONSOLIDATED</stp>
        <stp>Yes</stp>
        <stp>ACCOUNTING_STANDARD_OVERRIDE</stp>
        <stp>Mixed</stp>
        <stp>Fill=--</stp>
        <tr r="I72" s="21"/>
      </tp>
      <tp t="s">
        <v>--</v>
        <stp/>
        <stp>##V3_BDPV12</stp>
        <stp>SYK US Equity</stp>
        <stp>BS_YEAR_3_PRINCIPAL</stp>
        <stp>[Fundamental &amp; Technical Model (1).xlsm]Capital Structure Summary!R73C9</stp>
        <stp>EQY_FUND_RELATIVE_PERIOD</stp>
        <stp>-1FY</stp>
        <stp>EQY_FUND_CRNCY</stp>
        <stp>USD</stp>
        <stp>EQY_CONSOLIDATED</stp>
        <stp>Yes</stp>
        <stp>ACCOUNTING_STANDARD_OVERRIDE</stp>
        <stp>Mixed</stp>
        <stp>Fill=--</stp>
        <tr r="I73" s="21"/>
      </tp>
      <tp t="s">
        <v>--</v>
        <stp/>
        <stp>##V3_BDPV12</stp>
        <stp>SYK US Equity</stp>
        <stp>BS_YEAR_4_PRINCIPAL</stp>
        <stp>[Fundamental &amp; Technical Model (1).xlsm]Capital Structure Summary!R74C9</stp>
        <stp>EQY_FUND_RELATIVE_PERIOD</stp>
        <stp>-1FY</stp>
        <stp>EQY_FUND_CRNCY</stp>
        <stp>USD</stp>
        <stp>EQY_CONSOLIDATED</stp>
        <stp>Yes</stp>
        <stp>ACCOUNTING_STANDARD_OVERRIDE</stp>
        <stp>Mixed</stp>
        <stp>Fill=--</stp>
        <tr r="I74" s="21"/>
      </tp>
      <tp t="s">
        <v>--</v>
        <stp/>
        <stp>##V3_BDPV12</stp>
        <stp>SYK US Equity</stp>
        <stp>BS_YEAR_5_PRINCIPAL</stp>
        <stp>[Fundamental &amp; Technical Model (1).xlsm]Capital Structure Summary!R75C9</stp>
        <stp>EQY_FUND_RELATIVE_PERIOD</stp>
        <stp>-1FY</stp>
        <stp>EQY_FUND_CRNCY</stp>
        <stp>USD</stp>
        <stp>EQY_CONSOLIDATED</stp>
        <stp>Yes</stp>
        <stp>ACCOUNTING_STANDARD_OVERRIDE</stp>
        <stp>Mixed</stp>
        <stp>Fill=--</stp>
        <tr r="I75" s="21"/>
      </tp>
      <tp>
        <v>267</v>
        <stp/>
        <stp>##V3_BDSV12</stp>
        <stp>SYK US Equity</stp>
        <stp>PG_DEPR_AMORTIZATION</stp>
        <stp>[Fundamental &amp; Technical Model (1).xlsm]Segments!R133C7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133" s="17"/>
        <tr r="G133" s="17"/>
      </tp>
      <tp t="s">
        <v>#N/A N/A</v>
        <stp/>
        <stp>##V3_BDSV12</stp>
        <stp>SYK US Equity</stp>
        <stp>PG_DEPR_AMORTIZATION</stp>
        <stp>[Fundamental &amp; Technical Model (1).xlsm]Segments!R149C7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149" s="17"/>
      </tp>
      <tp>
        <v>119</v>
        <stp/>
        <stp>##V3_BDSV12</stp>
        <stp>SYK US Equity</stp>
        <stp>PG_DEPR_AMORTIZATION</stp>
        <stp>[Fundamental &amp; Technical Model (1).xlsm]Segments!R135C7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135" s="17"/>
        <tr r="G135" s="17"/>
      </tp>
      <tp t="s">
        <v>#N/A N/A</v>
        <stp/>
        <stp>##V3_BDSV12</stp>
        <stp>SYK US Equity</stp>
        <stp>PG_DEPR_AMORTIZATION</stp>
        <stp>[Fundamental &amp; Technical Model (1).xlsm]Segments!R148C7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148" s="17"/>
      </tp>
      <tp>
        <v>84</v>
        <stp/>
        <stp>##V3_BDSV12</stp>
        <stp>SYK US Equity</stp>
        <stp>PG_DEPR_AMORTIZATION</stp>
        <stp>[Fundamental &amp; Technical Model (1).xlsm]Segments!R134C7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134" s="17"/>
        <tr r="G134" s="17"/>
      </tp>
      <tp t="e">
        <v>#N/A</v>
        <stp/>
        <stp>##V3_BDHV12</stp>
        <stp>SYK US Equity</stp>
        <stp>PX_TO_FREE_CASH_FLOW</stp>
        <stp>-9FY</stp>
        <stp>-9FY</stp>
        <stp>[Fundamental &amp; Technical Model (1).xlsm]Multiples!R57C4</stp>
        <stp>EQY_CONSOLIDATED</stp>
        <stp>Yes</stp>
        <stp>ACCOUNTING_STANDARD_OVERRIDE</stp>
        <stp>Mixed</stp>
        <stp>Per</stp>
        <stp>FY</stp>
        <stp>Days=A</stp>
        <tr r="D57" s="16"/>
        <tr r="D57" s="16"/>
      </tp>
      <tp t="s">
        <v>#N/A</v>
        <stp/>
        <stp>##V3_BQLV12</stp>
        <stp>[Fundamental &amp; Technical Model (1).xlsm]Income Statement!R40C14</stp>
        <stp>SYK US Equity</stp>
        <stp>IS_GAIN_LOSS_DISPOSAL_ASSETS/10^6</stp>
        <stp>FPT</stp>
        <stp>A</stp>
        <stp>FPO</stp>
        <stp>-0A</stp>
        <stp>STD</stp>
        <stp>Mixed</stp>
        <stp>CONSOL</stp>
        <stp>Yes</stp>
        <stp>CURRENCY</stp>
        <stp>USD</stp>
        <tr r="N40" s="2"/>
      </tp>
      <tp t="s">
        <v>#N/A</v>
        <stp/>
        <stp>##V3_BQLV12</stp>
        <stp>[Fundamental &amp; Technical Model (1).xlsm]Income Statement!R40C10</stp>
        <stp>SYK US Equity</stp>
        <stp>IS_GAIN_LOSS_DISPOSAL_ASSETS/10^6</stp>
        <stp>FPT</stp>
        <stp>A</stp>
        <stp>FPO</stp>
        <stp>-4A</stp>
        <stp>STD</stp>
        <stp>Mixed</stp>
        <stp>CONSOL</stp>
        <stp>Yes</stp>
        <stp>CURRENCY</stp>
        <stp>USD</stp>
        <tr r="J40" s="2"/>
      </tp>
      <tp t="s">
        <v>#N/A</v>
        <stp/>
        <stp>##V3_BQLV12</stp>
        <stp>[Fundamental &amp; Technical Model (1).xlsm]Income Statement!R40C11</stp>
        <stp>SYK US Equity</stp>
        <stp>IS_GAIN_LOSS_DISPOSAL_ASSETS/10^6</stp>
        <stp>FPT</stp>
        <stp>A</stp>
        <stp>FPO</stp>
        <stp>-3A</stp>
        <stp>STD</stp>
        <stp>Mixed</stp>
        <stp>CONSOL</stp>
        <stp>Yes</stp>
        <stp>CURRENCY</stp>
        <stp>USD</stp>
        <tr r="K40" s="2"/>
      </tp>
      <tp t="s">
        <v>#N/A</v>
        <stp/>
        <stp>##V3_BQLV12</stp>
        <stp>[Fundamental &amp; Technical Model (1).xlsm]Income Statement!R40C12</stp>
        <stp>SYK US Equity</stp>
        <stp>IS_GAIN_LOSS_DISPOSAL_ASSETS/10^6</stp>
        <stp>FPT</stp>
        <stp>A</stp>
        <stp>FPO</stp>
        <stp>-2A</stp>
        <stp>STD</stp>
        <stp>Mixed</stp>
        <stp>CONSOL</stp>
        <stp>Yes</stp>
        <stp>CURRENCY</stp>
        <stp>USD</stp>
        <tr r="L40" s="2"/>
      </tp>
      <tp t="s">
        <v>#N/A</v>
        <stp/>
        <stp>##V3_BQLV12</stp>
        <stp>[Fundamental &amp; Technical Model (1).xlsm]Income Statement!R40C13</stp>
        <stp>SYK US Equity</stp>
        <stp>IS_GAIN_LOSS_DISPOSAL_ASSETS/10^6</stp>
        <stp>FPT</stp>
        <stp>A</stp>
        <stp>FPO</stp>
        <stp>-1A</stp>
        <stp>STD</stp>
        <stp>Mixed</stp>
        <stp>CONSOL</stp>
        <stp>Yes</stp>
        <stp>CURRENCY</stp>
        <stp>USD</stp>
        <tr r="M40" s="2"/>
      </tp>
      <tp>
        <v>53</v>
        <stp/>
        <stp>##V3_BQLV12</stp>
        <stp>[Fundamental &amp; Technical Model (1).xlsm]Income Statement!R31C6</stp>
        <stp>SYK US Equity</stp>
        <stp>IS_INT_EXPENSE/10^6</stp>
        <stp>FPT</stp>
        <stp>A</stp>
        <stp>FPO</stp>
        <stp>-8A</stp>
        <stp>STD</stp>
        <stp>Mixed</stp>
        <stp>CONSOL</stp>
        <stp>Yes</stp>
        <stp>CURRENCY</stp>
        <stp>USD</stp>
        <tr r="F31" s="2"/>
      </tp>
      <tp t="s">
        <v>#N/A N/A</v>
        <stp/>
        <stp>##V3_BDSV12</stp>
        <stp>SYK US Equity</stp>
        <stp>PG_CAPITAL_EXPENDITURES</stp>
        <stp>[Fundamental &amp; Technical Model (1).xlsm]Segments!R168C13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168" s="17"/>
      </tp>
      <tp>
        <v>-0.28190578158458235</v>
        <stp/>
        <stp>##V3_BQLV12</stp>
        <stp>[Fundamental &amp; Technical Model (1).xlsm]Key Stats!R31C12</stp>
        <stp>SYK US Equity</stp>
        <stp>DILUTED_EPS_BEF_XO_ITEMS_GROWTH/100</stp>
        <stp>FPT</stp>
        <stp>A</stp>
        <stp>FPO</stp>
        <stp>1A</stp>
        <stp>STD</stp>
        <stp>Mixed</stp>
        <stp>CONSOL</stp>
        <stp>Yes</stp>
        <stp>CURRENCY</stp>
        <stp>USD</stp>
        <tr r="L31" s="23"/>
      </tp>
      <tp t="s">
        <v>#N/A N/A</v>
        <stp/>
        <stp>##V3_BDSV12</stp>
        <stp>SYK US Equity</stp>
        <stp>PG_CAPITAL_EXPENDITURES</stp>
        <stp>[Fundamental &amp; Technical Model (1).xlsm]Segments!R168C12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168" s="17"/>
      </tp>
      <tp>
        <v>0.20715128020927906</v>
        <stp/>
        <stp>##V3_BQLV12</stp>
        <stp>[Fundamental &amp; Technical Model (1).xlsm]Key Stats!R31C13</stp>
        <stp>SYK US Equity</stp>
        <stp>DILUTED_EPS_BEF_XO_ITEMS_GROWTH/100</stp>
        <stp>FPT</stp>
        <stp>A</stp>
        <stp>FPO</stp>
        <stp>2A</stp>
        <stp>STD</stp>
        <stp>Mixed</stp>
        <stp>CONSOL</stp>
        <stp>Yes</stp>
        <stp>CURRENCY</stp>
        <stp>USD</stp>
        <tr r="M31" s="23"/>
      </tp>
      <tp t="s">
        <v>#N/A N/A</v>
        <stp/>
        <stp>##V3_BDSV12</stp>
        <stp>SYK US Equity</stp>
        <stp>PG_CAPITAL_EXPENDITURES</stp>
        <stp>[Fundamental &amp; Technical Model (1).xlsm]Segments!R168C11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168" s="17"/>
      </tp>
      <tp t="s">
        <v>#N/A N/A</v>
        <stp/>
        <stp>##V3_BDSV12</stp>
        <stp>SYK US Equity</stp>
        <stp>PG_CAPITAL_EXPENDITURES</stp>
        <stp>[Fundamental &amp; Technical Model (1).xlsm]Segments!R168C10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168" s="17"/>
      </tp>
      <tp>
        <v>40178</v>
        <stp/>
        <stp>##V3_BQLV12</stp>
        <stp>[Fundamental &amp; Technical Model (1).xlsm]Cash Flow!R14C5</stp>
        <stp>SYK US Equity</stp>
        <stp>IS_EPS().PERIOD_END_DATE</stp>
        <stp>FPT</stp>
        <stp>A</stp>
        <stp>FPO</stp>
        <stp>-9A</stp>
        <stp>STD</stp>
        <stp>Mixed</stp>
        <stp>CONSOL</stp>
        <stp>Yes</stp>
        <tr r="E14" s="4"/>
      </tp>
      <tp>
        <v>41639</v>
        <stp/>
        <stp>##V3_BQLV12</stp>
        <stp>[Fundamental &amp; Technical Model (1).xlsm]Cash Flow!R14C9</stp>
        <stp>SYK US Equity</stp>
        <stp>IS_EPS().PERIOD_END_DATE</stp>
        <stp>FPT</stp>
        <stp>A</stp>
        <stp>FPO</stp>
        <stp>-5A</stp>
        <stp>STD</stp>
        <stp>Mixed</stp>
        <stp>CONSOL</stp>
        <stp>Yes</stp>
        <tr r="I14" s="4"/>
      </tp>
      <tp>
        <v>0.12241747136761746</v>
        <stp/>
        <stp>##V3_BQLV12</stp>
        <stp>[Fundamental &amp; Technical Model (1).xlsm]Key Stats!R31C14</stp>
        <stp>SYK US Equity</stp>
        <stp>DILUTED_EPS_BEF_XO_ITEMS_GROWTH/100</stp>
        <stp>FPT</stp>
        <stp>A</stp>
        <stp>FPO</stp>
        <stp>3A</stp>
        <stp>STD</stp>
        <stp>Mixed</stp>
        <stp>CONSOL</stp>
        <stp>Yes</stp>
        <stp>CURRENCY</stp>
        <stp>USD</stp>
        <tr r="N31" s="23"/>
      </tp>
      <tp t="s">
        <v>#N/A N/A</v>
        <stp/>
        <stp>##V3_BDSV12</stp>
        <stp>SYK US Equity</stp>
        <stp>PG_CAPITAL_EXPENDITURES</stp>
        <stp>[Fundamental &amp; Technical Model (1).xlsm]Segments!R168C14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168" s="17"/>
      </tp>
      <tp t="s">
        <v>#N/A</v>
        <stp/>
        <stp>##V3_BQLV12</stp>
        <stp>[Fundamental &amp; Technical Model (1).xlsm]Income Statement!R33C7</stp>
        <stp>SYK US Equity</stp>
        <stp>IS_NET_INTEREST_EXPENSE/10^6</stp>
        <stp>FPT</stp>
        <stp>A</stp>
        <stp>FPO</stp>
        <stp>-7A</stp>
        <stp>STD</stp>
        <stp>Mixed</stp>
        <stp>CONSOL</stp>
        <stp>Yes</stp>
        <stp>CURRENCY</stp>
        <stp>USD</stp>
        <tr r="G33" s="2"/>
      </tp>
      <tp t="s">
        <v>#N/A</v>
        <stp/>
        <stp>##V3_BQLV12</stp>
        <stp>[Fundamental &amp; Technical Model (1).xlsm]Income Statement!R33C6</stp>
        <stp>SYK US Equity</stp>
        <stp>IS_NET_INTEREST_EXPENSE/10^6</stp>
        <stp>FPT</stp>
        <stp>A</stp>
        <stp>FPO</stp>
        <stp>-8A</stp>
        <stp>STD</stp>
        <stp>Mixed</stp>
        <stp>CONSOL</stp>
        <stp>Yes</stp>
        <stp>CURRENCY</stp>
        <stp>USD</stp>
        <tr r="F33" s="2"/>
      </tp>
      <tp>
        <v>63</v>
        <stp/>
        <stp>##V3_BQLV12</stp>
        <stp>[Fundamental &amp; Technical Model (1).xlsm]Income Statement!R33C8</stp>
        <stp>SYK US Equity</stp>
        <stp>IS_NET_INTEREST_EXPENSE/10^6</stp>
        <stp>FPT</stp>
        <stp>A</stp>
        <stp>FPO</stp>
        <stp>-6A</stp>
        <stp>STD</stp>
        <stp>Mixed</stp>
        <stp>CONSOL</stp>
        <stp>Yes</stp>
        <stp>CURRENCY</stp>
        <stp>USD</stp>
        <tr r="H33" s="2"/>
      </tp>
      <tp t="s">
        <v>#N/A</v>
        <stp/>
        <stp>##V3_BQLV12</stp>
        <stp>[Fundamental &amp; Technical Model (1).xlsm]Income Statement!R33C5</stp>
        <stp>SYK US Equity</stp>
        <stp>IS_NET_INTEREST_EXPENSE/10^6</stp>
        <stp>FPT</stp>
        <stp>A</stp>
        <stp>FPO</stp>
        <stp>-9A</stp>
        <stp>STD</stp>
        <stp>Mixed</stp>
        <stp>CONSOL</stp>
        <stp>Yes</stp>
        <stp>CURRENCY</stp>
        <stp>USD</stp>
        <tr r="E33" s="2"/>
      </tp>
      <tp>
        <v>83</v>
        <stp/>
        <stp>##V3_BQLV12</stp>
        <stp>[Fundamental &amp; Technical Model (1).xlsm]Income Statement!R33C9</stp>
        <stp>SYK US Equity</stp>
        <stp>IS_NET_INTEREST_EXPENSE/10^6</stp>
        <stp>FPT</stp>
        <stp>A</stp>
        <stp>FPO</stp>
        <stp>-5A</stp>
        <stp>STD</stp>
        <stp>Mixed</stp>
        <stp>CONSOL</stp>
        <stp>Yes</stp>
        <stp>CURRENCY</stp>
        <stp>USD</stp>
        <tr r="I33" s="2"/>
      </tp>
      <tp t="s">
        <v>#N/A</v>
        <stp/>
        <stp>##V3_BQLV12</stp>
        <stp>[Fundamental &amp; Technical Model (1).xlsm]Income Statement!R40C9</stp>
        <stp>SYK US Equity</stp>
        <stp>IS_GAIN_LOSS_DISPOSAL_ASSETS/10^6</stp>
        <stp>FPT</stp>
        <stp>A</stp>
        <stp>FPO</stp>
        <stp>-5A</stp>
        <stp>STD</stp>
        <stp>Mixed</stp>
        <stp>CONSOL</stp>
        <stp>Yes</stp>
        <stp>CURRENCY</stp>
        <stp>USD</stp>
        <tr r="I40" s="2"/>
      </tp>
      <tp t="s">
        <v>#N/A</v>
        <stp/>
        <stp>##V3_BQLV12</stp>
        <stp>[Fundamental &amp; Technical Model (1).xlsm]Income Statement!R40C8</stp>
        <stp>SYK US Equity</stp>
        <stp>IS_GAIN_LOSS_DISPOSAL_ASSETS/10^6</stp>
        <stp>FPT</stp>
        <stp>A</stp>
        <stp>FPO</stp>
        <stp>-6A</stp>
        <stp>STD</stp>
        <stp>Mixed</stp>
        <stp>CONSOL</stp>
        <stp>Yes</stp>
        <stp>CURRENCY</stp>
        <stp>USD</stp>
        <tr r="H40" s="2"/>
      </tp>
      <tp t="s">
        <v>#N/A</v>
        <stp/>
        <stp>##V3_BQLV12</stp>
        <stp>[Fundamental &amp; Technical Model (1).xlsm]Income Statement!R40C7</stp>
        <stp>SYK US Equity</stp>
        <stp>IS_GAIN_LOSS_DISPOSAL_ASSETS/10^6</stp>
        <stp>FPT</stp>
        <stp>A</stp>
        <stp>FPO</stp>
        <stp>-7A</stp>
        <stp>STD</stp>
        <stp>Mixed</stp>
        <stp>CONSOL</stp>
        <stp>Yes</stp>
        <stp>CURRENCY</stp>
        <stp>USD</stp>
        <tr r="G40" s="2"/>
      </tp>
      <tp>
        <v>-24</v>
        <stp/>
        <stp>##V3_BQLV12</stp>
        <stp>[Fundamental &amp; Technical Model (1).xlsm]Income Statement!R40C6</stp>
        <stp>SYK US Equity</stp>
        <stp>IS_GAIN_LOSS_DISPOSAL_ASSETS/10^6</stp>
        <stp>FPT</stp>
        <stp>A</stp>
        <stp>FPO</stp>
        <stp>-8A</stp>
        <stp>STD</stp>
        <stp>Mixed</stp>
        <stp>CONSOL</stp>
        <stp>Yes</stp>
        <stp>CURRENCY</stp>
        <stp>USD</stp>
        <tr r="F40" s="2"/>
      </tp>
      <tp t="s">
        <v>#N/A</v>
        <stp/>
        <stp>##V3_BQLV12</stp>
        <stp>[Fundamental &amp; Technical Model (1).xlsm]Income Statement!R40C5</stp>
        <stp>SYK US Equity</stp>
        <stp>IS_GAIN_LOSS_DISPOSAL_ASSETS/10^6</stp>
        <stp>FPT</stp>
        <stp>A</stp>
        <stp>FPO</stp>
        <stp>-9A</stp>
        <stp>STD</stp>
        <stp>Mixed</stp>
        <stp>CONSOL</stp>
        <stp>Yes</stp>
        <stp>CURRENCY</stp>
        <stp>USD</stp>
        <tr r="E40" s="2"/>
      </tp>
      <tp>
        <v>60189735091.590004</v>
        <stp/>
        <stp>##V3_BDPV12</stp>
        <stp>ISRG Equity</stp>
        <stp>cur_mkt_cap</stp>
        <stp>[Fundamental &amp; Technical Model (1).xlsm]Public Comparables!R10C8</stp>
        <tr r="H10" s="24"/>
      </tp>
      <tp t="s">
        <v>2008 Y</v>
        <stp/>
        <stp>##V3_BDPV12</stp>
        <stp>SYK US Equity</stp>
        <stp>FISCAL_YEAR_PERIOD</stp>
        <stp>[Fundamental &amp; Technical Model (1).xlsm]Segments!R86C4</stp>
        <stp>EQY_FUND_RELATIVE_PERIOD</stp>
        <stp>-10FY</stp>
        <tr r="D86" s="17"/>
      </tp>
      <tp>
        <v>2018</v>
        <stp/>
        <stp>##V3_BQLV12</stp>
        <stp>[Fundamental &amp; Technical Model (1).xlsm]Key Stats!R21C4</stp>
        <stp>SYK US Equity</stp>
        <stp>EBITDA/10^6</stp>
        <stp>FPT</stp>
        <stp>A</stp>
        <stp>FPO</stp>
        <stp>-6A</stp>
        <stp>STD</stp>
        <stp>Mixed</stp>
        <stp>CONSOL</stp>
        <stp>Yes</stp>
        <stp>CURRENCY</stp>
        <stp>USD</stp>
        <tr r="D21" s="23"/>
      </tp>
      <tp t="s">
        <v>#N/A</v>
        <stp/>
        <stp>##V3_BQLV12</stp>
        <stp>[Fundamental &amp; Technical Model (1).xlsm]Income Statement!R41C11</stp>
        <stp>SYK US Equity</stp>
        <stp>IS_IMPAIRMENT_ASSETS/10^6</stp>
        <stp>FPT</stp>
        <stp>A</stp>
        <stp>FPO</stp>
        <stp>-3A</stp>
        <stp>STD</stp>
        <stp>Mixed</stp>
        <stp>CONSOL</stp>
        <stp>Yes</stp>
        <stp>CURRENCY</stp>
        <stp>USD</stp>
        <tr r="K41" s="2"/>
      </tp>
      <tp t="s">
        <v>#N/A</v>
        <stp/>
        <stp>##V3_BQLV12</stp>
        <stp>[Fundamental &amp; Technical Model (1).xlsm]Income Statement!R41C10</stp>
        <stp>SYK US Equity</stp>
        <stp>IS_IMPAIRMENT_ASSETS/10^6</stp>
        <stp>FPT</stp>
        <stp>A</stp>
        <stp>FPO</stp>
        <stp>-4A</stp>
        <stp>STD</stp>
        <stp>Mixed</stp>
        <stp>CONSOL</stp>
        <stp>Yes</stp>
        <stp>CURRENCY</stp>
        <stp>USD</stp>
        <tr r="J41" s="2"/>
      </tp>
      <tp t="s">
        <v>#N/A</v>
        <stp/>
        <stp>##V3_BQLV12</stp>
        <stp>[Fundamental &amp; Technical Model (1).xlsm]Income Statement!R41C13</stp>
        <stp>SYK US Equity</stp>
        <stp>IS_IMPAIRMENT_ASSETS/10^6</stp>
        <stp>FPT</stp>
        <stp>A</stp>
        <stp>FPO</stp>
        <stp>-1A</stp>
        <stp>STD</stp>
        <stp>Mixed</stp>
        <stp>CONSOL</stp>
        <stp>Yes</stp>
        <stp>CURRENCY</stp>
        <stp>USD</stp>
        <tr r="M41" s="2"/>
      </tp>
      <tp t="s">
        <v>#N/A</v>
        <stp/>
        <stp>##V3_BQLV12</stp>
        <stp>[Fundamental &amp; Technical Model (1).xlsm]Income Statement!R41C12</stp>
        <stp>SYK US Equity</stp>
        <stp>IS_IMPAIRMENT_ASSETS/10^6</stp>
        <stp>FPT</stp>
        <stp>A</stp>
        <stp>FPO</stp>
        <stp>-2A</stp>
        <stp>STD</stp>
        <stp>Mixed</stp>
        <stp>CONSOL</stp>
        <stp>Yes</stp>
        <stp>CURRENCY</stp>
        <stp>USD</stp>
        <tr r="L41" s="2"/>
      </tp>
      <tp t="s">
        <v>#N/A</v>
        <stp/>
        <stp>##V3_BQLV12</stp>
        <stp>[Fundamental &amp; Technical Model (1).xlsm]Income Statement!R41C14</stp>
        <stp>SYK US Equity</stp>
        <stp>IS_IMPAIRMENT_ASSETS/10^6</stp>
        <stp>FPT</stp>
        <stp>A</stp>
        <stp>FPO</stp>
        <stp>-0A</stp>
        <stp>STD</stp>
        <stp>Mixed</stp>
        <stp>CONSOL</stp>
        <stp>Yes</stp>
        <stp>CURRENCY</stp>
        <stp>USD</stp>
        <tr r="N41" s="2"/>
      </tp>
      <tp>
        <v>11176.57384843963</v>
        <stp/>
        <stp>##V3_BQLV12</stp>
        <stp>[Fundamental &amp; Technical Model (1).xlsm]Key Stats!R18C14</stp>
        <stp>SYK US Equity</stp>
        <stp>GROSS_PROFIT/10^6</stp>
        <stp>FPT</stp>
        <stp>A</stp>
        <stp>FPO</stp>
        <stp>3A</stp>
        <stp>STD</stp>
        <stp>Mixed</stp>
        <stp>CONSOL</stp>
        <stp>Yes</stp>
        <stp>CURRENCY</stp>
        <stp>USD</stp>
        <tr r="N18" s="23"/>
      </tp>
      <tp>
        <v>9792.2034347202298</v>
        <stp/>
        <stp>##V3_BQLV12</stp>
        <stp>[Fundamental &amp; Technical Model (1).xlsm]Key Stats!R18C12</stp>
        <stp>SYK US Equity</stp>
        <stp>GROSS_PROFIT/10^6</stp>
        <stp>FPT</stp>
        <stp>A</stp>
        <stp>FPO</stp>
        <stp>1A</stp>
        <stp>STD</stp>
        <stp>Mixed</stp>
        <stp>CONSOL</stp>
        <stp>Yes</stp>
        <stp>CURRENCY</stp>
        <stp>USD</stp>
        <tr r="L18" s="23"/>
      </tp>
      <tp>
        <v>10486.097568658452</v>
        <stp/>
        <stp>##V3_BQLV12</stp>
        <stp>[Fundamental &amp; Technical Model (1).xlsm]Key Stats!R18C13</stp>
        <stp>SYK US Equity</stp>
        <stp>GROSS_PROFIT/10^6</stp>
        <stp>FPT</stp>
        <stp>A</stp>
        <stp>FPO</stp>
        <stp>2A</stp>
        <stp>STD</stp>
        <stp>Mixed</stp>
        <stp>CONSOL</stp>
        <stp>Yes</stp>
        <stp>CURRENCY</stp>
        <stp>USD</stp>
        <tr r="M18" s="23"/>
      </tp>
      <tp t="s">
        <v>#N/A N/A</v>
        <stp/>
        <stp>##V3_BDSV12</stp>
        <stp>SYK US Equity</stp>
        <stp>PG_DEPR_AMORTIZATION</stp>
        <stp>[Fundamental &amp; Technical Model (1).xlsm]Segments!R154C4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154" s="17"/>
      </tp>
      <tp t="s">
        <v>#N/A N/A</v>
        <stp/>
        <stp>##V3_BDSV12</stp>
        <stp>SYK US Equity</stp>
        <stp>PG_DEPR_AMORTIZATION</stp>
        <stp>[Fundamental &amp; Technical Model (1).xlsm]Segments!R140C4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140" s="17"/>
      </tp>
      <tp t="s">
        <v>#N/A N/A</v>
        <stp/>
        <stp>##V3_BDSV12</stp>
        <stp>SYK US Equity</stp>
        <stp>PG_DEPR_AMORTIZATION</stp>
        <stp>[Fundamental &amp; Technical Model (1).xlsm]Segments!R155C4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155" s="17"/>
      </tp>
      <tp t="s">
        <v>#N/A N/A</v>
        <stp/>
        <stp>##V3_BDSV12</stp>
        <stp>SYK US Equity</stp>
        <stp>PG_DEPR_AMORTIZATION</stp>
        <stp>[Fundamental &amp; Technical Model (1).xlsm]Segments!R141C4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141" s="17"/>
      </tp>
      <tp t="s">
        <v>#N/A N/A</v>
        <stp/>
        <stp>##V3_BDSV12</stp>
        <stp>SYK US Equity</stp>
        <stp>PG_DEPR_AMORTIZATION</stp>
        <stp>[Fundamental &amp; Technical Model (1).xlsm]Segments!R152C4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152" s="17"/>
      </tp>
      <tp>
        <v>308.10000000000002</v>
        <stp/>
        <stp>##V3_BDSV12</stp>
        <stp>SYK US Equity</stp>
        <stp>PG_DEPR_AMORTIZATION</stp>
        <stp>[Fundamental &amp; Technical Model (1).xlsm]Segments!R138C4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138" s="17"/>
        <tr r="D138" s="17"/>
      </tp>
      <tp t="s">
        <v>#N/A N/A</v>
        <stp/>
        <stp>##V3_BDSV12</stp>
        <stp>SYK US Equity</stp>
        <stp>PG_DEPR_AMORTIZATION</stp>
        <stp>[Fundamental &amp; Technical Model (1).xlsm]Segments!R153C4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153" s="17"/>
      </tp>
      <tp t="s">
        <v>#N/A N/A</v>
        <stp/>
        <stp>##V3_BDSV12</stp>
        <stp>SYK US Equity</stp>
        <stp>PG_DEPR_AMORTIZATION</stp>
        <stp>[Fundamental &amp; Technical Model (1).xlsm]Segments!R139C4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139" s="17"/>
      </tp>
      <tp t="e">
        <v>#N/A</v>
        <stp/>
        <stp>##V3_BDHV12</stp>
        <stp>SYK US Equity</stp>
        <stp>LOW_PRICE_TO_TANGIBLE_BPS</stp>
        <stp>-8FY</stp>
        <stp>-8FY</stp>
        <stp>[Fundamental &amp; Technical Model (1).xlsm]Multiples!R48C5</stp>
        <stp>EQY_CONSOLIDATED</stp>
        <stp>Yes</stp>
        <stp>ACCOUNTING_STANDARD_OVERRIDE</stp>
        <stp>Mixed</stp>
        <stp>Per</stp>
        <stp>FY</stp>
        <stp>Days=A</stp>
        <tr r="E48" s="16"/>
        <tr r="E48" s="16"/>
      </tp>
      <tp>
        <v>-0.6323891625615764</v>
        <stp/>
        <stp>##V3_BQLV12</stp>
        <stp>[Fundamental &amp; Technical Model (1).xlsm]Ratios!R56C10</stp>
        <stp>SYK US Equity</stp>
        <stp>NET_DEBT_TO_EBITDA</stp>
        <stp>FPT</stp>
        <stp>A</stp>
        <stp>FPO</stp>
        <stp>-4A</stp>
        <stp>STD</stp>
        <stp>Mixed</stp>
        <stp>CONSOL</stp>
        <stp>Yes</stp>
        <tr r="J56" s="8"/>
      </tp>
      <tp t="s">
        <v>#N/A N/A</v>
        <stp/>
        <stp>##V3_BDSV12</stp>
        <stp>SYK US Equity</stp>
        <stp>PG_DEPR_AMORTIZATION</stp>
        <stp>[Fundamental &amp; Technical Model (1).xlsm]Segments!R150C4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150" s="17"/>
      </tp>
      <tp>
        <v>2.4464285714285716</v>
        <stp/>
        <stp>##V3_BQLV12</stp>
        <stp>[Fundamental &amp; Technical Model (1).xlsm]Ratios!R55C10</stp>
        <stp>SYK US Equity</stp>
        <stp>TOT_DEBT_TO_EBITDA</stp>
        <stp>FPT</stp>
        <stp>A</stp>
        <stp>FPO</stp>
        <stp>-4A</stp>
        <stp>STD</stp>
        <stp>Mixed</stp>
        <stp>CONSOL</stp>
        <stp>Yes</stp>
        <tr r="J55" s="8"/>
      </tp>
      <tp t="s">
        <v>#N/A N/A</v>
        <stp/>
        <stp>##V3_BDSV12</stp>
        <stp>SYK US Equity</stp>
        <stp>PG_DEPR_AMORTIZATION</stp>
        <stp>[Fundamental &amp; Technical Model (1).xlsm]Segments!R136C4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136" s="17"/>
      </tp>
      <tp t="s">
        <v>#N/A N/A</v>
        <stp/>
        <stp>##V3_BDSV12</stp>
        <stp>SYK US Equity</stp>
        <stp>PG_DEPR_AMORTIZATION</stp>
        <stp>[Fundamental &amp; Technical Model (1).xlsm]Segments!R151C4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151" s="17"/>
      </tp>
      <tp>
        <v>7.3</v>
        <stp/>
        <stp>##V3_BDSV12</stp>
        <stp>SYK US Equity</stp>
        <stp>PG_DEPR_AMORTIZATION</stp>
        <stp>[Fundamental &amp; Technical Model (1).xlsm]Segments!R137C4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137" s="17"/>
        <tr r="D137" s="17"/>
      </tp>
      <tp t="s">
        <v>#N/A N/A</v>
        <stp/>
        <stp>##V3_BDSV12</stp>
        <stp>SYK US Equity</stp>
        <stp>PG_DEPR_AMORTIZATION</stp>
        <stp>[Fundamental &amp; Technical Model (1).xlsm]Segments!R148C4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148" s="17"/>
      </tp>
      <tp>
        <v>72.2</v>
        <stp/>
        <stp>##V3_BDSV12</stp>
        <stp>SYK US Equity</stp>
        <stp>PG_DEPR_AMORTIZATION</stp>
        <stp>[Fundamental &amp; Technical Model (1).xlsm]Segments!R134C4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134" s="17"/>
        <tr r="D134" s="17"/>
      </tp>
      <tp t="s">
        <v>#N/A N/A</v>
        <stp/>
        <stp>##V3_BDSV12</stp>
        <stp>SYK US Equity</stp>
        <stp>PG_DEPR_AMORTIZATION</stp>
        <stp>[Fundamental &amp; Technical Model (1).xlsm]Segments!R149C4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149" s="17"/>
      </tp>
      <tp t="s">
        <v>#N/A N/A</v>
        <stp/>
        <stp>##V3_BDSV12</stp>
        <stp>SYK US Equity</stp>
        <stp>PG_DEPR_AMORTIZATION</stp>
        <stp>[Fundamental &amp; Technical Model (1).xlsm]Segments!R135C4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135" s="17"/>
      </tp>
      <tp t="s">
        <v>#N/A N/A</v>
        <stp/>
        <stp>##V3_BDSV12</stp>
        <stp>SYK US Equity</stp>
        <stp>PG_DEPR_AMORTIZATION</stp>
        <stp>[Fundamental &amp; Technical Model (1).xlsm]Segments!R147C4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147" s="17"/>
      </tp>
      <tp t="s">
        <v>#N/A N/A</v>
        <stp/>
        <stp>##V3_BDSV12</stp>
        <stp>SYK US Equity</stp>
        <stp>PG_DEPR_AMORTIZATION</stp>
        <stp>[Fundamental &amp; Technical Model (1).xlsm]Segments!R133C4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133" s="17"/>
      </tp>
      <tp>
        <v>1246</v>
        <stp/>
        <stp>##V3_BQLV12</stp>
        <stp>[Fundamental &amp; Technical Model (1).xlsm]Income Statement!R26C10</stp>
        <stp>SYK US Equity</stp>
        <stp>IS_OPER_INC/10^6</stp>
        <stp>FPT</stp>
        <stp>A</stp>
        <stp>FPO</stp>
        <stp>-4A</stp>
        <stp>STD</stp>
        <stp>Mixed</stp>
        <stp>CONSOL</stp>
        <stp>Yes</stp>
        <stp>CURRENCY</stp>
        <stp>USD</stp>
        <tr r="J26" s="2"/>
      </tp>
      <tp>
        <v>2537</v>
        <stp/>
        <stp>##V3_BQLV12</stp>
        <stp>[Fundamental &amp; Technical Model (1).xlsm]Income Statement!R26C14</stp>
        <stp>SYK US Equity</stp>
        <stp>IS_OPER_INC/10^6</stp>
        <stp>FPT</stp>
        <stp>A</stp>
        <stp>FPO</stp>
        <stp>-0A</stp>
        <stp>STD</stp>
        <stp>Mixed</stp>
        <stp>CONSOL</stp>
        <stp>Yes</stp>
        <stp>CURRENCY</stp>
        <stp>USD</stp>
        <tr r="N26" s="2"/>
      </tp>
      <tp>
        <v>1861</v>
        <stp/>
        <stp>##V3_BQLV12</stp>
        <stp>[Fundamental &amp; Technical Model (1).xlsm]Income Statement!R26C11</stp>
        <stp>SYK US Equity</stp>
        <stp>IS_OPER_INC/10^6</stp>
        <stp>FPT</stp>
        <stp>A</stp>
        <stp>FPO</stp>
        <stp>-3A</stp>
        <stp>STD</stp>
        <stp>Mixed</stp>
        <stp>CONSOL</stp>
        <stp>Yes</stp>
        <stp>CURRENCY</stp>
        <stp>USD</stp>
        <tr r="K26" s="2"/>
      </tp>
      <tp>
        <v>2297</v>
        <stp/>
        <stp>##V3_BQLV12</stp>
        <stp>[Fundamental &amp; Technical Model (1).xlsm]Income Statement!R26C13</stp>
        <stp>SYK US Equity</stp>
        <stp>IS_OPER_INC/10^6</stp>
        <stp>FPT</stp>
        <stp>A</stp>
        <stp>FPO</stp>
        <stp>-1A</stp>
        <stp>STD</stp>
        <stp>Mixed</stp>
        <stp>CONSOL</stp>
        <stp>Yes</stp>
        <stp>CURRENCY</stp>
        <stp>USD</stp>
        <tr r="M26" s="2"/>
      </tp>
      <tp>
        <v>2175</v>
        <stp/>
        <stp>##V3_BQLV12</stp>
        <stp>[Fundamental &amp; Technical Model (1).xlsm]Income Statement!R26C12</stp>
        <stp>SYK US Equity</stp>
        <stp>IS_OPER_INC/10^6</stp>
        <stp>FPT</stp>
        <stp>A</stp>
        <stp>FPO</stp>
        <stp>-2A</stp>
        <stp>STD</stp>
        <stp>Mixed</stp>
        <stp>CONSOL</stp>
        <stp>Yes</stp>
        <stp>CURRENCY</stp>
        <stp>USD</stp>
        <tr r="L26" s="2"/>
      </tp>
      <tp t="e">
        <v>#N/A</v>
        <stp/>
        <stp>##V3_BDHV12</stp>
        <stp>SYK US Equity</stp>
        <stp>PX_TO_FREE_CASH_FLOW</stp>
        <stp>-6FY</stp>
        <stp>-6FY</stp>
        <stp>[Fundamental &amp; Technical Model (1).xlsm]Multiples!R57C7</stp>
        <stp>EQY_CONSOLIDATED</stp>
        <stp>Yes</stp>
        <stp>ACCOUNTING_STANDARD_OVERRIDE</stp>
        <stp>Mixed</stp>
        <stp>Per</stp>
        <stp>FY</stp>
        <stp>Days=A</stp>
        <tr r="G57" s="16"/>
        <tr r="G57" s="16"/>
      </tp>
      <tp>
        <v>14</v>
        <stp/>
        <stp>##V3_BQLV12</stp>
        <stp>[Fundamental &amp; Technical Model (1).xlsm]Income Statement!R31C5</stp>
        <stp>SYK US Equity</stp>
        <stp>IS_INT_EXPENSE/10^6</stp>
        <stp>FPT</stp>
        <stp>A</stp>
        <stp>FPO</stp>
        <stp>-9A</stp>
        <stp>STD</stp>
        <stp>Mixed</stp>
        <stp>CONSOL</stp>
        <stp>Yes</stp>
        <stp>CURRENCY</stp>
        <stp>USD</stp>
        <tr r="E31" s="2"/>
      </tp>
      <tp>
        <v>190</v>
        <stp/>
        <stp>##V3_BQLV12</stp>
        <stp>[Fundamental &amp; Technical Model (1).xlsm]Income Statement!R25C10</stp>
        <stp>SYK US Equity</stp>
        <stp>IS_DEPR_EXP/10^6</stp>
        <stp>FPT</stp>
        <stp>A</stp>
        <stp>FPO</stp>
        <stp>-4A</stp>
        <stp>STD</stp>
        <stp>Mixed</stp>
        <stp>CONSOL</stp>
        <stp>Yes</stp>
        <stp>CURRENCY</stp>
        <stp>USD</stp>
        <tr r="J25" s="2"/>
      </tp>
      <tp>
        <v>306</v>
        <stp/>
        <stp>##V3_BQLV12</stp>
        <stp>[Fundamental &amp; Technical Model (1).xlsm]Income Statement!R25C14</stp>
        <stp>SYK US Equity</stp>
        <stp>IS_DEPR_EXP/10^6</stp>
        <stp>FPT</stp>
        <stp>A</stp>
        <stp>FPO</stp>
        <stp>-0A</stp>
        <stp>STD</stp>
        <stp>Mixed</stp>
        <stp>CONSOL</stp>
        <stp>Yes</stp>
        <stp>CURRENCY</stp>
        <stp>USD</stp>
        <tr r="N25" s="2"/>
      </tp>
      <tp>
        <v>187</v>
        <stp/>
        <stp>##V3_BQLV12</stp>
        <stp>[Fundamental &amp; Technical Model (1).xlsm]Income Statement!R25C11</stp>
        <stp>SYK US Equity</stp>
        <stp>IS_DEPR_EXP/10^6</stp>
        <stp>FPT</stp>
        <stp>A</stp>
        <stp>FPO</stp>
        <stp>-3A</stp>
        <stp>STD</stp>
        <stp>Mixed</stp>
        <stp>CONSOL</stp>
        <stp>Yes</stp>
        <stp>CURRENCY</stp>
        <stp>USD</stp>
        <tr r="K25" s="2"/>
      </tp>
      <tp>
        <v>271</v>
        <stp/>
        <stp>##V3_BQLV12</stp>
        <stp>[Fundamental &amp; Technical Model (1).xlsm]Income Statement!R25C13</stp>
        <stp>SYK US Equity</stp>
        <stp>IS_DEPR_EXP/10^6</stp>
        <stp>FPT</stp>
        <stp>A</stp>
        <stp>FPO</stp>
        <stp>-1A</stp>
        <stp>STD</stp>
        <stp>Mixed</stp>
        <stp>CONSOL</stp>
        <stp>Yes</stp>
        <stp>CURRENCY</stp>
        <stp>USD</stp>
        <tr r="M25" s="2"/>
      </tp>
      <tp>
        <v>227</v>
        <stp/>
        <stp>##V3_BQLV12</stp>
        <stp>[Fundamental &amp; Technical Model (1).xlsm]Income Statement!R25C12</stp>
        <stp>SYK US Equity</stp>
        <stp>IS_DEPR_EXP/10^6</stp>
        <stp>FPT</stp>
        <stp>A</stp>
        <stp>FPO</stp>
        <stp>-2A</stp>
        <stp>STD</stp>
        <stp>Mixed</stp>
        <stp>CONSOL</stp>
        <stp>Yes</stp>
        <stp>CURRENCY</stp>
        <stp>USD</stp>
        <tr r="L25" s="2"/>
      </tp>
      <tp>
        <v>3125</v>
        <stp/>
        <stp>##V3_BDPV12</stp>
        <stp>SYK US Equity</stp>
        <stp>BS_CONTRACTUAL_OBLIG_YEAR_1</stp>
        <stp>[Fundamental &amp; Technical Model (1).xlsm]Capital Structure Summary!R110C11</stp>
        <stp>EQY_FUND_RELATIVE_PERIOD</stp>
        <stp>-0FY</stp>
        <stp>EQY_FUND_CRNCY</stp>
        <stp>USD</stp>
        <stp>EQY_CONSOLIDATED</stp>
        <stp>Yes</stp>
        <stp>ACCOUNTING_STANDARD_OVERRIDE</stp>
        <stp>Mixed</stp>
        <stp>Fill=--</stp>
        <tr r="K110" s="21"/>
      </tp>
      <tp t="s">
        <v>#N/A N/A</v>
        <stp/>
        <stp>##V3_BDSV12</stp>
        <stp>SYK US Equity</stp>
        <stp>PG_CAPITAL_EXPENDITURES</stp>
        <stp>[Fundamental &amp; Technical Model (1).xlsm]Segments!R169C14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169" s="17"/>
      </tp>
      <tp t="s">
        <v>#N/A N/A</v>
        <stp/>
        <stp>##V3_BDSV12</stp>
        <stp>SYK US Equity</stp>
        <stp>PG_CAPITAL_EXPENDITURES</stp>
        <stp>[Fundamental &amp; Technical Model (1).xlsm]Segments!R169C10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169" s="17"/>
      </tp>
      <tp t="s">
        <v>#N/A N/A</v>
        <stp/>
        <stp>##V3_BDSV12</stp>
        <stp>SYK US Equity</stp>
        <stp>PG_CAPITAL_EXPENDITURES</stp>
        <stp>[Fundamental &amp; Technical Model (1).xlsm]Segments!R169C11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169" s="17"/>
      </tp>
      <tp t="s">
        <v>#N/A N/A</v>
        <stp/>
        <stp>##V3_BDSV12</stp>
        <stp>SYK US Equity</stp>
        <stp>PG_CAPITAL_EXPENDITURES</stp>
        <stp>[Fundamental &amp; Technical Model (1).xlsm]Segments!R169C12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169" s="17"/>
      </tp>
      <tp t="s">
        <v>#N/A N/A</v>
        <stp/>
        <stp>##V3_BDSV12</stp>
        <stp>SYK US Equity</stp>
        <stp>PG_CAPITAL_EXPENDITURES</stp>
        <stp>[Fundamental &amp; Technical Model (1).xlsm]Segments!R169C13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169" s="17"/>
      </tp>
      <tp>
        <v>2.4464285714285716</v>
        <stp/>
        <stp>##V3_BDPV12</stp>
        <stp>SYK US Equity</stp>
        <stp>TOT_DEBT_TO_EBITDA</stp>
        <stp>[Fundamental &amp; Technical Model (1).xlsm]Capital Structure Summary!R59C3</stp>
        <stp>EQY_FUND_RELATIVE_PERIOD</stp>
        <stp>-4FY</stp>
        <stp>EQY_FUND_CRNCY</stp>
        <stp>USD</stp>
        <stp>EQY_CONSOLIDATED</stp>
        <stp>Yes</stp>
        <stp>ACCOUNTING_STANDARD_OVERRIDE</stp>
        <stp>Mixed</stp>
        <stp>Fill=--</stp>
        <tr r="C59" s="21"/>
      </tp>
      <tp>
        <v>1.7705934455270151</v>
        <stp/>
        <stp>##V3_BDPV12</stp>
        <stp>SYK US Equity</stp>
        <stp>TOT_DEBT_TO_EBITDA</stp>
        <stp>[Fundamental &amp; Technical Model (1).xlsm]Capital Structure Summary!R59C5</stp>
        <stp>EQY_FUND_RELATIVE_PERIOD</stp>
        <stp>-3FY</stp>
        <stp>EQY_FUND_CRNCY</stp>
        <stp>USD</stp>
        <stp>EQY_CONSOLIDATED</stp>
        <stp>Yes</stp>
        <stp>ACCOUNTING_STANDARD_OVERRIDE</stp>
        <stp>Mixed</stp>
        <stp>Fill=--</stp>
        <tr r="E59" s="21"/>
      </tp>
      <tp>
        <v>2.5409775817714078</v>
        <stp/>
        <stp>##V3_BDPV12</stp>
        <stp>SYK US Equity</stp>
        <stp>TOT_DEBT_TO_EBITDA</stp>
        <stp>[Fundamental &amp; Technical Model (1).xlsm]Capital Structure Summary!R59C7</stp>
        <stp>EQY_FUND_RELATIVE_PERIOD</stp>
        <stp>-2FY</stp>
        <stp>EQY_FUND_CRNCY</stp>
        <stp>USD</stp>
        <stp>EQY_CONSOLIDATED</stp>
        <stp>Yes</stp>
        <stp>ACCOUNTING_STANDARD_OVERRIDE</stp>
        <stp>Mixed</stp>
        <stp>Fill=--</stp>
        <tr r="G59" s="21"/>
      </tp>
      <tp>
        <v>2.4572984008166041</v>
        <stp/>
        <stp>##V3_BDPV12</stp>
        <stp>SYK US Equity</stp>
        <stp>TOT_DEBT_TO_EBITDA</stp>
        <stp>[Fundamental &amp; Technical Model (1).xlsm]Capital Structure Summary!R59C9</stp>
        <stp>EQY_FUND_RELATIVE_PERIOD</stp>
        <stp>-1FY</stp>
        <stp>EQY_FUND_CRNCY</stp>
        <stp>USD</stp>
        <stp>EQY_CONSOLIDATED</stp>
        <stp>Yes</stp>
        <stp>ACCOUNTING_STANDARD_OVERRIDE</stp>
        <stp>Mixed</stp>
        <stp>Fill=--</stp>
        <tr r="I59" s="21"/>
      </tp>
      <tp>
        <v>102</v>
        <stp/>
        <stp>##V3_BQLV12</stp>
        <stp>[Fundamental &amp; Technical Model (1).xlsm]Cash Flow!R49C10</stp>
        <stp>SYK US Equity</stp>
        <stp>CF_ACT_CASH_PAID_FOR_INT_DEBT/10^6</stp>
        <stp>FPT</stp>
        <stp>A</stp>
        <stp>FPO</stp>
        <stp>-4A</stp>
        <stp>STD</stp>
        <stp>Mixed</stp>
        <stp>CONSOL</stp>
        <stp>Yes</stp>
        <stp>CURRENCY</stp>
        <stp>USD</stp>
        <tr r="J49" s="4"/>
      </tp>
      <tp>
        <v>101</v>
        <stp/>
        <stp>##V3_BQLV12</stp>
        <stp>[Fundamental &amp; Technical Model (1).xlsm]Cash Flow!R49C11</stp>
        <stp>SYK US Equity</stp>
        <stp>CF_ACT_CASH_PAID_FOR_INT_DEBT/10^6</stp>
        <stp>FPT</stp>
        <stp>A</stp>
        <stp>FPO</stp>
        <stp>-3A</stp>
        <stp>STD</stp>
        <stp>Mixed</stp>
        <stp>CONSOL</stp>
        <stp>Yes</stp>
        <stp>CURRENCY</stp>
        <stp>USD</stp>
        <tr r="K49" s="4"/>
      </tp>
      <tp>
        <v>180</v>
        <stp/>
        <stp>##V3_BQLV12</stp>
        <stp>[Fundamental &amp; Technical Model (1).xlsm]Cash Flow!R49C12</stp>
        <stp>SYK US Equity</stp>
        <stp>CF_ACT_CASH_PAID_FOR_INT_DEBT/10^6</stp>
        <stp>FPT</stp>
        <stp>A</stp>
        <stp>FPO</stp>
        <stp>-2A</stp>
        <stp>STD</stp>
        <stp>Mixed</stp>
        <stp>CONSOL</stp>
        <stp>Yes</stp>
        <stp>CURRENCY</stp>
        <stp>USD</stp>
        <tr r="L49" s="4"/>
      </tp>
      <tp>
        <v>231</v>
        <stp/>
        <stp>##V3_BQLV12</stp>
        <stp>[Fundamental &amp; Technical Model (1).xlsm]Cash Flow!R49C13</stp>
        <stp>SYK US Equity</stp>
        <stp>CF_ACT_CASH_PAID_FOR_INT_DEBT/10^6</stp>
        <stp>FPT</stp>
        <stp>A</stp>
        <stp>FPO</stp>
        <stp>-1A</stp>
        <stp>STD</stp>
        <stp>Mixed</stp>
        <stp>CONSOL</stp>
        <stp>Yes</stp>
        <stp>CURRENCY</stp>
        <stp>USD</stp>
        <tr r="M49" s="4"/>
      </tp>
      <tp>
        <v>248</v>
        <stp/>
        <stp>##V3_BQLV12</stp>
        <stp>[Fundamental &amp; Technical Model (1).xlsm]Cash Flow!R49C14</stp>
        <stp>SYK US Equity</stp>
        <stp>CF_ACT_CASH_PAID_FOR_INT_DEBT/10^6</stp>
        <stp>FPT</stp>
        <stp>A</stp>
        <stp>FPO</stp>
        <stp>-0A</stp>
        <stp>STD</stp>
        <stp>Mixed</stp>
        <stp>CONSOL</stp>
        <stp>Yes</stp>
        <stp>CURRENCY</stp>
        <stp>USD</stp>
        <tr r="N49" s="4"/>
      </tp>
      <tp t="e">
        <v>#N/A</v>
        <stp/>
        <stp>##V3_BDHV12</stp>
        <stp>SYK US Equity</stp>
        <stp>HIGH_EV_TO_T12M_SALES</stp>
        <stp>-2FY</stp>
        <stp>-2FY</stp>
        <stp>[Fundamental &amp; Technical Model (1).xlsm]Multiples!R17C11</stp>
        <stp>EQY_CONSOLIDATED</stp>
        <stp>Yes</stp>
        <stp>ACCOUNTING_STANDARD_OVERRIDE</stp>
        <stp>Mixed</stp>
        <stp>Per</stp>
        <stp>FY</stp>
        <stp>Days=A</stp>
        <tr r="K17" s="16"/>
        <tr r="K17" s="16"/>
      </tp>
      <tp t="e">
        <v>#N/A</v>
        <stp/>
        <stp>##V3_BDHV12</stp>
        <stp>SYK US Equity</stp>
        <stp>HIGH_EV_TO_T12M_SALES</stp>
        <stp>-3FY</stp>
        <stp>-3FY</stp>
        <stp>[Fundamental &amp; Technical Model (1).xlsm]Multiples!R17C10</stp>
        <stp>EQY_CONSOLIDATED</stp>
        <stp>Yes</stp>
        <stp>ACCOUNTING_STANDARD_OVERRIDE</stp>
        <stp>Mixed</stp>
        <stp>Per</stp>
        <stp>FY</stp>
        <stp>Days=A</stp>
        <tr r="J17" s="16"/>
        <tr r="J17" s="16"/>
      </tp>
      <tp t="e">
        <v>#N/A</v>
        <stp/>
        <stp>##V3_BDHV12</stp>
        <stp>SYK US Equity</stp>
        <stp>HIGH_EV_TO_T12M_SALES</stp>
        <stp>-0FY</stp>
        <stp>-0FY</stp>
        <stp>[Fundamental &amp; Technical Model (1).xlsm]Multiples!R17C13</stp>
        <stp>EQY_CONSOLIDATED</stp>
        <stp>Yes</stp>
        <stp>ACCOUNTING_STANDARD_OVERRIDE</stp>
        <stp>Mixed</stp>
        <stp>Per</stp>
        <stp>FY</stp>
        <stp>Days=A</stp>
        <tr r="M17" s="16"/>
        <tr r="M17" s="16"/>
      </tp>
      <tp t="e">
        <v>#N/A</v>
        <stp/>
        <stp>##V3_BDHV12</stp>
        <stp>SYK US Equity</stp>
        <stp>HIGH_EV_TO_T12M_SALES</stp>
        <stp>-1FY</stp>
        <stp>-1FY</stp>
        <stp>[Fundamental &amp; Technical Model (1).xlsm]Multiples!R17C12</stp>
        <stp>EQY_CONSOLIDATED</stp>
        <stp>Yes</stp>
        <stp>ACCOUNTING_STANDARD_OVERRIDE</stp>
        <stp>Mixed</stp>
        <stp>Per</stp>
        <stp>FY</stp>
        <stp>Days=A</stp>
        <tr r="L17" s="16"/>
        <tr r="L17" s="16"/>
      </tp>
      <tp>
        <v>1563</v>
        <stp/>
        <stp>##V3_BQLV12</stp>
        <stp>[Fundamental &amp; Technical Model (1).xlsm]Key Stats!R21C5</stp>
        <stp>SYK US Equity</stp>
        <stp>EBITDA/10^6</stp>
        <stp>FPT</stp>
        <stp>A</stp>
        <stp>FPO</stp>
        <stp>-5A</stp>
        <stp>STD</stp>
        <stp>Mixed</stp>
        <stp>CONSOL</stp>
        <stp>Yes</stp>
        <stp>CURRENCY</stp>
        <stp>USD</stp>
        <tr r="E21" s="23"/>
      </tp>
      <tp>
        <v>8486</v>
        <stp/>
        <stp>##V3_BDPV12</stp>
        <stp>SYK US Equity</stp>
        <stp>BS_LT_BORROW</stp>
        <stp>[Fundamental &amp; Technical Model (1).xlsm]Capital Structure Summary!R52C11</stp>
        <stp>EQY_FUND_RELATIVE_PERIOD</stp>
        <stp>-0FY</stp>
        <stp>EQY_FUND_CRNCY</stp>
        <stp>USD</stp>
        <stp>EQY_CONSOLIDATED</stp>
        <stp>Yes</stp>
        <stp>ACCOUNTING_STANDARD_OVERRIDE</stp>
        <stp>Mixed</stp>
        <stp>Fill=--</stp>
        <tr r="K52" s="21"/>
      </tp>
      <tp>
        <v>8486</v>
        <stp/>
        <stp>##V3_BDPV12</stp>
        <stp>SYK US Equity</stp>
        <stp>BS_LT_BORROW</stp>
        <stp>[Fundamental &amp; Technical Model (1).xlsm]Capital Structure Summary!R31C11</stp>
        <stp>EQY_FUND_RELATIVE_PERIOD</stp>
        <stp>-0FY</stp>
        <stp>EQY_FUND_CRNCY</stp>
        <stp>USD</stp>
        <stp>EQY_CONSOLIDATED</stp>
        <stp>Yes</stp>
        <stp>ACCOUNTING_STANDARD_OVERRIDE</stp>
        <stp>Mixed</stp>
        <stp>Fill=--</stp>
        <tr r="K31" s="21"/>
      </tp>
      <tp t="e">
        <v>#N/A</v>
        <stp/>
        <stp>##V3_BDHV12</stp>
        <stp>SYK US Equity</stp>
        <stp>AVG_EV_TO_T12M_EBITDA</stp>
        <stp>-10FY</stp>
        <stp>-10FY</stp>
        <stp>[Fundamental &amp; Technical Model (1).xlsm]Multiples!R22C3</stp>
        <stp>EQY_CONSOLIDATED</stp>
        <stp>Yes</stp>
        <stp>ACCOUNTING_STANDARD_OVERRIDE</stp>
        <stp>Mixed</stp>
        <stp>Per</stp>
        <stp>FY</stp>
        <stp>Days=A</stp>
        <tr r="C22" s="16"/>
        <tr r="C22" s="16"/>
      </tp>
      <tp>
        <v>1199.4000000000001</v>
        <stp/>
        <stp>##V3_BDPV12</stp>
        <stp>ISRG Equity</stp>
        <stp>EBIT</stp>
        <stp>[Fundamental &amp; Technical Model (1).xlsm]Public Comparables!R10C12</stp>
        <tr r="L10" s="24"/>
      </tp>
      <tp t="s">
        <v>#N/A N/A</v>
        <stp/>
        <stp>##V3_BDSV12</stp>
        <stp>SYK US Equity</stp>
        <stp>PG_DEPR_AMORTIZATION</stp>
        <stp>[Fundamental &amp; Technical Model (1).xlsm]Segments!R155C5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155" s="17"/>
      </tp>
      <tp t="s">
        <v>#N/A N/A</v>
        <stp/>
        <stp>##V3_BDSV12</stp>
        <stp>SYK US Equity</stp>
        <stp>PG_DEPR_AMORTIZATION</stp>
        <stp>[Fundamental &amp; Technical Model (1).xlsm]Segments!R141C5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141" s="17"/>
      </tp>
      <tp t="s">
        <v>#N/A N/A</v>
        <stp/>
        <stp>##V3_BDSV12</stp>
        <stp>SYK US Equity</stp>
        <stp>PG_DEPR_AMORTIZATION</stp>
        <stp>[Fundamental &amp; Technical Model (1).xlsm]Segments!R154C5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154" s="17"/>
      </tp>
      <tp t="s">
        <v>#N/A N/A</v>
        <stp/>
        <stp>##V3_BDSV12</stp>
        <stp>SYK US Equity</stp>
        <stp>PG_DEPR_AMORTIZATION</stp>
        <stp>[Fundamental &amp; Technical Model (1).xlsm]Segments!R140C5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140" s="17"/>
      </tp>
      <tp t="s">
        <v>#N/A N/A</v>
        <stp/>
        <stp>##V3_BDSV12</stp>
        <stp>SYK US Equity</stp>
        <stp>PG_DEPR_AMORTIZATION</stp>
        <stp>[Fundamental &amp; Technical Model (1).xlsm]Segments!R153C5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153" s="17"/>
      </tp>
      <tp>
        <v>245</v>
        <stp/>
        <stp>##V3_BDSV12</stp>
        <stp>SYK US Equity</stp>
        <stp>PG_DEPR_AMORTIZATION</stp>
        <stp>[Fundamental &amp; Technical Model (1).xlsm]Segments!R139C5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139" s="17"/>
        <tr r="E139" s="17"/>
      </tp>
      <tp t="e">
        <v>#N/A</v>
        <stp/>
        <stp>##V3_BDHV12</stp>
        <stp>SYK US Equity</stp>
        <stp>LOW_PRICE_TO_TANGIBLE_BPS</stp>
        <stp>-9FY</stp>
        <stp>-9FY</stp>
        <stp>[Fundamental &amp; Technical Model (1).xlsm]Multiples!R48C4</stp>
        <stp>EQY_CONSOLIDATED</stp>
        <stp>Yes</stp>
        <stp>ACCOUNTING_STANDARD_OVERRIDE</stp>
        <stp>Mixed</stp>
        <stp>Per</stp>
        <stp>FY</stp>
        <stp>Days=A</stp>
        <tr r="D48" s="16"/>
        <tr r="D48" s="16"/>
      </tp>
      <tp t="s">
        <v>#N/A N/A</v>
        <stp/>
        <stp>##V3_BDSV12</stp>
        <stp>SYK US Equity</stp>
        <stp>PG_DEPR_AMORTIZATION</stp>
        <stp>[Fundamental &amp; Technical Model (1).xlsm]Segments!R152C5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152" s="17"/>
      </tp>
      <tp t="s">
        <v>#N/A N/A</v>
        <stp/>
        <stp>##V3_BDSV12</stp>
        <stp>SYK US Equity</stp>
        <stp>PG_DEPR_AMORTIZATION</stp>
        <stp>[Fundamental &amp; Technical Model (1).xlsm]Segments!R138C5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138" s="17"/>
      </tp>
      <tp t="s">
        <v>#N/A N/A</v>
        <stp/>
        <stp>##V3_BDSV12</stp>
        <stp>SYK US Equity</stp>
        <stp>PG_DEPR_AMORTIZATION</stp>
        <stp>[Fundamental &amp; Technical Model (1).xlsm]Segments!R151C5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151" s="17"/>
      </tp>
      <tp>
        <v>22</v>
        <stp/>
        <stp>##V3_BDSV12</stp>
        <stp>SYK US Equity</stp>
        <stp>PG_DEPR_AMORTIZATION</stp>
        <stp>[Fundamental &amp; Technical Model (1).xlsm]Segments!R137C5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137" s="17"/>
        <tr r="E137" s="17"/>
      </tp>
      <tp t="s">
        <v>#N/A N/A</v>
        <stp/>
        <stp>##V3_BDSV12</stp>
        <stp>SYK US Equity</stp>
        <stp>PG_DEPR_AMORTIZATION</stp>
        <stp>[Fundamental &amp; Technical Model (1).xlsm]Segments!R150C5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150" s="17"/>
      </tp>
      <tp t="s">
        <v>#N/A N/A</v>
        <stp/>
        <stp>##V3_BDSV12</stp>
        <stp>SYK US Equity</stp>
        <stp>PG_DEPR_AMORTIZATION</stp>
        <stp>[Fundamental &amp; Technical Model (1).xlsm]Segments!R136C5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136" s="17"/>
      </tp>
      <tp t="s">
        <v>#N/A N/A</v>
        <stp/>
        <stp>##V3_BDSV12</stp>
        <stp>SYK US Equity</stp>
        <stp>PG_DEPR_AMORTIZATION</stp>
        <stp>[Fundamental &amp; Technical Model (1).xlsm]Segments!R149C5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149" s="17"/>
      </tp>
      <tp>
        <v>52</v>
        <stp/>
        <stp>##V3_BDSV12</stp>
        <stp>SYK US Equity</stp>
        <stp>PG_DEPR_AMORTIZATION</stp>
        <stp>[Fundamental &amp; Technical Model (1).xlsm]Segments!R135C5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135" s="17"/>
        <tr r="E135" s="17"/>
      </tp>
      <tp t="s">
        <v>#N/A N/A</v>
        <stp/>
        <stp>##V3_BDSV12</stp>
        <stp>SYK US Equity</stp>
        <stp>PG_DEPR_AMORTIZATION</stp>
        <stp>[Fundamental &amp; Technical Model (1).xlsm]Segments!R148C5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148" s="17"/>
      </tp>
      <tp>
        <v>66</v>
        <stp/>
        <stp>##V3_BDSV12</stp>
        <stp>SYK US Equity</stp>
        <stp>PG_DEPR_AMORTIZATION</stp>
        <stp>[Fundamental &amp; Technical Model (1).xlsm]Segments!R134C5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134" s="17"/>
        <tr r="E134" s="17"/>
      </tp>
      <tp t="s">
        <v>#N/A N/A</v>
        <stp/>
        <stp>##V3_BDSV12</stp>
        <stp>SYK US Equity</stp>
        <stp>PG_DEPR_AMORTIZATION</stp>
        <stp>[Fundamental &amp; Technical Model (1).xlsm]Segments!R147C5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147" s="17"/>
      </tp>
      <tp t="s">
        <v>#N/A N/A</v>
        <stp/>
        <stp>##V3_BDSV12</stp>
        <stp>SYK US Equity</stp>
        <stp>PG_DEPR_AMORTIZATION</stp>
        <stp>[Fundamental &amp; Technical Model (1).xlsm]Segments!R133C5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133" s="17"/>
      </tp>
      <tp>
        <v>480</v>
        <stp/>
        <stp>##V3_BDPV12</stp>
        <stp>SYK US Equity</stp>
        <stp>ARD_PREPAID_EXP_AND_OTHER</stp>
        <stp>[Fundamental &amp; Technical Model (1).xlsm]Balance Sheet!R24C12</stp>
        <stp>EQY_FUND_RELATIVE_PERIOD</stp>
        <stp>-2FY</stp>
        <stp>EQY_FUND_CRNCY</stp>
        <stp>USD</stp>
        <stp>EQY_CONSOLIDATED</stp>
        <stp>Yes</stp>
        <stp>ACCOUNTING_STANDARD_OVERRIDE</stp>
        <stp>Mixed</stp>
        <stp>Fill=0</stp>
        <tr r="L24" s="3"/>
      </tp>
      <tp>
        <v>563</v>
        <stp/>
        <stp>##V3_BDPV12</stp>
        <stp>SYK US Equity</stp>
        <stp>ARD_PREPAID_EXP_AND_OTHER</stp>
        <stp>[Fundamental &amp; Technical Model (1).xlsm]Balance Sheet!R24C11</stp>
        <stp>EQY_FUND_RELATIVE_PERIOD</stp>
        <stp>-3FY</stp>
        <stp>EQY_FUND_CRNCY</stp>
        <stp>USD</stp>
        <stp>EQY_CONSOLIDATED</stp>
        <stp>Yes</stp>
        <stp>ACCOUNTING_STANDARD_OVERRIDE</stp>
        <stp>Mixed</stp>
        <stp>Fill=0</stp>
        <tr r="K24" s="3"/>
      </tp>
      <tp>
        <v>537</v>
        <stp/>
        <stp>##V3_BDPV12</stp>
        <stp>SYK US Equity</stp>
        <stp>ARD_PREPAID_EXP_AND_OTHER</stp>
        <stp>[Fundamental &amp; Technical Model (1).xlsm]Balance Sheet!R24C13</stp>
        <stp>EQY_FUND_RELATIVE_PERIOD</stp>
        <stp>-1FY</stp>
        <stp>EQY_FUND_CRNCY</stp>
        <stp>USD</stp>
        <stp>EQY_CONSOLIDATED</stp>
        <stp>Yes</stp>
        <stp>ACCOUNTING_STANDARD_OVERRIDE</stp>
        <stp>Mixed</stp>
        <stp>Fill=0</stp>
        <tr r="M24" s="3"/>
      </tp>
      <tp>
        <v>524</v>
        <stp/>
        <stp>##V3_BDPV12</stp>
        <stp>SYK US Equity</stp>
        <stp>ARD_PREPAID_EXP_AND_OTHER</stp>
        <stp>[Fundamental &amp; Technical Model (1).xlsm]Balance Sheet!R24C10</stp>
        <stp>EQY_FUND_RELATIVE_PERIOD</stp>
        <stp>-4FY</stp>
        <stp>EQY_FUND_CRNCY</stp>
        <stp>USD</stp>
        <stp>EQY_CONSOLIDATED</stp>
        <stp>Yes</stp>
        <stp>ACCOUNTING_STANDARD_OVERRIDE</stp>
        <stp>Mixed</stp>
        <stp>Fill=0</stp>
        <tr r="J24" s="3"/>
      </tp>
      <tp>
        <v>747</v>
        <stp/>
        <stp>##V3_BDPV12</stp>
        <stp>SYK US Equity</stp>
        <stp>ARD_PREPAID_EXP_AND_OTHER</stp>
        <stp>[Fundamental &amp; Technical Model (1).xlsm]Balance Sheet!R24C14</stp>
        <stp>EQY_FUND_RELATIVE_PERIOD</stp>
        <stp>-0FY</stp>
        <stp>EQY_FUND_CRNCY</stp>
        <stp>USD</stp>
        <stp>EQY_CONSOLIDATED</stp>
        <stp>Yes</stp>
        <stp>ACCOUNTING_STANDARD_OVERRIDE</stp>
        <stp>Mixed</stp>
        <stp>Fill=0</stp>
        <tr r="N24" s="3"/>
      </tp>
      <tp t="e">
        <v>#N/A</v>
        <stp/>
        <stp>##V3_BDHV12</stp>
        <stp>SYK US Equity</stp>
        <stp>PX_TO_FREE_CASH_FLOW</stp>
        <stp>-7FY</stp>
        <stp>-7FY</stp>
        <stp>[Fundamental &amp; Technical Model (1).xlsm]Multiples!R57C6</stp>
        <stp>EQY_CONSOLIDATED</stp>
        <stp>Yes</stp>
        <stp>ACCOUNTING_STANDARD_OVERRIDE</stp>
        <stp>Mixed</stp>
        <stp>Per</stp>
        <stp>FY</stp>
        <stp>Days=A</stp>
        <tr r="F57" s="16"/>
        <tr r="F57" s="16"/>
      </tp>
      <tp t="s">
        <v>#N/A N/A</v>
        <stp/>
        <stp>##V3_BDSV12</stp>
        <stp>SYK US Equity</stp>
        <stp>PG_CAPITAL_EXPENDITURES</stp>
        <stp>[Fundamental &amp; Technical Model (1).xlsm]Segments!R166C11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166" s="17"/>
      </tp>
      <tp t="s">
        <v>#N/A N/A</v>
        <stp/>
        <stp>##V3_BDSV12</stp>
        <stp>SYK US Equity</stp>
        <stp>PG_CAPITAL_EXPENDITURES</stp>
        <stp>[Fundamental &amp; Technical Model (1).xlsm]Segments!R166C10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166" s="17"/>
      </tp>
      <tp t="s">
        <v>#N/A N/A</v>
        <stp/>
        <stp>##V3_BDSV12</stp>
        <stp>SYK US Equity</stp>
        <stp>PG_CAPITAL_EXPENDITURES</stp>
        <stp>[Fundamental &amp; Technical Model (1).xlsm]Segments!R166C13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166" s="17"/>
      </tp>
      <tp t="s">
        <v>#N/A N/A</v>
        <stp/>
        <stp>##V3_BDSV12</stp>
        <stp>SYK US Equity</stp>
        <stp>PG_CAPITAL_EXPENDITURES</stp>
        <stp>[Fundamental &amp; Technical Model (1).xlsm]Segments!R166C12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166" s="17"/>
      </tp>
      <tp t="s">
        <v>#N/A N/A</v>
        <stp/>
        <stp>##V3_BDSV12</stp>
        <stp>SYK US Equity</stp>
        <stp>PG_CAPITAL_EXPENDITURES</stp>
        <stp>[Fundamental &amp; Technical Model (1).xlsm]Segments!R166C14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166" s="17"/>
      </tp>
      <tp>
        <v>-669</v>
        <stp/>
        <stp>##V3_BQLV12</stp>
        <stp>[Fundamental &amp; Technical Model (1).xlsm]Cash Flow!R32C14</stp>
        <stp>SYK US Equity</stp>
        <stp>CF_REIMB_LT_BORROW/10^6</stp>
        <stp>FPT</stp>
        <stp>A</stp>
        <stp>FPO</stp>
        <stp>-0A</stp>
        <stp>STD</stp>
        <stp>Mixed</stp>
        <stp>CONSOL</stp>
        <stp>Yes</stp>
        <stp>CURRENCY</stp>
        <stp>USD</stp>
        <tr r="N32" s="4"/>
      </tp>
      <tp>
        <v>43100</v>
        <stp/>
        <stp>##V3_BQLV12</stp>
        <stp>[Fundamental &amp; Technical Model (1).xlsm]Key Stats!R13C9</stp>
        <stp>SYK US Equity</stp>
        <stp>IS_EPS().PERIOD_END_DATE</stp>
        <stp>FPT</stp>
        <stp>A</stp>
        <stp>FPO</stp>
        <stp>-1A</stp>
        <stp>STD</stp>
        <stp>Mixed</stp>
        <stp>CONSOL</stp>
        <stp>Yes</stp>
        <stp>CURRENCY</stp>
        <stp>USD</stp>
        <tr r="I13" s="23"/>
      </tp>
      <tp>
        <v>42735</v>
        <stp/>
        <stp>##V3_BQLV12</stp>
        <stp>[Fundamental &amp; Technical Model (1).xlsm]Key Stats!R13C8</stp>
        <stp>SYK US Equity</stp>
        <stp>IS_EPS().PERIOD_END_DATE</stp>
        <stp>FPT</stp>
        <stp>A</stp>
        <stp>FPO</stp>
        <stp>-2A</stp>
        <stp>STD</stp>
        <stp>Mixed</stp>
        <stp>CONSOL</stp>
        <stp>Yes</stp>
        <stp>CURRENCY</stp>
        <stp>USD</stp>
        <tr r="H13" s="23"/>
      </tp>
      <tp>
        <v>41639</v>
        <stp/>
        <stp>##V3_BQLV12</stp>
        <stp>[Fundamental &amp; Technical Model (1).xlsm]Key Stats!R13C5</stp>
        <stp>SYK US Equity</stp>
        <stp>IS_EPS().PERIOD_END_DATE</stp>
        <stp>FPT</stp>
        <stp>A</stp>
        <stp>FPO</stp>
        <stp>-5A</stp>
        <stp>STD</stp>
        <stp>Mixed</stp>
        <stp>CONSOL</stp>
        <stp>Yes</stp>
        <stp>CURRENCY</stp>
        <stp>USD</stp>
        <tr r="E13" s="23"/>
      </tp>
      <tp>
        <v>41274</v>
        <stp/>
        <stp>##V3_BQLV12</stp>
        <stp>[Fundamental &amp; Technical Model (1).xlsm]Key Stats!R13C4</stp>
        <stp>SYK US Equity</stp>
        <stp>IS_EPS().PERIOD_END_DATE</stp>
        <stp>FPT</stp>
        <stp>A</stp>
        <stp>FPO</stp>
        <stp>-6A</stp>
        <stp>STD</stp>
        <stp>Mixed</stp>
        <stp>CONSOL</stp>
        <stp>Yes</stp>
        <stp>CURRENCY</stp>
        <stp>USD</stp>
        <tr r="D13" s="23"/>
      </tp>
      <tp>
        <v>42004</v>
        <stp/>
        <stp>##V3_BQLV12</stp>
        <stp>[Fundamental &amp; Technical Model (1).xlsm]Key Stats!R13C6</stp>
        <stp>SYK US Equity</stp>
        <stp>IS_EPS().PERIOD_END_DATE</stp>
        <stp>FPT</stp>
        <stp>A</stp>
        <stp>FPO</stp>
        <stp>-4A</stp>
        <stp>STD</stp>
        <stp>Mixed</stp>
        <stp>CONSOL</stp>
        <stp>Yes</stp>
        <stp>CURRENCY</stp>
        <stp>USD</stp>
        <tr r="F13" s="23"/>
      </tp>
      <tp>
        <v>42369</v>
        <stp/>
        <stp>##V3_BQLV12</stp>
        <stp>[Fundamental &amp; Technical Model (1).xlsm]Key Stats!R13C7</stp>
        <stp>SYK US Equity</stp>
        <stp>IS_EPS().PERIOD_END_DATE</stp>
        <stp>FPT</stp>
        <stp>A</stp>
        <stp>FPO</stp>
        <stp>-3A</stp>
        <stp>STD</stp>
        <stp>Mixed</stp>
        <stp>CONSOL</stp>
        <stp>Yes</stp>
        <stp>CURRENCY</stp>
        <stp>USD</stp>
        <tr r="G13" s="23"/>
      </tp>
      <tp>
        <v>11.026548672566372</v>
        <stp/>
        <stp>##V3_BQLV12</stp>
        <stp>[Fundamental &amp; Technical Model (1).xlsm]Ratios!R52C10</stp>
        <stp>SYK US Equity</stp>
        <stp>EBIT_TO_INT_EXP</stp>
        <stp>FPT</stp>
        <stp>A</stp>
        <stp>FPO</stp>
        <stp>-4A</stp>
        <stp>STD</stp>
        <stp>Mixed</stp>
        <stp>CONSOL</stp>
        <stp>Yes</stp>
        <tr r="J52" s="8"/>
      </tp>
      <tp t="s">
        <v>#N/A N/A</v>
        <stp/>
        <stp>##V3_BDSV12</stp>
        <stp>SYK US Equity</stp>
        <stp>PG_GROSS_PROFIT</stp>
        <stp>[Fundamental &amp; Technical Model (1).xlsm]Segments!R69C7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69" s="17"/>
      </tp>
      <tp t="e">
        <v>#N/A</v>
        <stp/>
        <stp>##V3_BDHV12</stp>
        <stp>SYK US Equity</stp>
        <stp>PX_TO_FREE_CASH_FLOW</stp>
        <stp>-4FY</stp>
        <stp>-4FY</stp>
        <stp>[Fundamental &amp; Technical Model (1).xlsm]Multiples!R57C9</stp>
        <stp>EQY_CONSOLIDATED</stp>
        <stp>Yes</stp>
        <stp>ACCOUNTING_STANDARD_OVERRIDE</stp>
        <stp>Mixed</stp>
        <stp>Per</stp>
        <stp>FY</stp>
        <stp>Days=A</stp>
        <tr r="I57" s="16"/>
        <tr r="I57" s="16"/>
      </tp>
      <tp>
        <v>4.1654620927684025</v>
        <stp/>
        <stp>##V3_BQLV12</stp>
        <stp>[Fundamental &amp; Technical Model (1).xlsm]Key Stats!R53C8</stp>
        <stp>SYK US Equity</stp>
        <stp>EV_TO_SALES</stp>
        <stp>FPT=A</stp>
        <stp>FPO=3</stp>
        <stp>STD</stp>
        <stp>Mixed</stp>
        <stp>CONSOL</stp>
        <stp>Yes</stp>
        <stp>CURRENCY</stp>
        <stp>USD</stp>
        <tr r="H53" s="23"/>
      </tp>
      <tp t="s">
        <v>#N/A N/A</v>
        <stp/>
        <stp>##V3_BDSV12</stp>
        <stp>SYK US Equity</stp>
        <stp>PG_REVENUE</stp>
        <stp>[Fundamental &amp; Technical Model (1).xlsm]Segments!R26C5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26" s="17"/>
      </tp>
      <tp t="s">
        <v>#N/A N/A</v>
        <stp/>
        <stp>##V3_BDSV12</stp>
        <stp>SYK US Equity</stp>
        <stp>PG_CAPITAL_EXPENDITURES</stp>
        <stp>[Fundamental &amp; Technical Model (1).xlsm]Segments!R167C12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167" s="17"/>
      </tp>
      <tp t="s">
        <v>#N/A N/A</v>
        <stp/>
        <stp>##V3_BDSV12</stp>
        <stp>SYK US Equity</stp>
        <stp>PG_CAPITAL_EXPENDITURES</stp>
        <stp>[Fundamental &amp; Technical Model (1).xlsm]Segments!R167C13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167" s="17"/>
      </tp>
      <tp t="s">
        <v>#N/A N/A</v>
        <stp/>
        <stp>##V3_BDSV12</stp>
        <stp>SYK US Equity</stp>
        <stp>PG_CAPITAL_EXPENDITURES</stp>
        <stp>[Fundamental &amp; Technical Model (1).xlsm]Segments!R167C10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167" s="17"/>
      </tp>
      <tp t="s">
        <v>#N/A N/A</v>
        <stp/>
        <stp>##V3_BDSV12</stp>
        <stp>SYK US Equity</stp>
        <stp>PG_CAPITAL_EXPENDITURES</stp>
        <stp>[Fundamental &amp; Technical Model (1).xlsm]Segments!R167C11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167" s="17"/>
      </tp>
      <tp t="s">
        <v>#N/A N/A</v>
        <stp/>
        <stp>##V3_BDSV12</stp>
        <stp>SYK US Equity</stp>
        <stp>PG_CAPITAL_EXPENDITURES</stp>
        <stp>[Fundamental &amp; Technical Model (1).xlsm]Segments!R167C14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167" s="17"/>
      </tp>
      <tp t="s">
        <v>2008 Y</v>
        <stp/>
        <stp>##V3_BDPV12</stp>
        <stp>SYK US Equity</stp>
        <stp>FISCAL_YEAR_PERIOD</stp>
        <stp>[Fundamental &amp; Technical Model (1).xlsm]Segments!R72C4</stp>
        <stp>EQY_FUND_RELATIVE_PERIOD</stp>
        <stp>-10FY</stp>
        <tr r="D72" s="17"/>
      </tp>
      <tp>
        <v>0</v>
        <stp/>
        <stp>##V3_BDPV12</stp>
        <stp>SYK US Equity</stp>
        <stp>ARD_ACCRUED_EXPENSES</stp>
        <stp>[Fundamental &amp; Technical Model (1).xlsm]Balance Sheet!R37C4</stp>
        <stp>EQY_FUND_RELATIVE_PERIOD</stp>
        <stp>-10FY</stp>
        <stp>EQY_FUND_CRNCY</stp>
        <stp>USD</stp>
        <stp>EQY_CONSOLIDATED</stp>
        <stp>Yes</stp>
        <stp>ACCOUNTING_STANDARD_OVERRIDE</stp>
        <stp>Mixed</stp>
        <stp>Fill=0</stp>
        <tr r="D37" s="3"/>
      </tp>
      <tp t="s">
        <v>#N/A N/A</v>
        <stp/>
        <stp>##V3_BDSV12</stp>
        <stp>SYK US Equity</stp>
        <stp>PG_GROSS_PROFIT</stp>
        <stp>[Fundamental &amp; Technical Model (1).xlsm]Segments!R69C6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69" s="17"/>
      </tp>
      <tp>
        <v>1246</v>
        <stp/>
        <stp>##V3_BQLV12</stp>
        <stp>[Fundamental &amp; Technical Model (1).xlsm]Income Statement!R29C10</stp>
        <stp>SYK US Equity</stp>
        <stp>IS_OPER_INC/10^6</stp>
        <stp>FPT</stp>
        <stp>A</stp>
        <stp>FPO</stp>
        <stp>-4A</stp>
        <stp>STD</stp>
        <stp>Mixed</stp>
        <stp>CONSOL</stp>
        <stp>Yes</stp>
        <stp>CURRENCY</stp>
        <stp>USD</stp>
        <tr r="J29" s="2"/>
      </tp>
      <tp>
        <v>2537</v>
        <stp/>
        <stp>##V3_BQLV12</stp>
        <stp>[Fundamental &amp; Technical Model (1).xlsm]Income Statement!R29C14</stp>
        <stp>SYK US Equity</stp>
        <stp>IS_OPER_INC/10^6</stp>
        <stp>FPT</stp>
        <stp>A</stp>
        <stp>FPO</stp>
        <stp>-0A</stp>
        <stp>STD</stp>
        <stp>Mixed</stp>
        <stp>CONSOL</stp>
        <stp>Yes</stp>
        <stp>CURRENCY</stp>
        <stp>USD</stp>
        <tr r="N29" s="2"/>
      </tp>
      <tp>
        <v>1861</v>
        <stp/>
        <stp>##V3_BQLV12</stp>
        <stp>[Fundamental &amp; Technical Model (1).xlsm]Income Statement!R29C11</stp>
        <stp>SYK US Equity</stp>
        <stp>IS_OPER_INC/10^6</stp>
        <stp>FPT</stp>
        <stp>A</stp>
        <stp>FPO</stp>
        <stp>-3A</stp>
        <stp>STD</stp>
        <stp>Mixed</stp>
        <stp>CONSOL</stp>
        <stp>Yes</stp>
        <stp>CURRENCY</stp>
        <stp>USD</stp>
        <tr r="K29" s="2"/>
      </tp>
      <tp>
        <v>2297</v>
        <stp/>
        <stp>##V3_BQLV12</stp>
        <stp>[Fundamental &amp; Technical Model (1).xlsm]Income Statement!R29C13</stp>
        <stp>SYK US Equity</stp>
        <stp>IS_OPER_INC/10^6</stp>
        <stp>FPT</stp>
        <stp>A</stp>
        <stp>FPO</stp>
        <stp>-1A</stp>
        <stp>STD</stp>
        <stp>Mixed</stp>
        <stp>CONSOL</stp>
        <stp>Yes</stp>
        <stp>CURRENCY</stp>
        <stp>USD</stp>
        <tr r="M29" s="2"/>
      </tp>
      <tp>
        <v>2175</v>
        <stp/>
        <stp>##V3_BQLV12</stp>
        <stp>[Fundamental &amp; Technical Model (1).xlsm]Income Statement!R29C12</stp>
        <stp>SYK US Equity</stp>
        <stp>IS_OPER_INC/10^6</stp>
        <stp>FPT</stp>
        <stp>A</stp>
        <stp>FPO</stp>
        <stp>-2A</stp>
        <stp>STD</stp>
        <stp>Mixed</stp>
        <stp>CONSOL</stp>
        <stp>Yes</stp>
        <stp>CURRENCY</stp>
        <stp>USD</stp>
        <tr r="L29" s="2"/>
      </tp>
      <tp t="e">
        <v>#N/A</v>
        <stp/>
        <stp>##V3_BDHV12</stp>
        <stp>SYK US Equity</stp>
        <stp>PX_TO_FREE_CASH_FLOW</stp>
        <stp>-5FY</stp>
        <stp>-5FY</stp>
        <stp>[Fundamental &amp; Technical Model (1).xlsm]Multiples!R57C8</stp>
        <stp>EQY_CONSOLIDATED</stp>
        <stp>Yes</stp>
        <stp>ACCOUNTING_STANDARD_OVERRIDE</stp>
        <stp>Mixed</stp>
        <stp>Per</stp>
        <stp>FY</stp>
        <stp>Days=A</stp>
        <tr r="H57" s="16"/>
        <tr r="H57" s="16"/>
      </tp>
      <tp>
        <v>4.5865799099595517</v>
        <stp/>
        <stp>##V3_BQLV12</stp>
        <stp>[Fundamental &amp; Technical Model (1).xlsm]Key Stats!R53C7</stp>
        <stp>SYK US Equity</stp>
        <stp>EV_TO_SALES</stp>
        <stp>FPT=A</stp>
        <stp>FPO=2</stp>
        <stp>STD</stp>
        <stp>Mixed</stp>
        <stp>CONSOL</stp>
        <stp>Yes</stp>
        <stp>CURRENCY</stp>
        <stp>USD</stp>
        <tr r="G53" s="23"/>
      </tp>
      <tp t="s">
        <v>#N/A N/A</v>
        <stp/>
        <stp>##V3_BDSV12</stp>
        <stp>SYK US Equity</stp>
        <stp>PG_REVENUE</stp>
        <stp>[Fundamental &amp; Technical Model (1).xlsm]Segments!R26C4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26" s="17"/>
      </tp>
      <tp t="s">
        <v>#N/A N/A</v>
        <stp/>
        <stp>##V3_BDSV12</stp>
        <stp>SYK US Equity</stp>
        <stp>PG_ASSETS</stp>
        <stp>[Fundamental &amp; Technical Model (1).xlsm]Segments!R109C9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109" s="17"/>
      </tp>
      <tp t="s">
        <v>#N/A N/A</v>
        <stp/>
        <stp>##V3_BDSV12</stp>
        <stp>SYK US Equity</stp>
        <stp>PG_ASSETS</stp>
        <stp>[Fundamental &amp; Technical Model (1).xlsm]Segments!R109C8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109" s="17"/>
      </tp>
      <tp t="s">
        <v>Orthopaedics</v>
        <stp/>
        <stp>##V3_BDSV12</stp>
        <stp>SYK US Equity</stp>
        <stp>PG_ASSETS</stp>
        <stp>[Fundamental &amp; Technical Model (1).xlsm]Segments!R105C3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105" s="17"/>
        <tr r="C105" s="17"/>
      </tp>
      <tp t="s">
        <v>#N/A N/A</v>
        <stp/>
        <stp>##V3_BDSV12</stp>
        <stp>SYK US Equity</stp>
        <stp>PG_ASSETS</stp>
        <stp>[Fundamental &amp; Technical Model (1).xlsm]Segments!R108C9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108" s="17"/>
      </tp>
      <tp t="s">
        <v>#N/A N/A</v>
        <stp/>
        <stp>##V3_BDSV12</stp>
        <stp>SYK US Equity</stp>
        <stp>PG_ASSETS</stp>
        <stp>[Fundamental &amp; Technical Model (1).xlsm]Segments!R108C8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108" s="17"/>
      </tp>
      <tp t="s">
        <v>Neurotech and Spine</v>
        <stp/>
        <stp>##V3_BDSV12</stp>
        <stp>SYK US Equity</stp>
        <stp>PG_ASSETS</stp>
        <stp>[Fundamental &amp; Technical Model (1).xlsm]Segments!R106C3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106" s="17"/>
        <tr r="C106" s="17"/>
      </tp>
      <tp t="s">
        <v>MedSurg Equipment</v>
        <stp/>
        <stp>##V3_BDSV12</stp>
        <stp>SYK US Equity</stp>
        <stp>PG_ASSETS</stp>
        <stp>[Fundamental &amp; Technical Model (1).xlsm]Segments!R104C3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104" s="17"/>
        <tr r="C104" s="17"/>
      </tp>
      <tp>
        <v>-190</v>
        <stp/>
        <stp>##V3_BDSV12</stp>
        <stp>SYK US Equity</stp>
        <stp>PG_CAPITAL_EXPENDITURES</stp>
        <stp>[Fundamental &amp; Technical Model (1).xlsm]Segments!R164C14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164" s="17"/>
        <tr r="N164" s="17"/>
      </tp>
      <tp>
        <v>-216</v>
        <stp/>
        <stp>##V3_BDSV12</stp>
        <stp>SYK US Equity</stp>
        <stp>PG_CAPITAL_EXPENDITURES</stp>
        <stp>[Fundamental &amp; Technical Model (1).xlsm]Segments!R164C13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164" s="17"/>
        <tr r="M164" s="17"/>
      </tp>
      <tp>
        <v>40908</v>
        <stp/>
        <stp>##V3_BQLV12</stp>
        <stp>[Fundamental &amp; Technical Model (1).xlsm]Cash Flow!R14C7</stp>
        <stp>SYK US Equity</stp>
        <stp>IS_EPS().PERIOD_END_DATE</stp>
        <stp>FPT</stp>
        <stp>A</stp>
        <stp>FPO</stp>
        <stp>-7A</stp>
        <stp>STD</stp>
        <stp>Mixed</stp>
        <stp>CONSOL</stp>
        <stp>Yes</stp>
        <tr r="G14" s="4"/>
      </tp>
      <tp t="s">
        <v>Others</v>
        <stp/>
        <stp>##V3_BDSV12</stp>
        <stp>SYK US Equity</stp>
        <stp>PG_ASSETS</stp>
        <stp>[Fundamental &amp; Technical Model (1).xlsm]Segments!R107C3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107" s="17"/>
        <tr r="C107" s="17"/>
      </tp>
      <tp>
        <v>-183</v>
        <stp/>
        <stp>##V3_BDSV12</stp>
        <stp>SYK US Equity</stp>
        <stp>PG_CAPITAL_EXPENDITURES</stp>
        <stp>[Fundamental &amp; Technical Model (1).xlsm]Segments!R164C12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164" s="17"/>
        <tr r="L164" s="17"/>
      </tp>
      <tp>
        <v>-58</v>
        <stp/>
        <stp>##V3_BDSV12</stp>
        <stp>SYK US Equity</stp>
        <stp>PG_CAPITAL_EXPENDITURES</stp>
        <stp>[Fundamental &amp; Technical Model (1).xlsm]Segments!R164C11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164" s="17"/>
        <tr r="K164" s="17"/>
      </tp>
      <tp>
        <v>-56</v>
        <stp/>
        <stp>##V3_BDSV12</stp>
        <stp>SYK US Equity</stp>
        <stp>PG_CAPITAL_EXPENDITURES</stp>
        <stp>[Fundamental &amp; Technical Model (1).xlsm]Segments!R164C10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164" s="17"/>
        <tr r="J164" s="17"/>
      </tp>
      <tp>
        <v>6675</v>
        <stp/>
        <stp>##V3_BDSV12</stp>
        <stp>SYK US Equity</stp>
        <stp>PG_ASSETS</stp>
        <stp>[Fundamental &amp; Technical Model (1).xlsm]Segments!R105C9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105" s="17"/>
        <tr r="I105" s="17"/>
      </tp>
      <tp>
        <v>1741</v>
        <stp/>
        <stp>##V3_BQLV12</stp>
        <stp>[Fundamental &amp; Technical Model (1).xlsm]Income Statement!R78C8</stp>
        <stp>SYK US Equity</stp>
        <stp>EBIT/10^6</stp>
        <stp>FPT</stp>
        <stp>A</stp>
        <stp>FPO</stp>
        <stp>-6A</stp>
        <stp>STD</stp>
        <stp>Mixed</stp>
        <stp>CONSOL</stp>
        <stp>Yes</stp>
        <stp>CURRENCY</stp>
        <stp>USD</stp>
        <tr r="H78" s="2"/>
      </tp>
      <tp>
        <v>1256</v>
        <stp/>
        <stp>##V3_BQLV12</stp>
        <stp>[Fundamental &amp; Technical Model (1).xlsm]Income Statement!R78C9</stp>
        <stp>SYK US Equity</stp>
        <stp>EBIT/10^6</stp>
        <stp>FPT</stp>
        <stp>A</stp>
        <stp>FPO</stp>
        <stp>-5A</stp>
        <stp>STD</stp>
        <stp>Mixed</stp>
        <stp>CONSOL</stp>
        <stp>Yes</stp>
        <stp>CURRENCY</stp>
        <stp>USD</stp>
        <tr r="I78" s="2"/>
      </tp>
      <tp>
        <v>1751</v>
        <stp/>
        <stp>##V3_BQLV12</stp>
        <stp>[Fundamental &amp; Technical Model (1).xlsm]Income Statement!R78C6</stp>
        <stp>SYK US Equity</stp>
        <stp>EBIT/10^6</stp>
        <stp>FPT</stp>
        <stp>A</stp>
        <stp>FPO</stp>
        <stp>-8A</stp>
        <stp>STD</stp>
        <stp>Mixed</stp>
        <stp>CONSOL</stp>
        <stp>Yes</stp>
        <stp>CURRENCY</stp>
        <stp>USD</stp>
        <tr r="F78" s="2"/>
      </tp>
      <tp>
        <v>1686</v>
        <stp/>
        <stp>##V3_BQLV12</stp>
        <stp>[Fundamental &amp; Technical Model (1).xlsm]Income Statement!R78C7</stp>
        <stp>SYK US Equity</stp>
        <stp>EBIT/10^6</stp>
        <stp>FPT</stp>
        <stp>A</stp>
        <stp>FPO</stp>
        <stp>-7A</stp>
        <stp>STD</stp>
        <stp>Mixed</stp>
        <stp>CONSOL</stp>
        <stp>Yes</stp>
        <stp>CURRENCY</stp>
        <stp>USD</stp>
        <tr r="G78" s="2"/>
      </tp>
      <tp>
        <v>1594</v>
        <stp/>
        <stp>##V3_BQLV12</stp>
        <stp>[Fundamental &amp; Technical Model (1).xlsm]Income Statement!R78C5</stp>
        <stp>SYK US Equity</stp>
        <stp>EBIT/10^6</stp>
        <stp>FPT</stp>
        <stp>A</stp>
        <stp>FPO</stp>
        <stp>-9A</stp>
        <stp>STD</stp>
        <stp>Mixed</stp>
        <stp>CONSOL</stp>
        <stp>Yes</stp>
        <stp>CURRENCY</stp>
        <stp>USD</stp>
        <tr r="E78" s="2"/>
      </tp>
      <tp>
        <v>3654</v>
        <stp/>
        <stp>##V3_BDSV12</stp>
        <stp>SYK US Equity</stp>
        <stp>PG_ASSETS</stp>
        <stp>[Fundamental &amp; Technical Model (1).xlsm]Segments!R105C8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105" s="17"/>
        <tr r="H105" s="17"/>
      </tp>
      <tp t="s">
        <v>Orthopedic Implants</v>
        <stp/>
        <stp>##V3_BDSV12</stp>
        <stp>SYK US Equity</stp>
        <stp>PG_ASSETS</stp>
        <stp>[Fundamental &amp; Technical Model (1).xlsm]Segments!R109C3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109" s="17"/>
        <tr r="C109" s="17"/>
      </tp>
      <tp>
        <v>3147</v>
        <stp/>
        <stp>##V3_BDSV12</stp>
        <stp>SYK US Equity</stp>
        <stp>PG_ASSETS</stp>
        <stp>[Fundamental &amp; Technical Model (1).xlsm]Segments!R106C9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106" s="17"/>
        <tr r="I106" s="17"/>
      </tp>
      <tp>
        <v>3382</v>
        <stp/>
        <stp>##V3_BDSV12</stp>
        <stp>SYK US Equity</stp>
        <stp>PG_ASSETS</stp>
        <stp>[Fundamental &amp; Technical Model (1).xlsm]Segments!R104C9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104" s="17"/>
        <tr r="I104" s="17"/>
      </tp>
      <tp>
        <v>2600</v>
        <stp/>
        <stp>##V3_BDSV12</stp>
        <stp>SYK US Equity</stp>
        <stp>PG_ASSETS</stp>
        <stp>[Fundamental &amp; Technical Model (1).xlsm]Segments!R106C8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106" s="17"/>
        <tr r="H106" s="17"/>
      </tp>
      <tp>
        <v>2996</v>
        <stp/>
        <stp>##V3_BDSV12</stp>
        <stp>SYK US Equity</stp>
        <stp>PG_ASSETS</stp>
        <stp>[Fundamental &amp; Technical Model (1).xlsm]Segments!R104C8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104" s="17"/>
        <tr r="H104" s="17"/>
      </tp>
      <tp t="s">
        <v>Others</v>
        <stp/>
        <stp>##V3_BDSV12</stp>
        <stp>SYK US Equity</stp>
        <stp>PG_ASSETS</stp>
        <stp>[Fundamental &amp; Technical Model (1).xlsm]Segments!R108C3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108" s="17"/>
        <tr r="C108" s="17"/>
      </tp>
      <tp>
        <v>2539</v>
        <stp/>
        <stp>##V3_BDSV12</stp>
        <stp>SYK US Equity</stp>
        <stp>PG_ASSETS</stp>
        <stp>[Fundamental &amp; Technical Model (1).xlsm]Segments!R107C9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107" s="17"/>
        <tr r="I107" s="17"/>
      </tp>
      <tp>
        <v>3956</v>
        <stp/>
        <stp>##V3_BDSV12</stp>
        <stp>SYK US Equity</stp>
        <stp>PG_ASSETS</stp>
        <stp>[Fundamental &amp; Technical Model (1).xlsm]Segments!R107C8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107" s="17"/>
        <tr r="H107" s="17"/>
      </tp>
      <tp>
        <v>1.34</v>
        <stp/>
        <stp>##V3_BQLV12</stp>
        <stp>[Fundamental &amp; Technical Model (1).xlsm]Income Statement!R73C11</stp>
        <stp>SYK US Equity</stp>
        <stp>IS_DIV_PER_SHR</stp>
        <stp>FPT</stp>
        <stp>A</stp>
        <stp>FPO</stp>
        <stp>-3A</stp>
        <stp>STD</stp>
        <stp>Mixed</stp>
        <stp>CONSOL</stp>
        <stp>Yes</stp>
        <stp>CURRENCY</stp>
        <stp>USD</stp>
        <tr r="K73" s="2"/>
      </tp>
      <tp>
        <v>1.22</v>
        <stp/>
        <stp>##V3_BQLV12</stp>
        <stp>[Fundamental &amp; Technical Model (1).xlsm]Income Statement!R73C10</stp>
        <stp>SYK US Equity</stp>
        <stp>IS_DIV_PER_SHR</stp>
        <stp>FPT</stp>
        <stp>A</stp>
        <stp>FPO</stp>
        <stp>-4A</stp>
        <stp>STD</stp>
        <stp>Mixed</stp>
        <stp>CONSOL</stp>
        <stp>Yes</stp>
        <stp>CURRENCY</stp>
        <stp>USD</stp>
        <tr r="J73" s="2"/>
      </tp>
      <tp>
        <v>1.7</v>
        <stp/>
        <stp>##V3_BQLV12</stp>
        <stp>[Fundamental &amp; Technical Model (1).xlsm]Income Statement!R73C13</stp>
        <stp>SYK US Equity</stp>
        <stp>IS_DIV_PER_SHR</stp>
        <stp>FPT</stp>
        <stp>A</stp>
        <stp>FPO</stp>
        <stp>-1A</stp>
        <stp>STD</stp>
        <stp>Mixed</stp>
        <stp>CONSOL</stp>
        <stp>Yes</stp>
        <stp>CURRENCY</stp>
        <stp>USD</stp>
        <tr r="M73" s="2"/>
      </tp>
      <tp>
        <v>1.52</v>
        <stp/>
        <stp>##V3_BQLV12</stp>
        <stp>[Fundamental &amp; Technical Model (1).xlsm]Income Statement!R73C12</stp>
        <stp>SYK US Equity</stp>
        <stp>IS_DIV_PER_SHR</stp>
        <stp>FPT</stp>
        <stp>A</stp>
        <stp>FPO</stp>
        <stp>-2A</stp>
        <stp>STD</stp>
        <stp>Mixed</stp>
        <stp>CONSOL</stp>
        <stp>Yes</stp>
        <stp>CURRENCY</stp>
        <stp>USD</stp>
        <tr r="L73" s="2"/>
      </tp>
      <tp>
        <v>1.88</v>
        <stp/>
        <stp>##V3_BQLV12</stp>
        <stp>[Fundamental &amp; Technical Model (1).xlsm]Income Statement!R73C14</stp>
        <stp>SYK US Equity</stp>
        <stp>IS_DIV_PER_SHR</stp>
        <stp>FPT</stp>
        <stp>A</stp>
        <stp>FPO</stp>
        <stp>-0A</stp>
        <stp>STD</stp>
        <stp>Mixed</stp>
        <stp>CONSOL</stp>
        <stp>Yes</stp>
        <stp>CURRENCY</stp>
        <stp>USD</stp>
        <tr r="N73" s="2"/>
      </tp>
      <tp>
        <v>0</v>
        <stp/>
        <stp>##V3_BQLV12</stp>
        <stp>[Fundamental &amp; Technical Model (1).xlsm]Balance Sheet!R45C8</stp>
        <stp>SYK US Equity</stp>
        <stp xml:space="preserve">LT_DEFERRED_REVENUE/10^6 </stp>
        <stp>FPT</stp>
        <stp>A</stp>
        <stp>FPO</stp>
        <stp>-6A</stp>
        <stp>STD</stp>
        <stp>Mixed</stp>
        <stp>CONSOL</stp>
        <stp>Yes</stp>
        <stp>CURRENCY</stp>
        <stp>USD</stp>
        <tr r="H45" s="3"/>
      </tp>
      <tp>
        <v>0</v>
        <stp/>
        <stp>##V3_BQLV12</stp>
        <stp>[Fundamental &amp; Technical Model (1).xlsm]Balance Sheet!R45C9</stp>
        <stp>SYK US Equity</stp>
        <stp xml:space="preserve">LT_DEFERRED_REVENUE/10^6 </stp>
        <stp>FPT</stp>
        <stp>A</stp>
        <stp>FPO</stp>
        <stp>-5A</stp>
        <stp>STD</stp>
        <stp>Mixed</stp>
        <stp>CONSOL</stp>
        <stp>Yes</stp>
        <stp>CURRENCY</stp>
        <stp>USD</stp>
        <tr r="I45" s="3"/>
      </tp>
      <tp>
        <v>0</v>
        <stp/>
        <stp>##V3_BQLV12</stp>
        <stp>[Fundamental &amp; Technical Model (1).xlsm]Balance Sheet!R45C5</stp>
        <stp>SYK US Equity</stp>
        <stp xml:space="preserve">LT_DEFERRED_REVENUE/10^6 </stp>
        <stp>FPT</stp>
        <stp>A</stp>
        <stp>FPO</stp>
        <stp>-9A</stp>
        <stp>STD</stp>
        <stp>Mixed</stp>
        <stp>CONSOL</stp>
        <stp>Yes</stp>
        <stp>CURRENCY</stp>
        <stp>USD</stp>
        <tr r="E45" s="3"/>
      </tp>
      <tp>
        <v>0</v>
        <stp/>
        <stp>##V3_BQLV12</stp>
        <stp>[Fundamental &amp; Technical Model (1).xlsm]Balance Sheet!R45C6</stp>
        <stp>SYK US Equity</stp>
        <stp xml:space="preserve">LT_DEFERRED_REVENUE/10^6 </stp>
        <stp>FPT</stp>
        <stp>A</stp>
        <stp>FPO</stp>
        <stp>-8A</stp>
        <stp>STD</stp>
        <stp>Mixed</stp>
        <stp>CONSOL</stp>
        <stp>Yes</stp>
        <stp>CURRENCY</stp>
        <stp>USD</stp>
        <tr r="F45" s="3"/>
      </tp>
      <tp>
        <v>0</v>
        <stp/>
        <stp>##V3_BQLV12</stp>
        <stp>[Fundamental &amp; Technical Model (1).xlsm]Balance Sheet!R45C7</stp>
        <stp>SYK US Equity</stp>
        <stp xml:space="preserve">LT_DEFERRED_REVENUE/10^6 </stp>
        <stp>FPT</stp>
        <stp>A</stp>
        <stp>FPO</stp>
        <stp>-7A</stp>
        <stp>STD</stp>
        <stp>Mixed</stp>
        <stp>CONSOL</stp>
        <stp>Yes</stp>
        <stp>CURRENCY</stp>
        <stp>USD</stp>
        <tr r="G45" s="3"/>
      </tp>
      <tp>
        <v>2721</v>
        <stp/>
        <stp>##V3_BQLV12</stp>
        <stp>[Fundamental &amp; Technical Model (1).xlsm]Key Stats!R21C8</stp>
        <stp>SYK US Equity</stp>
        <stp>EBITDA/10^6</stp>
        <stp>FPT</stp>
        <stp>A</stp>
        <stp>FPO</stp>
        <stp>-2A</stp>
        <stp>STD</stp>
        <stp>Mixed</stp>
        <stp>CONSOL</stp>
        <stp>Yes</stp>
        <stp>CURRENCY</stp>
        <stp>USD</stp>
        <tr r="H21" s="23"/>
      </tp>
      <tp t="s">
        <v>2008 Y</v>
        <stp/>
        <stp>##V3_BDPV12</stp>
        <stp>SYK US Equity</stp>
        <stp>FISCAL_YEAR_PERIOD</stp>
        <stp>[Fundamental &amp; Technical Model (1).xlsm]Segments!R43C4</stp>
        <stp>EQY_FUND_RELATIVE_PERIOD</stp>
        <stp>-10FY</stp>
        <tr r="D43" s="17"/>
      </tp>
      <tp>
        <v>302</v>
        <stp/>
        <stp>##V3_BQLV12</stp>
        <stp>[Fundamental &amp; Technical Model (1).xlsm]Balance Sheet!R32C12</stp>
        <stp>SYK US Equity</stp>
        <stp>BS_DEFERRED_TAX_ASSETS_LT/10^6</stp>
        <stp>FPT</stp>
        <stp>A</stp>
        <stp>FPO</stp>
        <stp>-2A</stp>
        <stp>STD</stp>
        <stp>Mixed</stp>
        <stp>CONSOL</stp>
        <stp>Yes</stp>
        <stp>CURRENCY</stp>
        <stp>USD</stp>
        <tr r="L32" s="3"/>
      </tp>
      <tp>
        <v>283</v>
        <stp/>
        <stp>##V3_BQLV12</stp>
        <stp>[Fundamental &amp; Technical Model (1).xlsm]Balance Sheet!R32C13</stp>
        <stp>SYK US Equity</stp>
        <stp>BS_DEFERRED_TAX_ASSETS_LT/10^6</stp>
        <stp>FPT</stp>
        <stp>A</stp>
        <stp>FPO</stp>
        <stp>-1A</stp>
        <stp>STD</stp>
        <stp>Mixed</stp>
        <stp>CONSOL</stp>
        <stp>Yes</stp>
        <stp>CURRENCY</stp>
        <stp>USD</stp>
        <tr r="M32" s="3"/>
      </tp>
      <tp>
        <v>594</v>
        <stp/>
        <stp>##V3_BQLV12</stp>
        <stp>[Fundamental &amp; Technical Model (1).xlsm]Balance Sheet!R32C10</stp>
        <stp>SYK US Equity</stp>
        <stp>BS_DEFERRED_TAX_ASSETS_LT/10^6</stp>
        <stp>FPT</stp>
        <stp>A</stp>
        <stp>FPO</stp>
        <stp>-4A</stp>
        <stp>STD</stp>
        <stp>Mixed</stp>
        <stp>CONSOL</stp>
        <stp>Yes</stp>
        <stp>CURRENCY</stp>
        <stp>USD</stp>
        <tr r="J32" s="3"/>
      </tp>
      <tp>
        <v>477</v>
        <stp/>
        <stp>##V3_BQLV12</stp>
        <stp>[Fundamental &amp; Technical Model (1).xlsm]Balance Sheet!R32C11</stp>
        <stp>SYK US Equity</stp>
        <stp>BS_DEFERRED_TAX_ASSETS_LT/10^6</stp>
        <stp>FPT</stp>
        <stp>A</stp>
        <stp>FPO</stp>
        <stp>-3A</stp>
        <stp>STD</stp>
        <stp>Mixed</stp>
        <stp>CONSOL</stp>
        <stp>Yes</stp>
        <stp>CURRENCY</stp>
        <stp>USD</stp>
        <tr r="K32" s="3"/>
      </tp>
      <tp t="e">
        <v>#N/A</v>
        <stp/>
        <stp>##V3_BDHV12</stp>
        <stp>SYK US Equity</stp>
        <stp>LOW_PRICE_TO_TANGIBLE_BPS</stp>
        <stp>-4FY</stp>
        <stp>-4FY</stp>
        <stp>[Fundamental &amp; Technical Model (1).xlsm]Multiples!R48C9</stp>
        <stp>EQY_CONSOLIDATED</stp>
        <stp>Yes</stp>
        <stp>ACCOUNTING_STANDARD_OVERRIDE</stp>
        <stp>Mixed</stp>
        <stp>Per</stp>
        <stp>FY</stp>
        <stp>Days=A</stp>
        <tr r="I48" s="16"/>
        <tr r="I48" s="16"/>
      </tp>
      <tp t="e">
        <v>#N/A</v>
        <stp/>
        <stp>##V3_BDHV12</stp>
        <stp>SYK US Equity</stp>
        <stp>LOW_EV_TO_T12M_EBITDA</stp>
        <stp>-10FY</stp>
        <stp>-10FY</stp>
        <stp>[Fundamental &amp; Technical Model (1).xlsm]Multiples!R24C3</stp>
        <stp>EQY_CONSOLIDATED</stp>
        <stp>Yes</stp>
        <stp>ACCOUNTING_STANDARD_OVERRIDE</stp>
        <stp>Mixed</stp>
        <stp>Per</stp>
        <stp>FY</stp>
        <stp>Days=A</stp>
        <tr r="C24" s="16"/>
        <tr r="C24" s="16"/>
      </tp>
      <tp>
        <v>1678</v>
        <stp/>
        <stp>##V3_BQLV12</stp>
        <stp>[Fundamental &amp; Technical Model (1).xlsm]Balance Sheet!R32C14</stp>
        <stp>SYK US Equity</stp>
        <stp>BS_DEFERRED_TAX_ASSETS_LT/10^6</stp>
        <stp>FPT</stp>
        <stp>A</stp>
        <stp>FPO</stp>
        <stp>-0A</stp>
        <stp>STD</stp>
        <stp>Mixed</stp>
        <stp>CONSOL</stp>
        <stp>Yes</stp>
        <stp>CURRENCY</stp>
        <stp>USD</stp>
        <tr r="N32" s="3"/>
      </tp>
      <tp>
        <v>8842</v>
        <stp/>
        <stp>##V3_BQLV12</stp>
        <stp>[Fundamental &amp; Technical Model (1).xlsm]Balance Sheet!R55C12</stp>
        <stp>SYK US Equity</stp>
        <stp>BS_PURE_RETAINED_EARNINGS/10^6</stp>
        <stp>FPT</stp>
        <stp>A</stp>
        <stp>FPO</stp>
        <stp>-2A</stp>
        <stp>STD</stp>
        <stp>Mixed</stp>
        <stp>CONSOL</stp>
        <stp>Yes</stp>
        <stp>CURRENCY</stp>
        <stp>USD</stp>
        <tr r="L55" s="3"/>
      </tp>
      <tp>
        <v>8986</v>
        <stp/>
        <stp>##V3_BQLV12</stp>
        <stp>[Fundamental &amp; Technical Model (1).xlsm]Balance Sheet!R55C13</stp>
        <stp>SYK US Equity</stp>
        <stp>BS_PURE_RETAINED_EARNINGS/10^6</stp>
        <stp>FPT</stp>
        <stp>A</stp>
        <stp>FPO</stp>
        <stp>-1A</stp>
        <stp>STD</stp>
        <stp>Mixed</stp>
        <stp>CONSOL</stp>
        <stp>Yes</stp>
        <stp>CURRENCY</stp>
        <stp>USD</stp>
        <tr r="M55" s="3"/>
      </tp>
      <tp>
        <v>7559</v>
        <stp/>
        <stp>##V3_BQLV12</stp>
        <stp>[Fundamental &amp; Technical Model (1).xlsm]Balance Sheet!R55C10</stp>
        <stp>SYK US Equity</stp>
        <stp>BS_PURE_RETAINED_EARNINGS/10^6</stp>
        <stp>FPT</stp>
        <stp>A</stp>
        <stp>FPO</stp>
        <stp>-4A</stp>
        <stp>STD</stp>
        <stp>Mixed</stp>
        <stp>CONSOL</stp>
        <stp>Yes</stp>
        <stp>CURRENCY</stp>
        <stp>USD</stp>
        <tr r="J55" s="3"/>
      </tp>
      <tp>
        <v>7792</v>
        <stp/>
        <stp>##V3_BQLV12</stp>
        <stp>[Fundamental &amp; Technical Model (1).xlsm]Balance Sheet!R55C11</stp>
        <stp>SYK US Equity</stp>
        <stp>BS_PURE_RETAINED_EARNINGS/10^6</stp>
        <stp>FPT</stp>
        <stp>A</stp>
        <stp>FPO</stp>
        <stp>-3A</stp>
        <stp>STD</stp>
        <stp>Mixed</stp>
        <stp>CONSOL</stp>
        <stp>Yes</stp>
        <stp>CURRENCY</stp>
        <stp>USD</stp>
        <tr r="K55" s="3"/>
      </tp>
      <tp t="s">
        <v>#N/A N/A</v>
        <stp/>
        <stp>##V3_BDSV12</stp>
        <stp>SYK US Equity</stp>
        <stp>PG_GROSS_PROFIT</stp>
        <stp>[Fundamental &amp; Technical Model (1).xlsm]Segments!R69C5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69" s="17"/>
      </tp>
      <tp>
        <v>10765</v>
        <stp/>
        <stp>##V3_BQLV12</stp>
        <stp>[Fundamental &amp; Technical Model (1).xlsm]Balance Sheet!R55C14</stp>
        <stp>SYK US Equity</stp>
        <stp>BS_PURE_RETAINED_EARNINGS/10^6</stp>
        <stp>FPT</stp>
        <stp>A</stp>
        <stp>FPO</stp>
        <stp>-0A</stp>
        <stp>STD</stp>
        <stp>Mixed</stp>
        <stp>CONSOL</stp>
        <stp>Yes</stp>
        <stp>CURRENCY</stp>
        <stp>USD</stp>
        <tr r="N55" s="3"/>
      </tp>
      <tp>
        <v>83</v>
        <stp/>
        <stp>##V3_BQLV12</stp>
        <stp>[Fundamental &amp; Technical Model (1).xlsm]Income Statement!R31C9</stp>
        <stp>SYK US Equity</stp>
        <stp>IS_INT_EXPENSE/10^6</stp>
        <stp>FPT</stp>
        <stp>A</stp>
        <stp>FPO</stp>
        <stp>-5A</stp>
        <stp>STD</stp>
        <stp>Mixed</stp>
        <stp>CONSOL</stp>
        <stp>Yes</stp>
        <stp>CURRENCY</stp>
        <stp>USD</stp>
        <tr r="I31" s="2"/>
      </tp>
      <tp>
        <v>5.0383372258675925</v>
        <stp/>
        <stp>##V3_BQLV12</stp>
        <stp>[Fundamental &amp; Technical Model (1).xlsm]Key Stats!R53C6</stp>
        <stp>SYK US Equity</stp>
        <stp>EV_TO_SALES</stp>
        <stp>FPT=A</stp>
        <stp>FPO=1</stp>
        <stp>STD</stp>
        <stp>Mixed</stp>
        <stp>CONSOL</stp>
        <stp>Yes</stp>
        <stp>CURRENCY</stp>
        <stp>USD</stp>
        <tr r="F53" s="23"/>
      </tp>
      <tp t="s">
        <v>#N/A N/A</v>
        <stp/>
        <stp>##V3_BDSV12</stp>
        <stp>SYK US Equity</stp>
        <stp>PG_REVENUE</stp>
        <stp>[Fundamental &amp; Technical Model (1).xlsm]Segments!R26C7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26" s="17"/>
      </tp>
      <tp>
        <v>-77</v>
        <stp/>
        <stp>##V3_BDSV12</stp>
        <stp>SYK US Equity</stp>
        <stp>PG_CAPITAL_EXPENDITURES</stp>
        <stp>[Fundamental &amp; Technical Model (1).xlsm]Segments!R165C10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165" s="17"/>
        <tr r="J165" s="17"/>
      </tp>
      <tp t="s">
        <v>Reconstructive_orthopaedics</v>
        <stp/>
        <stp>##V3_BDSV12</stp>
        <stp>SYK US Equity</stp>
        <stp>PG_ASSETS</stp>
        <stp>[Fundamental &amp; Technical Model (1).xlsm]Segments!R110C3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110" s="17"/>
        <tr r="C110" s="17"/>
      </tp>
      <tp>
        <v>-89</v>
        <stp/>
        <stp>##V3_BDSV12</stp>
        <stp>SYK US Equity</stp>
        <stp>PG_CAPITAL_EXPENDITURES</stp>
        <stp>[Fundamental &amp; Technical Model (1).xlsm]Segments!R165C11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165" s="17"/>
        <tr r="K165" s="17"/>
      </tp>
      <tp>
        <v>-129</v>
        <stp/>
        <stp>##V3_BDSV12</stp>
        <stp>SYK US Equity</stp>
        <stp>PG_CAPITAL_EXPENDITURES</stp>
        <stp>[Fundamental &amp; Technical Model (1).xlsm]Segments!R165C12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165" s="17"/>
        <tr r="L165" s="17"/>
      </tp>
      <tp>
        <v>-194</v>
        <stp/>
        <stp>##V3_BDSV12</stp>
        <stp>SYK US Equity</stp>
        <stp>PG_CAPITAL_EXPENDITURES</stp>
        <stp>[Fundamental &amp; Technical Model (1).xlsm]Segments!R165C13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165" s="17"/>
        <tr r="M165" s="17"/>
      </tp>
      <tp t="s">
        <v>#N/A N/A</v>
        <stp/>
        <stp>##V3_BDSV12</stp>
        <stp>SYK US Equity</stp>
        <stp>PG_ASSETS</stp>
        <stp>[Fundamental &amp; Technical Model (1).xlsm]Segments!R112C9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112" s="17"/>
      </tp>
      <tp>
        <v>-217</v>
        <stp/>
        <stp>##V3_BDSV12</stp>
        <stp>SYK US Equity</stp>
        <stp>PG_CAPITAL_EXPENDITURES</stp>
        <stp>[Fundamental &amp; Technical Model (1).xlsm]Segments!R165C14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165" s="17"/>
        <tr r="N165" s="17"/>
      </tp>
      <tp t="s">
        <v>#N/A N/A</v>
        <stp/>
        <stp>##V3_BDSV12</stp>
        <stp>SYK US Equity</stp>
        <stp>PG_ASSETS</stp>
        <stp>[Fundamental &amp; Technical Model (1).xlsm]Segments!R112C8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112" s="17"/>
      </tp>
      <tp t="s">
        <v>#N/A N/A</v>
        <stp/>
        <stp>##V3_BDSV12</stp>
        <stp>SYK US Equity</stp>
        <stp>PG_ASSETS</stp>
        <stp>[Fundamental &amp; Technical Model (1).xlsm]Segments!R111C9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111" s="17"/>
      </tp>
      <tp t="s">
        <v>#N/A N/A</v>
        <stp/>
        <stp>##V3_BDSV12</stp>
        <stp>SYK US Equity</stp>
        <stp>PG_ASSETS</stp>
        <stp>[Fundamental &amp; Technical Model (1).xlsm]Segments!R111C8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111" s="17"/>
      </tp>
      <tp t="s">
        <v>#N/A N/A</v>
        <stp/>
        <stp>##V3_BDSV12</stp>
        <stp>SYK US Equity</stp>
        <stp>PG_ASSETS</stp>
        <stp>[Fundamental &amp; Technical Model (1).xlsm]Segments!R110C9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110" s="17"/>
      </tp>
      <tp t="s">
        <v>#N/A N/A</v>
        <stp/>
        <stp>##V3_BDSV12</stp>
        <stp>SYK US Equity</stp>
        <stp>PG_ASSETS</stp>
        <stp>[Fundamental &amp; Technical Model (1).xlsm]Segments!R110C8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110" s="17"/>
      </tp>
      <tp t="s">
        <v>#N/A N/A</v>
        <stp/>
        <stp>##V3_BDSV12</stp>
        <stp>SYK US Equity</stp>
        <stp>PG_ASSETS</stp>
        <stp>[Fundamental &amp; Technical Model (1).xlsm]Segments!R112C3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112" s="17"/>
      </tp>
      <tp t="s">
        <v>#N/A N/A</v>
        <stp/>
        <stp>##V3_BDSV12</stp>
        <stp>SYK US Equity</stp>
        <stp>PG_ASSETS</stp>
        <stp>[Fundamental &amp; Technical Model (1).xlsm]Segments!R111C3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111" s="17"/>
      </tp>
      <tp>
        <v>1074.3</v>
        <stp/>
        <stp>##V3_BDPV12</stp>
        <stp>ZBH Equity</stp>
        <stp>Trail_12M_ebitda</stp>
        <stp>[Fundamental &amp; Technical Model (1).xlsm]Public Comparables!R13C11</stp>
        <tr r="K13" s="24"/>
      </tp>
      <tp>
        <v>3260</v>
        <stp/>
        <stp>##V3_BQLV12</stp>
        <stp>[Fundamental &amp; Technical Model (1).xlsm]Key Stats!R21C10</stp>
        <stp>SYK US Equity</stp>
        <stp>EBITDA/10^6</stp>
        <stp>FPT</stp>
        <stp>A</stp>
        <stp>FPO</stp>
        <stp>-0A</stp>
        <stp>STD</stp>
        <stp>Mixed</stp>
        <stp>CONSOL</stp>
        <stp>Yes</stp>
        <stp>CURRENCY</stp>
        <stp>USD</stp>
        <tr r="J21" s="23"/>
      </tp>
      <tp t="s">
        <v>2008 Y</v>
        <stp/>
        <stp>##V3_BDPV12</stp>
        <stp>SYK US Equity</stp>
        <stp>FISCAL_YEAR_PERIOD</stp>
        <stp>[Fundamental &amp; Technical Model (1).xlsm]Segments!R57C4</stp>
        <stp>EQY_FUND_RELATIVE_PERIOD</stp>
        <stp>-10FY</stp>
        <tr r="D57" s="17"/>
      </tp>
      <tp>
        <v>2939</v>
        <stp/>
        <stp>##V3_BQLV12</stp>
        <stp>[Fundamental &amp; Technical Model (1).xlsm]Key Stats!R21C9</stp>
        <stp>SYK US Equity</stp>
        <stp>EBITDA/10^6</stp>
        <stp>FPT</stp>
        <stp>A</stp>
        <stp>FPO</stp>
        <stp>-1A</stp>
        <stp>STD</stp>
        <stp>Mixed</stp>
        <stp>CONSOL</stp>
        <stp>Yes</stp>
        <stp>CURRENCY</stp>
        <stp>USD</stp>
        <tr r="I21" s="23"/>
      </tp>
      <tp t="e">
        <v>#N/A</v>
        <stp/>
        <stp>##V3_BDHV12</stp>
        <stp>SYK US Equity</stp>
        <stp>LOW_PRICE_TO_TANGIBLE_BPS</stp>
        <stp>-5FY</stp>
        <stp>-5FY</stp>
        <stp>[Fundamental &amp; Technical Model (1).xlsm]Multiples!R48C8</stp>
        <stp>EQY_CONSOLIDATED</stp>
        <stp>Yes</stp>
        <stp>ACCOUNTING_STANDARD_OVERRIDE</stp>
        <stp>Mixed</stp>
        <stp>Per</stp>
        <stp>FY</stp>
        <stp>Days=A</stp>
        <tr r="H48" s="16"/>
        <tr r="H48" s="16"/>
      </tp>
      <tp t="e">
        <v>#N/A</v>
        <stp/>
        <stp>##V3_BDHV12</stp>
        <stp>SYK US Equity</stp>
        <stp>PX_ERN_RATIO_WITH_LOW_CLOS_PX</stp>
        <stp>-1FY</stp>
        <stp>-1FY</stp>
        <stp>[Fundamental &amp; Technical Model (1).xlsm]Multiples!R36C12</stp>
        <stp>EQY_CONSOLIDATED</stp>
        <stp>Yes</stp>
        <stp>ACCOUNTING_STANDARD_OVERRIDE</stp>
        <stp>Mixed</stp>
        <stp>Per</stp>
        <stp>FY</stp>
        <stp>Days=A</stp>
        <tr r="L36" s="16"/>
        <tr r="L36" s="16"/>
      </tp>
      <tp t="e">
        <v>#N/A</v>
        <stp/>
        <stp>##V3_BDHV12</stp>
        <stp>SYK US Equity</stp>
        <stp>PX_ERN_RATIO_WITH_LOW_CLOS_PX</stp>
        <stp>-0FY</stp>
        <stp>-0FY</stp>
        <stp>[Fundamental &amp; Technical Model (1).xlsm]Multiples!R36C13</stp>
        <stp>EQY_CONSOLIDATED</stp>
        <stp>Yes</stp>
        <stp>ACCOUNTING_STANDARD_OVERRIDE</stp>
        <stp>Mixed</stp>
        <stp>Per</stp>
        <stp>FY</stp>
        <stp>Days=A</stp>
        <tr r="M36" s="16"/>
        <tr r="M36" s="16"/>
      </tp>
      <tp t="e">
        <v>#N/A</v>
        <stp/>
        <stp>##V3_BDHV12</stp>
        <stp>SYK US Equity</stp>
        <stp>PX_ERN_RATIO_WITH_LOW_CLOS_PX</stp>
        <stp>-3FY</stp>
        <stp>-3FY</stp>
        <stp>[Fundamental &amp; Technical Model (1).xlsm]Multiples!R36C10</stp>
        <stp>EQY_CONSOLIDATED</stp>
        <stp>Yes</stp>
        <stp>ACCOUNTING_STANDARD_OVERRIDE</stp>
        <stp>Mixed</stp>
        <stp>Per</stp>
        <stp>FY</stp>
        <stp>Days=A</stp>
        <tr r="J36" s="16"/>
        <tr r="J36" s="16"/>
      </tp>
      <tp t="e">
        <v>#N/A</v>
        <stp/>
        <stp>##V3_BDHV12</stp>
        <stp>SYK US Equity</stp>
        <stp>PX_ERN_RATIO_WITH_LOW_CLOS_PX</stp>
        <stp>-2FY</stp>
        <stp>-2FY</stp>
        <stp>[Fundamental &amp; Technical Model (1).xlsm]Multiples!R36C11</stp>
        <stp>EQY_CONSOLIDATED</stp>
        <stp>Yes</stp>
        <stp>ACCOUNTING_STANDARD_OVERRIDE</stp>
        <stp>Mixed</stp>
        <stp>Per</stp>
        <stp>FY</stp>
        <stp>Days=A</stp>
        <tr r="K36" s="16"/>
        <tr r="K36" s="16"/>
      </tp>
      <tp t="s">
        <v>#N/A N/A</v>
        <stp/>
        <stp>##V3_BDSV12</stp>
        <stp>SYK US Equity</stp>
        <stp>PG_GROSS_PROFIT</stp>
        <stp>[Fundamental &amp; Technical Model (1).xlsm]Segments!R69C4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69" s="17"/>
      </tp>
      <tp>
        <v>63</v>
        <stp/>
        <stp>##V3_BQLV12</stp>
        <stp>[Fundamental &amp; Technical Model (1).xlsm]Income Statement!R31C8</stp>
        <stp>SYK US Equity</stp>
        <stp>IS_INT_EXPENSE/10^6</stp>
        <stp>FPT</stp>
        <stp>A</stp>
        <stp>FPO</stp>
        <stp>-6A</stp>
        <stp>STD</stp>
        <stp>Mixed</stp>
        <stp>CONSOL</stp>
        <stp>Yes</stp>
        <stp>CURRENCY</stp>
        <stp>USD</stp>
        <tr r="H31" s="2"/>
      </tp>
      <tp>
        <v>4.8842251419763247</v>
        <stp/>
        <stp>##V3_BQLV12</stp>
        <stp>[Fundamental &amp; Technical Model (1).xlsm]Key Stats!R53C4</stp>
        <stp>SYK US Equity</stp>
        <stp>EV_TO_SALES</stp>
        <stp>FPT=A</stp>
        <stp>FPO=0</stp>
        <stp>STD</stp>
        <stp>Mixed</stp>
        <stp>CONSOL</stp>
        <stp>Yes</stp>
        <stp>CURRENCY</stp>
        <stp>USD</stp>
        <tr r="D53" s="23"/>
      </tp>
      <tp t="s">
        <v>#N/A N/A</v>
        <stp/>
        <stp>##V3_BDSV12</stp>
        <stp>SYK US Equity</stp>
        <stp>PG_REVENUE</stp>
        <stp>[Fundamental &amp; Technical Model (1).xlsm]Segments!R26C6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26" s="17"/>
      </tp>
      <tp>
        <v>-31</v>
        <stp/>
        <stp>##V3_BDSV12</stp>
        <stp>SYK US Equity</stp>
        <stp>PG_CAPITAL_EXPENDITURES</stp>
        <stp>[Fundamental &amp; Technical Model (1).xlsm]Segments!R162C14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162" s="17"/>
        <tr r="N162" s="17"/>
      </tp>
      <tp>
        <v>-28</v>
        <stp/>
        <stp>##V3_BDSV12</stp>
        <stp>SYK US Equity</stp>
        <stp>PG_CAPITAL_EXPENDITURES</stp>
        <stp>[Fundamental &amp; Technical Model (1).xlsm]Segments!R162C11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162" s="17"/>
        <tr r="K162" s="17"/>
      </tp>
      <tp>
        <v>-20</v>
        <stp/>
        <stp>##V3_BDSV12</stp>
        <stp>SYK US Equity</stp>
        <stp>PG_CAPITAL_EXPENDITURES</stp>
        <stp>[Fundamental &amp; Technical Model (1).xlsm]Segments!R162C10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162" s="17"/>
        <tr r="J162" s="17"/>
      </tp>
      <tp>
        <v>-50</v>
        <stp/>
        <stp>##V3_BDSV12</stp>
        <stp>SYK US Equity</stp>
        <stp>PG_CAPITAL_EXPENDITURES</stp>
        <stp>[Fundamental &amp; Technical Model (1).xlsm]Segments!R162C13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162" s="17"/>
        <tr r="M162" s="17"/>
      </tp>
      <tp>
        <v>-25</v>
        <stp/>
        <stp>##V3_BDSV12</stp>
        <stp>SYK US Equity</stp>
        <stp>PG_CAPITAL_EXPENDITURES</stp>
        <stp>[Fundamental &amp; Technical Model (1).xlsm]Segments!R162C12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162" s="17"/>
        <tr r="L162" s="17"/>
      </tp>
      <tp>
        <v>-1428</v>
        <stp/>
        <stp>##V3_BQLV12</stp>
        <stp>[Fundamental &amp; Technical Model (1).xlsm]Cash Flow!R32C10</stp>
        <stp>SYK US Equity</stp>
        <stp>CF_REIMB_LT_BORROW/10^6</stp>
        <stp>FPT</stp>
        <stp>A</stp>
        <stp>FPO</stp>
        <stp>-4A</stp>
        <stp>STD</stp>
        <stp>Mixed</stp>
        <stp>CONSOL</stp>
        <stp>Yes</stp>
        <stp>CURRENCY</stp>
        <stp>USD</stp>
        <tr r="J32" s="4"/>
      </tp>
      <tp>
        <v>134.5</v>
        <stp/>
        <stp>##V3_BDPV12</stp>
        <stp>DHR Equity</stp>
        <stp>high_52week</stp>
        <stp>[Fundamental &amp; Technical Model (1).xlsm]Public Comparables!R9C6</stp>
        <tr r="F9" s="24"/>
      </tp>
      <tp t="e">
        <v>#N/A</v>
        <stp/>
        <stp>##V3_BDHV12</stp>
        <stp>SYK US Equity</stp>
        <stp>EV_TO_T12M_EBITDA</stp>
        <stp>-9FY</stp>
        <stp>-9FY</stp>
        <stp>[Fundamental &amp; Technical Model (1).xlsm]Multiples!R21C4</stp>
        <stp>EQY_CONSOLIDATED</stp>
        <stp>Yes</stp>
        <stp>ACCOUNTING_STANDARD_OVERRIDE</stp>
        <stp>Mixed</stp>
        <stp>Per</stp>
        <stp>FY</stp>
        <stp>Days=A</stp>
        <tr r="D21" s="16"/>
        <tr r="D21" s="16"/>
      </tp>
      <tp t="s">
        <v>#N/A N/A</v>
        <stp/>
        <stp>##V3_BDSV12</stp>
        <stp>SYK US Equity</stp>
        <stp>PG_CAPITAL_EXPENDITURES</stp>
        <stp>[Fundamental &amp; Technical Model (1).xlsm]Segments!R185C4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185" s="17"/>
      </tp>
      <tp>
        <v>727.4</v>
        <stp/>
        <stp>##V3_BQLV12</stp>
        <stp>[Fundamental &amp; Technical Model (1).xlsm]Balance Sheet!R74C4</stp>
        <stp>SYK US Equity</stp>
        <stp>INVTRY_FINISHED_GOODS/10^6</stp>
        <stp>FPT</stp>
        <stp>A</stp>
        <stp>FPO</stp>
        <stp>-10A</stp>
        <stp>STD</stp>
        <stp>Mixed</stp>
        <stp>CONSOL</stp>
        <stp>Yes</stp>
        <stp>CURRENCY</stp>
        <stp>USD</stp>
        <tr r="D74" s="3"/>
      </tp>
      <tp>
        <v>6.6070189999999993</v>
        <stp/>
        <stp>##V3_BDPV12</stp>
        <stp>SYK Equity</stp>
        <stp>trail_12M_EPS</stp>
        <stp>[Fundamental &amp; Technical Model (1).xlsm]Public Comparables!R7C13</stp>
        <tr r="M7" s="24"/>
      </tp>
      <tp t="s">
        <v>2008 Y</v>
        <stp/>
        <stp>##V3_BDPV12</stp>
        <stp>SYK US Equity</stp>
        <stp>FISCAL_YEAR_PERIOD</stp>
        <stp>[Fundamental &amp; Technical Model (1).xlsm]Segments!R28C4</stp>
        <stp>EQY_FUND_RELATIVE_PERIOD</stp>
        <stp>-10FY</stp>
        <tr r="D28" s="17"/>
      </tp>
      <tp t="e">
        <v>#N/A</v>
        <stp/>
        <stp>##V3_BDHV12</stp>
        <stp>SYK US Equity</stp>
        <stp>HIGH_PRICE_TO_FREE_CASH_FLOW</stp>
        <stp>-10FY</stp>
        <stp>-10FY</stp>
        <stp>[Fundamental &amp; Technical Model (1).xlsm]Multiples!R59C3</stp>
        <stp>EQY_CONSOLIDATED</stp>
        <stp>Yes</stp>
        <stp>ACCOUNTING_STANDARD_OVERRIDE</stp>
        <stp>Mixed</stp>
        <stp>Per</stp>
        <stp>FY</stp>
        <stp>Days=A</stp>
        <tr r="C59" s="16"/>
        <tr r="C59" s="16"/>
      </tp>
      <tp>
        <v>9.6098484848484844</v>
        <stp/>
        <stp>##V3_BQLV12</stp>
        <stp>[Fundamental &amp; Technical Model (1).xlsm]Ratios!R52C14</stp>
        <stp>SYK US Equity</stp>
        <stp>EBIT_TO_INT_EXP</stp>
        <stp>FPT</stp>
        <stp>A</stp>
        <stp>FPO</stp>
        <stp>-0A</stp>
        <stp>STD</stp>
        <stp>Mixed</stp>
        <stp>CONSOL</stp>
        <stp>Yes</stp>
        <tr r="N52" s="8"/>
      </tp>
      <tp>
        <v>43550</v>
        <stp/>
        <stp>##V3_BTH</stp>
        <stp>SYK US Equity</stp>
        <stp>FEAR_GREED</stp>
        <stp>3/26/2019</stp>
        <stp>4/25/2019</stp>
        <stp>[Fundamental &amp; Technical Model (1).xlsm]Technical Analysis Data!R21C7</stp>
        <stp>FG</stp>
        <stp>Sens=5</stp>
        <stp>DSHigh=PX_HIGH</stp>
        <stp>DSLow=PX_LOW</stp>
        <stp>DSClose=PX_LAST</stp>
        <stp>Dir=H</stp>
        <stp>Dts=S</stp>
        <stp>cols=22;rows=2</stp>
        <tr r="G21" s="31"/>
      </tp>
      <tp>
        <v>8307</v>
        <stp/>
        <stp>##V3_BQLV12</stp>
        <stp>[Fundamental &amp; Technical Model (1).xlsm]Income Statement!R16C7</stp>
        <stp>SYK US Equity</stp>
        <stp>SALES_REV_TURN/10^6</stp>
        <stp>FPT</stp>
        <stp>A</stp>
        <stp>FPO</stp>
        <stp>-7A</stp>
        <stp>STD</stp>
        <stp>Mixed</stp>
        <stp>CONSOL</stp>
        <stp>Yes</stp>
        <stp>CURRENCY</stp>
        <stp>USD</stp>
        <tr r="G16" s="2"/>
      </tp>
      <tp t="e">
        <v>#N/A</v>
        <stp/>
        <stp>##V3_BDHV12</stp>
        <stp>SYK US Equity</stp>
        <stp>AVERAGE_PRICE_EARNINGS_RATIO</stp>
        <stp>-8FY</stp>
        <stp>-8FY</stp>
        <stp>[Fundamental &amp; Technical Model (1).xlsm]Multiples!R34C5</stp>
        <stp>EQY_CONSOLIDATED</stp>
        <stp>Yes</stp>
        <stp>ACCOUNTING_STANDARD_OVERRIDE</stp>
        <stp>Mixed</stp>
        <stp>Per</stp>
        <stp>FY</stp>
        <stp>Days=A</stp>
        <tr r="E34" s="16"/>
        <tr r="E34" s="16"/>
      </tp>
      <tp t="e">
        <v>#N/A</v>
        <stp/>
        <stp>##V3_BDHV12</stp>
        <stp>SYK US Equity</stp>
        <stp>HIGH_PRICE_TO_FREE_CASH_FLOW</stp>
        <stp>-4FY</stp>
        <stp>-4FY</stp>
        <stp>[Fundamental &amp; Technical Model (1).xlsm]Multiples!R59C9</stp>
        <stp>EQY_CONSOLIDATED</stp>
        <stp>Yes</stp>
        <stp>ACCOUNTING_STANDARD_OVERRIDE</stp>
        <stp>Mixed</stp>
        <stp>Per</stp>
        <stp>FY</stp>
        <stp>Days=A</stp>
        <tr r="I59" s="16"/>
        <tr r="I59" s="16"/>
      </tp>
      <tp>
        <v>-134</v>
        <stp/>
        <stp>##V3_BDSV12</stp>
        <stp>SYK US Equity</stp>
        <stp>PG_CAPITAL_EXPENDITURES</stp>
        <stp>[Fundamental &amp; Technical Model (1).xlsm]Segments!R163C14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163" s="17"/>
        <tr r="N163" s="17"/>
      </tp>
      <tp>
        <v>-153</v>
        <stp/>
        <stp>##V3_BDSV12</stp>
        <stp>SYK US Equity</stp>
        <stp>PG_CAPITAL_EXPENDITURES</stp>
        <stp>[Fundamental &amp; Technical Model (1).xlsm]Segments!R163C12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163" s="17"/>
        <tr r="L163" s="17"/>
      </tp>
      <tp>
        <v>-138</v>
        <stp/>
        <stp>##V3_BDSV12</stp>
        <stp>SYK US Equity</stp>
        <stp>PG_CAPITAL_EXPENDITURES</stp>
        <stp>[Fundamental &amp; Technical Model (1).xlsm]Segments!R163C13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163" s="17"/>
        <tr r="M163" s="17"/>
      </tp>
      <tp>
        <v>-80</v>
        <stp/>
        <stp>##V3_BDSV12</stp>
        <stp>SYK US Equity</stp>
        <stp>PG_CAPITAL_EXPENDITURES</stp>
        <stp>[Fundamental &amp; Technical Model (1).xlsm]Segments!R163C10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163" s="17"/>
        <tr r="J163" s="17"/>
      </tp>
      <tp>
        <v>-95</v>
        <stp/>
        <stp>##V3_BDSV12</stp>
        <stp>SYK US Equity</stp>
        <stp>PG_CAPITAL_EXPENDITURES</stp>
        <stp>[Fundamental &amp; Technical Model (1).xlsm]Segments!R163C11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163" s="17"/>
        <tr r="K163" s="17"/>
      </tp>
      <tp>
        <v>2.9</v>
        <stp/>
        <stp>##V3_BDPV12</stp>
        <stp>SYK US Equity</stp>
        <stp>BS_WTD_AVG_INT_RATE_ST_LT_DEBT</stp>
        <stp>[Fundamental &amp; Technical Model (1).xlsm]Capital Structure Summary!R120C3</stp>
        <stp>EQY_FUND_RELATIVE_PERIOD</stp>
        <stp>-4FY</stp>
        <stp>EQY_FUND_CRNCY</stp>
        <stp>USD</stp>
        <stp>EQY_CONSOLIDATED</stp>
        <stp>Yes</stp>
        <stp>ACCOUNTING_STANDARD_OVERRIDE</stp>
        <stp>Mixed</stp>
        <stp>Fill=--</stp>
        <tr r="C120" s="21"/>
      </tp>
      <tp t="s">
        <v>--</v>
        <stp/>
        <stp>##V3_BDPV12</stp>
        <stp>SYK US Equity</stp>
        <stp>BS_WTD_AVG_INT_RATE_ST_LT_DEBT</stp>
        <stp>[Fundamental &amp; Technical Model (1).xlsm]Capital Structure Summary!R120C5</stp>
        <stp>EQY_FUND_RELATIVE_PERIOD</stp>
        <stp>-3FY</stp>
        <stp>EQY_FUND_CRNCY</stp>
        <stp>USD</stp>
        <stp>EQY_CONSOLIDATED</stp>
        <stp>Yes</stp>
        <stp>ACCOUNTING_STANDARD_OVERRIDE</stp>
        <stp>Mixed</stp>
        <stp>Fill=--</stp>
        <tr r="E120" s="21"/>
      </tp>
      <tp t="s">
        <v>--</v>
        <stp/>
        <stp>##V3_BDPV12</stp>
        <stp>SYK US Equity</stp>
        <stp>BS_WTD_AVG_INT_RATE_ST_LT_DEBT</stp>
        <stp>[Fundamental &amp; Technical Model (1).xlsm]Capital Structure Summary!R120C7</stp>
        <stp>EQY_FUND_RELATIVE_PERIOD</stp>
        <stp>-2FY</stp>
        <stp>EQY_FUND_CRNCY</stp>
        <stp>USD</stp>
        <stp>EQY_CONSOLIDATED</stp>
        <stp>Yes</stp>
        <stp>ACCOUNTING_STANDARD_OVERRIDE</stp>
        <stp>Mixed</stp>
        <stp>Fill=--</stp>
        <tr r="G120" s="21"/>
      </tp>
      <tp>
        <v>-2272</v>
        <stp/>
        <stp>##V3_BQLV12</stp>
        <stp>[Fundamental &amp; Technical Model (1).xlsm]Cash Flow!R32C11</stp>
        <stp>SYK US Equity</stp>
        <stp>CF_REIMB_LT_BORROW/10^6</stp>
        <stp>FPT</stp>
        <stp>A</stp>
        <stp>FPO</stp>
        <stp>-3A</stp>
        <stp>STD</stp>
        <stp>Mixed</stp>
        <stp>CONSOL</stp>
        <stp>Yes</stp>
        <stp>CURRENCY</stp>
        <stp>USD</stp>
        <tr r="K32" s="4"/>
      </tp>
      <tp t="s">
        <v>12/31/2015</v>
        <stp/>
        <stp>##V3_BDPV12</stp>
        <stp>SYK US Equity</stp>
        <stp>LATEST_PERIOD_END_DT_FULL_RECORD</stp>
        <stp>[Fundamental &amp; Technical Model (1).xlsm]Multiples!R13C10</stp>
        <stp>EQY_FUND_RELATIVE_PERIOD</stp>
        <stp>-3FY</stp>
        <stp>EQY_CONSOLIDATED</stp>
        <stp>Yes</stp>
        <tr r="J13" s="16"/>
        <tr r="J13" s="16"/>
      </tp>
      <tp t="s">
        <v>12/31/2016</v>
        <stp/>
        <stp>##V3_BDPV12</stp>
        <stp>SYK US Equity</stp>
        <stp>LATEST_PERIOD_END_DT_FULL_RECORD</stp>
        <stp>[Fundamental &amp; Technical Model (1).xlsm]Multiples!R13C11</stp>
        <stp>EQY_FUND_RELATIVE_PERIOD</stp>
        <stp>-2FY</stp>
        <stp>EQY_CONSOLIDATED</stp>
        <stp>Yes</stp>
        <tr r="K13" s="16"/>
        <tr r="K13" s="16"/>
      </tp>
      <tp t="s">
        <v>12/31/2017</v>
        <stp/>
        <stp>##V3_BDPV12</stp>
        <stp>SYK US Equity</stp>
        <stp>LATEST_PERIOD_END_DT_FULL_RECORD</stp>
        <stp>[Fundamental &amp; Technical Model (1).xlsm]Multiples!R13C12</stp>
        <stp>EQY_FUND_RELATIVE_PERIOD</stp>
        <stp>-1FY</stp>
        <stp>EQY_CONSOLIDATED</stp>
        <stp>Yes</stp>
        <tr r="L13" s="16"/>
        <tr r="L13" s="16"/>
      </tp>
      <tp t="s">
        <v>12/31/2018</v>
        <stp/>
        <stp>##V3_BDPV12</stp>
        <stp>SYK US Equity</stp>
        <stp>LATEST_PERIOD_END_DT_FULL_RECORD</stp>
        <stp>[Fundamental &amp; Technical Model (1).xlsm]Multiples!R13C13</stp>
        <stp>EQY_FUND_RELATIVE_PERIOD</stp>
        <stp>-0FY</stp>
        <stp>EQY_CONSOLIDATED</stp>
        <stp>Yes</stp>
        <tr r="M13" s="16"/>
        <tr r="M13" s="16"/>
      </tp>
      <tp t="s">
        <v>--</v>
        <stp/>
        <stp>##V3_BDPV12</stp>
        <stp>SYK US Equity</stp>
        <stp>BS_WTD_AVG_INT_RATE_ST_LT_DEBT</stp>
        <stp>[Fundamental &amp; Technical Model (1).xlsm]Capital Structure Summary!R120C9</stp>
        <stp>EQY_FUND_RELATIVE_PERIOD</stp>
        <stp>-1FY</stp>
        <stp>EQY_FUND_CRNCY</stp>
        <stp>USD</stp>
        <stp>EQY_CONSOLIDATED</stp>
        <stp>Yes</stp>
        <stp>ACCOUNTING_STANDARD_OVERRIDE</stp>
        <stp>Mixed</stp>
        <stp>Fill=--</stp>
        <tr r="I120" s="21"/>
      </tp>
      <tp>
        <v>265.87</v>
        <stp/>
        <stp>##V3_BDPV12</stp>
        <stp>BDX Equity</stp>
        <stp>high_52week</stp>
        <stp>[Fundamental &amp; Technical Model (1).xlsm]Public Comparables!R8C6</stp>
        <tr r="F8" s="24"/>
      </tp>
      <tp t="e">
        <v>#N/A</v>
        <stp/>
        <stp>##V3_BDHV12</stp>
        <stp>SYK US Equity</stp>
        <stp>EV_TO_T12M_EBITDA</stp>
        <stp>-8FY</stp>
        <stp>-8FY</stp>
        <stp>[Fundamental &amp; Technical Model (1).xlsm]Multiples!R21C5</stp>
        <stp>EQY_CONSOLIDATED</stp>
        <stp>Yes</stp>
        <stp>ACCOUNTING_STANDARD_OVERRIDE</stp>
        <stp>Mixed</stp>
        <stp>Per</stp>
        <stp>FY</stp>
        <stp>Days=A</stp>
        <tr r="E21" s="16"/>
        <tr r="E21" s="16"/>
      </tp>
      <tp t="s">
        <v>#N/A N/A</v>
        <stp/>
        <stp>##V3_BDSV12</stp>
        <stp>SYK US Equity</stp>
        <stp>PG_CAPITAL_EXPENDITURES</stp>
        <stp>[Fundamental &amp; Technical Model (1).xlsm]Segments!R185C5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185" s="17"/>
      </tp>
      <tp>
        <v>13601</v>
        <stp/>
        <stp>##V3_BQLV12</stp>
        <stp>[Fundamental &amp; Technical Model (1).xlsm]Key Stats!R15C10</stp>
        <stp>SYK US Equity</stp>
        <stp>SALES_REV_TURN/10^6</stp>
        <stp>FPT</stp>
        <stp>A</stp>
        <stp>FPO</stp>
        <stp>-0A</stp>
        <stp>STD</stp>
        <stp>Mixed</stp>
        <stp>CONSOL</stp>
        <stp>Yes</stp>
        <stp>CURRENCY</stp>
        <stp>USD</stp>
        <tr r="J15" s="23"/>
      </tp>
      <tp>
        <v>9.2995951417004044</v>
        <stp/>
        <stp>##V3_BQLV12</stp>
        <stp>[Fundamental &amp; Technical Model (1).xlsm]Ratios!R52C13</stp>
        <stp>SYK US Equity</stp>
        <stp>EBIT_TO_INT_EXP</stp>
        <stp>FPT</stp>
        <stp>A</stp>
        <stp>FPO</stp>
        <stp>-1A</stp>
        <stp>STD</stp>
        <stp>Mixed</stp>
        <stp>CONSOL</stp>
        <stp>Yes</stp>
        <tr r="M52" s="8"/>
      </tp>
      <tp>
        <v>7320</v>
        <stp/>
        <stp>##V3_BQLV12</stp>
        <stp>[Fundamental &amp; Technical Model (1).xlsm]Income Statement!R16C6</stp>
        <stp>SYK US Equity</stp>
        <stp>SALES_REV_TURN/10^6</stp>
        <stp>FPT</stp>
        <stp>A</stp>
        <stp>FPO</stp>
        <stp>-8A</stp>
        <stp>STD</stp>
        <stp>Mixed</stp>
        <stp>CONSOL</stp>
        <stp>Yes</stp>
        <stp>CURRENCY</stp>
        <stp>USD</stp>
        <tr r="F16" s="2"/>
      </tp>
      <tp>
        <v>40178</v>
        <stp/>
        <stp>##V3_BQLV12</stp>
        <stp>[Fundamental &amp; Technical Model (1).xlsm]Income Statement!R15C5</stp>
        <stp>SYK US Equity</stp>
        <stp>IS_EPS().PERIOD_END_DATE</stp>
        <stp>FPT</stp>
        <stp>A</stp>
        <stp>FPO</stp>
        <stp>-9A</stp>
        <stp>STD</stp>
        <stp>Mixed</stp>
        <stp>CONSOL</stp>
        <stp>Yes</stp>
        <tr r="E15" s="2"/>
      </tp>
      <tp>
        <v>41639</v>
        <stp/>
        <stp>##V3_BQLV12</stp>
        <stp>[Fundamental &amp; Technical Model (1).xlsm]Income Statement!R15C9</stp>
        <stp>SYK US Equity</stp>
        <stp>IS_EPS().PERIOD_END_DATE</stp>
        <stp>FPT</stp>
        <stp>A</stp>
        <stp>FPO</stp>
        <stp>-5A</stp>
        <stp>STD</stp>
        <stp>Mixed</stp>
        <stp>CONSOL</stp>
        <stp>Yes</stp>
        <tr r="I15" s="2"/>
      </tp>
      <tp t="e">
        <v>#N/A</v>
        <stp/>
        <stp>##V3_BDHV12</stp>
        <stp>SYK US Equity</stp>
        <stp>AVERAGE_PRICE_EARNINGS_RATIO</stp>
        <stp>-9FY</stp>
        <stp>-9FY</stp>
        <stp>[Fundamental &amp; Technical Model (1).xlsm]Multiples!R34C4</stp>
        <stp>EQY_CONSOLIDATED</stp>
        <stp>Yes</stp>
        <stp>ACCOUNTING_STANDARD_OVERRIDE</stp>
        <stp>Mixed</stp>
        <stp>Per</stp>
        <stp>FY</stp>
        <stp>Days=A</stp>
        <tr r="D34" s="16"/>
        <tr r="D34" s="16"/>
      </tp>
      <tp t="e">
        <v>#N/A</v>
        <stp/>
        <stp>##V3_BDHV12</stp>
        <stp>SYK US Equity</stp>
        <stp>HIGH_PRICE_TO_FREE_CASH_FLOW</stp>
        <stp>-5FY</stp>
        <stp>-5FY</stp>
        <stp>[Fundamental &amp; Technical Model (1).xlsm]Multiples!R59C8</stp>
        <stp>EQY_CONSOLIDATED</stp>
        <stp>Yes</stp>
        <stp>ACCOUNTING_STANDARD_OVERRIDE</stp>
        <stp>Mixed</stp>
        <stp>Per</stp>
        <stp>FY</stp>
        <stp>Days=A</stp>
        <tr r="H59" s="16"/>
        <tr r="H59" s="16"/>
      </tp>
      <tp t="s">
        <v>12/31/2011</v>
        <stp/>
        <stp>##V3_BDPV12</stp>
        <stp>SYK US Equity</stp>
        <stp>LATEST_PERIOD_END_DT_FULL_RECORD</stp>
        <stp>[Fundamental &amp; Technical Model (1).xlsm]Supplemental!R13C6</stp>
        <stp>EQY_FUND_RELATIVE_PERIOD</stp>
        <stp>-7FY</stp>
        <stp>EQY_CONSOLIDATED</stp>
        <stp>Yes</stp>
        <tr r="F13" s="19"/>
        <tr r="F13" s="19"/>
      </tp>
      <tp t="s">
        <v>12/31/2012</v>
        <stp/>
        <stp>##V3_BDPV12</stp>
        <stp>SYK US Equity</stp>
        <stp>LATEST_PERIOD_END_DT_FULL_RECORD</stp>
        <stp>[Fundamental &amp; Technical Model (1).xlsm]Supplemental!R13C7</stp>
        <stp>EQY_FUND_RELATIVE_PERIOD</stp>
        <stp>-6FY</stp>
        <stp>EQY_CONSOLIDATED</stp>
        <stp>Yes</stp>
        <tr r="G13" s="19"/>
        <tr r="G13" s="19"/>
      </tp>
      <tp t="s">
        <v>12/31/2009</v>
        <stp/>
        <stp>##V3_BDPV12</stp>
        <stp>SYK US Equity</stp>
        <stp>LATEST_PERIOD_END_DT_FULL_RECORD</stp>
        <stp>[Fundamental &amp; Technical Model (1).xlsm]Supplemental!R13C4</stp>
        <stp>EQY_FUND_RELATIVE_PERIOD</stp>
        <stp>-9FY</stp>
        <stp>EQY_CONSOLIDATED</stp>
        <stp>Yes</stp>
        <tr r="D13" s="19"/>
        <tr r="D13" s="19"/>
      </tp>
      <tp t="s">
        <v>12/31/2010</v>
        <stp/>
        <stp>##V3_BDPV12</stp>
        <stp>SYK US Equity</stp>
        <stp>LATEST_PERIOD_END_DT_FULL_RECORD</stp>
        <stp>[Fundamental &amp; Technical Model (1).xlsm]Supplemental!R13C5</stp>
        <stp>EQY_FUND_RELATIVE_PERIOD</stp>
        <stp>-8FY</stp>
        <stp>EQY_CONSOLIDATED</stp>
        <stp>Yes</stp>
        <tr r="E13" s="19"/>
        <tr r="E13" s="19"/>
      </tp>
      <tp t="s">
        <v>12/31/2013</v>
        <stp/>
        <stp>##V3_BDPV12</stp>
        <stp>SYK US Equity</stp>
        <stp>LATEST_PERIOD_END_DT_FULL_RECORD</stp>
        <stp>[Fundamental &amp; Technical Model (1).xlsm]Supplemental!R13C8</stp>
        <stp>EQY_FUND_RELATIVE_PERIOD</stp>
        <stp>-5FY</stp>
        <stp>EQY_CONSOLIDATED</stp>
        <stp>Yes</stp>
        <tr r="H13" s="19"/>
        <tr r="H13" s="19"/>
      </tp>
      <tp t="s">
        <v>12/31/2014</v>
        <stp/>
        <stp>##V3_BDPV12</stp>
        <stp>SYK US Equity</stp>
        <stp>LATEST_PERIOD_END_DT_FULL_RECORD</stp>
        <stp>[Fundamental &amp; Technical Model (1).xlsm]Supplemental!R13C9</stp>
        <stp>EQY_FUND_RELATIVE_PERIOD</stp>
        <stp>-4FY</stp>
        <stp>EQY_CONSOLIDATED</stp>
        <stp>Yes</stp>
        <tr r="I13" s="19"/>
        <tr r="I13" s="19"/>
      </tp>
      <tp t="s">
        <v>#N/A N/A</v>
        <stp/>
        <stp>##V3_BDSV12</stp>
        <stp>SYK US Equity</stp>
        <stp>PG_CAPITAL_EXPENDITURES</stp>
        <stp>[Fundamental &amp; Technical Model (1).xlsm]Segments!R170C14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170" s="17"/>
      </tp>
      <tp t="s">
        <v>#N/A N/A</v>
        <stp/>
        <stp>##V3_BDSV12</stp>
        <stp>SYK US Equity</stp>
        <stp>PG_CAPITAL_EXPENDITURES</stp>
        <stp>[Fundamental &amp; Technical Model (1).xlsm]Segments!R170C11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170" s="17"/>
      </tp>
      <tp t="s">
        <v>#N/A N/A</v>
        <stp/>
        <stp>##V3_BDSV12</stp>
        <stp>SYK US Equity</stp>
        <stp>PG_CAPITAL_EXPENDITURES</stp>
        <stp>[Fundamental &amp; Technical Model (1).xlsm]Segments!R170C10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170" s="17"/>
      </tp>
      <tp t="s">
        <v>#N/A N/A</v>
        <stp/>
        <stp>##V3_BDSV12</stp>
        <stp>SYK US Equity</stp>
        <stp>PG_CAPITAL_EXPENDITURES</stp>
        <stp>[Fundamental &amp; Technical Model (1).xlsm]Segments!R170C13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170" s="17"/>
      </tp>
      <tp t="s">
        <v>#N/A N/A</v>
        <stp/>
        <stp>##V3_BDSV12</stp>
        <stp>SYK US Equity</stp>
        <stp>PG_CAPITAL_EXPENDITURES</stp>
        <stp>[Fundamental &amp; Technical Model (1).xlsm]Segments!R170C12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170" s="17"/>
      </tp>
      <tp>
        <v>-750</v>
        <stp/>
        <stp>##V3_BQLV12</stp>
        <stp>[Fundamental &amp; Technical Model (1).xlsm]Cash Flow!R32C12</stp>
        <stp>SYK US Equity</stp>
        <stp>CF_REIMB_LT_BORROW/10^6</stp>
        <stp>FPT</stp>
        <stp>A</stp>
        <stp>FPO</stp>
        <stp>-2A</stp>
        <stp>STD</stp>
        <stp>Mixed</stp>
        <stp>CONSOL</stp>
        <stp>Yes</stp>
        <stp>CURRENCY</stp>
        <stp>USD</stp>
        <tr r="L32" s="4"/>
      </tp>
      <tp>
        <v>0</v>
        <stp/>
        <stp>##V3_BQLV12</stp>
        <stp>[Fundamental &amp; Technical Model (1).xlsm]Income Statement!R50C5</stp>
        <stp>SYK US Equity</stp>
        <stp>MIN_NONCONTROL_INTEREST_CREDITS/10^6</stp>
        <stp>FPT</stp>
        <stp>A</stp>
        <stp>FPO</stp>
        <stp>-9A</stp>
        <stp>STD</stp>
        <stp>Mixed</stp>
        <stp>CONSOL</stp>
        <stp>Yes</stp>
        <stp>CURRENCY</stp>
        <stp>USD</stp>
        <tr r="E50" s="2"/>
      </tp>
      <tp>
        <v>0</v>
        <stp/>
        <stp>##V3_BQLV12</stp>
        <stp>[Fundamental &amp; Technical Model (1).xlsm]Income Statement!R50C9</stp>
        <stp>SYK US Equity</stp>
        <stp>MIN_NONCONTROL_INTEREST_CREDITS/10^6</stp>
        <stp>FPT</stp>
        <stp>A</stp>
        <stp>FPO</stp>
        <stp>-5A</stp>
        <stp>STD</stp>
        <stp>Mixed</stp>
        <stp>CONSOL</stp>
        <stp>Yes</stp>
        <stp>CURRENCY</stp>
        <stp>USD</stp>
        <tr r="I50" s="2"/>
      </tp>
      <tp>
        <v>0</v>
        <stp/>
        <stp>##V3_BQLV12</stp>
        <stp>[Fundamental &amp; Technical Model (1).xlsm]Income Statement!R50C6</stp>
        <stp>SYK US Equity</stp>
        <stp>MIN_NONCONTROL_INTEREST_CREDITS/10^6</stp>
        <stp>FPT</stp>
        <stp>A</stp>
        <stp>FPO</stp>
        <stp>-8A</stp>
        <stp>STD</stp>
        <stp>Mixed</stp>
        <stp>CONSOL</stp>
        <stp>Yes</stp>
        <stp>CURRENCY</stp>
        <stp>USD</stp>
        <tr r="F50" s="2"/>
      </tp>
      <tp>
        <v>0</v>
        <stp/>
        <stp>##V3_BQLV12</stp>
        <stp>[Fundamental &amp; Technical Model (1).xlsm]Income Statement!R50C8</stp>
        <stp>SYK US Equity</stp>
        <stp>MIN_NONCONTROL_INTEREST_CREDITS/10^6</stp>
        <stp>FPT</stp>
        <stp>A</stp>
        <stp>FPO</stp>
        <stp>-6A</stp>
        <stp>STD</stp>
        <stp>Mixed</stp>
        <stp>CONSOL</stp>
        <stp>Yes</stp>
        <stp>CURRENCY</stp>
        <stp>USD</stp>
        <tr r="H50" s="2"/>
      </tp>
      <tp>
        <v>0</v>
        <stp/>
        <stp>##V3_BQLV12</stp>
        <stp>[Fundamental &amp; Technical Model (1).xlsm]Income Statement!R50C7</stp>
        <stp>SYK US Equity</stp>
        <stp>MIN_NONCONTROL_INTEREST_CREDITS/10^6</stp>
        <stp>FPT</stp>
        <stp>A</stp>
        <stp>FPO</stp>
        <stp>-7A</stp>
        <stp>STD</stp>
        <stp>Mixed</stp>
        <stp>CONSOL</stp>
        <stp>Yes</stp>
        <stp>CURRENCY</stp>
        <stp>USD</stp>
        <tr r="G50" s="2"/>
      </tp>
      <tp t="s">
        <v>#N/A N/A</v>
        <stp/>
        <stp>##V3_BDSV12</stp>
        <stp>SYK US Equity</stp>
        <stp>PG_CAPITAL_EXPENDITURES</stp>
        <stp>[Fundamental &amp; Technical Model (1).xlsm]Segments!R185C6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185" s="17"/>
      </tp>
      <tp t="e">
        <v>#N/A</v>
        <stp/>
        <stp>##V3_BDHV12</stp>
        <stp>SYK US Equity</stp>
        <stp>EV_TO_T12M_EBITDA</stp>
        <stp>-7FY</stp>
        <stp>-7FY</stp>
        <stp>[Fundamental &amp; Technical Model (1).xlsm]Multiples!R21C6</stp>
        <stp>EQY_CONSOLIDATED</stp>
        <stp>Yes</stp>
        <stp>ACCOUNTING_STANDARD_OVERRIDE</stp>
        <stp>Mixed</stp>
        <stp>Per</stp>
        <stp>FY</stp>
        <stp>Days=A</stp>
        <tr r="F21" s="16"/>
        <tr r="F21" s="16"/>
      </tp>
      <tp>
        <v>12444</v>
        <stp/>
        <stp>##V3_BQLV12</stp>
        <stp>[Fundamental &amp; Technical Model (1).xlsm]Key Stats!R15C9</stp>
        <stp>SYK US Equity</stp>
        <stp>SALES_REV_TURN/10^6</stp>
        <stp>FPT</stp>
        <stp>A</stp>
        <stp>FPO</stp>
        <stp>-1A</stp>
        <stp>STD</stp>
        <stp>Mixed</stp>
        <stp>CONSOL</stp>
        <stp>Yes</stp>
        <stp>CURRENCY</stp>
        <stp>USD</stp>
        <tr r="I15" s="23"/>
      </tp>
      <tp>
        <v>0.25732832944517697</v>
        <stp/>
        <stp>##V3_BDPV12</stp>
        <stp>SYK US Equity</stp>
        <stp>OPER_INC_TO_TOT_DEBT</stp>
        <stp>[Fundamental &amp; Technical Model (1).xlsm]Capital Structure Summary!R60C11</stp>
        <stp>EQY_FUND_RELATIVE_PERIOD</stp>
        <stp>-0FY</stp>
        <stp>EQY_FUND_CRNCY</stp>
        <stp>USD</stp>
        <stp>EQY_CONSOLIDATED</stp>
        <stp>Yes</stp>
        <stp>ACCOUNTING_STANDARD_OVERRIDE</stp>
        <stp>Mixed</stp>
        <stp>Fill=--</stp>
        <tr r="K60" s="21"/>
      </tp>
      <tp>
        <v>9.5394736842105257</v>
        <stp/>
        <stp>##V3_BQLV12</stp>
        <stp>[Fundamental &amp; Technical Model (1).xlsm]Ratios!R52C12</stp>
        <stp>SYK US Equity</stp>
        <stp>EBIT_TO_INT_EXP</stp>
        <stp>FPT</stp>
        <stp>A</stp>
        <stp>FPO</stp>
        <stp>-2A</stp>
        <stp>STD</stp>
        <stp>Mixed</stp>
        <stp>CONSOL</stp>
        <stp>Yes</stp>
        <tr r="L52" s="8"/>
      </tp>
      <tp>
        <v>6723</v>
        <stp/>
        <stp>##V3_BQLV12</stp>
        <stp>[Fundamental &amp; Technical Model (1).xlsm]Income Statement!R16C5</stp>
        <stp>SYK US Equity</stp>
        <stp>SALES_REV_TURN/10^6</stp>
        <stp>FPT</stp>
        <stp>A</stp>
        <stp>FPO</stp>
        <stp>-9A</stp>
        <stp>STD</stp>
        <stp>Mixed</stp>
        <stp>CONSOL</stp>
        <stp>Yes</stp>
        <stp>CURRENCY</stp>
        <stp>USD</stp>
        <tr r="E16" s="2"/>
      </tp>
      <tp t="e">
        <v>#N/A</v>
        <stp/>
        <stp>##V3_BDHV12</stp>
        <stp>SYK US Equity</stp>
        <stp>AVERAGE_PRICE_EARNINGS_RATIO</stp>
        <stp>-6FY</stp>
        <stp>-6FY</stp>
        <stp>[Fundamental &amp; Technical Model (1).xlsm]Multiples!R34C7</stp>
        <stp>EQY_CONSOLIDATED</stp>
        <stp>Yes</stp>
        <stp>ACCOUNTING_STANDARD_OVERRIDE</stp>
        <stp>Mixed</stp>
        <stp>Per</stp>
        <stp>FY</stp>
        <stp>Days=A</stp>
        <tr r="G34" s="16"/>
        <tr r="G34" s="16"/>
      </tp>
      <tp>
        <v>0</v>
        <stp/>
        <stp>##V3_BQLV12</stp>
        <stp>[Fundamental &amp; Technical Model (1).xlsm]Cash Flow!R32C13</stp>
        <stp>SYK US Equity</stp>
        <stp>CF_REIMB_LT_BORROW/10^6</stp>
        <stp>FPT</stp>
        <stp>A</stp>
        <stp>FPO</stp>
        <stp>-1A</stp>
        <stp>STD</stp>
        <stp>Mixed</stp>
        <stp>CONSOL</stp>
        <stp>Yes</stp>
        <stp>CURRENCY</stp>
        <stp>USD</stp>
        <tr r="M32" s="4"/>
      </tp>
      <tp t="e">
        <v>#N/A</v>
        <stp/>
        <stp>##V3_BDHV12</stp>
        <stp>SYK US Equity</stp>
        <stp>HIGH_EV_TO_T12M_SALES</stp>
        <stp>-10FY</stp>
        <stp>-10FY</stp>
        <stp>[Fundamental &amp; Technical Model (1).xlsm]Multiples!R17C3</stp>
        <stp>EQY_CONSOLIDATED</stp>
        <stp>Yes</stp>
        <stp>ACCOUNTING_STANDARD_OVERRIDE</stp>
        <stp>Mixed</stp>
        <stp>Per</stp>
        <stp>FY</stp>
        <stp>Days=A</stp>
        <tr r="C17" s="16"/>
        <tr r="C17" s="16"/>
      </tp>
      <tp t="s">
        <v>#N/A N/A</v>
        <stp/>
        <stp>##V3_BDSV12</stp>
        <stp>SYK US Equity</stp>
        <stp>PG_CAPITAL_EXPENDITURES</stp>
        <stp>[Fundamental &amp; Technical Model (1).xlsm]Segments!R185C7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185" s="17"/>
      </tp>
      <tp t="e">
        <v>#N/A</v>
        <stp/>
        <stp>##V3_BDHV12</stp>
        <stp>SYK US Equity</stp>
        <stp>EV_TO_T12M_EBITDA</stp>
        <stp>-6FY</stp>
        <stp>-6FY</stp>
        <stp>[Fundamental &amp; Technical Model (1).xlsm]Multiples!R21C7</stp>
        <stp>EQY_CONSOLIDATED</stp>
        <stp>Yes</stp>
        <stp>ACCOUNTING_STANDARD_OVERRIDE</stp>
        <stp>Mixed</stp>
        <stp>Per</stp>
        <stp>FY</stp>
        <stp>Days=A</stp>
        <tr r="G21" s="16"/>
        <tr r="G21" s="16"/>
      </tp>
      <tp t="s">
        <v>2008 Y</v>
        <stp/>
        <stp>##V3_BDPV12</stp>
        <stp>SYK US Equity</stp>
        <stp>FISCAL_YEAR_PERIOD</stp>
        <stp>[Fundamental &amp; Technical Model (1).xlsm]Segments!R14C4</stp>
        <stp>EQY_FUND_RELATIVE_PERIOD</stp>
        <stp>-10FY</stp>
        <tr r="D14" s="17"/>
      </tp>
      <tp>
        <v>11325</v>
        <stp/>
        <stp>##V3_BQLV12</stp>
        <stp>[Fundamental &amp; Technical Model (1).xlsm]Key Stats!R15C8</stp>
        <stp>SYK US Equity</stp>
        <stp>SALES_REV_TURN/10^6</stp>
        <stp>FPT</stp>
        <stp>A</stp>
        <stp>FPO</stp>
        <stp>-2A</stp>
        <stp>STD</stp>
        <stp>Mixed</stp>
        <stp>CONSOL</stp>
        <stp>Yes</stp>
        <stp>CURRENCY</stp>
        <stp>USD</stp>
        <tr r="H15" s="23"/>
      </tp>
      <tp>
        <v>27000</v>
        <stp/>
        <stp>##V3_BQLV12</stp>
        <stp>[Fundamental &amp; Technical Model (1).xlsm]Balance Sheet!R77C11</stp>
        <stp>SYK US Equity</stp>
        <stp>NUM_OF_EMPLOYEES</stp>
        <stp>FPT</stp>
        <stp>A</stp>
        <stp>FPO</stp>
        <stp>-3A</stp>
        <stp>STD</stp>
        <stp>Mixed</stp>
        <stp>CONSOL</stp>
        <stp>Yes</stp>
        <stp>CURRENCY</stp>
        <stp>USD</stp>
        <tr r="K77" s="3"/>
      </tp>
      <tp>
        <v>33000</v>
        <stp/>
        <stp>##V3_BQLV12</stp>
        <stp>[Fundamental &amp; Technical Model (1).xlsm]Balance Sheet!R77C13</stp>
        <stp>SYK US Equity</stp>
        <stp>NUM_OF_EMPLOYEES</stp>
        <stp>FPT</stp>
        <stp>A</stp>
        <stp>FPO</stp>
        <stp>-1A</stp>
        <stp>STD</stp>
        <stp>Mixed</stp>
        <stp>CONSOL</stp>
        <stp>Yes</stp>
        <stp>CURRENCY</stp>
        <stp>USD</stp>
        <tr r="M77" s="3"/>
      </tp>
      <tp>
        <v>33000</v>
        <stp/>
        <stp>##V3_BQLV12</stp>
        <stp>[Fundamental &amp; Technical Model (1).xlsm]Balance Sheet!R77C12</stp>
        <stp>SYK US Equity</stp>
        <stp>NUM_OF_EMPLOYEES</stp>
        <stp>FPT</stp>
        <stp>A</stp>
        <stp>FPO</stp>
        <stp>-2A</stp>
        <stp>STD</stp>
        <stp>Mixed</stp>
        <stp>CONSOL</stp>
        <stp>Yes</stp>
        <stp>CURRENCY</stp>
        <stp>USD</stp>
        <tr r="L77" s="3"/>
      </tp>
      <tp>
        <v>26000</v>
        <stp/>
        <stp>##V3_BQLV12</stp>
        <stp>[Fundamental &amp; Technical Model (1).xlsm]Balance Sheet!R77C10</stp>
        <stp>SYK US Equity</stp>
        <stp>NUM_OF_EMPLOYEES</stp>
        <stp>FPT</stp>
        <stp>A</stp>
        <stp>FPO</stp>
        <stp>-4A</stp>
        <stp>STD</stp>
        <stp>Mixed</stp>
        <stp>CONSOL</stp>
        <stp>Yes</stp>
        <stp>CURRENCY</stp>
        <stp>USD</stp>
        <tr r="J77" s="3"/>
      </tp>
      <tp>
        <v>36000</v>
        <stp/>
        <stp>##V3_BQLV12</stp>
        <stp>[Fundamental &amp; Technical Model (1).xlsm]Balance Sheet!R77C14</stp>
        <stp>SYK US Equity</stp>
        <stp>NUM_OF_EMPLOYEES</stp>
        <stp>FPT</stp>
        <stp>A</stp>
        <stp>FPO</stp>
        <stp>-0A</stp>
        <stp>STD</stp>
        <stp>Mixed</stp>
        <stp>CONSOL</stp>
        <stp>Yes</stp>
        <stp>CURRENCY</stp>
        <stp>USD</stp>
        <tr r="N77" s="3"/>
      </tp>
      <tp>
        <v>17.231481481481481</v>
        <stp/>
        <stp>##V3_BQLV12</stp>
        <stp>[Fundamental &amp; Technical Model (1).xlsm]Ratios!R52C11</stp>
        <stp>SYK US Equity</stp>
        <stp>EBIT_TO_INT_EXP</stp>
        <stp>FPT</stp>
        <stp>A</stp>
        <stp>FPO</stp>
        <stp>-3A</stp>
        <stp>STD</stp>
        <stp>Mixed</stp>
        <stp>CONSOL</stp>
        <stp>Yes</stp>
        <tr r="K52" s="8"/>
      </tp>
      <tp>
        <v>187.07499999999999</v>
        <stp/>
        <stp>##V3_BDPV12</stp>
        <stp>SYK Equity</stp>
        <stp>px_last</stp>
        <stp>[Fundamental &amp; Technical Model (1).xlsm]Football Field Analysis!R60C8</stp>
        <tr r="H60" s="28"/>
      </tp>
      <tp>
        <v>40543</v>
        <stp/>
        <stp>##V3_BQLV12</stp>
        <stp>[Fundamental &amp; Technical Model (1).xlsm]Income Statement!R15C6</stp>
        <stp>SYK US Equity</stp>
        <stp>IS_EPS().PERIOD_END_DATE</stp>
        <stp>FPT</stp>
        <stp>A</stp>
        <stp>FPO</stp>
        <stp>-8A</stp>
        <stp>STD</stp>
        <stp>Mixed</stp>
        <stp>CONSOL</stp>
        <stp>Yes</stp>
        <tr r="F15" s="2"/>
      </tp>
      <tp>
        <v>41274</v>
        <stp/>
        <stp>##V3_BQLV12</stp>
        <stp>[Fundamental &amp; Technical Model (1).xlsm]Income Statement!R15C8</stp>
        <stp>SYK US Equity</stp>
        <stp>IS_EPS().PERIOD_END_DATE</stp>
        <stp>FPT</stp>
        <stp>A</stp>
        <stp>FPO</stp>
        <stp>-6A</stp>
        <stp>STD</stp>
        <stp>Mixed</stp>
        <stp>CONSOL</stp>
        <stp>Yes</stp>
        <tr r="H15" s="2"/>
      </tp>
      <tp t="e">
        <v>#N/A</v>
        <stp/>
        <stp>##V3_BDHV12</stp>
        <stp>SYK US Equity</stp>
        <stp>AVERAGE_PRICE_EARNINGS_RATIO</stp>
        <stp>-7FY</stp>
        <stp>-7FY</stp>
        <stp>[Fundamental &amp; Technical Model (1).xlsm]Multiples!R34C6</stp>
        <stp>EQY_CONSOLIDATED</stp>
        <stp>Yes</stp>
        <stp>ACCOUNTING_STANDARD_OVERRIDE</stp>
        <stp>Mixed</stp>
        <stp>Per</stp>
        <stp>FY</stp>
        <stp>Days=A</stp>
        <tr r="F34" s="16"/>
        <tr r="F34" s="16"/>
      </tp>
      <tp>
        <v>130</v>
        <stp/>
        <stp>##V3_BQLV12</stp>
        <stp>[Fundamental &amp; Technical Model (1).xlsm]Balance Sheet!R73C12</stp>
        <stp>SYK US Equity</stp>
        <stp>INVTRY_IN_PROGRESS/10^6</stp>
        <stp>FPT</stp>
        <stp>A</stp>
        <stp>FPO</stp>
        <stp>-2A</stp>
        <stp>STD</stp>
        <stp>Mixed</stp>
        <stp>CONSOL</stp>
        <stp>Yes</stp>
        <stp>CURRENCY</stp>
        <stp>USD</stp>
        <tr r="L73" s="3"/>
      </tp>
      <tp t="e">
        <v>#N/A</v>
        <stp/>
        <stp>##V3_BDHV12</stp>
        <stp>SYK US Equity</stp>
        <stp>HIGH_EV_TO_T12M_EBITDA</stp>
        <stp>-8FY</stp>
        <stp>-8FY</stp>
        <stp>[Fundamental &amp; Technical Model (1).xlsm]Multiples!R23C5</stp>
        <stp>EQY_CONSOLIDATED</stp>
        <stp>Yes</stp>
        <stp>ACCOUNTING_STANDARD_OVERRIDE</stp>
        <stp>Mixed</stp>
        <stp>Per</stp>
        <stp>FY</stp>
        <stp>Days=A</stp>
        <tr r="E23" s="16"/>
        <tr r="E23" s="16"/>
      </tp>
    </main>
    <main first="bloomberg.rtd">
      <tp>
        <v>24.440071763412234</v>
        <stp/>
        <stp>##V3_BQLV12</stp>
        <stp>[Fundamental &amp; Technical Model (1).xlsm]Ratios!R50C10</stp>
        <stp>SYK US Equity</stp>
        <stp>NON_CUR_LIAB_TO_TOT_ASSET</stp>
        <stp>FPT</stp>
        <stp>A</stp>
        <stp>FPO</stp>
        <stp>-4A</stp>
        <stp>STD</stp>
        <stp>Mixed</stp>
        <stp>CONSOL</stp>
        <stp>Yes</stp>
        <tr r="J50" s="8"/>
      </tp>
      <tp t="s">
        <v>#N/A</v>
        <stp/>
        <stp>##V3_BQLV12</stp>
        <stp>[Fundamental &amp; Technical Model (1).xlsm]Income Statement!R40C4</stp>
        <stp>SYK US Equity</stp>
        <stp>IS_GAIN_LOSS_DISPOSAL_ASSETS/10^6</stp>
        <stp>FPT</stp>
        <stp>A</stp>
        <stp>FPO</stp>
        <stp>-10A</stp>
        <stp>STD</stp>
        <stp>Mixed</stp>
        <stp>CONSOL</stp>
        <stp>Yes</stp>
        <stp>CURRENCY</stp>
        <stp>USD</stp>
        <tr r="D40" s="2"/>
      </tp>
      <tp>
        <v>33.037735849056602</v>
        <stp/>
        <stp>##V3_BQLV12</stp>
        <stp>[Fundamental &amp; Technical Model (1).xlsm]Ratios!R52C6</stp>
        <stp>SYK US Equity</stp>
        <stp>EBIT_TO_INT_EXP</stp>
        <stp>FPT</stp>
        <stp>A</stp>
        <stp>FPO</stp>
        <stp>-8A</stp>
        <stp>STD</stp>
        <stp>Mixed</stp>
        <stp>CONSOL</stp>
        <stp>Yes</stp>
        <tr r="F52" s="8"/>
      </tp>
      <tp t="s">
        <v>2015 A</v>
        <stp/>
        <stp>##V3_BQLV12</stp>
        <stp>[Fundamental &amp; Technical Model (1).xlsm]Income Statement!R13C11</stp>
        <stp>SYK US Equity</stp>
        <stp>IS_EPS().PERIOD</stp>
        <stp>FPT</stp>
        <stp>A</stp>
        <stp>FPO</stp>
        <stp>-3A</stp>
        <stp>STD</stp>
        <stp>Mixed</stp>
        <stp>CONSOL</stp>
        <stp>Yes</stp>
        <tr r="K13" s="2"/>
      </tp>
      <tp t="s">
        <v>2008 Y</v>
        <stp/>
        <stp>##V3_BDPV12</stp>
        <stp>SYK US Equity</stp>
        <stp>FISCAL_YEAR_PERIOD</stp>
        <stp>[Fundamental &amp; Technical Model (1).xlsm]Segments!R159C4</stp>
        <stp>EQY_FUND_RELATIVE_PERIOD</stp>
        <stp>-10FY</stp>
        <tr r="D159" s="17"/>
      </tp>
      <tp>
        <v>1417</v>
        <stp/>
        <stp>##V3_BQLV12</stp>
        <stp>[Fundamental &amp; Technical Model (1).xlsm]Balance Sheet!R20C7</stp>
        <stp>SYK US Equity</stp>
        <stp>BS_ACCT_NOTE_RCV/10^6</stp>
        <stp>FPT</stp>
        <stp>A</stp>
        <stp>FPO</stp>
        <stp>-7A</stp>
        <stp>STD</stp>
        <stp>Mixed</stp>
        <stp>CONSOL</stp>
        <stp>Yes</stp>
        <stp>CURRENCY</stp>
        <stp>USD</stp>
        <tr r="G20" s="3"/>
      </tp>
      <tp>
        <v>1252</v>
        <stp/>
        <stp>##V3_BQLV12</stp>
        <stp>[Fundamental &amp; Technical Model (1).xlsm]Balance Sheet!R20C6</stp>
        <stp>SYK US Equity</stp>
        <stp>BS_ACCT_NOTE_RCV/10^6</stp>
        <stp>FPT</stp>
        <stp>A</stp>
        <stp>FPO</stp>
        <stp>-8A</stp>
        <stp>STD</stp>
        <stp>Mixed</stp>
        <stp>CONSOL</stp>
        <stp>Yes</stp>
        <stp>CURRENCY</stp>
        <stp>USD</stp>
        <tr r="F20" s="3"/>
      </tp>
      <tp>
        <v>1147.0999999999999</v>
        <stp/>
        <stp>##V3_BQLV12</stp>
        <stp>[Fundamental &amp; Technical Model (1).xlsm]Balance Sheet!R20C5</stp>
        <stp>SYK US Equity</stp>
        <stp>BS_ACCT_NOTE_RCV/10^6</stp>
        <stp>FPT</stp>
        <stp>A</stp>
        <stp>FPO</stp>
        <stp>-9A</stp>
        <stp>STD</stp>
        <stp>Mixed</stp>
        <stp>CONSOL</stp>
        <stp>Yes</stp>
        <stp>CURRENCY</stp>
        <stp>USD</stp>
        <tr r="E20" s="3"/>
      </tp>
      <tp t="s">
        <v>12/31/2015</v>
        <stp/>
        <stp>##V3_BDPV12</stp>
        <stp>SYK US Equity</stp>
        <stp>LATEST_PERIOD_END_DT_FULL_RECORD</stp>
        <stp>[Fundamental &amp; Technical Model (1).xlsm]Supplemental!R13C10</stp>
        <stp>EQY_FUND_RELATIVE_PERIOD</stp>
        <stp>-3FY</stp>
        <stp>EQY_CONSOLIDATED</stp>
        <stp>Yes</stp>
        <tr r="J13" s="19"/>
        <tr r="J13" s="19"/>
      </tp>
      <tp t="s">
        <v>12/31/2016</v>
        <stp/>
        <stp>##V3_BDPV12</stp>
        <stp>SYK US Equity</stp>
        <stp>LATEST_PERIOD_END_DT_FULL_RECORD</stp>
        <stp>[Fundamental &amp; Technical Model (1).xlsm]Supplemental!R13C11</stp>
        <stp>EQY_FUND_RELATIVE_PERIOD</stp>
        <stp>-2FY</stp>
        <stp>EQY_CONSOLIDATED</stp>
        <stp>Yes</stp>
        <tr r="K13" s="19"/>
        <tr r="K13" s="19"/>
      </tp>
      <tp t="s">
        <v>12/31/2017</v>
        <stp/>
        <stp>##V3_BDPV12</stp>
        <stp>SYK US Equity</stp>
        <stp>LATEST_PERIOD_END_DT_FULL_RECORD</stp>
        <stp>[Fundamental &amp; Technical Model (1).xlsm]Supplemental!R13C12</stp>
        <stp>EQY_FUND_RELATIVE_PERIOD</stp>
        <stp>-1FY</stp>
        <stp>EQY_CONSOLIDATED</stp>
        <stp>Yes</stp>
        <tr r="L13" s="19"/>
        <tr r="L13" s="19"/>
      </tp>
      <tp t="s">
        <v>12/31/2018</v>
        <stp/>
        <stp>##V3_BDPV12</stp>
        <stp>SYK US Equity</stp>
        <stp>LATEST_PERIOD_END_DT_FULL_RECORD</stp>
        <stp>[Fundamental &amp; Technical Model (1).xlsm]Supplemental!R13C13</stp>
        <stp>EQY_FUND_RELATIVE_PERIOD</stp>
        <stp>-0FY</stp>
        <stp>EQY_CONSOLIDATED</stp>
        <stp>Yes</stp>
        <tr r="M13" s="19"/>
        <tr r="M13" s="19"/>
      </tp>
      <tp>
        <v>1518</v>
        <stp/>
        <stp>##V3_BQLV12</stp>
        <stp>[Fundamental &amp; Technical Model (1).xlsm]Balance Sheet!R20C9</stp>
        <stp>SYK US Equity</stp>
        <stp>BS_ACCT_NOTE_RCV/10^6</stp>
        <stp>FPT</stp>
        <stp>A</stp>
        <stp>FPO</stp>
        <stp>-5A</stp>
        <stp>STD</stp>
        <stp>Mixed</stp>
        <stp>CONSOL</stp>
        <stp>Yes</stp>
        <stp>CURRENCY</stp>
        <stp>USD</stp>
        <tr r="I20" s="3"/>
      </tp>
      <tp>
        <v>1430</v>
        <stp/>
        <stp>##V3_BQLV12</stp>
        <stp>[Fundamental &amp; Technical Model (1).xlsm]Balance Sheet!R20C8</stp>
        <stp>SYK US Equity</stp>
        <stp>BS_ACCT_NOTE_RCV/10^6</stp>
        <stp>FPT</stp>
        <stp>A</stp>
        <stp>FPO</stp>
        <stp>-6A</stp>
        <stp>STD</stp>
        <stp>Mixed</stp>
        <stp>CONSOL</stp>
        <stp>Yes</stp>
        <stp>CURRENCY</stp>
        <stp>USD</stp>
        <tr r="H20" s="3"/>
      </tp>
      <tp t="e">
        <v>#N/A</v>
        <stp/>
        <stp>##V3_BDHV12</stp>
        <stp>SYK US Equity</stp>
        <stp>LOW_CLOSING_PRICE_TO_CASH_FLOW</stp>
        <stp>-8FY</stp>
        <stp>-8FY</stp>
        <stp>[Fundamental &amp; Technical Model (1).xlsm]Multiples!R54C5</stp>
        <stp>EQY_CONSOLIDATED</stp>
        <stp>Yes</stp>
        <stp>ACCOUNTING_STANDARD_OVERRIDE</stp>
        <stp>Mixed</stp>
        <stp>Per</stp>
        <stp>FY</stp>
        <stp>Days=A</stp>
        <tr r="E54" s="16"/>
        <tr r="E54" s="16"/>
      </tp>
      <tp>
        <v>179.6</v>
        <stp/>
        <stp>##V3_BDPV12</stp>
        <stp>SYK US Equity</stp>
        <stp>ARD_PREPAID_EXP_AND_OTHER</stp>
        <stp>[Fundamental &amp; Technical Model (1).xlsm]Balance Sheet!R24C4</stp>
        <stp>EQY_FUND_RELATIVE_PERIOD</stp>
        <stp>-10FY</stp>
        <stp>EQY_FUND_CRNCY</stp>
        <stp>USD</stp>
        <stp>EQY_CONSOLIDATED</stp>
        <stp>Yes</stp>
        <stp>ACCOUNTING_STANDARD_OVERRIDE</stp>
        <stp>Mixed</stp>
        <stp>Fill=0</stp>
        <tr r="D24" s="3"/>
      </tp>
      <tp t="e">
        <v>#N/A</v>
        <stp/>
        <stp>##V3_BDHV12</stp>
        <stp>SYK US Equity</stp>
        <stp>AVERAGE_DIVIDEND_YIELD</stp>
        <stp>-5FY</stp>
        <stp>-5FY</stp>
        <stp>[Fundamental &amp; Technical Model (1).xlsm]Multiples!R64C8</stp>
        <stp>EQY_CONSOLIDATED</stp>
        <stp>Yes</stp>
        <stp>ACCOUNTING_STANDARD_OVERRIDE</stp>
        <stp>Mixed</stp>
        <stp>Per</stp>
        <stp>FY</stp>
        <stp>Days=A</stp>
        <tr r="H64" s="16"/>
        <tr r="H64" s="16"/>
      </tp>
      <tp>
        <v>4.6425659999999995</v>
        <stp/>
        <stp>##V3_BDPV12</stp>
        <stp>EW Equity</stp>
        <stp>trail_12M_EPS</stp>
        <stp>[Fundamental &amp; Technical Model (1).xlsm]Public Comparables!R12C13</stp>
        <tr r="M12" s="24"/>
      </tp>
      <tp>
        <v>148</v>
        <stp/>
        <stp>##V3_BQLV12</stp>
        <stp>[Fundamental &amp; Technical Model (1).xlsm]Balance Sheet!R73C13</stp>
        <stp>SYK US Equity</stp>
        <stp>INVTRY_IN_PROGRESS/10^6</stp>
        <stp>FPT</stp>
        <stp>A</stp>
        <stp>FPO</stp>
        <stp>-1A</stp>
        <stp>STD</stp>
        <stp>Mixed</stp>
        <stp>CONSOL</stp>
        <stp>Yes</stp>
        <stp>CURRENCY</stp>
        <stp>USD</stp>
        <tr r="M73" s="3"/>
      </tp>
      <tp t="e">
        <v>#N/A</v>
        <stp/>
        <stp>##V3_BDHV12</stp>
        <stp>SYK US Equity</stp>
        <stp>HIGH_EV_TO_T12M_EBITDA</stp>
        <stp>-9FY</stp>
        <stp>-9FY</stp>
        <stp>[Fundamental &amp; Technical Model (1).xlsm]Multiples!R23C4</stp>
        <stp>EQY_CONSOLIDATED</stp>
        <stp>Yes</stp>
        <stp>ACCOUNTING_STANDARD_OVERRIDE</stp>
        <stp>Mixed</stp>
        <stp>Per</stp>
        <stp>FY</stp>
        <stp>Days=A</stp>
        <tr r="D23" s="16"/>
        <tr r="D23" s="16"/>
      </tp>
      <tp>
        <v>1.4</v>
        <stp/>
        <stp>##V3_BDPV12</stp>
        <stp>SYK US Equity</stp>
        <stp>ARDR_STOCK_OPTION_VAL_DVD_YLD</stp>
        <stp>[Fundamental &amp; Technical Model (1).xlsm]Supplemental!R30C6</stp>
        <stp>EQY_FUND_RELATIVE_PERIOD</stp>
        <stp>-7FY</stp>
        <stp>EQY_FUND_CRNCY</stp>
        <stp>USD</stp>
        <stp>EQY_CONSOLIDATED</stp>
        <stp>Yes</stp>
        <stp>ACCOUNTING_STANDARD_OVERRIDE</stp>
        <stp>Mixed</stp>
        <stp>Fill=--</stp>
        <tr r="F30" s="19"/>
      </tp>
      <tp>
        <v>1.5</v>
        <stp/>
        <stp>##V3_BDPV12</stp>
        <stp>SYK US Equity</stp>
        <stp>ARDR_STOCK_OPTION_VAL_DVD_YLD</stp>
        <stp>[Fundamental &amp; Technical Model (1).xlsm]Supplemental!R30C7</stp>
        <stp>EQY_FUND_RELATIVE_PERIOD</stp>
        <stp>-6FY</stp>
        <stp>EQY_FUND_CRNCY</stp>
        <stp>USD</stp>
        <stp>EQY_CONSOLIDATED</stp>
        <stp>Yes</stp>
        <stp>ACCOUNTING_STANDARD_OVERRIDE</stp>
        <stp>Mixed</stp>
        <stp>Fill=--</stp>
        <tr r="G30" s="19"/>
      </tp>
      <tp>
        <v>54</v>
        <stp/>
        <stp>##V3_BDPV12</stp>
        <stp>SYK US Equity</stp>
        <stp>BS_RENTAL_EXPENSE_YR_4_5</stp>
        <stp>[Fundamental &amp; Technical Model (1).xlsm]Capital Structure Summary!R103C11</stp>
        <stp>EQY_FUND_RELATIVE_PERIOD</stp>
        <stp>-0FY</stp>
        <stp>EQY_FUND_CRNCY</stp>
        <stp>USD</stp>
        <stp>EQY_CONSOLIDATED</stp>
        <stp>Yes</stp>
        <stp>ACCOUNTING_STANDARD_OVERRIDE</stp>
        <stp>Mixed</stp>
        <stp>Fill=--</stp>
        <tr r="K103" s="21"/>
      </tp>
      <tp>
        <v>92</v>
        <stp/>
        <stp>##V3_BDPV12</stp>
        <stp>SYK US Equity</stp>
        <stp>BS_RENTAL_EXPENSE_YR_2_3</stp>
        <stp>[Fundamental &amp; Technical Model (1).xlsm]Capital Structure Summary!R102C11</stp>
        <stp>EQY_FUND_RELATIVE_PERIOD</stp>
        <stp>-0FY</stp>
        <stp>EQY_FUND_CRNCY</stp>
        <stp>USD</stp>
        <stp>EQY_CONSOLIDATED</stp>
        <stp>Yes</stp>
        <stp>ACCOUNTING_STANDARD_OVERRIDE</stp>
        <stp>Mixed</stp>
        <stp>Fill=--</stp>
        <tr r="K102" s="21"/>
      </tp>
      <tp>
        <v>146</v>
        <stp/>
        <stp>##V3_BDPV12</stp>
        <stp>SYK US Equity</stp>
        <stp>BS_RENTAL_EXPENSE_YR_2_5</stp>
        <stp>[Fundamental &amp; Technical Model (1).xlsm]Capital Structure Summary!R104C11</stp>
        <stp>EQY_FUND_RELATIVE_PERIOD</stp>
        <stp>-0FY</stp>
        <stp>EQY_FUND_CRNCY</stp>
        <stp>USD</stp>
        <stp>EQY_CONSOLIDATED</stp>
        <stp>Yes</stp>
        <stp>ACCOUNTING_STANDARD_OVERRIDE</stp>
        <stp>Mixed</stp>
        <stp>Fill=--</stp>
        <tr r="K104" s="21"/>
      </tp>
      <tp>
        <v>113.85714285714286</v>
        <stp/>
        <stp>##V3_BQLV12</stp>
        <stp>[Fundamental &amp; Technical Model (1).xlsm]Ratios!R52C5</stp>
        <stp>SYK US Equity</stp>
        <stp>EBIT_TO_INT_EXP</stp>
        <stp>FPT</stp>
        <stp>A</stp>
        <stp>FPO</stp>
        <stp>-9A</stp>
        <stp>STD</stp>
        <stp>Mixed</stp>
        <stp>CONSOL</stp>
        <stp>Yes</stp>
        <tr r="E52" s="8"/>
      </tp>
      <tp>
        <v>0.89831720965682305</v>
        <stp/>
        <stp>##V3_BQLV12</stp>
        <stp>[Fundamental &amp; Technical Model (1).xlsm]Ratios!R31C4</stp>
        <stp>SYK US Equity</stp>
        <stp>ASSET_TURNOVER</stp>
        <stp>FPT</stp>
        <stp>A</stp>
        <stp>FPO</stp>
        <stp>-10A</stp>
        <stp>STD</stp>
        <stp>Mixed</stp>
        <stp>CONSOL</stp>
        <stp>Yes</stp>
        <tr r="D31" s="8"/>
      </tp>
      <tp t="s">
        <v>--</v>
        <stp/>
        <stp>##V3_BDPV12</stp>
        <stp>SYK US Equity</stp>
        <stp>ARDR_STOCK_OPTION_VAL_DVD_YLD</stp>
        <stp>[Fundamental &amp; Technical Model (1).xlsm]Supplemental!R30C4</stp>
        <stp>EQY_FUND_RELATIVE_PERIOD</stp>
        <stp>-9FY</stp>
        <stp>EQY_FUND_CRNCY</stp>
        <stp>USD</stp>
        <stp>EQY_CONSOLIDATED</stp>
        <stp>Yes</stp>
        <stp>ACCOUNTING_STANDARD_OVERRIDE</stp>
        <stp>Mixed</stp>
        <stp>Fill=--</stp>
        <tr r="D30" s="19"/>
      </tp>
      <tp>
        <v>1.4</v>
        <stp/>
        <stp>##V3_BDPV12</stp>
        <stp>SYK US Equity</stp>
        <stp>ARDR_STOCK_OPTION_VAL_DVD_YLD</stp>
        <stp>[Fundamental &amp; Technical Model (1).xlsm]Supplemental!R30C5</stp>
        <stp>EQY_FUND_RELATIVE_PERIOD</stp>
        <stp>-8FY</stp>
        <stp>EQY_FUND_CRNCY</stp>
        <stp>USD</stp>
        <stp>EQY_CONSOLIDATED</stp>
        <stp>Yes</stp>
        <stp>ACCOUNTING_STANDARD_OVERRIDE</stp>
        <stp>Mixed</stp>
        <stp>Fill=--</stp>
        <tr r="E30" s="19"/>
      </tp>
      <tp>
        <v>1.9</v>
        <stp/>
        <stp>##V3_BDPV12</stp>
        <stp>SYK US Equity</stp>
        <stp>ARDR_STOCK_OPTION_VAL_DVD_YLD</stp>
        <stp>[Fundamental &amp; Technical Model (1).xlsm]Supplemental!R30C8</stp>
        <stp>EQY_FUND_RELATIVE_PERIOD</stp>
        <stp>-5FY</stp>
        <stp>EQY_FUND_CRNCY</stp>
        <stp>USD</stp>
        <stp>EQY_CONSOLIDATED</stp>
        <stp>Yes</stp>
        <stp>ACCOUNTING_STANDARD_OVERRIDE</stp>
        <stp>Mixed</stp>
        <stp>Fill=--</stp>
        <tr r="H30" s="19"/>
      </tp>
      <tp>
        <v>1.8</v>
        <stp/>
        <stp>##V3_BDPV12</stp>
        <stp>SYK US Equity</stp>
        <stp>ARDR_STOCK_OPTION_VAL_DVD_YLD</stp>
        <stp>[Fundamental &amp; Technical Model (1).xlsm]Supplemental!R30C9</stp>
        <stp>EQY_FUND_RELATIVE_PERIOD</stp>
        <stp>-4FY</stp>
        <stp>EQY_FUND_CRNCY</stp>
        <stp>USD</stp>
        <stp>EQY_CONSOLIDATED</stp>
        <stp>Yes</stp>
        <stp>ACCOUNTING_STANDARD_OVERRIDE</stp>
        <stp>Mixed</stp>
        <stp>Fill=--</stp>
        <tr r="I30" s="19"/>
      </tp>
      <tp>
        <v>701.1</v>
        <stp/>
        <stp>##V3_BQLV12</stp>
        <stp>[Fundamental &amp; Technical Model (1).xlsm]Balance Sheet!R17C4</stp>
        <stp>SYK US Equity</stp>
        <stp>BS_CASH_NEAR_CASH_ITEM/10^6</stp>
        <stp>FPT</stp>
        <stp>A</stp>
        <stp>FPO</stp>
        <stp>-10A</stp>
        <stp>STD</stp>
        <stp>Mixed</stp>
        <stp>CONSOL</stp>
        <stp>Yes</stp>
        <stp>CURRENCY</stp>
        <stp>USD</stp>
        <tr r="D17" s="3"/>
      </tp>
      <tp t="s">
        <v>2008 Y</v>
        <stp/>
        <stp>##V3_BDPV12</stp>
        <stp>SYK US Equity</stp>
        <stp>FISCAL_YEAR_PERIOD</stp>
        <stp>[Fundamental &amp; Technical Model (1).xlsm]Segments!R144C4</stp>
        <stp>EQY_FUND_RELATIVE_PERIOD</stp>
        <stp>-10FY</stp>
        <tr r="D144" s="17"/>
      </tp>
      <tp t="s">
        <v>2016 A</v>
        <stp/>
        <stp>##V3_BQLV12</stp>
        <stp>[Fundamental &amp; Technical Model (1).xlsm]Income Statement!R13C12</stp>
        <stp>SYK US Equity</stp>
        <stp>IS_EPS().PERIOD</stp>
        <stp>FPT</stp>
        <stp>A</stp>
        <stp>FPO</stp>
        <stp>-2A</stp>
        <stp>STD</stp>
        <stp>Mixed</stp>
        <stp>CONSOL</stp>
        <stp>Yes</stp>
        <tr r="L13" s="2"/>
      </tp>
      <tp>
        <v>43.176450019668692</v>
        <stp/>
        <stp>##V3_BQLV12</stp>
        <stp>[Fundamental &amp; Technical Model (1).xlsm]Ratios!R42C4</stp>
        <stp>SYK US Equity</stp>
        <stp>ACCOUNTS_PAYABLE_TURNOVER_DAYS</stp>
        <stp>FPT</stp>
        <stp>A</stp>
        <stp>FPO</stp>
        <stp>-10A</stp>
        <stp>STD</stp>
        <stp>Mixed</stp>
        <stp>CONSOL</stp>
        <stp>Yes</stp>
        <tr r="D42" s="8"/>
      </tp>
      <tp t="s">
        <v>2018 Y</v>
        <stp/>
        <stp>##V3_BDPV12</stp>
        <stp>SYK US Equity</stp>
        <stp>FISCAL_YEAR_PERIOD</stp>
        <stp>[Fundamental &amp; Technical Model (1).xlsm]Capital Structure Summary!R12C11</stp>
        <stp>EQY_FUND_RELATIVE_PERIOD</stp>
        <stp>-0FY</stp>
        <tr r="K12" s="21"/>
      </tp>
      <tp t="e">
        <v>#N/A</v>
        <stp/>
        <stp>##V3_BDHV12</stp>
        <stp>SYK US Equity</stp>
        <stp>AVERAGE_PRICE_TO_BOOK_RATIO</stp>
        <stp>-2FY</stp>
        <stp>-2FY</stp>
        <stp>[Fundamental &amp; Technical Model (1).xlsm]Multiples!R40C11</stp>
        <stp>EQY_CONSOLIDATED</stp>
        <stp>Yes</stp>
        <stp>ACCOUNTING_STANDARD_OVERRIDE</stp>
        <stp>Mixed</stp>
        <stp>Per</stp>
        <stp>FY</stp>
        <stp>Days=A</stp>
        <tr r="K40" s="16"/>
        <tr r="K40" s="16"/>
      </tp>
      <tp t="e">
        <v>#N/A</v>
        <stp/>
        <stp>##V3_BDHV12</stp>
        <stp>SYK US Equity</stp>
        <stp>HIGH_CLOSING_PRICE_TO_BOOK_RATIO</stp>
        <stp>-0FY</stp>
        <stp>-0FY</stp>
        <stp>[Fundamental &amp; Technical Model (1).xlsm]Multiples!R41C13</stp>
        <stp>EQY_CONSOLIDATED</stp>
        <stp>Yes</stp>
        <stp>ACCOUNTING_STANDARD_OVERRIDE</stp>
        <stp>Mixed</stp>
        <stp>Per</stp>
        <stp>FY</stp>
        <stp>Days=A</stp>
        <tr r="M41" s="16"/>
        <tr r="M41" s="16"/>
      </tp>
      <tp t="e">
        <v>#N/A</v>
        <stp/>
        <stp>##V3_BDHV12</stp>
        <stp>SYK US Equity</stp>
        <stp>AVERAGE_PRICE_TO_BOOK_RATIO</stp>
        <stp>-3FY</stp>
        <stp>-3FY</stp>
        <stp>[Fundamental &amp; Technical Model (1).xlsm]Multiples!R40C10</stp>
        <stp>EQY_CONSOLIDATED</stp>
        <stp>Yes</stp>
        <stp>ACCOUNTING_STANDARD_OVERRIDE</stp>
        <stp>Mixed</stp>
        <stp>Per</stp>
        <stp>FY</stp>
        <stp>Days=A</stp>
        <tr r="J40" s="16"/>
        <tr r="J40" s="16"/>
      </tp>
      <tp t="e">
        <v>#N/A</v>
        <stp/>
        <stp>##V3_BDHV12</stp>
        <stp>SYK US Equity</stp>
        <stp>HIGH_CLOSING_PRICE_TO_BOOK_RATIO</stp>
        <stp>-1FY</stp>
        <stp>-1FY</stp>
        <stp>[Fundamental &amp; Technical Model (1).xlsm]Multiples!R41C12</stp>
        <stp>EQY_CONSOLIDATED</stp>
        <stp>Yes</stp>
        <stp>ACCOUNTING_STANDARD_OVERRIDE</stp>
        <stp>Mixed</stp>
        <stp>Per</stp>
        <stp>FY</stp>
        <stp>Days=A</stp>
        <tr r="L41" s="16"/>
        <tr r="L41" s="16"/>
      </tp>
      <tp t="e">
        <v>#N/A</v>
        <stp/>
        <stp>##V3_BDHV12</stp>
        <stp>SYK US Equity</stp>
        <stp>AVERAGE_PRICE_TO_BOOK_RATIO</stp>
        <stp>-0FY</stp>
        <stp>-0FY</stp>
        <stp>[Fundamental &amp; Technical Model (1).xlsm]Multiples!R40C13</stp>
        <stp>EQY_CONSOLIDATED</stp>
        <stp>Yes</stp>
        <stp>ACCOUNTING_STANDARD_OVERRIDE</stp>
        <stp>Mixed</stp>
        <stp>Per</stp>
        <stp>FY</stp>
        <stp>Days=A</stp>
        <tr r="M40" s="16"/>
        <tr r="M40" s="16"/>
      </tp>
      <tp t="e">
        <v>#N/A</v>
        <stp/>
        <stp>##V3_BDHV12</stp>
        <stp>SYK US Equity</stp>
        <stp>HIGH_CLOSING_PRICE_TO_BOOK_RATIO</stp>
        <stp>-2FY</stp>
        <stp>-2FY</stp>
        <stp>[Fundamental &amp; Technical Model (1).xlsm]Multiples!R41C11</stp>
        <stp>EQY_CONSOLIDATED</stp>
        <stp>Yes</stp>
        <stp>ACCOUNTING_STANDARD_OVERRIDE</stp>
        <stp>Mixed</stp>
        <stp>Per</stp>
        <stp>FY</stp>
        <stp>Days=A</stp>
        <tr r="K41" s="16"/>
        <tr r="K41" s="16"/>
      </tp>
      <tp t="e">
        <v>#N/A</v>
        <stp/>
        <stp>##V3_BDHV12</stp>
        <stp>SYK US Equity</stp>
        <stp>AVERAGE_PRICE_TO_BOOK_RATIO</stp>
        <stp>-1FY</stp>
        <stp>-1FY</stp>
        <stp>[Fundamental &amp; Technical Model (1).xlsm]Multiples!R40C12</stp>
        <stp>EQY_CONSOLIDATED</stp>
        <stp>Yes</stp>
        <stp>ACCOUNTING_STANDARD_OVERRIDE</stp>
        <stp>Mixed</stp>
        <stp>Per</stp>
        <stp>FY</stp>
        <stp>Days=A</stp>
        <tr r="L40" s="16"/>
        <tr r="L40" s="16"/>
      </tp>
      <tp t="e">
        <v>#N/A</v>
        <stp/>
        <stp>##V3_BDHV12</stp>
        <stp>SYK US Equity</stp>
        <stp>HIGH_CLOSING_PRICE_TO_BOOK_RATIO</stp>
        <stp>-3FY</stp>
        <stp>-3FY</stp>
        <stp>[Fundamental &amp; Technical Model (1).xlsm]Multiples!R41C10</stp>
        <stp>EQY_CONSOLIDATED</stp>
        <stp>Yes</stp>
        <stp>ACCOUNTING_STANDARD_OVERRIDE</stp>
        <stp>Mixed</stp>
        <stp>Per</stp>
        <stp>FY</stp>
        <stp>Days=A</stp>
        <tr r="J41" s="16"/>
        <tr r="J41" s="16"/>
      </tp>
      <tp>
        <v>2.78</v>
        <stp/>
        <stp>##V3_BQLV12</stp>
        <stp>[Fundamental &amp; Technical Model (1).xlsm]Income Statement!R66C4</stp>
        <stp>SYK US Equity</stp>
        <stp>IS_DILUTED_EPS</stp>
        <stp>FPT</stp>
        <stp>A</stp>
        <stp>FPO</stp>
        <stp>-10A</stp>
        <stp>STD</stp>
        <stp>Mixed</stp>
        <stp>CONSOL</stp>
        <stp>Yes</stp>
        <stp>CURRENCY</stp>
        <stp>USD</stp>
        <tr r="D66" s="2"/>
      </tp>
      <tp t="e">
        <v>#N/A</v>
        <stp/>
        <stp>##V3_BDHV12</stp>
        <stp>SYK US Equity</stp>
        <stp>LOW_CLOSING_PRICE_TO_CASH_FLOW</stp>
        <stp>-9FY</stp>
        <stp>-9FY</stp>
        <stp>[Fundamental &amp; Technical Model (1).xlsm]Multiples!R54C4</stp>
        <stp>EQY_CONSOLIDATED</stp>
        <stp>Yes</stp>
        <stp>ACCOUNTING_STANDARD_OVERRIDE</stp>
        <stp>Mixed</stp>
        <stp>Per</stp>
        <stp>FY</stp>
        <stp>Days=A</stp>
        <tr r="D54" s="16"/>
        <tr r="D54" s="16"/>
      </tp>
      <tp>
        <v>0</v>
        <stp/>
        <stp>##V3_BDPV12</stp>
        <stp>SYK US Equity</stp>
        <stp>BS_TOT_COM_PAPER_ISSUED</stp>
        <stp>[Fundamental &amp; Technical Model (1).xlsm]Capital Structure Summary!R39C11</stp>
        <stp>EQY_FUND_RELATIVE_PERIOD</stp>
        <stp>-0FY</stp>
        <stp>EQY_FUND_CRNCY</stp>
        <stp>USD</stp>
        <stp>EQY_CONSOLIDATED</stp>
        <stp>Yes</stp>
        <stp>ACCOUNTING_STANDARD_OVERRIDE</stp>
        <stp>Mixed</stp>
        <stp>Fill=--</stp>
        <tr r="K39" s="21"/>
      </tp>
      <tp t="e">
        <v>#N/A</v>
        <stp/>
        <stp>##V3_BDHV12</stp>
        <stp>SYK US Equity</stp>
        <stp>AVERAGE_DIVIDEND_YIELD</stp>
        <stp>-4FY</stp>
        <stp>-4FY</stp>
        <stp>[Fundamental &amp; Technical Model (1).xlsm]Multiples!R64C9</stp>
        <stp>EQY_CONSOLIDATED</stp>
        <stp>Yes</stp>
        <stp>ACCOUNTING_STANDARD_OVERRIDE</stp>
        <stp>Mixed</stp>
        <stp>Per</stp>
        <stp>FY</stp>
        <stp>Days=A</stp>
        <tr r="I64" s="16"/>
        <tr r="I64" s="16"/>
      </tp>
      <tp>
        <v>41.2</v>
        <stp/>
        <stp>##V3_BDPV12</stp>
        <stp>SYK US Equity</stp>
        <stp>ARDR_AVG_EXER_PX_OPT_EXERCISABLE</stp>
        <stp>[Fundamental &amp; Technical Model (1).xlsm]Supplemental!R22C4</stp>
        <stp>EQY_FUND_RELATIVE_PERIOD</stp>
        <stp>-9FY</stp>
        <stp>EQY_FUND_CRNCY</stp>
        <stp>USD</stp>
        <stp>EQY_CONSOLIDATED</stp>
        <stp>Yes</stp>
        <stp>ACCOUNTING_STANDARD_OVERRIDE</stp>
        <stp>Mixed</stp>
        <stp>Fill=--</stp>
        <tr r="D22" s="19"/>
      </tp>
      <tp>
        <v>45.77</v>
        <stp/>
        <stp>##V3_BDPV12</stp>
        <stp>SYK US Equity</stp>
        <stp>ARDR_AVG_EXER_PX_OPT_EXERCISABLE</stp>
        <stp>[Fundamental &amp; Technical Model (1).xlsm]Supplemental!R22C5</stp>
        <stp>EQY_FUND_RELATIVE_PERIOD</stp>
        <stp>-8FY</stp>
        <stp>EQY_FUND_CRNCY</stp>
        <stp>USD</stp>
        <stp>EQY_CONSOLIDATED</stp>
        <stp>Yes</stp>
        <stp>ACCOUNTING_STANDARD_OVERRIDE</stp>
        <stp>Mixed</stp>
        <stp>Fill=--</stp>
        <tr r="E22" s="19"/>
      </tp>
      <tp>
        <v>53.77</v>
        <stp/>
        <stp>##V3_BDPV12</stp>
        <stp>SYK US Equity</stp>
        <stp>ARDR_AVG_EXER_PX_OPT_EXERCISABLE</stp>
        <stp>[Fundamental &amp; Technical Model (1).xlsm]Supplemental!R22C8</stp>
        <stp>EQY_FUND_RELATIVE_PERIOD</stp>
        <stp>-5FY</stp>
        <stp>EQY_FUND_CRNCY</stp>
        <stp>USD</stp>
        <stp>EQY_CONSOLIDATED</stp>
        <stp>Yes</stp>
        <stp>ACCOUNTING_STANDARD_OVERRIDE</stp>
        <stp>Mixed</stp>
        <stp>Fill=--</stp>
        <tr r="H22" s="19"/>
      </tp>
      <tp>
        <v>54.34</v>
        <stp/>
        <stp>##V3_BDPV12</stp>
        <stp>SYK US Equity</stp>
        <stp>ARDR_AVG_EXER_PX_OPT_EXERCISABLE</stp>
        <stp>[Fundamental &amp; Technical Model (1).xlsm]Supplemental!R22C9</stp>
        <stp>EQY_FUND_RELATIVE_PERIOD</stp>
        <stp>-4FY</stp>
        <stp>EQY_FUND_CRNCY</stp>
        <stp>USD</stp>
        <stp>EQY_CONSOLIDATED</stp>
        <stp>Yes</stp>
        <stp>ACCOUNTING_STANDARD_OVERRIDE</stp>
        <stp>Mixed</stp>
        <stp>Fill=--</stp>
        <tr r="I22" s="19"/>
      </tp>
      <tp t="e">
        <v>#N/A</v>
        <stp/>
        <stp>##V3_BDHV12</stp>
        <stp>SYK US Equity</stp>
        <stp>LOW_DIVIDEND_YIELD</stp>
        <stp>-1FY</stp>
        <stp>-1FY</stp>
        <stp>[Fundamental &amp; Technical Model (1).xlsm]Multiples!R66C12</stp>
        <stp>EQY_CONSOLIDATED</stp>
        <stp>Yes</stp>
        <stp>ACCOUNTING_STANDARD_OVERRIDE</stp>
        <stp>Mixed</stp>
        <stp>Per</stp>
        <stp>FY</stp>
        <stp>Days=A</stp>
        <tr r="L66" s="16"/>
        <tr r="L66" s="16"/>
      </tp>
      <tp t="e">
        <v>#N/A</v>
        <stp/>
        <stp>##V3_BDHV12</stp>
        <stp>SYK US Equity</stp>
        <stp>LOW_DIVIDEND_YIELD</stp>
        <stp>-0FY</stp>
        <stp>-0FY</stp>
        <stp>[Fundamental &amp; Technical Model (1).xlsm]Multiples!R66C13</stp>
        <stp>EQY_CONSOLIDATED</stp>
        <stp>Yes</stp>
        <stp>ACCOUNTING_STANDARD_OVERRIDE</stp>
        <stp>Mixed</stp>
        <stp>Per</stp>
        <stp>FY</stp>
        <stp>Days=A</stp>
        <tr r="M66" s="16"/>
        <tr r="M66" s="16"/>
      </tp>
      <tp t="e">
        <v>#N/A</v>
        <stp/>
        <stp>##V3_BDHV12</stp>
        <stp>SYK US Equity</stp>
        <stp>LOW_DIVIDEND_YIELD</stp>
        <stp>-3FY</stp>
        <stp>-3FY</stp>
        <stp>[Fundamental &amp; Technical Model (1).xlsm]Multiples!R66C10</stp>
        <stp>EQY_CONSOLIDATED</stp>
        <stp>Yes</stp>
        <stp>ACCOUNTING_STANDARD_OVERRIDE</stp>
        <stp>Mixed</stp>
        <stp>Per</stp>
        <stp>FY</stp>
        <stp>Days=A</stp>
        <tr r="J66" s="16"/>
        <tr r="J66" s="16"/>
      </tp>
      <tp t="e">
        <v>#N/A</v>
        <stp/>
        <stp>##V3_BDHV12</stp>
        <stp>SYK US Equity</stp>
        <stp>LOW_DIVIDEND_YIELD</stp>
        <stp>-2FY</stp>
        <stp>-2FY</stp>
        <stp>[Fundamental &amp; Technical Model (1).xlsm]Multiples!R66C11</stp>
        <stp>EQY_CONSOLIDATED</stp>
        <stp>Yes</stp>
        <stp>ACCOUNTING_STANDARD_OVERRIDE</stp>
        <stp>Mixed</stp>
        <stp>Per</stp>
        <stp>FY</stp>
        <stp>Days=A</stp>
        <tr r="K66" s="16"/>
        <tr r="K66" s="16"/>
      </tp>
      <tp>
        <v>88</v>
        <stp/>
        <stp>##V3_BQLV12</stp>
        <stp>[Fundamental &amp; Technical Model (1).xlsm]Balance Sheet!R73C10</stp>
        <stp>SYK US Equity</stp>
        <stp>INVTRY_IN_PROGRESS/10^6</stp>
        <stp>FPT</stp>
        <stp>A</stp>
        <stp>FPO</stp>
        <stp>-4A</stp>
        <stp>STD</stp>
        <stp>Mixed</stp>
        <stp>CONSOL</stp>
        <stp>Yes</stp>
        <stp>CURRENCY</stp>
        <stp>USD</stp>
        <tr r="J73" s="3"/>
      </tp>
      <tp>
        <v>2.4719101123595508</v>
        <stp/>
        <stp>##V3_BQLV12</stp>
        <stp>[Fundamental &amp; Technical Model (1).xlsm]Key Stats!R31C11</stp>
        <stp>SYK US Equity</stp>
        <stp>DILUTED_EPS_BEF_XO_ITEMS_GROWTH/100</stp>
        <stp>FPT=LTM</stp>
        <stp>FPO</stp>
        <stp>-0</stp>
        <stp>STD</stp>
        <stp>Mixed</stp>
        <stp>CONSOL</stp>
        <stp>Yes</stp>
        <stp>CURRENCY</stp>
        <stp>USD</stp>
        <tr r="K31" s="23"/>
      </tp>
      <tp>
        <v>48.63</v>
        <stp/>
        <stp>##V3_BDPV12</stp>
        <stp>SYK US Equity</stp>
        <stp>ARDR_AVG_EXER_PX_OPT_EXERCISABLE</stp>
        <stp>[Fundamental &amp; Technical Model (1).xlsm]Supplemental!R22C6</stp>
        <stp>EQY_FUND_RELATIVE_PERIOD</stp>
        <stp>-7FY</stp>
        <stp>EQY_FUND_CRNCY</stp>
        <stp>USD</stp>
        <stp>EQY_CONSOLIDATED</stp>
        <stp>Yes</stp>
        <stp>ACCOUNTING_STANDARD_OVERRIDE</stp>
        <stp>Mixed</stp>
        <stp>Fill=--</stp>
        <tr r="F22" s="19"/>
      </tp>
      <tp>
        <v>51.72</v>
        <stp/>
        <stp>##V3_BDPV12</stp>
        <stp>SYK US Equity</stp>
        <stp>ARDR_AVG_EXER_PX_OPT_EXERCISABLE</stp>
        <stp>[Fundamental &amp; Technical Model (1).xlsm]Supplemental!R22C7</stp>
        <stp>EQY_FUND_RELATIVE_PERIOD</stp>
        <stp>-6FY</stp>
        <stp>EQY_FUND_CRNCY</stp>
        <stp>USD</stp>
        <stp>EQY_CONSOLIDATED</stp>
        <stp>Yes</stp>
        <stp>ACCOUNTING_STANDARD_OVERRIDE</stp>
        <stp>Mixed</stp>
        <stp>Fill=--</stp>
        <tr r="G22" s="19"/>
      </tp>
      <tp>
        <v>1580.2</v>
        <stp/>
        <stp>##V3_BQLV12</stp>
        <stp>[Fundamental &amp; Technical Model (1).xlsm]Income Statement!R44C4</stp>
        <stp>SYK US Equity</stp>
        <stp>PRETAX_INC/10^6</stp>
        <stp>FPT</stp>
        <stp>A</stp>
        <stp>FPO</stp>
        <stp>-10A</stp>
        <stp>STD</stp>
        <stp>Mixed</stp>
        <stp>CONSOL</stp>
        <stp>Yes</stp>
        <stp>CURRENCY</stp>
        <stp>USD</stp>
        <tr r="D44" s="2"/>
      </tp>
      <tp t="e">
        <v>#N/A</v>
        <stp/>
        <stp>##V3_BDHV12</stp>
        <stp>SYK US Equity</stp>
        <stp>HIGH_EV_TO_T12M_EBITDA</stp>
        <stp>-6FY</stp>
        <stp>-6FY</stp>
        <stp>[Fundamental &amp; Technical Model (1).xlsm]Multiples!R23C7</stp>
        <stp>EQY_CONSOLIDATED</stp>
        <stp>Yes</stp>
        <stp>ACCOUNTING_STANDARD_OVERRIDE</stp>
        <stp>Mixed</stp>
        <stp>Per</stp>
        <stp>FY</stp>
        <stp>Days=A</stp>
        <tr r="G23" s="16"/>
        <tr r="G23" s="16"/>
      </tp>
      <tp>
        <v>-279</v>
        <stp/>
        <stp>##V3_BQLV12</stp>
        <stp>[Fundamental &amp; Technical Model (1).xlsm]Cash Flow!R35C7</stp>
        <stp>SYK US Equity</stp>
        <stp>CF_DVD_PAID/10^6</stp>
        <stp>FPT</stp>
        <stp>A</stp>
        <stp>FPO</stp>
        <stp>-7A</stp>
        <stp>STD</stp>
        <stp>Mixed</stp>
        <stp>CONSOL</stp>
        <stp>Yes</stp>
        <stp>CURRENCY</stp>
        <stp>USD</stp>
        <tr r="G35" s="4"/>
      </tp>
      <tp>
        <v>-198</v>
        <stp/>
        <stp>##V3_BQLV12</stp>
        <stp>[Fundamental &amp; Technical Model (1).xlsm]Cash Flow!R35C5</stp>
        <stp>SYK US Equity</stp>
        <stp>CF_DVD_PAID/10^6</stp>
        <stp>FPT</stp>
        <stp>A</stp>
        <stp>FPO</stp>
        <stp>-9A</stp>
        <stp>STD</stp>
        <stp>Mixed</stp>
        <stp>CONSOL</stp>
        <stp>Yes</stp>
        <stp>CURRENCY</stp>
        <stp>USD</stp>
        <tr r="E35" s="4"/>
      </tp>
      <tp>
        <v>-401</v>
        <stp/>
        <stp>##V3_BQLV12</stp>
        <stp>[Fundamental &amp; Technical Model (1).xlsm]Cash Flow!R35C9</stp>
        <stp>SYK US Equity</stp>
        <stp>CF_DVD_PAID/10^6</stp>
        <stp>FPT</stp>
        <stp>A</stp>
        <stp>FPO</stp>
        <stp>-5A</stp>
        <stp>STD</stp>
        <stp>Mixed</stp>
        <stp>CONSOL</stp>
        <stp>Yes</stp>
        <stp>CURRENCY</stp>
        <stp>USD</stp>
        <tr r="I35" s="4"/>
      </tp>
      <tp>
        <v>-238</v>
        <stp/>
        <stp>##V3_BQLV12</stp>
        <stp>[Fundamental &amp; Technical Model (1).xlsm]Cash Flow!R35C6</stp>
        <stp>SYK US Equity</stp>
        <stp>CF_DVD_PAID/10^6</stp>
        <stp>FPT</stp>
        <stp>A</stp>
        <stp>FPO</stp>
        <stp>-8A</stp>
        <stp>STD</stp>
        <stp>Mixed</stp>
        <stp>CONSOL</stp>
        <stp>Yes</stp>
        <stp>CURRENCY</stp>
        <stp>USD</stp>
        <tr r="F35" s="4"/>
      </tp>
      <tp>
        <v>-324</v>
        <stp/>
        <stp>##V3_BQLV12</stp>
        <stp>[Fundamental &amp; Technical Model (1).xlsm]Cash Flow!R35C8</stp>
        <stp>SYK US Equity</stp>
        <stp>CF_DVD_PAID/10^6</stp>
        <stp>FPT</stp>
        <stp>A</stp>
        <stp>FPO</stp>
        <stp>-6A</stp>
        <stp>STD</stp>
        <stp>Mixed</stp>
        <stp>CONSOL</stp>
        <stp>Yes</stp>
        <stp>CURRENCY</stp>
        <stp>USD</stp>
        <tr r="H35" s="4"/>
      </tp>
      <tp>
        <v>0</v>
        <stp/>
        <stp>##V3_BQLV12</stp>
        <stp>[Fundamental &amp; Technical Model (1).xlsm]Income Statement!R83C14</stp>
        <stp>SYK US Equity</stp>
        <stp>IS_CAP_INT_EXP/10^6</stp>
        <stp>FPT</stp>
        <stp>A</stp>
        <stp>FPO</stp>
        <stp>-0A</stp>
        <stp>STD</stp>
        <stp>Mixed</stp>
        <stp>CONSOL</stp>
        <stp>Yes</stp>
        <stp>CURRENCY</stp>
        <stp>USD</stp>
        <tr r="N83" s="2"/>
      </tp>
      <tp t="s">
        <v>2017 A</v>
        <stp/>
        <stp>##V3_BQLV12</stp>
        <stp>[Fundamental &amp; Technical Model (1).xlsm]Income Statement!R13C13</stp>
        <stp>SYK US Equity</stp>
        <stp>IS_EPS().PERIOD</stp>
        <stp>FPT</stp>
        <stp>A</stp>
        <stp>FPO</stp>
        <stp>-1A</stp>
        <stp>STD</stp>
        <stp>Mixed</stp>
        <stp>CONSOL</stp>
        <stp>Yes</stp>
        <tr r="M13" s="2"/>
      </tp>
      <tp t="s">
        <v>2008 Y</v>
        <stp/>
        <stp>##V3_BDPV12</stp>
        <stp>SYK US Equity</stp>
        <stp>FISCAL_YEAR_PERIOD</stp>
        <stp>[Fundamental &amp; Technical Model (1).xlsm]Segments!R173C4</stp>
        <stp>EQY_FUND_RELATIVE_PERIOD</stp>
        <stp>-10FY</stp>
        <tr r="D173" s="17"/>
      </tp>
      <tp>
        <v>-233</v>
        <stp/>
        <stp>##V3_BQLV12</stp>
        <stp>[Fundamental &amp; Technical Model (1).xlsm]Cash Flow!R17C5</stp>
        <stp>SYK US Equity</stp>
        <stp>CF_OTHER_NON_CASH_ADJUST/10^6</stp>
        <stp>FPT</stp>
        <stp>A</stp>
        <stp>FPO</stp>
        <stp>-9A</stp>
        <stp>STD</stp>
        <stp>Mixed</stp>
        <stp>CONSOL</stp>
        <stp>Yes</stp>
        <stp>CURRENCY</stp>
        <stp>USD</stp>
        <tr r="E17" s="4"/>
      </tp>
      <tp>
        <v>18</v>
        <stp/>
        <stp>##V3_BQLV12</stp>
        <stp>[Fundamental &amp; Technical Model (1).xlsm]Cash Flow!R17C7</stp>
        <stp>SYK US Equity</stp>
        <stp>CF_OTHER_NON_CASH_ADJUST/10^6</stp>
        <stp>FPT</stp>
        <stp>A</stp>
        <stp>FPO</stp>
        <stp>-7A</stp>
        <stp>STD</stp>
        <stp>Mixed</stp>
        <stp>CONSOL</stp>
        <stp>Yes</stp>
        <stp>CURRENCY</stp>
        <stp>USD</stp>
        <tr r="G17" s="4"/>
      </tp>
      <tp>
        <v>140</v>
        <stp/>
        <stp>##V3_BQLV12</stp>
        <stp>[Fundamental &amp; Technical Model (1).xlsm]Cash Flow!R17C6</stp>
        <stp>SYK US Equity</stp>
        <stp>CF_OTHER_NON_CASH_ADJUST/10^6</stp>
        <stp>FPT</stp>
        <stp>A</stp>
        <stp>FPO</stp>
        <stp>-8A</stp>
        <stp>STD</stp>
        <stp>Mixed</stp>
        <stp>CONSOL</stp>
        <stp>Yes</stp>
        <stp>CURRENCY</stp>
        <stp>USD</stp>
        <tr r="F17" s="4"/>
      </tp>
      <tp>
        <v>205</v>
        <stp/>
        <stp>##V3_BQLV12</stp>
        <stp>[Fundamental &amp; Technical Model (1).xlsm]Cash Flow!R17C9</stp>
        <stp>SYK US Equity</stp>
        <stp>CF_OTHER_NON_CASH_ADJUST/10^6</stp>
        <stp>FPT</stp>
        <stp>A</stp>
        <stp>FPO</stp>
        <stp>-5A</stp>
        <stp>STD</stp>
        <stp>Mixed</stp>
        <stp>CONSOL</stp>
        <stp>Yes</stp>
        <stp>CURRENCY</stp>
        <stp>USD</stp>
        <tr r="I17" s="4"/>
      </tp>
      <tp>
        <v>111</v>
        <stp/>
        <stp>##V3_BQLV12</stp>
        <stp>[Fundamental &amp; Technical Model (1).xlsm]Cash Flow!R17C8</stp>
        <stp>SYK US Equity</stp>
        <stp>CF_OTHER_NON_CASH_ADJUST/10^6</stp>
        <stp>FPT</stp>
        <stp>A</stp>
        <stp>FPO</stp>
        <stp>-6A</stp>
        <stp>STD</stp>
        <stp>Mixed</stp>
        <stp>CONSOL</stp>
        <stp>Yes</stp>
        <stp>CURRENCY</stp>
        <stp>USD</stp>
        <tr r="H17" s="4"/>
      </tp>
      <tp>
        <v>606</v>
        <stp/>
        <stp>##V3_BQLV12</stp>
        <stp>[Fundamental &amp; Technical Model (1).xlsm]Balance Sheet!R75C14</stp>
        <stp>SYK US Equity</stp>
        <stp>BS_OTHER_INV/10^6</stp>
        <stp>FPT</stp>
        <stp>A</stp>
        <stp>FPO</stp>
        <stp>-0A</stp>
        <stp>STD</stp>
        <stp>Mixed</stp>
        <stp>CONSOL</stp>
        <stp>Yes</stp>
        <stp>CURRENCY</stp>
        <stp>USD</stp>
        <tr r="N75" s="3"/>
      </tp>
      <tp>
        <v>425</v>
        <stp/>
        <stp>##V3_BQLV12</stp>
        <stp>[Fundamental &amp; Technical Model (1).xlsm]Balance Sheet!R75C12</stp>
        <stp>SYK US Equity</stp>
        <stp>BS_OTHER_INV/10^6</stp>
        <stp>FPT</stp>
        <stp>A</stp>
        <stp>FPO</stp>
        <stp>-2A</stp>
        <stp>STD</stp>
        <stp>Mixed</stp>
        <stp>CONSOL</stp>
        <stp>Yes</stp>
        <stp>CURRENCY</stp>
        <stp>USD</stp>
        <tr r="L75" s="3"/>
      </tp>
      <tp>
        <v>528</v>
        <stp/>
        <stp>##V3_BQLV12</stp>
        <stp>[Fundamental &amp; Technical Model (1).xlsm]Balance Sheet!R75C13</stp>
        <stp>SYK US Equity</stp>
        <stp>BS_OTHER_INV/10^6</stp>
        <stp>FPT</stp>
        <stp>A</stp>
        <stp>FPO</stp>
        <stp>-1A</stp>
        <stp>STD</stp>
        <stp>Mixed</stp>
        <stp>CONSOL</stp>
        <stp>Yes</stp>
        <stp>CURRENCY</stp>
        <stp>USD</stp>
        <tr r="M75" s="3"/>
      </tp>
      <tp>
        <v>248</v>
        <stp/>
        <stp>##V3_BQLV12</stp>
        <stp>[Fundamental &amp; Technical Model (1).xlsm]Balance Sheet!R75C10</stp>
        <stp>SYK US Equity</stp>
        <stp>BS_OTHER_INV/10^6</stp>
        <stp>FPT</stp>
        <stp>A</stp>
        <stp>FPO</stp>
        <stp>-4A</stp>
        <stp>STD</stp>
        <stp>Mixed</stp>
        <stp>CONSOL</stp>
        <stp>Yes</stp>
        <stp>CURRENCY</stp>
        <stp>USD</stp>
        <tr r="J75" s="3"/>
      </tp>
      <tp>
        <v>304</v>
        <stp/>
        <stp>##V3_BQLV12</stp>
        <stp>[Fundamental &amp; Technical Model (1).xlsm]Balance Sheet!R75C11</stp>
        <stp>SYK US Equity</stp>
        <stp>BS_OTHER_INV/10^6</stp>
        <stp>FPT</stp>
        <stp>A</stp>
        <stp>FPO</stp>
        <stp>-3A</stp>
        <stp>STD</stp>
        <stp>Mixed</stp>
        <stp>CONSOL</stp>
        <stp>Yes</stp>
        <stp>CURRENCY</stp>
        <stp>USD</stp>
        <tr r="K75" s="3"/>
      </tp>
      <tp t="s">
        <v>2018 Y</v>
        <stp/>
        <stp>##V3_BDPV12</stp>
        <stp>SYK US Equity</stp>
        <stp>FISCAL_YEAR_PERIOD</stp>
        <stp>[Fundamental &amp; Technical Model (1).xlsm]Capital Structure Summary!R26C11</stp>
        <stp>EQY_FUND_RELATIVE_PERIOD</stp>
        <stp>-0FY</stp>
        <tr r="K26" s="21"/>
      </tp>
      <tp t="e">
        <v>#N/A</v>
        <stp/>
        <stp>##V3_BDHV12</stp>
        <stp>SYK US Equity</stp>
        <stp>LOW_CLOSING_PRICE_TO_CASH_FLOW</stp>
        <stp>-6FY</stp>
        <stp>-6FY</stp>
        <stp>[Fundamental &amp; Technical Model (1).xlsm]Multiples!R54C7</stp>
        <stp>EQY_CONSOLIDATED</stp>
        <stp>Yes</stp>
        <stp>ACCOUNTING_STANDARD_OVERRIDE</stp>
        <stp>Mixed</stp>
        <stp>Per</stp>
        <stp>FY</stp>
        <stp>Days=A</stp>
        <tr r="G54" s="16"/>
        <tr r="G54" s="16"/>
      </tp>
      <tp>
        <v>63882372759.075005</v>
        <stp/>
        <stp>##V3_BDPV12</stp>
        <stp>BDX Equity</stp>
        <stp>cur_mkt_cap</stp>
        <stp>[Fundamental &amp; Technical Model (1).xlsm]Public Comparables!R8C8</stp>
        <tr r="H8" s="24"/>
      </tp>
      <tp t="e">
        <v>#N/A</v>
        <stp/>
        <stp>##V3_BDHV12</stp>
        <stp>SYK US Equity</stp>
        <stp>WACC_COST_EQUITY</stp>
        <stp>-4FY</stp>
        <stp>-4FY</stp>
        <stp>[Fundamental &amp; Technical Model (1).xlsm]Capital Structure Summary!R15C3</stp>
        <stp>Per</stp>
        <stp>FY</stp>
        <tr r="C15" s="21"/>
      </tp>
      <tp>
        <v>9.6602790893427848</v>
        <stp/>
        <stp>##V3_BQLV12</stp>
        <stp>[Fundamental &amp; Technical Model (1).xlsm]Ratios!R50C4</stp>
        <stp>SYK US Equity</stp>
        <stp>NON_CUR_LIAB_TO_TOT_ASSET</stp>
        <stp>FPT</stp>
        <stp>A</stp>
        <stp>FPO</stp>
        <stp>-10A</stp>
        <stp>STD</stp>
        <stp>Mixed</stp>
        <stp>CONSOL</stp>
        <stp>Yes</stp>
        <tr r="D50" s="8"/>
      </tp>
      <tp>
        <v>103</v>
        <stp/>
        <stp>##V3_BQLV12</stp>
        <stp>[Fundamental &amp; Technical Model (1).xlsm]Balance Sheet!R73C11</stp>
        <stp>SYK US Equity</stp>
        <stp>INVTRY_IN_PROGRESS/10^6</stp>
        <stp>FPT</stp>
        <stp>A</stp>
        <stp>FPO</stp>
        <stp>-3A</stp>
        <stp>STD</stp>
        <stp>Mixed</stp>
        <stp>CONSOL</stp>
        <stp>Yes</stp>
        <stp>CURRENCY</stp>
        <stp>USD</stp>
        <tr r="K73" s="3"/>
      </tp>
      <tp>
        <v>141</v>
        <stp/>
        <stp>##V3_BQLV12</stp>
        <stp>[Fundamental &amp; Technical Model (1).xlsm]Balance Sheet!R40C11</stp>
        <stp>SYK US Equity</stp>
        <stp>BS_ACCRUED_INCOME_TAXES/10^6</stp>
        <stp>FPT</stp>
        <stp>A</stp>
        <stp>FPO</stp>
        <stp>-3A</stp>
        <stp>STD</stp>
        <stp>Mixed</stp>
        <stp>CONSOL</stp>
        <stp>Yes</stp>
        <stp>CURRENCY</stp>
        <stp>USD</stp>
        <tr r="K40" s="3"/>
      </tp>
      <tp>
        <v>143</v>
        <stp/>
        <stp>##V3_BQLV12</stp>
        <stp>[Fundamental &amp; Technical Model (1).xlsm]Balance Sheet!R40C13</stp>
        <stp>SYK US Equity</stp>
        <stp>BS_ACCRUED_INCOME_TAXES/10^6</stp>
        <stp>FPT</stp>
        <stp>A</stp>
        <stp>FPO</stp>
        <stp>-1A</stp>
        <stp>STD</stp>
        <stp>Mixed</stp>
        <stp>CONSOL</stp>
        <stp>Yes</stp>
        <stp>CURRENCY</stp>
        <stp>USD</stp>
        <tr r="M40" s="3"/>
      </tp>
      <tp>
        <v>40</v>
        <stp/>
        <stp>##V3_BQLV12</stp>
        <stp>[Fundamental &amp; Technical Model (1).xlsm]Balance Sheet!R40C12</stp>
        <stp>SYK US Equity</stp>
        <stp>BS_ACCRUED_INCOME_TAXES/10^6</stp>
        <stp>FPT</stp>
        <stp>A</stp>
        <stp>FPO</stp>
        <stp>-2A</stp>
        <stp>STD</stp>
        <stp>Mixed</stp>
        <stp>CONSOL</stp>
        <stp>Yes</stp>
        <stp>CURRENCY</stp>
        <stp>USD</stp>
        <tr r="L40" s="3"/>
      </tp>
      <tp>
        <v>333</v>
        <stp/>
        <stp>##V3_BQLV12</stp>
        <stp>[Fundamental &amp; Technical Model (1).xlsm]Balance Sheet!R40C10</stp>
        <stp>SYK US Equity</stp>
        <stp>BS_ACCRUED_INCOME_TAXES/10^6</stp>
        <stp>FPT</stp>
        <stp>A</stp>
        <stp>FPO</stp>
        <stp>-4A</stp>
        <stp>STD</stp>
        <stp>Mixed</stp>
        <stp>CONSOL</stp>
        <stp>Yes</stp>
        <stp>CURRENCY</stp>
        <stp>USD</stp>
        <tr r="J40" s="3"/>
      </tp>
      <tp>
        <v>158</v>
        <stp/>
        <stp>##V3_BQLV12</stp>
        <stp>[Fundamental &amp; Technical Model (1).xlsm]Balance Sheet!R40C14</stp>
        <stp>SYK US Equity</stp>
        <stp>BS_ACCRUED_INCOME_TAXES/10^6</stp>
        <stp>FPT</stp>
        <stp>A</stp>
        <stp>FPO</stp>
        <stp>-0A</stp>
        <stp>STD</stp>
        <stp>Mixed</stp>
        <stp>CONSOL</stp>
        <stp>Yes</stp>
        <stp>CURRENCY</stp>
        <stp>USD</stp>
        <tr r="N40" s="3"/>
      </tp>
      <tp>
        <v>-</v>
        <stp/>
        <stp>##V3_BQLV12</stp>
        <stp>[Fundamental &amp; Technical Model (1).xlsm]Balance Sheet!R56C4</stp>
        <stp>SYK US Equity</stp>
        <stp>-BS_AMT_OF_TSY_STOCK/10^6</stp>
        <stp>FPT</stp>
        <stp>A</stp>
        <stp>FPO</stp>
        <stp>-10A</stp>
        <stp>STD</stp>
        <stp>Mixed</stp>
        <stp>CONSOL</stp>
        <stp>Yes</stp>
        <stp>CURRENCY</stp>
        <stp>USD</stp>
        <tr r="D56" s="3"/>
      </tp>
      <tp t="e">
        <v>#N/A</v>
        <stp/>
        <stp>##V3_BDHV12</stp>
        <stp>SYK US Equity</stp>
        <stp>HIGH_EV_TO_T12M_EBITDA</stp>
        <stp>-7FY</stp>
        <stp>-7FY</stp>
        <stp>[Fundamental &amp; Technical Model (1).xlsm]Multiples!R23C6</stp>
        <stp>EQY_CONSOLIDATED</stp>
        <stp>Yes</stp>
        <stp>ACCOUNTING_STANDARD_OVERRIDE</stp>
        <stp>Mixed</stp>
        <stp>Per</stp>
        <stp>FY</stp>
        <stp>Days=A</stp>
        <tr r="F23" s="16"/>
        <tr r="F23" s="16"/>
      </tp>
      <tp>
        <v>-275.8</v>
        <stp/>
        <stp>##V3_BQLV12</stp>
        <stp>[Fundamental &amp; Technical Model (1).xlsm]Cash Flow!R18C4</stp>
        <stp>SYK US Equity</stp>
        <stp>CF_CHNG_NON_CASH_WORK_CAP/10^6</stp>
        <stp>FPT</stp>
        <stp>A</stp>
        <stp>FPO</stp>
        <stp>-10A</stp>
        <stp>STD</stp>
        <stp>Mixed</stp>
        <stp>CONSOL</stp>
        <stp>Yes</stp>
        <stp>CURRENCY</stp>
        <stp>USD</stp>
        <tr r="D18" s="4"/>
      </tp>
      <tp>
        <v>-275.8</v>
        <stp/>
        <stp>##V3_BQLV12</stp>
        <stp>[Fundamental &amp; Technical Model (1).xlsm]Cash Flow!R52C4</stp>
        <stp>SYK US Equity</stp>
        <stp>CF_CHNG_NON_CASH_WORK_CAP/10^6</stp>
        <stp>FPT</stp>
        <stp>A</stp>
        <stp>FPO</stp>
        <stp>-10A</stp>
        <stp>STD</stp>
        <stp>Mixed</stp>
        <stp>CONSOL</stp>
        <stp>Yes</stp>
        <stp>CURRENCY</stp>
        <stp>USD</stp>
        <tr r="D52" s="4"/>
      </tp>
      <tp t="s">
        <v>2018 A</v>
        <stp/>
        <stp>##V3_BQLV12</stp>
        <stp>[Fundamental &amp; Technical Model (1).xlsm]Income Statement!R13C14</stp>
        <stp>SYK US Equity</stp>
        <stp>IS_EPS().PERIOD</stp>
        <stp>FPT</stp>
        <stp>A</stp>
        <stp>FPO</stp>
        <stp>-0A</stp>
        <stp>STD</stp>
        <stp>Mixed</stp>
        <stp>CONSOL</stp>
        <stp>Yes</stp>
        <tr r="N13" s="2"/>
      </tp>
      <tp t="s">
        <v>#N/A</v>
        <stp/>
        <stp>##V3_BQLV12</stp>
        <stp>[Fundamental &amp; Technical Model (1).xlsm]Cash Flow!R41C4</stp>
        <stp>SYK US Equity</stp>
        <stp>CF_INCR_DECR_DPST/10^6</stp>
        <stp>FPT</stp>
        <stp>A</stp>
        <stp>FPO</stp>
        <stp>-10A</stp>
        <stp>STD</stp>
        <stp>Mixed</stp>
        <stp>CONSOL</stp>
        <stp>Yes</stp>
        <stp>CURRENCY</stp>
        <stp>USD</stp>
        <tr r="D41" s="4"/>
      </tp>
      <tp t="s">
        <v>2018 Y</v>
        <stp/>
        <stp>##V3_BDPV12</stp>
        <stp>SYK US Equity</stp>
        <stp>FISCAL_YEAR_PERIOD</stp>
        <stp>[Fundamental &amp; Technical Model (1).xlsm]Capital Structure Summary!R36C11</stp>
        <stp>EQY_FUND_RELATIVE_PERIOD</stp>
        <stp>-0FY</stp>
        <tr r="K36" s="21"/>
      </tp>
      <tp>
        <v>0</v>
        <stp/>
        <stp>##V3_BQLV12</stp>
        <stp>[Fundamental &amp; Technical Model (1).xlsm]Income Statement!R54C4</stp>
        <stp>SYK US Equity</stp>
        <stp>OTHER_ADJUSTMENTS/10^6</stp>
        <stp>FPT</stp>
        <stp>A</stp>
        <stp>FPO</stp>
        <stp>-10A</stp>
        <stp>STD</stp>
        <stp>Mixed</stp>
        <stp>CONSOL</stp>
        <stp>Yes</stp>
        <stp>CURRENCY</stp>
        <stp>USD</stp>
        <tr r="D54" s="2"/>
      </tp>
      <tp>
        <v>31.107142857142858</v>
        <stp/>
        <stp>##V3_BQLV12</stp>
        <stp>[Fundamental &amp; Technical Model (1).xlsm]Ratios!R54C7</stp>
        <stp>SYK US Equity</stp>
        <stp>EBITDA_LES_CAP_EXPEND_TO_INT_EXP</stp>
        <stp>FPT</stp>
        <stp>A</stp>
        <stp>FPO</stp>
        <stp>-7A</stp>
        <stp>STD</stp>
        <stp>Mixed</stp>
        <stp>CONSOL</stp>
        <stp>Yes</stp>
        <tr r="G54" s="8"/>
      </tp>
      <tp>
        <v>92899550294.23999</v>
        <stp/>
        <stp>##V3_BDPV12</stp>
        <stp>DHR Equity</stp>
        <stp>cur_mkt_cap</stp>
        <stp>[Fundamental &amp; Technical Model (1).xlsm]Public Comparables!R9C8</stp>
        <tr r="H9" s="24"/>
      </tp>
      <tp t="e">
        <v>#N/A</v>
        <stp/>
        <stp>##V3_BDHV12</stp>
        <stp>SYK US Equity</stp>
        <stp>LOW_CLOSING_PRICE_TO_CASH_FLOW</stp>
        <stp>-7FY</stp>
        <stp>-7FY</stp>
        <stp>[Fundamental &amp; Technical Model (1).xlsm]Multiples!R54C6</stp>
        <stp>EQY_CONSOLIDATED</stp>
        <stp>Yes</stp>
        <stp>ACCOUNTING_STANDARD_OVERRIDE</stp>
        <stp>Mixed</stp>
        <stp>Per</stp>
        <stp>FY</stp>
        <stp>Days=A</stp>
        <tr r="F54" s="16"/>
        <tr r="F54" s="16"/>
      </tp>
      <tp>
        <v>65.849999999999994</v>
        <stp/>
        <stp>##V3_BDPV12</stp>
        <stp>SYK US Equity</stp>
        <stp>ARDR_AVG_EXER_PX_OPT_OUTSTANDING</stp>
        <stp>[Fundamental &amp; Technical Model (1).xlsm]Supplemental!R21C10</stp>
        <stp>EQY_FUND_RELATIVE_PERIOD</stp>
        <stp>-3FY</stp>
        <stp>EQY_FUND_CRNCY</stp>
        <stp>USD</stp>
        <stp>EQY_CONSOLIDATED</stp>
        <stp>Yes</stp>
        <stp>ACCOUNTING_STANDARD_OVERRIDE</stp>
        <stp>Mixed</stp>
        <stp>Fill=--</stp>
        <tr r="J21" s="19"/>
      </tp>
      <tp>
        <v>65.849999999999994</v>
        <stp/>
        <stp>##V3_BDPV12</stp>
        <stp>SYK US Equity</stp>
        <stp>ARDR_AVG_EXER_PX_OPT_OUTSTANDING</stp>
        <stp>[Fundamental &amp; Technical Model (1).xlsm]Supplemental!R21C11</stp>
        <stp>EQY_FUND_RELATIVE_PERIOD</stp>
        <stp>-2FY</stp>
        <stp>EQY_FUND_CRNCY</stp>
        <stp>USD</stp>
        <stp>EQY_CONSOLIDATED</stp>
        <stp>Yes</stp>
        <stp>ACCOUNTING_STANDARD_OVERRIDE</stp>
        <stp>Mixed</stp>
        <stp>Fill=--</stp>
        <tr r="K21" s="19"/>
      </tp>
      <tp>
        <v>83.71</v>
        <stp/>
        <stp>##V3_BDPV12</stp>
        <stp>SYK US Equity</stp>
        <stp>ARDR_AVG_EXER_PX_OPT_OUTSTANDING</stp>
        <stp>[Fundamental &amp; Technical Model (1).xlsm]Supplemental!R21C12</stp>
        <stp>EQY_FUND_RELATIVE_PERIOD</stp>
        <stp>-1FY</stp>
        <stp>EQY_FUND_CRNCY</stp>
        <stp>USD</stp>
        <stp>EQY_CONSOLIDATED</stp>
        <stp>Yes</stp>
        <stp>ACCOUNTING_STANDARD_OVERRIDE</stp>
        <stp>Mixed</stp>
        <stp>Fill=--</stp>
        <tr r="L21" s="19"/>
      </tp>
      <tp>
        <v>97.69</v>
        <stp/>
        <stp>##V3_BDPV12</stp>
        <stp>SYK US Equity</stp>
        <stp>ARDR_AVG_EXER_PX_OPT_OUTSTANDING</stp>
        <stp>[Fundamental &amp; Technical Model (1).xlsm]Supplemental!R21C13</stp>
        <stp>EQY_FUND_RELATIVE_PERIOD</stp>
        <stp>-0FY</stp>
        <stp>EQY_FUND_CRNCY</stp>
        <stp>USD</stp>
        <stp>EQY_CONSOLIDATED</stp>
        <stp>Yes</stp>
        <stp>ACCOUNTING_STANDARD_OVERRIDE</stp>
        <stp>Mixed</stp>
        <stp>Fill=--</stp>
        <tr r="M21" s="19"/>
      </tp>
      <tp>
        <v>-1216</v>
        <stp/>
        <stp>##V3_BQLV12</stp>
        <stp>[Fundamental &amp; Technical Model (1).xlsm]Balance Sheet!R69C9</stp>
        <stp>SYK US Equity</stp>
        <stp>NET_DEBT/10^6</stp>
        <stp>FPT</stp>
        <stp>A</stp>
        <stp>FPO</stp>
        <stp>-5A</stp>
        <stp>STD</stp>
        <stp>Mixed</stp>
        <stp>CONSOL</stp>
        <stp>Yes</stp>
        <stp>CURRENCY</stp>
        <stp>USD</stp>
        <tr r="I69" s="3"/>
      </tp>
      <tp>
        <v>-2523</v>
        <stp/>
        <stp>##V3_BQLV12</stp>
        <stp>[Fundamental &amp; Technical Model (1).xlsm]Balance Sheet!R69C8</stp>
        <stp>SYK US Equity</stp>
        <stp>NET_DEBT/10^6</stp>
        <stp>FPT</stp>
        <stp>A</stp>
        <stp>FPO</stp>
        <stp>-6A</stp>
        <stp>STD</stp>
        <stp>Mixed</stp>
        <stp>CONSOL</stp>
        <stp>Yes</stp>
        <stp>CURRENCY</stp>
        <stp>USD</stp>
        <tr r="H69" s="3"/>
      </tp>
      <tp>
        <v>-2936.8</v>
        <stp/>
        <stp>##V3_BQLV12</stp>
        <stp>[Fundamental &amp; Technical Model (1).xlsm]Balance Sheet!R69C5</stp>
        <stp>SYK US Equity</stp>
        <stp>NET_DEBT/10^6</stp>
        <stp>FPT</stp>
        <stp>A</stp>
        <stp>FPO</stp>
        <stp>-9A</stp>
        <stp>STD</stp>
        <stp>Mixed</stp>
        <stp>CONSOL</stp>
        <stp>Yes</stp>
        <stp>CURRENCY</stp>
        <stp>USD</stp>
        <tr r="E69" s="3"/>
      </tp>
      <tp>
        <v>-1650</v>
        <stp/>
        <stp>##V3_BQLV12</stp>
        <stp>[Fundamental &amp; Technical Model (1).xlsm]Balance Sheet!R69C7</stp>
        <stp>SYK US Equity</stp>
        <stp>NET_DEBT/10^6</stp>
        <stp>FPT</stp>
        <stp>A</stp>
        <stp>FPO</stp>
        <stp>-7A</stp>
        <stp>STD</stp>
        <stp>Mixed</stp>
        <stp>CONSOL</stp>
        <stp>Yes</stp>
        <stp>CURRENCY</stp>
        <stp>USD</stp>
        <tr r="G69" s="3"/>
      </tp>
      <tp>
        <v>-3359</v>
        <stp/>
        <stp>##V3_BQLV12</stp>
        <stp>[Fundamental &amp; Technical Model (1).xlsm]Balance Sheet!R69C6</stp>
        <stp>SYK US Equity</stp>
        <stp>NET_DEBT/10^6</stp>
        <stp>FPT</stp>
        <stp>A</stp>
        <stp>FPO</stp>
        <stp>-8A</stp>
        <stp>STD</stp>
        <stp>Mixed</stp>
        <stp>CONSOL</stp>
        <stp>Yes</stp>
        <stp>CURRENCY</stp>
        <stp>USD</stp>
        <tr r="F69" s="3"/>
      </tp>
      <tp t="s">
        <v>#N/A N/A</v>
        <stp/>
        <stp>##V3_BDSV12</stp>
        <stp>SYK US Equity</stp>
        <stp>PG_OPERATING_INCOME</stp>
        <stp>[Fundamental &amp; Technical Model (1).xlsm]Segments!R98C3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98" s="17"/>
      </tp>
      <tp t="s">
        <v>#N/A N/A</v>
        <stp/>
        <stp>##V3_BDSV12</stp>
        <stp>SYK US Equity</stp>
        <stp>PG_OPERATING_INCOME</stp>
        <stp>[Fundamental &amp; Technical Model (1).xlsm]Segments!R84C3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84" s="17"/>
      </tp>
      <tp>
        <v>0</v>
        <stp/>
        <stp>##V3_BQLV12</stp>
        <stp>[Fundamental &amp; Technical Model (1).xlsm]Cash Flow!R25C13</stp>
        <stp>SYK US Equity</stp>
        <stp>CF_CASH_FOR_DIVESTITURES/10^6</stp>
        <stp>FPT</stp>
        <stp>A</stp>
        <stp>FPO</stp>
        <stp>-1A</stp>
        <stp>STD</stp>
        <stp>Mixed</stp>
        <stp>CONSOL</stp>
        <stp>Yes</stp>
        <stp>CURRENCY</stp>
        <stp>USD</stp>
        <tr r="M25" s="4"/>
      </tp>
      <tp>
        <v>0</v>
        <stp/>
        <stp>##V3_BQLV12</stp>
        <stp>[Fundamental &amp; Technical Model (1).xlsm]Cash Flow!R25C12</stp>
        <stp>SYK US Equity</stp>
        <stp>CF_CASH_FOR_DIVESTITURES/10^6</stp>
        <stp>FPT</stp>
        <stp>A</stp>
        <stp>FPO</stp>
        <stp>-2A</stp>
        <stp>STD</stp>
        <stp>Mixed</stp>
        <stp>CONSOL</stp>
        <stp>Yes</stp>
        <stp>CURRENCY</stp>
        <stp>USD</stp>
        <tr r="L25" s="4"/>
      </tp>
      <tp>
        <v>0</v>
        <stp/>
        <stp>##V3_BQLV12</stp>
        <stp>[Fundamental &amp; Technical Model (1).xlsm]Cash Flow!R25C11</stp>
        <stp>SYK US Equity</stp>
        <stp>CF_CASH_FOR_DIVESTITURES/10^6</stp>
        <stp>FPT</stp>
        <stp>A</stp>
        <stp>FPO</stp>
        <stp>-3A</stp>
        <stp>STD</stp>
        <stp>Mixed</stp>
        <stp>CONSOL</stp>
        <stp>Yes</stp>
        <stp>CURRENCY</stp>
        <stp>USD</stp>
        <tr r="K25" s="4"/>
      </tp>
      <tp>
        <v>0</v>
        <stp/>
        <stp>##V3_BQLV12</stp>
        <stp>[Fundamental &amp; Technical Model (1).xlsm]Cash Flow!R25C10</stp>
        <stp>SYK US Equity</stp>
        <stp>CF_CASH_FOR_DIVESTITURES/10^6</stp>
        <stp>FPT</stp>
        <stp>A</stp>
        <stp>FPO</stp>
        <stp>-4A</stp>
        <stp>STD</stp>
        <stp>Mixed</stp>
        <stp>CONSOL</stp>
        <stp>Yes</stp>
        <stp>CURRENCY</stp>
        <stp>USD</stp>
        <tr r="J25" s="4"/>
      </tp>
      <tp>
        <v>0</v>
        <stp/>
        <stp>##V3_BQLV12</stp>
        <stp>[Fundamental &amp; Technical Model (1).xlsm]Cash Flow!R25C14</stp>
        <stp>SYK US Equity</stp>
        <stp>CF_CASH_FOR_DIVESTITURES/10^6</stp>
        <stp>FPT</stp>
        <stp>A</stp>
        <stp>FPO</stp>
        <stp>-0A</stp>
        <stp>STD</stp>
        <stp>Mixed</stp>
        <stp>CONSOL</stp>
        <stp>Yes</stp>
        <stp>CURRENCY</stp>
        <stp>USD</stp>
        <tr r="N25" s="4"/>
      </tp>
      <tp>
        <v>39.266958022696393</v>
        <stp/>
        <stp>##V3_BQLV12</stp>
        <stp>[Fundamental &amp; Technical Model (1).xlsm]Ratios!R50C14</stp>
        <stp>SYK US Equity</stp>
        <stp>NON_CUR_LIAB_TO_TOT_ASSET</stp>
        <stp>FPT</stp>
        <stp>A</stp>
        <stp>FPO</stp>
        <stp>-0A</stp>
        <stp>STD</stp>
        <stp>Mixed</stp>
        <stp>CONSOL</stp>
        <stp>Yes</stp>
        <tr r="N50" s="8"/>
      </tp>
      <tp>
        <v>23.814622505761449</v>
        <stp/>
        <stp>##V3_BQLV12</stp>
        <stp>[Fundamental &amp; Technical Model (1).xlsm]Key Stats!R54C5</stp>
        <stp>SYK US Equity</stp>
        <stp>EV_TO_EBITDA</stp>
        <stp>FPT=LTM</stp>
        <stp>FPO=0</stp>
        <stp>STD</stp>
        <stp>Mixed</stp>
        <stp>CONSOL</stp>
        <stp>Yes</stp>
        <stp>CURRENCY</stp>
        <stp>USD</stp>
        <tr r="E54" s="23"/>
      </tp>
      <tp>
        <v>3246</v>
        <stp/>
        <stp>##V3_BQLV12</stp>
        <stp>[Fundamental &amp; Technical Model (1).xlsm]Balance Sheet!R44C10</stp>
        <stp>SYK US Equity</stp>
        <stp>BS_LT_BORROW/10^6</stp>
        <stp>FPT</stp>
        <stp>A</stp>
        <stp>FPO</stp>
        <stp>-4A</stp>
        <stp>STD</stp>
        <stp>Mixed</stp>
        <stp>CONSOL</stp>
        <stp>Yes</stp>
        <stp>CURRENCY</stp>
        <stp>USD</stp>
        <tr r="J44" s="3"/>
      </tp>
      <tp>
        <v>3253</v>
        <stp/>
        <stp>##V3_BQLV12</stp>
        <stp>[Fundamental &amp; Technical Model (1).xlsm]Balance Sheet!R44C11</stp>
        <stp>SYK US Equity</stp>
        <stp>BS_LT_BORROW/10^6</stp>
        <stp>FPT</stp>
        <stp>A</stp>
        <stp>FPO</stp>
        <stp>-3A</stp>
        <stp>STD</stp>
        <stp>Mixed</stp>
        <stp>CONSOL</stp>
        <stp>Yes</stp>
        <stp>CURRENCY</stp>
        <stp>USD</stp>
        <tr r="K44" s="3"/>
      </tp>
      <tp>
        <v>6686</v>
        <stp/>
        <stp>##V3_BQLV12</stp>
        <stp>[Fundamental &amp; Technical Model (1).xlsm]Balance Sheet!R44C12</stp>
        <stp>SYK US Equity</stp>
        <stp>BS_LT_BORROW/10^6</stp>
        <stp>FPT</stp>
        <stp>A</stp>
        <stp>FPO</stp>
        <stp>-2A</stp>
        <stp>STD</stp>
        <stp>Mixed</stp>
        <stp>CONSOL</stp>
        <stp>Yes</stp>
        <stp>CURRENCY</stp>
        <stp>USD</stp>
        <tr r="L44" s="3"/>
      </tp>
      <tp>
        <v>6590</v>
        <stp/>
        <stp>##V3_BQLV12</stp>
        <stp>[Fundamental &amp; Technical Model (1).xlsm]Balance Sheet!R44C13</stp>
        <stp>SYK US Equity</stp>
        <stp>BS_LT_BORROW/10^6</stp>
        <stp>FPT</stp>
        <stp>A</stp>
        <stp>FPO</stp>
        <stp>-1A</stp>
        <stp>STD</stp>
        <stp>Mixed</stp>
        <stp>CONSOL</stp>
        <stp>Yes</stp>
        <stp>CURRENCY</stp>
        <stp>USD</stp>
        <tr r="M44" s="3"/>
      </tp>
      <tp>
        <v>8486</v>
        <stp/>
        <stp>##V3_BQLV12</stp>
        <stp>[Fundamental &amp; Technical Model (1).xlsm]Balance Sheet!R44C14</stp>
        <stp>SYK US Equity</stp>
        <stp>BS_LT_BORROW/10^6</stp>
        <stp>FPT</stp>
        <stp>A</stp>
        <stp>FPO</stp>
        <stp>-0A</stp>
        <stp>STD</stp>
        <stp>Mixed</stp>
        <stp>CONSOL</stp>
        <stp>Yes</stp>
        <stp>CURRENCY</stp>
        <stp>USD</stp>
        <tr r="N44" s="3"/>
      </tp>
      <tp>
        <v>0</v>
        <stp/>
        <stp>##V3_BQLV12</stp>
        <stp>[Fundamental &amp; Technical Model (1).xlsm]Income Statement!R83C12</stp>
        <stp>SYK US Equity</stp>
        <stp>IS_CAP_INT_EXP/10^6</stp>
        <stp>FPT</stp>
        <stp>A</stp>
        <stp>FPO</stp>
        <stp>-2A</stp>
        <stp>STD</stp>
        <stp>Mixed</stp>
        <stp>CONSOL</stp>
        <stp>Yes</stp>
        <stp>CURRENCY</stp>
        <stp>USD</stp>
        <tr r="L83" s="2"/>
      </tp>
      <tp t="s">
        <v>2008 Y</v>
        <stp/>
        <stp>##V3_BDPV12</stp>
        <stp>SYK US Equity</stp>
        <stp>FISCAL_YEAR_PERIOD</stp>
        <stp>[Fundamental &amp; Technical Model (1).xlsm]Segments!R115C4</stp>
        <stp>EQY_FUND_RELATIVE_PERIOD</stp>
        <stp>-10FY</stp>
        <tr r="D115" s="17"/>
      </tp>
      <tp>
        <v>342</v>
        <stp/>
        <stp>##V3_BDPV12</stp>
        <stp>SYK US Equity</stp>
        <stp>BS_FUTURE_MIN_OPER_LEASE_OBLIG</stp>
        <stp>[Fundamental &amp; Technical Model (1).xlsm]Capital Structure Summary!R107C11</stp>
        <stp>EQY_FUND_RELATIVE_PERIOD</stp>
        <stp>-0FY</stp>
        <stp>EQY_FUND_CRNCY</stp>
        <stp>USD</stp>
        <stp>EQY_CONSOLIDATED</stp>
        <stp>Yes</stp>
        <stp>ACCOUNTING_STANDARD_OVERRIDE</stp>
        <stp>Mixed</stp>
        <stp>Fill=--</stp>
        <tr r="K107" s="21"/>
      </tp>
      <tp>
        <v>1373</v>
        <stp/>
        <stp>##V3_BQLV12</stp>
        <stp>[Fundamental &amp; Technical Model (1).xlsm]Balance Sheet!R38C14</stp>
        <stp>SYK US Equity</stp>
        <stp>BS_ST_BORROW/10^6</stp>
        <stp>FPT</stp>
        <stp>A</stp>
        <stp>FPO</stp>
        <stp>-0A</stp>
        <stp>STD</stp>
        <stp>Mixed</stp>
        <stp>CONSOL</stp>
        <stp>Yes</stp>
        <stp>CURRENCY</stp>
        <stp>USD</stp>
        <tr r="N38" s="3"/>
      </tp>
      <tp>
        <v>632</v>
        <stp/>
        <stp>##V3_BQLV12</stp>
        <stp>[Fundamental &amp; Technical Model (1).xlsm]Balance Sheet!R38C13</stp>
        <stp>SYK US Equity</stp>
        <stp>BS_ST_BORROW/10^6</stp>
        <stp>FPT</stp>
        <stp>A</stp>
        <stp>FPO</stp>
        <stp>-1A</stp>
        <stp>STD</stp>
        <stp>Mixed</stp>
        <stp>CONSOL</stp>
        <stp>Yes</stp>
        <stp>CURRENCY</stp>
        <stp>USD</stp>
        <tr r="M38" s="3"/>
      </tp>
      <tp>
        <v>228</v>
        <stp/>
        <stp>##V3_BQLV12</stp>
        <stp>[Fundamental &amp; Technical Model (1).xlsm]Balance Sheet!R38C12</stp>
        <stp>SYK US Equity</stp>
        <stp>BS_ST_BORROW/10^6</stp>
        <stp>FPT</stp>
        <stp>A</stp>
        <stp>FPO</stp>
        <stp>-2A</stp>
        <stp>STD</stp>
        <stp>Mixed</stp>
        <stp>CONSOL</stp>
        <stp>Yes</stp>
        <stp>CURRENCY</stp>
        <stp>USD</stp>
        <tr r="L38" s="3"/>
      </tp>
      <tp>
        <v>769</v>
        <stp/>
        <stp>##V3_BQLV12</stp>
        <stp>[Fundamental &amp; Technical Model (1).xlsm]Balance Sheet!R38C11</stp>
        <stp>SYK US Equity</stp>
        <stp>BS_ST_BORROW/10^6</stp>
        <stp>FPT</stp>
        <stp>A</stp>
        <stp>FPO</stp>
        <stp>-3A</stp>
        <stp>STD</stp>
        <stp>Mixed</stp>
        <stp>CONSOL</stp>
        <stp>Yes</stp>
        <stp>CURRENCY</stp>
        <stp>USD</stp>
        <tr r="K38" s="3"/>
      </tp>
      <tp>
        <v>727</v>
        <stp/>
        <stp>##V3_BQLV12</stp>
        <stp>[Fundamental &amp; Technical Model (1).xlsm]Balance Sheet!R38C10</stp>
        <stp>SYK US Equity</stp>
        <stp>BS_ST_BORROW/10^6</stp>
        <stp>FPT</stp>
        <stp>A</stp>
        <stp>FPO</stp>
        <stp>-4A</stp>
        <stp>STD</stp>
        <stp>Mixed</stp>
        <stp>CONSOL</stp>
        <stp>Yes</stp>
        <stp>CURRENCY</stp>
        <stp>USD</stp>
        <tr r="J38" s="3"/>
      </tp>
      <tp>
        <v>-30.3</v>
        <stp/>
        <stp>##V3_BQLV12</stp>
        <stp>[Fundamental &amp; Technical Model (1).xlsm]Cash Flow!R43C4</stp>
        <stp>SYK US Equity</stp>
        <stp>CF_OTHER_FNC_ACT/10^6</stp>
        <stp>FPT</stp>
        <stp>A</stp>
        <stp>FPO</stp>
        <stp>-10A</stp>
        <stp>STD</stp>
        <stp>Mixed</stp>
        <stp>CONSOL</stp>
        <stp>Yes</stp>
        <stp>CURRENCY</stp>
        <stp>USD</stp>
        <tr r="D43" s="4"/>
      </tp>
      <tp t="e">
        <v>#N/A</v>
        <stp/>
        <stp>##V3_BDHV12</stp>
        <stp>SYK US Equity</stp>
        <stp>AVERAGE_EV_TO_T12M_EBIT</stp>
        <stp>-9FY</stp>
        <stp>-9FY</stp>
        <stp>[Fundamental &amp; Technical Model (1).xlsm]Multiples!R28C4</stp>
        <stp>EQY_CONSOLIDATED</stp>
        <stp>Yes</stp>
        <stp>ACCOUNTING_STANDARD_OVERRIDE</stp>
        <stp>Mixed</stp>
        <stp>Per</stp>
        <stp>FY</stp>
        <stp>Days=A</stp>
        <tr r="D28" s="16"/>
        <tr r="D28" s="16"/>
      </tp>
      <tp t="e">
        <v>#N/A</v>
        <stp/>
        <stp>##V3_BDHV12</stp>
        <stp>SYK US Equity</stp>
        <stp>WACC_COST_EQUITY</stp>
        <stp>-2FY</stp>
        <stp>-2FY</stp>
        <stp>[Fundamental &amp; Technical Model (1).xlsm]Capital Structure Summary!R15C7</stp>
        <stp>Per</stp>
        <stp>FY</stp>
        <tr r="G15" s="21"/>
      </tp>
      <tp>
        <v>17.438906945949199</v>
        <stp/>
        <stp>##V3_BQLV12</stp>
        <stp>[Fundamental &amp; Technical Model (1).xlsm]Ratios!R27C7</stp>
        <stp>SYK US Equity</stp>
        <stp>NORMALIZED_PROFIT_MARGIN</stp>
        <stp>FPT</stp>
        <stp>A</stp>
        <stp>FPO</stp>
        <stp>-7A</stp>
        <stp>STD</stp>
        <stp>Mixed</stp>
        <stp>CONSOL</stp>
        <stp>Yes</stp>
        <tr r="G27" s="8"/>
      </tp>
      <tp t="s">
        <v>#N/A</v>
        <stp/>
        <stp>##V3_BQLV12</stp>
        <stp>[Fundamental &amp; Technical Model (1).xlsm]Balance Sheet!R45C4</stp>
        <stp>SYK US Equity</stp>
        <stp xml:space="preserve">LT_DEFERRED_REVENUE/10^6 </stp>
        <stp>FPT</stp>
        <stp>A</stp>
        <stp>FPO</stp>
        <stp>-10A</stp>
        <stp>STD</stp>
        <stp>Mixed</stp>
        <stp>CONSOL</stp>
        <stp>Yes</stp>
        <stp>CURRENCY</stp>
        <stp>USD</stp>
        <tr r="D45" s="3"/>
      </tp>
      <tp>
        <v>20.110892919025066</v>
        <stp/>
        <stp>##V3_BQLV12</stp>
        <stp>[Fundamental &amp; Technical Model (1).xlsm]Ratios!R25C8</stp>
        <stp>SYK US Equity</stp>
        <stp>OPER_INC_TO_NET_SALES</stp>
        <stp>FPT</stp>
        <stp>A</stp>
        <stp>FPO</stp>
        <stp>-6A</stp>
        <stp>STD</stp>
        <stp>Mixed</stp>
        <stp>CONSOL</stp>
        <stp>Yes</stp>
        <tr r="H25" s="8"/>
      </tp>
      <tp t="e">
        <v>#N/A</v>
        <stp/>
        <stp>##V3_BDHV12</stp>
        <stp>SYK US Equity</stp>
        <stp>EV_TO_T12M_EBIT</stp>
        <stp>-9FY</stp>
        <stp>-9FY</stp>
        <stp>[Fundamental &amp; Technical Model (1).xlsm]Multiples!R27C4</stp>
        <stp>EQY_CONSOLIDATED</stp>
        <stp>Yes</stp>
        <stp>ACCOUNTING_STANDARD_OVERRIDE</stp>
        <stp>Mixed</stp>
        <stp>Per</stp>
        <stp>FY</stp>
        <stp>Days=A</stp>
        <tr r="D27" s="16"/>
        <tr r="D27" s="16"/>
      </tp>
      <tp>
        <v>0</v>
        <stp/>
        <stp>##V3_BDPV12</stp>
        <stp>SYK US Equity</stp>
        <stp>BS_TOTAL_CAPITAL_LEASES</stp>
        <stp>[Fundamental &amp; Technical Model (1).xlsm]Capital Structure Summary!R41C11</stp>
        <stp>EQY_FUND_RELATIVE_PERIOD</stp>
        <stp>-0FY</stp>
        <stp>EQY_FUND_CRNCY</stp>
        <stp>USD</stp>
        <stp>EQY_CONSOLIDATED</stp>
        <stp>Yes</stp>
        <stp>ACCOUNTING_STANDARD_OVERRIDE</stp>
        <stp>Mixed</stp>
        <stp>Fill=--</stp>
        <tr r="K41" s="21"/>
      </tp>
      <tp>
        <v>56.67</v>
        <stp/>
        <stp>##V3_BDPV12</stp>
        <stp>SYK US Equity</stp>
        <stp>ARDR_AVG_EXER_PX_OPT_EXERCISABLE</stp>
        <stp>[Fundamental &amp; Technical Model (1).xlsm]Supplemental!R22C10</stp>
        <stp>EQY_FUND_RELATIVE_PERIOD</stp>
        <stp>-3FY</stp>
        <stp>EQY_FUND_CRNCY</stp>
        <stp>USD</stp>
        <stp>EQY_CONSOLIDATED</stp>
        <stp>Yes</stp>
        <stp>ACCOUNTING_STANDARD_OVERRIDE</stp>
        <stp>Mixed</stp>
        <stp>Fill=--</stp>
        <tr r="J22" s="19"/>
      </tp>
      <tp>
        <v>60.3</v>
        <stp/>
        <stp>##V3_BDPV12</stp>
        <stp>SYK US Equity</stp>
        <stp>ARDR_AVG_EXER_PX_OPT_EXERCISABLE</stp>
        <stp>[Fundamental &amp; Technical Model (1).xlsm]Supplemental!R22C11</stp>
        <stp>EQY_FUND_RELATIVE_PERIOD</stp>
        <stp>-2FY</stp>
        <stp>EQY_FUND_CRNCY</stp>
        <stp>USD</stp>
        <stp>EQY_CONSOLIDATED</stp>
        <stp>Yes</stp>
        <stp>ACCOUNTING_STANDARD_OVERRIDE</stp>
        <stp>Mixed</stp>
        <stp>Fill=--</stp>
        <tr r="K22" s="19"/>
      </tp>
      <tp>
        <v>65.47</v>
        <stp/>
        <stp>##V3_BDPV12</stp>
        <stp>SYK US Equity</stp>
        <stp>ARDR_AVG_EXER_PX_OPT_EXERCISABLE</stp>
        <stp>[Fundamental &amp; Technical Model (1).xlsm]Supplemental!R22C12</stp>
        <stp>EQY_FUND_RELATIVE_PERIOD</stp>
        <stp>-1FY</stp>
        <stp>EQY_FUND_CRNCY</stp>
        <stp>USD</stp>
        <stp>EQY_CONSOLIDATED</stp>
        <stp>Yes</stp>
        <stp>ACCOUNTING_STANDARD_OVERRIDE</stp>
        <stp>Mixed</stp>
        <stp>Fill=--</stp>
        <tr r="L22" s="19"/>
      </tp>
      <tp>
        <v>74.099999999999994</v>
        <stp/>
        <stp>##V3_BDPV12</stp>
        <stp>SYK US Equity</stp>
        <stp>ARDR_AVG_EXER_PX_OPT_EXERCISABLE</stp>
        <stp>[Fundamental &amp; Technical Model (1).xlsm]Supplemental!R22C13</stp>
        <stp>EQY_FUND_RELATIVE_PERIOD</stp>
        <stp>-0FY</stp>
        <stp>EQY_FUND_CRNCY</stp>
        <stp>USD</stp>
        <stp>EQY_CONSOLIDATED</stp>
        <stp>Yes</stp>
        <stp>ACCOUNTING_STANDARD_OVERRIDE</stp>
        <stp>Mixed</stp>
        <stp>Fill=--</stp>
        <tr r="M22" s="19"/>
      </tp>
      <tp>
        <v>39.338649367031579</v>
        <stp/>
        <stp>##V3_BQLV12</stp>
        <stp>[Fundamental &amp; Technical Model (1).xlsm]Ratios!R50C13</stp>
        <stp>SYK US Equity</stp>
        <stp>NON_CUR_LIAB_TO_TOT_ASSET</stp>
        <stp>FPT</stp>
        <stp>A</stp>
        <stp>FPO</stp>
        <stp>-1A</stp>
        <stp>STD</stp>
        <stp>Mixed</stp>
        <stp>CONSOL</stp>
        <stp>Yes</stp>
        <tr r="M50" s="8"/>
      </tp>
      <tp t="s">
        <v>FIFO (First-in-first-out)</v>
        <stp/>
        <stp>##V3_BDPV12</stp>
        <stp>SYK US Equity</stp>
        <stp>INVENTORY_METHOD</stp>
        <stp>[Fundamental &amp; Technical Model (1).xlsm]Balance Sheet!R71C6</stp>
        <stp>Fill=--</stp>
        <tr r="F71" s="3"/>
        <tr r="F71" s="3"/>
      </tp>
      <tp t="s">
        <v>FIFO (First-in-first-out)</v>
        <stp/>
        <stp>##V3_BDPV12</stp>
        <stp>SYK US Equity</stp>
        <stp>INVENTORY_METHOD</stp>
        <stp>[Fundamental &amp; Technical Model (1).xlsm]Balance Sheet!R71C7</stp>
        <stp>Fill=--</stp>
        <tr r="G71" s="3"/>
        <tr r="G71" s="3"/>
      </tp>
      <tp t="s">
        <v>FIFO (First-in-first-out)</v>
        <stp/>
        <stp>##V3_BDPV12</stp>
        <stp>SYK US Equity</stp>
        <stp>INVENTORY_METHOD</stp>
        <stp>[Fundamental &amp; Technical Model (1).xlsm]Balance Sheet!R71C4</stp>
        <stp>Fill=--</stp>
        <tr r="D71" s="3"/>
        <tr r="D71" s="3"/>
      </tp>
      <tp t="s">
        <v>FIFO (First-in-first-out)</v>
        <stp/>
        <stp>##V3_BDPV12</stp>
        <stp>SYK US Equity</stp>
        <stp>INVENTORY_METHOD</stp>
        <stp>[Fundamental &amp; Technical Model (1).xlsm]Balance Sheet!R71C5</stp>
        <stp>Fill=--</stp>
        <tr r="E71" s="3"/>
        <tr r="E71" s="3"/>
      </tp>
      <tp t="s">
        <v>FIFO (First-in-first-out)</v>
        <stp/>
        <stp>##V3_BDPV12</stp>
        <stp>SYK US Equity</stp>
        <stp>INVENTORY_METHOD</stp>
        <stp>[Fundamental &amp; Technical Model (1).xlsm]Balance Sheet!R71C8</stp>
        <stp>Fill=--</stp>
        <tr r="H71" s="3"/>
        <tr r="H71" s="3"/>
      </tp>
      <tp t="s">
        <v>FIFO (First-in-first-out)</v>
        <stp/>
        <stp>##V3_BDPV12</stp>
        <stp>SYK US Equity</stp>
        <stp>INVENTORY_METHOD</stp>
        <stp>[Fundamental &amp; Technical Model (1).xlsm]Balance Sheet!R71C9</stp>
        <stp>Fill=--</stp>
        <tr r="I71" s="3"/>
        <tr r="I71" s="3"/>
      </tp>
      <tp>
        <v>0</v>
        <stp/>
        <stp>##V3_BQLV12</stp>
        <stp>[Fundamental &amp; Technical Model (1).xlsm]Income Statement!R83C13</stp>
        <stp>SYK US Equity</stp>
        <stp>IS_CAP_INT_EXP/10^6</stp>
        <stp>FPT</stp>
        <stp>A</stp>
        <stp>FPO</stp>
        <stp>-1A</stp>
        <stp>STD</stp>
        <stp>Mixed</stp>
        <stp>CONSOL</stp>
        <stp>Yes</stp>
        <stp>CURRENCY</stp>
        <stp>USD</stp>
        <tr r="M83" s="2"/>
      </tp>
      <tp t="s">
        <v>2008 Y</v>
        <stp/>
        <stp>##V3_BDPV12</stp>
        <stp>SYK US Equity</stp>
        <stp>FISCAL_YEAR_PERIOD</stp>
        <stp>[Fundamental &amp; Technical Model (1).xlsm]Segments!R101C4</stp>
        <stp>EQY_FUND_RELATIVE_PERIOD</stp>
        <stp>-10FY</stp>
        <tr r="D101" s="17"/>
      </tp>
      <tp t="e">
        <v>#N/A</v>
        <stp/>
        <stp>##V3_BDHV12</stp>
        <stp>SYK US Equity</stp>
        <stp>LOW_DIVIDEND_YIELD</stp>
        <stp>-10FY</stp>
        <stp>-10FY</stp>
        <stp>[Fundamental &amp; Technical Model (1).xlsm]Multiples!R66C3</stp>
        <stp>EQY_CONSOLIDATED</stp>
        <stp>Yes</stp>
        <stp>ACCOUNTING_STANDARD_OVERRIDE</stp>
        <stp>Mixed</stp>
        <stp>Per</stp>
        <stp>FY</stp>
        <stp>Days=A</stp>
        <tr r="C66" s="16"/>
        <tr r="C66" s="16"/>
      </tp>
      <tp>
        <v>1547</v>
        <stp/>
        <stp>##V3_BDPV12</stp>
        <stp>SYK US Equity</stp>
        <stp>BS_TOTAL_AVAIL_LINE_OF_CREDIT</stp>
        <stp>[Fundamental &amp; Technical Model (1).xlsm]Capital Structure Summary!R40C9</stp>
        <stp>EQY_FUND_RELATIVE_PERIOD</stp>
        <stp>-1FY</stp>
        <stp>EQY_FUND_CRNCY</stp>
        <stp>USD</stp>
        <stp>EQY_CONSOLIDATED</stp>
        <stp>Yes</stp>
        <stp>ACCOUNTING_STANDARD_OVERRIDE</stp>
        <stp>Mixed</stp>
        <stp>Fill=--</stp>
        <tr r="I40" s="21"/>
      </tp>
      <tp>
        <v>1289</v>
        <stp/>
        <stp>##V3_BDPV12</stp>
        <stp>SYK US Equity</stp>
        <stp>BS_TOTAL_AVAIL_LINE_OF_CREDIT</stp>
        <stp>[Fundamental &amp; Technical Model (1).xlsm]Capital Structure Summary!R40C3</stp>
        <stp>EQY_FUND_RELATIVE_PERIOD</stp>
        <stp>-4FY</stp>
        <stp>EQY_FUND_CRNCY</stp>
        <stp>USD</stp>
        <stp>EQY_CONSOLIDATED</stp>
        <stp>Yes</stp>
        <stp>ACCOUNTING_STANDARD_OVERRIDE</stp>
        <stp>Mixed</stp>
        <stp>Fill=--</stp>
        <tr r="C40" s="21"/>
      </tp>
      <tp>
        <v>1236</v>
        <stp/>
        <stp>##V3_BDPV12</stp>
        <stp>SYK US Equity</stp>
        <stp>BS_TOTAL_AVAIL_LINE_OF_CREDIT</stp>
        <stp>[Fundamental &amp; Technical Model (1).xlsm]Capital Structure Summary!R40C5</stp>
        <stp>EQY_FUND_RELATIVE_PERIOD</stp>
        <stp>-3FY</stp>
        <stp>EQY_FUND_CRNCY</stp>
        <stp>USD</stp>
        <stp>EQY_CONSOLIDATED</stp>
        <stp>Yes</stp>
        <stp>ACCOUNTING_STANDARD_OVERRIDE</stp>
        <stp>Mixed</stp>
        <stp>Fill=--</stp>
        <tr r="E40" s="21"/>
      </tp>
      <tp>
        <v>1551</v>
        <stp/>
        <stp>##V3_BDPV12</stp>
        <stp>SYK US Equity</stp>
        <stp>BS_TOTAL_AVAIL_LINE_OF_CREDIT</stp>
        <stp>[Fundamental &amp; Technical Model (1).xlsm]Capital Structure Summary!R40C7</stp>
        <stp>EQY_FUND_RELATIVE_PERIOD</stp>
        <stp>-2FY</stp>
        <stp>EQY_FUND_CRNCY</stp>
        <stp>USD</stp>
        <stp>EQY_CONSOLIDATED</stp>
        <stp>Yes</stp>
        <stp>ACCOUNTING_STANDARD_OVERRIDE</stp>
        <stp>Mixed</stp>
        <stp>Fill=--</stp>
        <tr r="G40" s="21"/>
      </tp>
      <tp>
        <v>138.19999999999999</v>
        <stp/>
        <stp>##V3_BQLV12</stp>
        <stp>[Fundamental &amp; Technical Model (1).xlsm]Balance Sheet!R72C4</stp>
        <stp>SYK US Equity</stp>
        <stp>INVTRY_RAW_MATERIALS/10^6</stp>
        <stp>FPT</stp>
        <stp>A</stp>
        <stp>FPO</stp>
        <stp>-10A</stp>
        <stp>STD</stp>
        <stp>Mixed</stp>
        <stp>CONSOL</stp>
        <stp>Yes</stp>
        <stp>CURRENCY</stp>
        <stp>USD</stp>
        <tr r="D72" s="3"/>
      </tp>
      <tp t="s">
        <v>#N/A N/A</v>
        <stp/>
        <stp>##V3_BDSV12</stp>
        <stp>SYK US Equity</stp>
        <stp>PG_OPERATING_INCOME</stp>
        <stp>[Fundamental &amp; Technical Model (1).xlsm]Segments!R89C14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89" s="17"/>
      </tp>
      <tp t="e">
        <v>#N/A</v>
        <stp/>
        <stp>##V3_BDHV12</stp>
        <stp>SYK US Equity</stp>
        <stp>AVERAGE_EV_TO_T12M_EBIT</stp>
        <stp>-8FY</stp>
        <stp>-8FY</stp>
        <stp>[Fundamental &amp; Technical Model (1).xlsm]Multiples!R28C5</stp>
        <stp>EQY_CONSOLIDATED</stp>
        <stp>Yes</stp>
        <stp>ACCOUNTING_STANDARD_OVERRIDE</stp>
        <stp>Mixed</stp>
        <stp>Per</stp>
        <stp>FY</stp>
        <stp>Days=A</stp>
        <tr r="E28" s="16"/>
        <tr r="E28" s="16"/>
      </tp>
      <tp t="s">
        <v>#N/A N/A</v>
        <stp/>
        <stp>##V3_BDSV12</stp>
        <stp>SYK US Equity</stp>
        <stp>PG_OPERATING_INCOME</stp>
        <stp>[Fundamental &amp; Technical Model (1).xlsm]Segments!R89C12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89" s="17"/>
      </tp>
      <tp t="s">
        <v>#N/A N/A</v>
        <stp/>
        <stp>##V3_BDSV12</stp>
        <stp>SYK US Equity</stp>
        <stp>PG_OPERATING_INCOME</stp>
        <stp>[Fundamental &amp; Technical Model (1).xlsm]Segments!R89C13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89" s="17"/>
      </tp>
      <tp t="e">
        <v>#N/A</v>
        <stp/>
        <stp>##V3_BDHV12</stp>
        <stp>SYK US Equity</stp>
        <stp>WACC_COST_EQUITY</stp>
        <stp>-3FY</stp>
        <stp>-3FY</stp>
        <stp>[Fundamental &amp; Technical Model (1).xlsm]Capital Structure Summary!R15C5</stp>
        <stp>Per</stp>
        <stp>FY</stp>
        <tr r="E15" s="21"/>
      </tp>
      <tp t="s">
        <v>#N/A N/A</v>
        <stp/>
        <stp>##V3_BDSV12</stp>
        <stp>SYK US Equity</stp>
        <stp>PG_OPERATING_INCOME</stp>
        <stp>[Fundamental &amp; Technical Model (1).xlsm]Segments!R89C10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89" s="17"/>
      </tp>
      <tp t="s">
        <v>#N/A N/A</v>
        <stp/>
        <stp>##V3_BDSV12</stp>
        <stp>SYK US Equity</stp>
        <stp>PG_OPERATING_INCOME</stp>
        <stp>[Fundamental &amp; Technical Model (1).xlsm]Segments!R89C11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89" s="17"/>
      </tp>
      <tp>
        <v>18.745150205077042</v>
        <stp/>
        <stp>##V3_BQLV12</stp>
        <stp>[Fundamental &amp; Technical Model (1).xlsm]Ratios!R28C9</stp>
        <stp>SYK US Equity</stp>
        <stp>FREE_CASH_FLOW_MARGIN</stp>
        <stp>FPT</stp>
        <stp>A</stp>
        <stp>FPO</stp>
        <stp>-5A</stp>
        <stp>STD</stp>
        <stp>Mixed</stp>
        <stp>CONSOL</stp>
        <stp>Yes</stp>
        <tr r="I28" s="8"/>
      </tp>
      <tp>
        <v>30.908954270816498</v>
        <stp/>
        <stp>##V3_BQLV12</stp>
        <stp>[Fundamental &amp; Technical Model (1).xlsm]Key Stats!R55C5</stp>
        <stp>SYK US Equity</stp>
        <stp>EV_TO_EBIT</stp>
        <stp>FPT=LTM</stp>
        <stp>FPO=0</stp>
        <stp>STD</stp>
        <stp>Mixed</stp>
        <stp>CONSOL</stp>
        <stp>Yes</stp>
        <stp>CURRENCY</stp>
        <stp>USD</stp>
        <tr r="E55" s="23"/>
      </tp>
      <tp>
        <v>20.296135789093537</v>
        <stp/>
        <stp>##V3_BQLV12</stp>
        <stp>[Fundamental &amp; Technical Model (1).xlsm]Ratios!R25C7</stp>
        <stp>SYK US Equity</stp>
        <stp>OPER_INC_TO_NET_SALES</stp>
        <stp>FPT</stp>
        <stp>A</stp>
        <stp>FPO</stp>
        <stp>-7A</stp>
        <stp>STD</stp>
        <stp>Mixed</stp>
        <stp>CONSOL</stp>
        <stp>Yes</stp>
        <tr r="G25" s="8"/>
      </tp>
      <tp t="e">
        <v>#N/A</v>
        <stp/>
        <stp>##V3_BDHV12</stp>
        <stp>SYK US Equity</stp>
        <stp>EV_TO_T12M_EBIT</stp>
        <stp>-8FY</stp>
        <stp>-8FY</stp>
        <stp>[Fundamental &amp; Technical Model (1).xlsm]Multiples!R27C5</stp>
        <stp>EQY_CONSOLIDATED</stp>
        <stp>Yes</stp>
        <stp>ACCOUNTING_STANDARD_OVERRIDE</stp>
        <stp>Mixed</stp>
        <stp>Per</stp>
        <stp>FY</stp>
        <stp>Days=A</stp>
        <tr r="E27" s="16"/>
        <tr r="E27" s="16"/>
      </tp>
      <tp>
        <v>149</v>
        <stp/>
        <stp>##V3_BQLV12</stp>
        <stp>[Fundamental &amp; Technical Model (1).xlsm]Balance Sheet!R73C14</stp>
        <stp>SYK US Equity</stp>
        <stp>INVTRY_IN_PROGRESS/10^6</stp>
        <stp>FPT</stp>
        <stp>A</stp>
        <stp>FPO</stp>
        <stp>-0A</stp>
        <stp>STD</stp>
        <stp>Mixed</stp>
        <stp>CONSOL</stp>
        <stp>Yes</stp>
        <stp>CURRENCY</stp>
        <stp>USD</stp>
        <tr r="N73" s="3"/>
      </tp>
      <tp>
        <v>9.8635550000000016</v>
        <stp/>
        <stp>##V3_BDPV12</stp>
        <stp>ISRG Equity</stp>
        <stp>trail_12M_EPS</stp>
        <stp>[Fundamental &amp; Technical Model (1).xlsm]Public Comparables!R10C13</stp>
        <tr r="M10" s="24"/>
      </tp>
      <tp>
        <v>0</v>
        <stp/>
        <stp>##V3_BQLV12</stp>
        <stp>[Fundamental &amp; Technical Model (1).xlsm]Income Statement!R50C4</stp>
        <stp>SYK US Equity</stp>
        <stp>MIN_NONCONTROL_INTEREST_CREDITS/10^6</stp>
        <stp>FPT</stp>
        <stp>A</stp>
        <stp>FPO</stp>
        <stp>-10A</stp>
        <stp>STD</stp>
        <stp>Mixed</stp>
        <stp>CONSOL</stp>
        <stp>Yes</stp>
        <stp>CURRENCY</stp>
        <stp>USD</stp>
        <tr r="D50" s="2"/>
      </tp>
      <tp>
        <v>37.861512111573283</v>
        <stp/>
        <stp>##V3_BQLV12</stp>
        <stp>[Fundamental &amp; Technical Model (1).xlsm]Ratios!R50C12</stp>
        <stp>SYK US Equity</stp>
        <stp>NON_CUR_LIAB_TO_TOT_ASSET</stp>
        <stp>FPT</stp>
        <stp>A</stp>
        <stp>FPO</stp>
        <stp>-2A</stp>
        <stp>STD</stp>
        <stp>Mixed</stp>
        <stp>CONSOL</stp>
        <stp>Yes</stp>
        <tr r="L50" s="8"/>
      </tp>
      <tp>
        <v>16.764458642638676</v>
        <stp/>
        <stp>##V3_BQLV12</stp>
        <stp>[Fundamental &amp; Technical Model (1).xlsm]Key Stats!R61C6</stp>
        <stp>SYK US Equity</stp>
        <stp>EV_TO_EBITDA</stp>
        <stp>FPT=LTM</stp>
        <stp>FPO=1</stp>
        <stp>STD</stp>
        <stp>Mixed</stp>
        <stp>CONSOL</stp>
        <stp>Yes</stp>
        <stp>CURRENCY</stp>
        <stp>USD</stp>
        <tr r="F61" s="23"/>
      </tp>
      <tp>
        <v>5.12</v>
        <stp/>
        <stp>##V3_BQLV12</stp>
        <stp>[Fundamental &amp; Technical Model (1).xlsm]Income Statement!R70C11</stp>
        <stp>SYK US Equity</stp>
        <stp>IS_COMP_EPS_ADJUSTED</stp>
        <stp>FPT</stp>
        <stp>A</stp>
        <stp>FPO</stp>
        <stp>-3A</stp>
        <stp>STD</stp>
        <stp>Mixed</stp>
        <stp>CONSOL</stp>
        <stp>Yes</stp>
        <stp>CURRENCY</stp>
        <stp>USD</stp>
        <tr r="K70" s="2"/>
      </tp>
      <tp>
        <v>6.49</v>
        <stp/>
        <stp>##V3_BQLV12</stp>
        <stp>[Fundamental &amp; Technical Model (1).xlsm]Income Statement!R70C13</stp>
        <stp>SYK US Equity</stp>
        <stp>IS_COMP_EPS_ADJUSTED</stp>
        <stp>FPT</stp>
        <stp>A</stp>
        <stp>FPO</stp>
        <stp>-1A</stp>
        <stp>STD</stp>
        <stp>Mixed</stp>
        <stp>CONSOL</stp>
        <stp>Yes</stp>
        <stp>CURRENCY</stp>
        <stp>USD</stp>
        <tr r="M70" s="2"/>
      </tp>
      <tp>
        <v>5.8</v>
        <stp/>
        <stp>##V3_BQLV12</stp>
        <stp>[Fundamental &amp; Technical Model (1).xlsm]Income Statement!R70C12</stp>
        <stp>SYK US Equity</stp>
        <stp>IS_COMP_EPS_ADJUSTED</stp>
        <stp>FPT</stp>
        <stp>A</stp>
        <stp>FPO</stp>
        <stp>-2A</stp>
        <stp>STD</stp>
        <stp>Mixed</stp>
        <stp>CONSOL</stp>
        <stp>Yes</stp>
        <stp>CURRENCY</stp>
        <stp>USD</stp>
        <tr r="L70" s="2"/>
      </tp>
      <tp>
        <v>4.7300000000000004</v>
        <stp/>
        <stp>##V3_BQLV12</stp>
        <stp>[Fundamental &amp; Technical Model (1).xlsm]Income Statement!R70C10</stp>
        <stp>SYK US Equity</stp>
        <stp>IS_COMP_EPS_ADJUSTED</stp>
        <stp>FPT</stp>
        <stp>A</stp>
        <stp>FPO</stp>
        <stp>-4A</stp>
        <stp>STD</stp>
        <stp>Mixed</stp>
        <stp>CONSOL</stp>
        <stp>Yes</stp>
        <stp>CURRENCY</stp>
        <stp>USD</stp>
        <tr r="J70" s="2"/>
      </tp>
      <tp>
        <v>7.31</v>
        <stp/>
        <stp>##V3_BQLV12</stp>
        <stp>[Fundamental &amp; Technical Model (1).xlsm]Income Statement!R70C14</stp>
        <stp>SYK US Equity</stp>
        <stp>IS_COMP_EPS_ADJUSTED</stp>
        <stp>FPT</stp>
        <stp>A</stp>
        <stp>FPO</stp>
        <stp>-0A</stp>
        <stp>STD</stp>
        <stp>Mixed</stp>
        <stp>CONSOL</stp>
        <stp>Yes</stp>
        <stp>CURRENCY</stp>
        <stp>USD</stp>
        <tr r="N70" s="2"/>
      </tp>
      <tp>
        <v>0</v>
        <stp/>
        <stp>##V3_BQLV12</stp>
        <stp>[Fundamental &amp; Technical Model (1).xlsm]Income Statement!R83C10</stp>
        <stp>SYK US Equity</stp>
        <stp>IS_CAP_INT_EXP/10^6</stp>
        <stp>FPT</stp>
        <stp>A</stp>
        <stp>FPO</stp>
        <stp>-4A</stp>
        <stp>STD</stp>
        <stp>Mixed</stp>
        <stp>CONSOL</stp>
        <stp>Yes</stp>
        <stp>CURRENCY</stp>
        <stp>USD</stp>
        <tr r="J83" s="2"/>
      </tp>
      <tp t="s">
        <v>FIFO (First-in-first-out)</v>
        <stp/>
        <stp>##V3_BDPV12</stp>
        <stp>SYK US Equity</stp>
        <stp>INVENTORY_METHOD</stp>
        <stp>[Fundamental &amp; Technical Model (1).xlsm]Balance Sheet!R71C14</stp>
        <stp>Fill=--</stp>
        <tr r="N71" s="3"/>
        <tr r="N71" s="3"/>
      </tp>
      <tp t="s">
        <v>FIFO (First-in-first-out)</v>
        <stp/>
        <stp>##V3_BDPV12</stp>
        <stp>SYK US Equity</stp>
        <stp>INVENTORY_METHOD</stp>
        <stp>[Fundamental &amp; Technical Model (1).xlsm]Balance Sheet!R71C12</stp>
        <stp>Fill=--</stp>
        <tr r="L71" s="3"/>
        <tr r="L71" s="3"/>
      </tp>
      <tp t="s">
        <v>FIFO (First-in-first-out)</v>
        <stp/>
        <stp>##V3_BDPV12</stp>
        <stp>SYK US Equity</stp>
        <stp>INVENTORY_METHOD</stp>
        <stp>[Fundamental &amp; Technical Model (1).xlsm]Balance Sheet!R71C13</stp>
        <stp>Fill=--</stp>
        <tr r="M71" s="3"/>
        <tr r="M71" s="3"/>
      </tp>
      <tp t="s">
        <v>FIFO (First-in-first-out)</v>
        <stp/>
        <stp>##V3_BDPV12</stp>
        <stp>SYK US Equity</stp>
        <stp>INVENTORY_METHOD</stp>
        <stp>[Fundamental &amp; Technical Model (1).xlsm]Balance Sheet!R71C10</stp>
        <stp>Fill=--</stp>
        <tr r="J71" s="3"/>
        <tr r="J71" s="3"/>
      </tp>
      <tp t="s">
        <v>FIFO (First-in-first-out)</v>
        <stp/>
        <stp>##V3_BDPV12</stp>
        <stp>SYK US Equity</stp>
        <stp>INVENTORY_METHOD</stp>
        <stp>[Fundamental &amp; Technical Model (1).xlsm]Balance Sheet!R71C11</stp>
        <stp>Fill=--</stp>
        <tr r="K71" s="3"/>
        <tr r="K71" s="3"/>
      </tp>
      <tp t="s">
        <v>2008 Y</v>
        <stp/>
        <stp>##V3_BDPV12</stp>
        <stp>SYK US Equity</stp>
        <stp>FISCAL_YEAR_PERIOD</stp>
        <stp>[Fundamental &amp; Technical Model (1).xlsm]Segments!R130C4</stp>
        <stp>EQY_FUND_RELATIVE_PERIOD</stp>
        <stp>-10FY</stp>
        <tr r="D130" s="17"/>
      </tp>
      <tp>
        <v>9106</v>
        <stp/>
        <stp>##V3_BDPV12</stp>
        <stp>SYK US Equity</stp>
        <stp>BS_CONTRACTUAL_OBLIG_BEYOND_YR_5</stp>
        <stp>[Fundamental &amp; Technical Model (1).xlsm]Capital Structure Summary!R114C11</stp>
        <stp>EQY_FUND_RELATIVE_PERIOD</stp>
        <stp>-0FY</stp>
        <stp>EQY_FUND_CRNCY</stp>
        <stp>USD</stp>
        <stp>EQY_CONSOLIDATED</stp>
        <stp>Yes</stp>
        <stp>ACCOUNTING_STANDARD_OVERRIDE</stp>
        <stp>Mixed</stp>
        <stp>Fill=--</stp>
        <tr r="K114" s="21"/>
      </tp>
      <tp>
        <v>0</v>
        <stp/>
        <stp>##V3_BQLV12</stp>
        <stp>[Fundamental &amp; Technical Model (1).xlsm]Ratios!R49C5</stp>
        <stp>SYK US Equity</stp>
        <stp>LT_DEBT_TO_TOT_CAP</stp>
        <stp>FPT</stp>
        <stp>A</stp>
        <stp>FPO</stp>
        <stp>-9A</stp>
        <stp>STD</stp>
        <stp>Mixed</stp>
        <stp>CONSOL</stp>
        <stp>Yes</stp>
        <tr r="E49" s="8"/>
      </tp>
      <tp t="e">
        <v>#N/A</v>
        <stp/>
        <stp>##V3_BDHV12</stp>
        <stp>SYK US Equity</stp>
        <stp>AVERAGE_EV_TO_T12M_EBIT</stp>
        <stp>-7FY</stp>
        <stp>-7FY</stp>
        <stp>[Fundamental &amp; Technical Model (1).xlsm]Multiples!R28C6</stp>
        <stp>EQY_CONSOLIDATED</stp>
        <stp>Yes</stp>
        <stp>ACCOUNTING_STANDARD_OVERRIDE</stp>
        <stp>Mixed</stp>
        <stp>Per</stp>
        <stp>FY</stp>
        <stp>Days=A</stp>
        <tr r="F28" s="16"/>
        <tr r="F28" s="16"/>
      </tp>
      <tp>
        <v>71</v>
        <stp/>
        <stp>##V3_BQLV12</stp>
        <stp>[Fundamental &amp; Technical Model (1).xlsm]Balance Sheet!R73C8</stp>
        <stp>SYK US Equity</stp>
        <stp>INVTRY_IN_PROGRESS/10^6</stp>
        <stp>FPT</stp>
        <stp>A</stp>
        <stp>FPO</stp>
        <stp>-6A</stp>
        <stp>STD</stp>
        <stp>Mixed</stp>
        <stp>CONSOL</stp>
        <stp>Yes</stp>
        <stp>CURRENCY</stp>
        <stp>USD</stp>
        <tr r="H73" s="3"/>
      </tp>
      <tp>
        <v>2764</v>
        <stp/>
        <stp>##V3_BQLV12</stp>
        <stp>[Fundamental &amp; Technical Model (1).xlsm]Balance Sheet!R68C9</stp>
        <stp>SYK US Equity</stp>
        <stp>SHORT_AND_LONG_TERM_DEBT/10^6</stp>
        <stp>FPT</stp>
        <stp>A</stp>
        <stp>FPO</stp>
        <stp>-5A</stp>
        <stp>STD</stp>
        <stp>Mixed</stp>
        <stp>CONSOL</stp>
        <stp>Yes</stp>
        <stp>CURRENCY</stp>
        <stp>USD</stp>
        <tr r="I68" s="3"/>
      </tp>
      <tp>
        <v>1762</v>
        <stp/>
        <stp>##V3_BQLV12</stp>
        <stp>[Fundamental &amp; Technical Model (1).xlsm]Balance Sheet!R68C8</stp>
        <stp>SYK US Equity</stp>
        <stp>SHORT_AND_LONG_TERM_DEBT/10^6</stp>
        <stp>FPT</stp>
        <stp>A</stp>
        <stp>FPO</stp>
        <stp>-6A</stp>
        <stp>STD</stp>
        <stp>Mixed</stp>
        <stp>CONSOL</stp>
        <stp>Yes</stp>
        <stp>CURRENCY</stp>
        <stp>USD</stp>
        <tr r="H68" s="3"/>
      </tp>
      <tp>
        <v>1768</v>
        <stp/>
        <stp>##V3_BQLV12</stp>
        <stp>[Fundamental &amp; Technical Model (1).xlsm]Balance Sheet!R68C7</stp>
        <stp>SYK US Equity</stp>
        <stp>SHORT_AND_LONG_TERM_DEBT/10^6</stp>
        <stp>FPT</stp>
        <stp>A</stp>
        <stp>FPO</stp>
        <stp>-7A</stp>
        <stp>STD</stp>
        <stp>Mixed</stp>
        <stp>CONSOL</stp>
        <stp>Yes</stp>
        <stp>CURRENCY</stp>
        <stp>USD</stp>
        <tr r="G68" s="3"/>
      </tp>
      <tp>
        <v>1021</v>
        <stp/>
        <stp>##V3_BQLV12</stp>
        <stp>[Fundamental &amp; Technical Model (1).xlsm]Balance Sheet!R68C6</stp>
        <stp>SYK US Equity</stp>
        <stp>SHORT_AND_LONG_TERM_DEBT/10^6</stp>
        <stp>FPT</stp>
        <stp>A</stp>
        <stp>FPO</stp>
        <stp>-8A</stp>
        <stp>STD</stp>
        <stp>Mixed</stp>
        <stp>CONSOL</stp>
        <stp>Yes</stp>
        <stp>CURRENCY</stp>
        <stp>USD</stp>
        <tr r="F68" s="3"/>
      </tp>
      <tp>
        <v>18</v>
        <stp/>
        <stp>##V3_BQLV12</stp>
        <stp>[Fundamental &amp; Technical Model (1).xlsm]Balance Sheet!R68C5</stp>
        <stp>SYK US Equity</stp>
        <stp>SHORT_AND_LONG_TERM_DEBT/10^6</stp>
        <stp>FPT</stp>
        <stp>A</stp>
        <stp>FPO</stp>
        <stp>-9A</stp>
        <stp>STD</stp>
        <stp>Mixed</stp>
        <stp>CONSOL</stp>
        <stp>Yes</stp>
        <stp>CURRENCY</stp>
        <stp>USD</stp>
        <tr r="E68" s="3"/>
      </tp>
      <tp>
        <v>16.714797273882407</v>
        <stp/>
        <stp>##V3_BQLV12</stp>
        <stp>[Fundamental &amp; Technical Model (1).xlsm]Ratios!R28C8</stp>
        <stp>SYK US Equity</stp>
        <stp>FREE_CASH_FLOW_MARGIN</stp>
        <stp>FPT</stp>
        <stp>A</stp>
        <stp>FPO</stp>
        <stp>-6A</stp>
        <stp>STD</stp>
        <stp>Mixed</stp>
        <stp>CONSOL</stp>
        <stp>Yes</stp>
        <tr r="H28" s="8"/>
      </tp>
      <tp t="e">
        <v>#N/A</v>
        <stp/>
        <stp>##V3_BDHV12</stp>
        <stp>SYK US Equity</stp>
        <stp>EV_TO_T12M_EBIT</stp>
        <stp>-7FY</stp>
        <stp>-7FY</stp>
        <stp>[Fundamental &amp; Technical Model (1).xlsm]Multiples!R27C6</stp>
        <stp>EQY_CONSOLIDATED</stp>
        <stp>Yes</stp>
        <stp>ACCOUNTING_STANDARD_OVERRIDE</stp>
        <stp>Mixed</stp>
        <stp>Per</stp>
        <stp>FY</stp>
        <stp>Days=A</stp>
        <tr r="F27" s="16"/>
        <tr r="F27" s="16"/>
      </tp>
      <tp>
        <v>13.883468079174797</v>
        <stp/>
        <stp>##V3_BQLV12</stp>
        <stp>[Fundamental &amp; Technical Model (1).xlsm]Ratios!R48C6</stp>
        <stp>SYK US Equity</stp>
        <stp>LT_DEBT_TO_COM_EQY</stp>
        <stp>FPT</stp>
        <stp>A</stp>
        <stp>FPO</stp>
        <stp>-8A</stp>
        <stp>STD</stp>
        <stp>Mixed</stp>
        <stp>CONSOL</stp>
        <stp>Yes</stp>
        <tr r="F48" s="8"/>
      </tp>
      <tp t="s">
        <v>--</v>
        <stp/>
        <stp>##V3_BDPV12</stp>
        <stp>SYK US Equity</stp>
        <stp>BS_TOTAL_SUBLEASE_INCOME</stp>
        <stp>[Fundamental &amp; Technical Model (1).xlsm]Capital Structure Summary!R106C3</stp>
        <stp>EQY_FUND_RELATIVE_PERIOD</stp>
        <stp>-4FY</stp>
        <stp>EQY_FUND_CRNCY</stp>
        <stp>USD</stp>
        <stp>EQY_CONSOLIDATED</stp>
        <stp>Yes</stp>
        <stp>ACCOUNTING_STANDARD_OVERRIDE</stp>
        <stp>Mixed</stp>
        <stp>Fill=--</stp>
        <tr r="C106" s="21"/>
      </tp>
      <tp t="s">
        <v>--</v>
        <stp/>
        <stp>##V3_BDPV12</stp>
        <stp>SYK US Equity</stp>
        <stp>BS_TOTAL_SUBLEASE_INCOME</stp>
        <stp>[Fundamental &amp; Technical Model (1).xlsm]Capital Structure Summary!R106C5</stp>
        <stp>EQY_FUND_RELATIVE_PERIOD</stp>
        <stp>-3FY</stp>
        <stp>EQY_FUND_CRNCY</stp>
        <stp>USD</stp>
        <stp>EQY_CONSOLIDATED</stp>
        <stp>Yes</stp>
        <stp>ACCOUNTING_STANDARD_OVERRIDE</stp>
        <stp>Mixed</stp>
        <stp>Fill=--</stp>
        <tr r="E106" s="21"/>
      </tp>
      <tp t="s">
        <v>--</v>
        <stp/>
        <stp>##V3_BDPV12</stp>
        <stp>SYK US Equity</stp>
        <stp>BS_TOTAL_SUBLEASE_INCOME</stp>
        <stp>[Fundamental &amp; Technical Model (1).xlsm]Capital Structure Summary!R106C7</stp>
        <stp>EQY_FUND_RELATIVE_PERIOD</stp>
        <stp>-2FY</stp>
        <stp>EQY_FUND_CRNCY</stp>
        <stp>USD</stp>
        <stp>EQY_CONSOLIDATED</stp>
        <stp>Yes</stp>
        <stp>ACCOUNTING_STANDARD_OVERRIDE</stp>
        <stp>Mixed</stp>
        <stp>Fill=--</stp>
        <tr r="G106" s="21"/>
      </tp>
      <tp>
        <v>26.054040745983876</v>
        <stp/>
        <stp>##V3_BQLV12</stp>
        <stp>[Fundamental &amp; Technical Model (1).xlsm]Ratios!R50C11</stp>
        <stp>SYK US Equity</stp>
        <stp>NON_CUR_LIAB_TO_TOT_ASSET</stp>
        <stp>FPT</stp>
        <stp>A</stp>
        <stp>FPO</stp>
        <stp>-3A</stp>
        <stp>STD</stp>
        <stp>Mixed</stp>
        <stp>CONSOL</stp>
        <stp>Yes</stp>
        <tr r="K50" s="8"/>
      </tp>
      <tp t="s">
        <v>--</v>
        <stp/>
        <stp>##V3_BDPV12</stp>
        <stp>SYK US Equity</stp>
        <stp>BS_TOTAL_SUBLEASE_INCOME</stp>
        <stp>[Fundamental &amp; Technical Model (1).xlsm]Capital Structure Summary!R106C9</stp>
        <stp>EQY_FUND_RELATIVE_PERIOD</stp>
        <stp>-1FY</stp>
        <stp>EQY_FUND_CRNCY</stp>
        <stp>USD</stp>
        <stp>EQY_CONSOLIDATED</stp>
        <stp>Yes</stp>
        <stp>ACCOUNTING_STANDARD_OVERRIDE</stp>
        <stp>Mixed</stp>
        <stp>Fill=--</stp>
        <tr r="I106" s="21"/>
      </tp>
      <tp>
        <v>2.83</v>
        <stp/>
        <stp>##V3_BQLV12</stp>
        <stp>[Fundamental &amp; Technical Model (1).xlsm]Income Statement!R70C4</stp>
        <stp>SYK US Equity</stp>
        <stp>IS_COMP_EPS_ADJUSTED</stp>
        <stp>FPT</stp>
        <stp>A</stp>
        <stp>FPO</stp>
        <stp>-10A</stp>
        <stp>STD</stp>
        <stp>Mixed</stp>
        <stp>CONSOL</stp>
        <stp>Yes</stp>
        <stp>CURRENCY</stp>
        <stp>USD</stp>
        <tr r="D70" s="2"/>
      </tp>
      <tp>
        <v>23.814622505761449</v>
        <stp/>
        <stp>##V3_BQLV12</stp>
        <stp>[Fundamental &amp; Technical Model (1).xlsm]Key Stats!R61C4</stp>
        <stp>SYK US Equity</stp>
        <stp>EV_TO_EBITDA</stp>
        <stp>FPT=LTM</stp>
        <stp>FPO=0</stp>
        <stp>STD</stp>
        <stp>Mixed</stp>
        <stp>CONSOL</stp>
        <stp>Yes</stp>
        <stp>CURRENCY</stp>
        <stp>USD</stp>
        <tr r="D61" s="23"/>
      </tp>
      <tp t="s">
        <v>2014 A</v>
        <stp/>
        <stp>##V3_BQLV12</stp>
        <stp>[Fundamental &amp; Technical Model (1).xlsm]Income Statement!R13C10</stp>
        <stp>SYK US Equity</stp>
        <stp>IS_EPS().PERIOD</stp>
        <stp>FPT</stp>
        <stp>A</stp>
        <stp>FPO</stp>
        <stp>-4A</stp>
        <stp>STD</stp>
        <stp>Mixed</stp>
        <stp>CONSOL</stp>
        <stp>Yes</stp>
        <tr r="J13" s="2"/>
      </tp>
      <tp>
        <v>0</v>
        <stp/>
        <stp>##V3_BQLV12</stp>
        <stp>[Fundamental &amp; Technical Model (1).xlsm]Income Statement!R83C11</stp>
        <stp>SYK US Equity</stp>
        <stp>IS_CAP_INT_EXP/10^6</stp>
        <stp>FPT</stp>
        <stp>A</stp>
        <stp>FPO</stp>
        <stp>-3A</stp>
        <stp>STD</stp>
        <stp>Mixed</stp>
        <stp>CONSOL</stp>
        <stp>Yes</stp>
        <stp>CURRENCY</stp>
        <stp>USD</stp>
        <tr r="K83" s="2"/>
      </tp>
      <tp>
        <v>4554.3</v>
        <stp/>
        <stp>##V3_BQLV12</stp>
        <stp>[Fundamental &amp; Technical Model (1).xlsm]Balance Sheet!R57C4</stp>
        <stp>SYK US Equity</stp>
        <stp>BS_RETAIN_EARN/10^6</stp>
        <stp>FPT</stp>
        <stp>A</stp>
        <stp>FPO</stp>
        <stp>-10A</stp>
        <stp>STD</stp>
        <stp>Mixed</stp>
        <stp>CONSOL</stp>
        <stp>Yes</stp>
        <stp>CURRENCY</stp>
        <stp>USD</stp>
        <tr r="D57" s="3"/>
      </tp>
      <tp>
        <v>0</v>
        <stp/>
        <stp>##V3_BQLV12</stp>
        <stp>[Fundamental &amp; Technical Model (1).xlsm]Cash Flow!R30C4</stp>
        <stp>SYK US Equity</stp>
        <stp>CF_INCR_ST_BORROW/10^6</stp>
        <stp>FPT</stp>
        <stp>A</stp>
        <stp>FPO</stp>
        <stp>-10A</stp>
        <stp>STD</stp>
        <stp>Mixed</stp>
        <stp>CONSOL</stp>
        <stp>Yes</stp>
        <stp>CURRENCY</stp>
        <stp>USD</stp>
        <tr r="D30" s="4"/>
      </tp>
      <tp t="s">
        <v>#N/A</v>
        <stp/>
        <stp>##V3_BQLV12</stp>
        <stp>[Fundamental &amp; Technical Model (1).xlsm]Cash Flow!R25C4</stp>
        <stp>SYK US Equity</stp>
        <stp>CF_CASH_FOR_DIVESTITURES/10^6</stp>
        <stp>FPT</stp>
        <stp>A</stp>
        <stp>FPO</stp>
        <stp>-10A</stp>
        <stp>STD</stp>
        <stp>Mixed</stp>
        <stp>CONSOL</stp>
        <stp>Yes</stp>
        <stp>CURRENCY</stp>
        <stp>USD</stp>
        <tr r="D25" s="4"/>
      </tp>
      <tp t="e">
        <v>#N/A</v>
        <stp/>
        <stp>##V3_BDHV12</stp>
        <stp>SYK US Equity</stp>
        <stp>AVERAGE_EV_TO_T12M_EBIT</stp>
        <stp>-6FY</stp>
        <stp>-6FY</stp>
        <stp>[Fundamental &amp; Technical Model (1).xlsm]Multiples!R28C7</stp>
        <stp>EQY_CONSOLIDATED</stp>
        <stp>Yes</stp>
        <stp>ACCOUNTING_STANDARD_OVERRIDE</stp>
        <stp>Mixed</stp>
        <stp>Per</stp>
        <stp>FY</stp>
        <stp>Days=A</stp>
        <tr r="G28" s="16"/>
        <tr r="G28" s="16"/>
      </tp>
      <tp>
        <v>12.153752287980476</v>
        <stp/>
        <stp>##V3_BQLV12</stp>
        <stp>[Fundamental &amp; Technical Model (1).xlsm]Ratios!R49C6</stp>
        <stp>SYK US Equity</stp>
        <stp>LT_DEBT_TO_TOT_CAP</stp>
        <stp>FPT</stp>
        <stp>A</stp>
        <stp>FPO</stp>
        <stp>-8A</stp>
        <stp>STD</stp>
        <stp>Mixed</stp>
        <stp>CONSOL</stp>
        <stp>Yes</stp>
        <tr r="F49" s="8"/>
      </tp>
      <tp>
        <v>85</v>
        <stp/>
        <stp>##V3_BQLV12</stp>
        <stp>[Fundamental &amp; Technical Model (1).xlsm]Balance Sheet!R73C9</stp>
        <stp>SYK US Equity</stp>
        <stp>INVTRY_IN_PROGRESS/10^6</stp>
        <stp>FPT</stp>
        <stp>A</stp>
        <stp>FPO</stp>
        <stp>-5A</stp>
        <stp>STD</stp>
        <stp>Mixed</stp>
        <stp>CONSOL</stp>
        <stp>Yes</stp>
        <stp>CURRENCY</stp>
        <stp>USD</stp>
        <tr r="I73" s="3"/>
      </tp>
      <tp t="e">
        <v>#N/A</v>
        <stp/>
        <stp>##V3_BDHV12</stp>
        <stp>SYK US Equity</stp>
        <stp>WACC_COST_EQUITY</stp>
        <stp>-1FY</stp>
        <stp>-1FY</stp>
        <stp>[Fundamental &amp; Technical Model (1).xlsm]Capital Structure Summary!R15C9</stp>
        <stp>Per</stp>
        <stp>FY</stp>
        <tr r="I15" s="21"/>
      </tp>
      <tp>
        <v>14.541952570121584</v>
        <stp/>
        <stp>##V3_BQLV12</stp>
        <stp>[Fundamental &amp; Technical Model (1).xlsm]Ratios!R28C7</stp>
        <stp>SYK US Equity</stp>
        <stp>FREE_CASH_FLOW_MARGIN</stp>
        <stp>FPT</stp>
        <stp>A</stp>
        <stp>FPO</stp>
        <stp>-7A</stp>
        <stp>STD</stp>
        <stp>Mixed</stp>
        <stp>CONSOL</stp>
        <stp>Yes</stp>
        <tr r="G28" s="8"/>
      </tp>
      <tp t="e">
        <v>#N/A</v>
        <stp/>
        <stp>##V3_BDHV12</stp>
        <stp>SYK US Equity</stp>
        <stp>EV_TO_T12M_EBIT</stp>
        <stp>-6FY</stp>
        <stp>-6FY</stp>
        <stp>[Fundamental &amp; Technical Model (1).xlsm]Multiples!R27C7</stp>
        <stp>EQY_CONSOLIDATED</stp>
        <stp>Yes</stp>
        <stp>ACCOUNTING_STANDARD_OVERRIDE</stp>
        <stp>Mixed</stp>
        <stp>Per</stp>
        <stp>FY</stp>
        <stp>Days=A</stp>
        <tr r="G27" s="16"/>
        <tr r="G27" s="16"/>
      </tp>
      <tp>
        <v>0</v>
        <stp/>
        <stp>##V3_BQLV12</stp>
        <stp>[Fundamental &amp; Technical Model (1).xlsm]Ratios!R48C5</stp>
        <stp>SYK US Equity</stp>
        <stp>LT_DEBT_TO_COM_EQY</stp>
        <stp>FPT</stp>
        <stp>A</stp>
        <stp>FPO</stp>
        <stp>-9A</stp>
        <stp>STD</stp>
        <stp>Mixed</stp>
        <stp>CONSOL</stp>
        <stp>Yes</stp>
        <tr r="E48" s="8"/>
      </tp>
      <tp>
        <v>13.923068395964972</v>
        <stp/>
        <stp>##V3_BQLV12</stp>
        <stp>[Fundamental &amp; Technical Model (1).xlsm]Ratios!R25C9</stp>
        <stp>SYK US Equity</stp>
        <stp>OPER_INC_TO_NET_SALES</stp>
        <stp>FPT</stp>
        <stp>A</stp>
        <stp>FPO</stp>
        <stp>-5A</stp>
        <stp>STD</stp>
        <stp>Mixed</stp>
        <stp>CONSOL</stp>
        <stp>Yes</stp>
        <tr r="I25" s="8"/>
      </tp>
      <tp>
        <v>1.9466487334678324</v>
        <stp/>
        <stp>##V3_BQLV12</stp>
        <stp>[Fundamental &amp; Technical Model (1).xlsm]Ratios!R37C10</stp>
        <stp>SYK US Equity</stp>
        <stp>CUR_RATIO</stp>
        <stp>FPT</stp>
        <stp>A</stp>
        <stp>FPO</stp>
        <stp>-4A</stp>
        <stp>STD</stp>
        <stp>Mixed</stp>
        <stp>CONSOL</stp>
        <stp>Yes</stp>
        <tr r="J37" s="8"/>
      </tp>
      <tp>
        <v>97.7</v>
        <stp/>
        <stp>##V3_BQLV12</stp>
        <stp>[Fundamental &amp; Technical Model (1).xlsm]Income Statement!R32C4</stp>
        <stp>SYK US Equity</stp>
        <stp>IS_INT_INC/10^6</stp>
        <stp>FPT</stp>
        <stp>A</stp>
        <stp>FPO</stp>
        <stp>-10A</stp>
        <stp>STD</stp>
        <stp>Mixed</stp>
        <stp>CONSOL</stp>
        <stp>Yes</stp>
        <stp>CURRENCY</stp>
        <stp>USD</stp>
        <tr r="D32" s="2"/>
      </tp>
      <tp>
        <v>274</v>
        <stp/>
        <stp>##V3_BQLV12</stp>
        <stp>[Fundamental &amp; Technical Model (1).xlsm]Income Statement!R46C12</stp>
        <stp>SYK US Equity</stp>
        <stp>IS_INC_TAX_EXP/10^6</stp>
        <stp>FPT</stp>
        <stp>A</stp>
        <stp>FPO</stp>
        <stp>-2A</stp>
        <stp>STD</stp>
        <stp>Mixed</stp>
        <stp>CONSOL</stp>
        <stp>Yes</stp>
        <stp>CURRENCY</stp>
        <stp>USD</stp>
        <tr r="L46" s="2"/>
      </tp>
      <tp t="s">
        <v>2018 A</v>
        <stp/>
        <stp>##V3_BQLV12</stp>
        <stp>[Fundamental &amp; Technical Model (1).xlsm]Cash Flow!R12C14</stp>
        <stp>SYK US Equity</stp>
        <stp>IS_EPS().PERIOD</stp>
        <stp>FPT</stp>
        <stp>A</stp>
        <stp>FPO</stp>
        <stp>-0A</stp>
        <stp>STD</stp>
        <stp>Mixed</stp>
        <stp>CONSOL</stp>
        <stp>Yes</stp>
        <tr r="N12" s="4"/>
      </tp>
      <tp t="e">
        <v>#N/A</v>
        <stp/>
        <stp>##V3_BDHV12</stp>
        <stp>SYK US Equity</stp>
        <stp>AVERAGE_EV_TO_T12M_EBIT</stp>
        <stp>-5FY</stp>
        <stp>-5FY</stp>
        <stp>[Fundamental &amp; Technical Model (1).xlsm]Multiples!R28C8</stp>
        <stp>EQY_CONSOLIDATED</stp>
        <stp>Yes</stp>
        <stp>ACCOUNTING_STANDARD_OVERRIDE</stp>
        <stp>Mixed</stp>
        <stp>Per</stp>
        <stp>FY</stp>
        <stp>Days=A</stp>
        <tr r="H28" s="16"/>
        <tr r="H28" s="16"/>
      </tp>
      <tp>
        <v>18.527139985186754</v>
        <stp/>
        <stp>##V3_BQLV12</stp>
        <stp>[Fundamental &amp; Technical Model (1).xlsm]Ratios!R49C7</stp>
        <stp>SYK US Equity</stp>
        <stp>LT_DEBT_TO_TOT_CAP</stp>
        <stp>FPT</stp>
        <stp>A</stp>
        <stp>FPO</stp>
        <stp>-7A</stp>
        <stp>STD</stp>
        <stp>Mixed</stp>
        <stp>CONSOL</stp>
        <stp>Yes</stp>
        <tr r="G49" s="8"/>
      </tp>
      <tp>
        <v>65</v>
        <stp/>
        <stp>##V3_BQLV12</stp>
        <stp>[Fundamental &amp; Technical Model (1).xlsm]Balance Sheet!R73C6</stp>
        <stp>SYK US Equity</stp>
        <stp>INVTRY_IN_PROGRESS/10^6</stp>
        <stp>FPT</stp>
        <stp>A</stp>
        <stp>FPO</stp>
        <stp>-8A</stp>
        <stp>STD</stp>
        <stp>Mixed</stp>
        <stp>CONSOL</stp>
        <stp>Yes</stp>
        <stp>CURRENCY</stp>
        <stp>USD</stp>
        <tr r="F73" s="3"/>
      </tp>
      <tp t="s">
        <v>#N/A N/A</v>
        <stp/>
        <stp>##V3_BDSV12</stp>
        <stp>SYK US Equity</stp>
        <stp>PG_OPERATING_INCOME</stp>
        <stp>[Fundamental &amp; Technical Model (1).xlsm]Segments!R89C8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89" s="17"/>
      </tp>
      <tp t="s">
        <v>#N/A N/A</v>
        <stp/>
        <stp>##V3_BDSV12</stp>
        <stp>SYK US Equity</stp>
        <stp>PG_OPERATING_INCOME</stp>
        <stp>[Fundamental &amp; Technical Model (1).xlsm]Segments!R89C9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89" s="17"/>
      </tp>
      <tp t="s">
        <v>#N/A N/A</v>
        <stp/>
        <stp>##V3_BDSV12</stp>
        <stp>SYK US Equity</stp>
        <stp>PG_OPERATING_INCOME</stp>
        <stp>[Fundamental &amp; Technical Model (1).xlsm]Segments!R94C11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94" s="17"/>
      </tp>
      <tp t="s">
        <v>#N/A N/A</v>
        <stp/>
        <stp>##V3_BDSV12</stp>
        <stp>SYK US Equity</stp>
        <stp>PG_OPERATING_INCOME</stp>
        <stp>[Fundamental &amp; Technical Model (1).xlsm]Segments!R94C10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94" s="17"/>
      </tp>
      <tp t="s">
        <v>#N/A N/A</v>
        <stp/>
        <stp>##V3_BDSV12</stp>
        <stp>SYK US Equity</stp>
        <stp>PG_OPERATING_INCOME</stp>
        <stp>[Fundamental &amp; Technical Model (1).xlsm]Segments!R94C13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94" s="17"/>
      </tp>
      <tp t="s">
        <v>#N/A N/A</v>
        <stp/>
        <stp>##V3_BDSV12</stp>
        <stp>SYK US Equity</stp>
        <stp>PG_OPERATING_INCOME</stp>
        <stp>[Fundamental &amp; Technical Model (1).xlsm]Segments!R94C12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94" s="17"/>
      </tp>
      <tp t="s">
        <v>#N/A N/A</v>
        <stp/>
        <stp>##V3_BDSV12</stp>
        <stp>SYK US Equity</stp>
        <stp>PG_OPERATING_INCOME</stp>
        <stp>[Fundamental &amp; Technical Model (1).xlsm]Segments!R89C3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89" s="17"/>
      </tp>
      <tp t="s">
        <v>#N/A N/A</v>
        <stp/>
        <stp>##V3_BDSV12</stp>
        <stp>SYK US Equity</stp>
        <stp>PG_OPERATING_INCOME</stp>
        <stp>[Fundamental &amp; Technical Model (1).xlsm]Segments!R94C14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94" s="17"/>
      </tp>
      <tp>
        <v>18.647540983606557</v>
        <stp/>
        <stp>##V3_BQLV12</stp>
        <stp>[Fundamental &amp; Technical Model (1).xlsm]Ratios!R28C6</stp>
        <stp>SYK US Equity</stp>
        <stp>FREE_CASH_FLOW_MARGIN</stp>
        <stp>FPT</stp>
        <stp>A</stp>
        <stp>FPO</stp>
        <stp>-8A</stp>
        <stp>STD</stp>
        <stp>Mixed</stp>
        <stp>CONSOL</stp>
        <stp>Yes</stp>
        <tr r="F28" s="8"/>
      </tp>
      <tp t="e">
        <v>#N/A</v>
        <stp/>
        <stp>##V3_BDHV12</stp>
        <stp>SYK US Equity</stp>
        <stp>EV_TO_T12M_EBIT</stp>
        <stp>-5FY</stp>
        <stp>-5FY</stp>
        <stp>[Fundamental &amp; Technical Model (1).xlsm]Multiples!R27C8</stp>
        <stp>EQY_CONSOLIDATED</stp>
        <stp>Yes</stp>
        <stp>ACCOUNTING_STANDARD_OVERRIDE</stp>
        <stp>Mixed</stp>
        <stp>Per</stp>
        <stp>FY</stp>
        <stp>Days=A</stp>
        <tr r="H27" s="16"/>
        <tr r="H27" s="16"/>
      </tp>
      <tp>
        <v>20.309410259392813</v>
        <stp/>
        <stp>##V3_BQLV12</stp>
        <stp>[Fundamental &amp; Technical Model (1).xlsm]Ratios!R48C8</stp>
        <stp>SYK US Equity</stp>
        <stp>LT_DEBT_TO_COM_EQY</stp>
        <stp>FPT</stp>
        <stp>A</stp>
        <stp>FPO</stp>
        <stp>-6A</stp>
        <stp>STD</stp>
        <stp>Mixed</stp>
        <stp>CONSOL</stp>
        <stp>Yes</stp>
        <tr r="H48" s="8"/>
      </tp>
      <tp>
        <v>17.688531905399376</v>
        <stp/>
        <stp>##V3_BQLV12</stp>
        <stp>[Fundamental &amp; Technical Model (1).xlsm]Ratios!R27C5</stp>
        <stp>SYK US Equity</stp>
        <stp>NORMALIZED_PROFIT_MARGIN</stp>
        <stp>FPT</stp>
        <stp>A</stp>
        <stp>FPO</stp>
        <stp>-9A</stp>
        <stp>STD</stp>
        <stp>Mixed</stp>
        <stp>CONSOL</stp>
        <stp>Yes</stp>
        <tr r="E27" s="8"/>
      </tp>
      <tp>
        <v>17.747478106640063</v>
        <stp/>
        <stp>##V3_BQLV12</stp>
        <stp>[Fundamental &amp; Technical Model (1).xlsm]Ratios!R27C9</stp>
        <stp>SYK US Equity</stp>
        <stp>NORMALIZED_PROFIT_MARGIN</stp>
        <stp>FPT</stp>
        <stp>A</stp>
        <stp>FPO</stp>
        <stp>-5A</stp>
        <stp>STD</stp>
        <stp>Mixed</stp>
        <stp>CONSOL</stp>
        <stp>Yes</stp>
        <tr r="I27" s="8"/>
      </tp>
      <tp>
        <v>9083.9999999999982</v>
        <stp/>
        <stp>##V3_BQLV12</stp>
        <stp>[Fundamental &amp; Technical Model (1).xlsm]Key Stats!R18C11</stp>
        <stp>SYK US Equity</stp>
        <stp>GROSS_PROFIT/10^6</stp>
        <stp>FPT=LTM</stp>
        <stp>FPO</stp>
        <stp>-0</stp>
        <stp>STD</stp>
        <stp>Mixed</stp>
        <stp>CONSOL</stp>
        <stp>Yes</stp>
        <stp>CURRENCY</stp>
        <stp>USD</stp>
        <tr r="K18" s="23"/>
      </tp>
      <tp>
        <v>199.85</v>
        <stp/>
        <stp>##V3_BDPV12</stp>
        <stp>SYK Equity</stp>
        <stp>HIGH_52WEEk</stp>
        <stp>[Fundamental &amp; Technical Model (1).xlsm]Football Field Analysis!R63C7</stp>
        <tr r="G63" s="28"/>
      </tp>
      <tp t="e">
        <v>#N/A</v>
        <stp/>
        <stp>##V3_BDHV12</stp>
        <stp>SYK US Equity</stp>
        <stp>EV_TO_T12M_SALES</stp>
        <stp>-2FY</stp>
        <stp>-2FY</stp>
        <stp>[Fundamental &amp; Technical Model (1).xlsm]Multiples!R15C11</stp>
        <stp>EQY_CONSOLIDATED</stp>
        <stp>Yes</stp>
        <stp>ACCOUNTING_STANDARD_OVERRIDE</stp>
        <stp>Mixed</stp>
        <stp>Per</stp>
        <stp>FY</stp>
        <stp>Days=A</stp>
        <tr r="K15" s="16"/>
        <tr r="K15" s="16"/>
      </tp>
      <tp t="e">
        <v>#N/A</v>
        <stp/>
        <stp>##V3_BDHV12</stp>
        <stp>SYK US Equity</stp>
        <stp>EV_TO_T12M_SALES</stp>
        <stp>-3FY</stp>
        <stp>-3FY</stp>
        <stp>[Fundamental &amp; Technical Model (1).xlsm]Multiples!R15C10</stp>
        <stp>EQY_CONSOLIDATED</stp>
        <stp>Yes</stp>
        <stp>ACCOUNTING_STANDARD_OVERRIDE</stp>
        <stp>Mixed</stp>
        <stp>Per</stp>
        <stp>FY</stp>
        <stp>Days=A</stp>
        <tr r="J15" s="16"/>
        <tr r="J15" s="16"/>
      </tp>
      <tp t="e">
        <v>#N/A</v>
        <stp/>
        <stp>##V3_BDHV12</stp>
        <stp>SYK US Equity</stp>
        <stp>EV_TO_T12M_SALES</stp>
        <stp>-0FY</stp>
        <stp>-0FY</stp>
        <stp>[Fundamental &amp; Technical Model (1).xlsm]Multiples!R15C13</stp>
        <stp>EQY_CONSOLIDATED</stp>
        <stp>Yes</stp>
        <stp>ACCOUNTING_STANDARD_OVERRIDE</stp>
        <stp>Mixed</stp>
        <stp>Per</stp>
        <stp>FY</stp>
        <stp>Days=A</stp>
        <tr r="M15" s="16"/>
        <tr r="M15" s="16"/>
      </tp>
      <tp t="e">
        <v>#N/A</v>
        <stp/>
        <stp>##V3_BDHV12</stp>
        <stp>SYK US Equity</stp>
        <stp>EV_TO_T12M_SALES</stp>
        <stp>-1FY</stp>
        <stp>-1FY</stp>
        <stp>[Fundamental &amp; Technical Model (1).xlsm]Multiples!R15C12</stp>
        <stp>EQY_CONSOLIDATED</stp>
        <stp>Yes</stp>
        <stp>ACCOUNTING_STANDARD_OVERRIDE</stp>
        <stp>Mixed</stp>
        <stp>Per</stp>
        <stp>FY</stp>
        <stp>Days=A</stp>
        <tr r="L15" s="16"/>
        <tr r="L15" s="16"/>
      </tp>
      <tp t="e">
        <v>#N/A</v>
        <stp/>
        <stp>##V3_BDHV12</stp>
        <stp>SYK US Equity</stp>
        <stp>AVERAGE_EV_TO_T12M_SALES</stp>
        <stp>-0FY</stp>
        <stp>-0FY</stp>
        <stp>[Fundamental &amp; Technical Model (1).xlsm]Multiples!R16C13</stp>
        <stp>EQY_CONSOLIDATED</stp>
        <stp>Yes</stp>
        <stp>ACCOUNTING_STANDARD_OVERRIDE</stp>
        <stp>Mixed</stp>
        <stp>Per</stp>
        <stp>FY</stp>
        <stp>Days=A</stp>
        <tr r="M16" s="16"/>
        <tr r="M16" s="16"/>
      </tp>
      <tp t="e">
        <v>#N/A</v>
        <stp/>
        <stp>##V3_BDHV12</stp>
        <stp>SYK US Equity</stp>
        <stp>AVERAGE_EV_TO_T12M_SALES</stp>
        <stp>-1FY</stp>
        <stp>-1FY</stp>
        <stp>[Fundamental &amp; Technical Model (1).xlsm]Multiples!R16C12</stp>
        <stp>EQY_CONSOLIDATED</stp>
        <stp>Yes</stp>
        <stp>ACCOUNTING_STANDARD_OVERRIDE</stp>
        <stp>Mixed</stp>
        <stp>Per</stp>
        <stp>FY</stp>
        <stp>Days=A</stp>
        <tr r="L16" s="16"/>
        <tr r="L16" s="16"/>
      </tp>
      <tp t="e">
        <v>#N/A</v>
        <stp/>
        <stp>##V3_BDHV12</stp>
        <stp>SYK US Equity</stp>
        <stp>AVERAGE_EV_TO_T12M_SALES</stp>
        <stp>-2FY</stp>
        <stp>-2FY</stp>
        <stp>[Fundamental &amp; Technical Model (1).xlsm]Multiples!R16C11</stp>
        <stp>EQY_CONSOLIDATED</stp>
        <stp>Yes</stp>
        <stp>ACCOUNTING_STANDARD_OVERRIDE</stp>
        <stp>Mixed</stp>
        <stp>Per</stp>
        <stp>FY</stp>
        <stp>Days=A</stp>
        <tr r="K16" s="16"/>
        <tr r="K16" s="16"/>
      </tp>
      <tp t="e">
        <v>#N/A</v>
        <stp/>
        <stp>##V3_BDHV12</stp>
        <stp>SYK US Equity</stp>
        <stp>AVERAGE_EV_TO_T12M_SALES</stp>
        <stp>-3FY</stp>
        <stp>-3FY</stp>
        <stp>[Fundamental &amp; Technical Model (1).xlsm]Multiples!R16C10</stp>
        <stp>EQY_CONSOLIDATED</stp>
        <stp>Yes</stp>
        <stp>ACCOUNTING_STANDARD_OVERRIDE</stp>
        <stp>Mixed</stp>
        <stp>Per</stp>
        <stp>FY</stp>
        <stp>Days=A</stp>
        <tr r="J16" s="16"/>
        <tr r="J16" s="16"/>
      </tp>
      <tp t="s">
        <v>#N/A N/A</v>
        <stp/>
        <stp>##V3_BDSV12</stp>
        <stp>SYK US Equity</stp>
        <stp>PG_GROSS_PROFIT</stp>
        <stp>[Fundamental &amp; Technical Model (1).xlsm]Segments!R55C14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55" s="17"/>
      </tp>
      <tp t="s">
        <v>#N/A N/A</v>
        <stp/>
        <stp>##V3_BDSV12</stp>
        <stp>SYK US Equity</stp>
        <stp>PG_GROSS_PROFIT</stp>
        <stp>[Fundamental &amp; Technical Model (1).xlsm]Segments!R69C14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69" s="17"/>
      </tp>
      <tp>
        <v>1043</v>
        <stp/>
        <stp>##V3_BQLV12</stp>
        <stp>[Fundamental &amp; Technical Model (1).xlsm]Income Statement!R46C13</stp>
        <stp>SYK US Equity</stp>
        <stp>IS_INC_TAX_EXP/10^6</stp>
        <stp>FPT</stp>
        <stp>A</stp>
        <stp>FPO</stp>
        <stp>-1A</stp>
        <stp>STD</stp>
        <stp>Mixed</stp>
        <stp>CONSOL</stp>
        <stp>Yes</stp>
        <stp>CURRENCY</stp>
        <stp>USD</stp>
        <tr r="M46" s="2"/>
      </tp>
      <tp>
        <v>1660.2</v>
        <stp/>
        <stp>##V3_BQLV12</stp>
        <stp>[Fundamental &amp; Technical Model (1).xlsm]Balance Sheet!R33C4</stp>
        <stp>SYK US Equity</stp>
        <stp>BS_OTHER_ASSETS_DEF_CHRG_OTHER/10^6</stp>
        <stp>FPT</stp>
        <stp>A</stp>
        <stp>FPO</stp>
        <stp>-10A</stp>
        <stp>STD</stp>
        <stp>Mixed</stp>
        <stp>CONSOL</stp>
        <stp>Yes</stp>
        <stp>CURRENCY</stp>
        <stp>USD</stp>
        <tr r="D33" s="3"/>
      </tp>
      <tp>
        <v>0</v>
        <stp/>
        <stp>##V3_BQLV12</stp>
        <stp>[Fundamental &amp; Technical Model (1).xlsm]Balance Sheet!R72C14</stp>
        <stp>SYK US Equity</stp>
        <stp>INVTRY_RAW_MATERIALS/10^6</stp>
        <stp>FPT</stp>
        <stp>A</stp>
        <stp>FPO</stp>
        <stp>-0A</stp>
        <stp>STD</stp>
        <stp>Mixed</stp>
        <stp>CONSOL</stp>
        <stp>Yes</stp>
        <stp>CURRENCY</stp>
        <stp>USD</stp>
        <tr r="N72" s="3"/>
      </tp>
      <tp>
        <v>0</v>
        <stp/>
        <stp>##V3_BQLV12</stp>
        <stp>[Fundamental &amp; Technical Model (1).xlsm]Balance Sheet!R72C11</stp>
        <stp>SYK US Equity</stp>
        <stp>INVTRY_RAW_MATERIALS/10^6</stp>
        <stp>FPT</stp>
        <stp>A</stp>
        <stp>FPO</stp>
        <stp>-3A</stp>
        <stp>STD</stp>
        <stp>Mixed</stp>
        <stp>CONSOL</stp>
        <stp>Yes</stp>
        <stp>CURRENCY</stp>
        <stp>USD</stp>
        <tr r="K72" s="3"/>
      </tp>
      <tp>
        <v>0</v>
        <stp/>
        <stp>##V3_BQLV12</stp>
        <stp>[Fundamental &amp; Technical Model (1).xlsm]Balance Sheet!R72C10</stp>
        <stp>SYK US Equity</stp>
        <stp>INVTRY_RAW_MATERIALS/10^6</stp>
        <stp>FPT</stp>
        <stp>A</stp>
        <stp>FPO</stp>
        <stp>-4A</stp>
        <stp>STD</stp>
        <stp>Mixed</stp>
        <stp>CONSOL</stp>
        <stp>Yes</stp>
        <stp>CURRENCY</stp>
        <stp>USD</stp>
        <tr r="J72" s="3"/>
      </tp>
      <tp>
        <v>0</v>
        <stp/>
        <stp>##V3_BQLV12</stp>
        <stp>[Fundamental &amp; Technical Model (1).xlsm]Balance Sheet!R72C13</stp>
        <stp>SYK US Equity</stp>
        <stp>INVTRY_RAW_MATERIALS/10^6</stp>
        <stp>FPT</stp>
        <stp>A</stp>
        <stp>FPO</stp>
        <stp>-1A</stp>
        <stp>STD</stp>
        <stp>Mixed</stp>
        <stp>CONSOL</stp>
        <stp>Yes</stp>
        <stp>CURRENCY</stp>
        <stp>USD</stp>
        <tr r="M72" s="3"/>
      </tp>
      <tp>
        <v>0</v>
        <stp/>
        <stp>##V3_BQLV12</stp>
        <stp>[Fundamental &amp; Technical Model (1).xlsm]Balance Sheet!R72C12</stp>
        <stp>SYK US Equity</stp>
        <stp>INVTRY_RAW_MATERIALS/10^6</stp>
        <stp>FPT</stp>
        <stp>A</stp>
        <stp>FPO</stp>
        <stp>-2A</stp>
        <stp>STD</stp>
        <stp>Mixed</stp>
        <stp>CONSOL</stp>
        <stp>Yes</stp>
        <stp>CURRENCY</stp>
        <stp>USD</stp>
        <tr r="L72" s="3"/>
      </tp>
      <tp t="s">
        <v>2017 A</v>
        <stp/>
        <stp>##V3_BQLV12</stp>
        <stp>[Fundamental &amp; Technical Model (1).xlsm]Cash Flow!R12C13</stp>
        <stp>SYK US Equity</stp>
        <stp>IS_EPS().PERIOD</stp>
        <stp>FPT</stp>
        <stp>A</stp>
        <stp>FPO</stp>
        <stp>-1A</stp>
        <stp>STD</stp>
        <stp>Mixed</stp>
        <stp>CONSOL</stp>
        <stp>Yes</stp>
        <tr r="M12" s="4"/>
      </tp>
      <tp t="e">
        <v>#N/A</v>
        <stp/>
        <stp>##V3_BDHV12</stp>
        <stp>SYK US Equity</stp>
        <stp>HIGH_PRICE_TO_TANGIBLE_BPS</stp>
        <stp>-10FY</stp>
        <stp>-10FY</stp>
        <stp>[Fundamental &amp; Technical Model (1).xlsm]Multiples!R47C3</stp>
        <stp>EQY_CONSOLIDATED</stp>
        <stp>Yes</stp>
        <stp>ACCOUNTING_STANDARD_OVERRIDE</stp>
        <stp>Mixed</stp>
        <stp>Per</stp>
        <stp>FY</stp>
        <stp>Days=A</stp>
        <tr r="C47" s="16"/>
        <tr r="C47" s="16"/>
      </tp>
      <tp>
        <v>0</v>
        <stp/>
        <stp>##V3_BQLV12</stp>
        <stp>[Fundamental &amp; Technical Model (1).xlsm]Balance Sheet!R52C5</stp>
        <stp>SYK US Equity</stp>
        <stp>MINORITY_NONCONTROLLING_INTEREST/10^6</stp>
        <stp>FPT</stp>
        <stp>A</stp>
        <stp>FPO</stp>
        <stp>-9A</stp>
        <stp>STD</stp>
        <stp>Mixed</stp>
        <stp>CONSOL</stp>
        <stp>Yes</stp>
        <stp>CURRENCY</stp>
        <stp>USD</stp>
        <tr r="E52" s="3"/>
      </tp>
      <tp>
        <v>0</v>
        <stp/>
        <stp>##V3_BQLV12</stp>
        <stp>[Fundamental &amp; Technical Model (1).xlsm]Balance Sheet!R52C6</stp>
        <stp>SYK US Equity</stp>
        <stp>MINORITY_NONCONTROLLING_INTEREST/10^6</stp>
        <stp>FPT</stp>
        <stp>A</stp>
        <stp>FPO</stp>
        <stp>-8A</stp>
        <stp>STD</stp>
        <stp>Mixed</stp>
        <stp>CONSOL</stp>
        <stp>Yes</stp>
        <stp>CURRENCY</stp>
        <stp>USD</stp>
        <tr r="F52" s="3"/>
      </tp>
      <tp>
        <v>0</v>
        <stp/>
        <stp>##V3_BQLV12</stp>
        <stp>[Fundamental &amp; Technical Model (1).xlsm]Balance Sheet!R52C7</stp>
        <stp>SYK US Equity</stp>
        <stp>MINORITY_NONCONTROLLING_INTEREST/10^6</stp>
        <stp>FPT</stp>
        <stp>A</stp>
        <stp>FPO</stp>
        <stp>-7A</stp>
        <stp>STD</stp>
        <stp>Mixed</stp>
        <stp>CONSOL</stp>
        <stp>Yes</stp>
        <stp>CURRENCY</stp>
        <stp>USD</stp>
        <tr r="G52" s="3"/>
      </tp>
      <tp>
        <v>0</v>
        <stp/>
        <stp>##V3_BQLV12</stp>
        <stp>[Fundamental &amp; Technical Model (1).xlsm]Balance Sheet!R52C8</stp>
        <stp>SYK US Equity</stp>
        <stp>MINORITY_NONCONTROLLING_INTEREST/10^6</stp>
        <stp>FPT</stp>
        <stp>A</stp>
        <stp>FPO</stp>
        <stp>-6A</stp>
        <stp>STD</stp>
        <stp>Mixed</stp>
        <stp>CONSOL</stp>
        <stp>Yes</stp>
        <stp>CURRENCY</stp>
        <stp>USD</stp>
        <tr r="H52" s="3"/>
      </tp>
      <tp>
        <v>0</v>
        <stp/>
        <stp>##V3_BQLV12</stp>
        <stp>[Fundamental &amp; Technical Model (1).xlsm]Balance Sheet!R52C9</stp>
        <stp>SYK US Equity</stp>
        <stp>MINORITY_NONCONTROLLING_INTEREST/10^6</stp>
        <stp>FPT</stp>
        <stp>A</stp>
        <stp>FPO</stp>
        <stp>-5A</stp>
        <stp>STD</stp>
        <stp>Mixed</stp>
        <stp>CONSOL</stp>
        <stp>Yes</stp>
        <stp>CURRENCY</stp>
        <stp>USD</stp>
        <tr r="I52" s="3"/>
      </tp>
      <tp t="e">
        <v>#N/A</v>
        <stp/>
        <stp>##V3_BDHV12</stp>
        <stp>SYK US Equity</stp>
        <stp>AVERAGE_EV_TO_T12M_EBIT</stp>
        <stp>-4FY</stp>
        <stp>-4FY</stp>
        <stp>[Fundamental &amp; Technical Model (1).xlsm]Multiples!R28C9</stp>
        <stp>EQY_CONSOLIDATED</stp>
        <stp>Yes</stp>
        <stp>ACCOUNTING_STANDARD_OVERRIDE</stp>
        <stp>Mixed</stp>
        <stp>Per</stp>
        <stp>FY</stp>
        <stp>Days=A</stp>
        <tr r="I28" s="16"/>
        <tr r="I28" s="16"/>
      </tp>
      <tp t="s">
        <v>#N/A N/A</v>
        <stp/>
        <stp>##V3_BDSV12</stp>
        <stp>SYK US Equity</stp>
        <stp>PG_OPERATING_INCOME</stp>
        <stp>[Fundamental &amp; Technical Model (1).xlsm]Segments!R92C3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92" s="17"/>
      </tp>
      <tp t="s">
        <v>#N/A N/A</v>
        <stp/>
        <stp>##V3_BDSV12</stp>
        <stp>SYK US Equity</stp>
        <stp>PG_OPERATING_INCOME</stp>
        <stp>[Fundamental &amp; Technical Model (1).xlsm]Segments!R93C3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93" s="17"/>
      </tp>
      <tp t="s">
        <v>#N/A N/A</v>
        <stp/>
        <stp>##V3_BDSV12</stp>
        <stp>SYK US Equity</stp>
        <stp>PG_OPERATING_INCOME</stp>
        <stp>[Fundamental &amp; Technical Model (1).xlsm]Segments!R96C8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96" s="17"/>
      </tp>
      <tp t="s">
        <v>#N/A N/A</v>
        <stp/>
        <stp>##V3_BDSV12</stp>
        <stp>SYK US Equity</stp>
        <stp>PG_OPERATING_INCOME</stp>
        <stp>[Fundamental &amp; Technical Model (1).xlsm]Segments!R97C8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97" s="17"/>
      </tp>
      <tp>
        <v>16.854908774978281</v>
        <stp/>
        <stp>##V3_BQLV12</stp>
        <stp>[Fundamental &amp; Technical Model (1).xlsm]Ratios!R49C8</stp>
        <stp>SYK US Equity</stp>
        <stp>LT_DEBT_TO_TOT_CAP</stp>
        <stp>FPT</stp>
        <stp>A</stp>
        <stp>FPO</stp>
        <stp>-6A</stp>
        <stp>STD</stp>
        <stp>Mixed</stp>
        <stp>CONSOL</stp>
        <stp>Yes</stp>
        <tr r="H49" s="8"/>
      </tp>
      <tp t="s">
        <v>#N/A N/A</v>
        <stp/>
        <stp>##V3_BDSV12</stp>
        <stp>SYK US Equity</stp>
        <stp>PG_OPERATING_INCOME</stp>
        <stp>[Fundamental &amp; Technical Model (1).xlsm]Segments!R97C9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97" s="17"/>
      </tp>
      <tp t="s">
        <v>#N/A N/A</v>
        <stp/>
        <stp>##V3_BDSV12</stp>
        <stp>SYK US Equity</stp>
        <stp>PG_OPERATING_INCOME</stp>
        <stp>[Fundamental &amp; Technical Model (1).xlsm]Segments!R96C9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96" s="17"/>
      </tp>
      <tp>
        <v>46</v>
        <stp/>
        <stp>##V3_BQLV12</stp>
        <stp>[Fundamental &amp; Technical Model (1).xlsm]Balance Sheet!R73C7</stp>
        <stp>SYK US Equity</stp>
        <stp>INVTRY_IN_PROGRESS/10^6</stp>
        <stp>FPT</stp>
        <stp>A</stp>
        <stp>FPO</stp>
        <stp>-7A</stp>
        <stp>STD</stp>
        <stp>Mixed</stp>
        <stp>CONSOL</stp>
        <stp>Yes</stp>
        <stp>CURRENCY</stp>
        <stp>USD</stp>
        <tr r="G73" s="3"/>
      </tp>
      <tp t="s">
        <v>#N/A N/A</v>
        <stp/>
        <stp>##V3_BDSV12</stp>
        <stp>SYK US Equity</stp>
        <stp>PG_OPERATING_INCOME</stp>
        <stp>[Fundamental &amp; Technical Model (1).xlsm]Segments!R94C3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94" s="17"/>
      </tp>
      <tp t="s">
        <v>#N/A N/A</v>
        <stp/>
        <stp>##V3_BDSV12</stp>
        <stp>SYK US Equity</stp>
        <stp>PG_OPERATING_INCOME</stp>
        <stp>[Fundamental &amp; Technical Model (1).xlsm]Segments!R95C3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95" s="17"/>
      </tp>
      <tp t="s">
        <v>#N/A N/A</v>
        <stp/>
        <stp>##V3_BDSV12</stp>
        <stp>SYK US Equity</stp>
        <stp>PG_OPERATING_INCOME</stp>
        <stp>[Fundamental &amp; Technical Model (1).xlsm]Segments!R90C3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90" s="17"/>
      </tp>
      <tp t="s">
        <v>#N/A N/A</v>
        <stp/>
        <stp>##V3_BDSV12</stp>
        <stp>SYK US Equity</stp>
        <stp>PG_OPERATING_INCOME</stp>
        <stp>[Fundamental &amp; Technical Model (1).xlsm]Segments!R91C3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91" s="17"/>
      </tp>
      <tp t="s">
        <v>#N/A N/A</v>
        <stp/>
        <stp>##V3_BDSV12</stp>
        <stp>SYK US Equity</stp>
        <stp>PG_OPERATING_INCOME</stp>
        <stp>[Fundamental &amp; Technical Model (1).xlsm]Segments!R95C10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95" s="17"/>
      </tp>
      <tp t="s">
        <v>#N/A N/A</v>
        <stp/>
        <stp>##V3_BDSV12</stp>
        <stp>SYK US Equity</stp>
        <stp>PG_OPERATING_INCOME</stp>
        <stp>[Fundamental &amp; Technical Model (1).xlsm]Segments!R95C11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95" s="17"/>
      </tp>
      <tp t="s">
        <v>#N/A N/A</v>
        <stp/>
        <stp>##V3_BDSV12</stp>
        <stp>SYK US Equity</stp>
        <stp>PG_OPERATING_INCOME</stp>
        <stp>[Fundamental &amp; Technical Model (1).xlsm]Segments!R92C8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92" s="17"/>
      </tp>
      <tp t="s">
        <v>#N/A N/A</v>
        <stp/>
        <stp>##V3_BDSV12</stp>
        <stp>SYK US Equity</stp>
        <stp>PG_OPERATING_INCOME</stp>
        <stp>[Fundamental &amp; Technical Model (1).xlsm]Segments!R93C8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93" s="17"/>
      </tp>
      <tp t="s">
        <v>#N/A N/A</v>
        <stp/>
        <stp>##V3_BDSV12</stp>
        <stp>SYK US Equity</stp>
        <stp>PG_OPERATING_INCOME</stp>
        <stp>[Fundamental &amp; Technical Model (1).xlsm]Segments!R96C3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96" s="17"/>
      </tp>
      <tp t="s">
        <v>#N/A N/A</v>
        <stp/>
        <stp>##V3_BDSV12</stp>
        <stp>SYK US Equity</stp>
        <stp>PG_OPERATING_INCOME</stp>
        <stp>[Fundamental &amp; Technical Model (1).xlsm]Segments!R97C3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97" s="17"/>
      </tp>
      <tp t="s">
        <v>#N/A N/A</v>
        <stp/>
        <stp>##V3_BDSV12</stp>
        <stp>SYK US Equity</stp>
        <stp>PG_OPERATING_INCOME</stp>
        <stp>[Fundamental &amp; Technical Model (1).xlsm]Segments!R95C12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95" s="17"/>
      </tp>
      <tp t="s">
        <v>#N/A N/A</v>
        <stp/>
        <stp>##V3_BDSV12</stp>
        <stp>SYK US Equity</stp>
        <stp>PG_OPERATING_INCOME</stp>
        <stp>[Fundamental &amp; Technical Model (1).xlsm]Segments!R93C9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93" s="17"/>
      </tp>
      <tp t="s">
        <v>#N/A N/A</v>
        <stp/>
        <stp>##V3_BDSV12</stp>
        <stp>SYK US Equity</stp>
        <stp>PG_OPERATING_INCOME</stp>
        <stp>[Fundamental &amp; Technical Model (1).xlsm]Segments!R92C9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92" s="17"/>
      </tp>
      <tp t="s">
        <v>#N/A N/A</v>
        <stp/>
        <stp>##V3_BDSV12</stp>
        <stp>SYK US Equity</stp>
        <stp>PG_OPERATING_INCOME</stp>
        <stp>[Fundamental &amp; Technical Model (1).xlsm]Segments!R95C13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95" s="17"/>
      </tp>
      <tp t="s">
        <v>#N/A N/A</v>
        <stp/>
        <stp>##V3_BDSV12</stp>
        <stp>SYK US Equity</stp>
        <stp>PG_OPERATING_INCOME</stp>
        <stp>[Fundamental &amp; Technical Model (1).xlsm]Segments!R95C14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95" s="17"/>
      </tp>
      <tp t="s">
        <v>#N/A N/A</v>
        <stp/>
        <stp>##V3_BDSV12</stp>
        <stp>SYK US Equity</stp>
        <stp>PG_OPERATING_INCOME</stp>
        <stp>[Fundamental &amp; Technical Model (1).xlsm]Segments!R94C8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94" s="17"/>
      </tp>
      <tp t="s">
        <v>#N/A N/A</v>
        <stp/>
        <stp>##V3_BDSV12</stp>
        <stp>SYK US Equity</stp>
        <stp>PG_OPERATING_INCOME</stp>
        <stp>[Fundamental &amp; Technical Model (1).xlsm]Segments!R95C8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95" s="17"/>
      </tp>
      <tp t="s">
        <v>#N/A N/A</v>
        <stp/>
        <stp>##V3_BDSV12</stp>
        <stp>SYK US Equity</stp>
        <stp>PG_OPERATING_INCOME</stp>
        <stp>[Fundamental &amp; Technical Model (1).xlsm]Segments!R90C8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90" s="17"/>
      </tp>
      <tp t="s">
        <v>#N/A N/A</v>
        <stp/>
        <stp>##V3_BDSV12</stp>
        <stp>SYK US Equity</stp>
        <stp>PG_OPERATING_INCOME</stp>
        <stp>[Fundamental &amp; Technical Model (1).xlsm]Segments!R91C8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91" s="17"/>
      </tp>
      <tp t="s">
        <v>#N/A N/A</v>
        <stp/>
        <stp>##V3_BDSV12</stp>
        <stp>SYK US Equity</stp>
        <stp>PG_OPERATING_INCOME</stp>
        <stp>[Fundamental &amp; Technical Model (1).xlsm]Segments!R95C9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95" s="17"/>
      </tp>
      <tp t="s">
        <v>#N/A N/A</v>
        <stp/>
        <stp>##V3_BDSV12</stp>
        <stp>SYK US Equity</stp>
        <stp>PG_OPERATING_INCOME</stp>
        <stp>[Fundamental &amp; Technical Model (1).xlsm]Segments!R94C9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94" s="17"/>
      </tp>
      <tp t="s">
        <v>#N/A N/A</v>
        <stp/>
        <stp>##V3_BDSV12</stp>
        <stp>SYK US Equity</stp>
        <stp>PG_OPERATING_INCOME</stp>
        <stp>[Fundamental &amp; Technical Model (1).xlsm]Segments!R91C9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91" s="17"/>
      </tp>
      <tp t="s">
        <v>#N/A N/A</v>
        <stp/>
        <stp>##V3_BDSV12</stp>
        <stp>SYK US Equity</stp>
        <stp>PG_OPERATING_INCOME</stp>
        <stp>[Fundamental &amp; Technical Model (1).xlsm]Segments!R90C9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90" s="17"/>
      </tp>
      <tp>
        <v>19.782835043879221</v>
        <stp/>
        <stp>##V3_BQLV12</stp>
        <stp>[Fundamental &amp; Technical Model (1).xlsm]Ratios!R28C5</stp>
        <stp>SYK US Equity</stp>
        <stp>FREE_CASH_FLOW_MARGIN</stp>
        <stp>FPT</stp>
        <stp>A</stp>
        <stp>FPO</stp>
        <stp>-9A</stp>
        <stp>STD</stp>
        <stp>Mixed</stp>
        <stp>CONSOL</stp>
        <stp>Yes</stp>
        <tr r="E28" s="8"/>
      </tp>
      <tp t="e">
        <v>#N/A</v>
        <stp/>
        <stp>##V3_BDHV12</stp>
        <stp>SYK US Equity</stp>
        <stp>EV_TO_T12M_EBIT</stp>
        <stp>-4FY</stp>
        <stp>-4FY</stp>
        <stp>[Fundamental &amp; Technical Model (1).xlsm]Multiples!R27C9</stp>
        <stp>EQY_CONSOLIDATED</stp>
        <stp>Yes</stp>
        <stp>ACCOUNTING_STANDARD_OVERRIDE</stp>
        <stp>Mixed</stp>
        <stp>Per</stp>
        <stp>FY</stp>
        <stp>Days=A</stp>
        <tr r="I27" s="16"/>
        <tr r="I27" s="16"/>
      </tp>
      <tp>
        <v>22.790576597683195</v>
        <stp/>
        <stp>##V3_BQLV12</stp>
        <stp>[Fundamental &amp; Technical Model (1).xlsm]Ratios!R48C7</stp>
        <stp>SYK US Equity</stp>
        <stp>LT_DEBT_TO_COM_EQY</stp>
        <stp>FPT</stp>
        <stp>A</stp>
        <stp>FPO</stp>
        <stp>-7A</stp>
        <stp>STD</stp>
        <stp>Mixed</stp>
        <stp>CONSOL</stp>
        <stp>Yes</stp>
        <tr r="G48" s="8"/>
      </tp>
      <tp>
        <v>43550</v>
        <stp/>
        <stp>##V3_BDHV12</stp>
        <stp>SYK US Equity</stp>
        <stp>PX_OFFICIAL_CLOSE</stp>
        <stp>3/26/2019</stp>
        <stp>4/25/2019</stp>
        <stp>[Fundamental &amp; Technical Model (1).xlsm]Technical Analysis Data!R84C7</stp>
        <stp>Dir=H</stp>
        <stp>Dts=S</stp>
        <stp>cols=21;rows=2</stp>
        <tr r="G84" s="31"/>
      </tp>
      <tp t="s">
        <v>USD</v>
        <stp/>
        <stp>##V3_BDPV12</stp>
        <stp>SYK US Equity</stp>
        <stp>EQY FUND CRNCY</stp>
        <stp>[Fundamental &amp; Technical Model (1).xlsm]Balance Sheet!R7C12</stp>
        <tr r="L7" s="3"/>
      </tp>
      <tp>
        <v>645</v>
        <stp/>
        <stp>##V3_BQLV12</stp>
        <stp>[Fundamental &amp; Technical Model (1).xlsm]Income Statement!R46C10</stp>
        <stp>SYK US Equity</stp>
        <stp>IS_INC_TAX_EXP/10^6</stp>
        <stp>FPT</stp>
        <stp>A</stp>
        <stp>FPO</stp>
        <stp>-4A</stp>
        <stp>STD</stp>
        <stp>Mixed</stp>
        <stp>CONSOL</stp>
        <stp>Yes</stp>
        <stp>CURRENCY</stp>
        <stp>USD</stp>
        <tr r="J46" s="2"/>
      </tp>
      <tp>
        <v>6.8714329548941393</v>
        <stp/>
        <stp>##V3_BQLV12</stp>
        <stp>[Fundamental &amp; Technical Model (1).xlsm]Ratios!R33C4</stp>
        <stp>SYK US Equity</stp>
        <stp>SALES_TO_NET_FIX_ASSET</stp>
        <stp>FPT</stp>
        <stp>A</stp>
        <stp>FPO</stp>
        <stp>-10A</stp>
        <stp>STD</stp>
        <stp>Mixed</stp>
        <stp>CONSOL</stp>
        <stp>Yes</stp>
        <tr r="D33" s="8"/>
      </tp>
      <tp t="s">
        <v>2016 A</v>
        <stp/>
        <stp>##V3_BQLV12</stp>
        <stp>[Fundamental &amp; Technical Model (1).xlsm]Cash Flow!R12C12</stp>
        <stp>SYK US Equity</stp>
        <stp>IS_EPS().PERIOD</stp>
        <stp>FPT</stp>
        <stp>A</stp>
        <stp>FPO</stp>
        <stp>-2A</stp>
        <stp>STD</stp>
        <stp>Mixed</stp>
        <stp>CONSOL</stp>
        <stp>Yes</stp>
        <tr r="L12" s="4"/>
      </tp>
      <tp>
        <v>36.01</v>
        <stp/>
        <stp>##V3_BDPV12</stp>
        <stp>SYK US Equity</stp>
        <stp>ARDR_AVG_EXER_PX_OPT_EXERCISABLE</stp>
        <stp>[Fundamental &amp; Technical Model (1).xlsm]Supplemental!R22C3</stp>
        <stp>EQY_FUND_RELATIVE_PERIOD</stp>
        <stp>-10FY</stp>
        <stp>EQY_FUND_CRNCY</stp>
        <stp>USD</stp>
        <stp>EQY_CONSOLIDATED</stp>
        <stp>Yes</stp>
        <stp>ACCOUNTING_STANDARD_OVERRIDE</stp>
        <stp>Mixed</stp>
        <stp>Fill=--</stp>
        <tr r="C22" s="19"/>
      </tp>
      <tp>
        <v>23.190246380492759</v>
        <stp/>
        <stp>##V3_BQLV12</stp>
        <stp>[Fundamental &amp; Technical Model (1).xlsm]Ratios!R49C9</stp>
        <stp>SYK US Equity</stp>
        <stp>LT_DEBT_TO_TOT_CAP</stp>
        <stp>FPT</stp>
        <stp>A</stp>
        <stp>FPO</stp>
        <stp>-5A</stp>
        <stp>STD</stp>
        <stp>Mixed</stp>
        <stp>CONSOL</stp>
        <stp>Yes</stp>
        <tr r="I49" s="8"/>
      </tp>
      <tp t="s">
        <v>#N/A N/A</v>
        <stp/>
        <stp>##V3_BDSV12</stp>
        <stp>SYK US Equity</stp>
        <stp>PG_OPERATING_INCOME</stp>
        <stp>[Fundamental &amp; Technical Model (1).xlsm]Segments!R96C14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96" s="17"/>
      </tp>
      <tp t="s">
        <v>#N/A N/A</v>
        <stp/>
        <stp>##V3_BDSV12</stp>
        <stp>SYK US Equity</stp>
        <stp>PG_OPERATING_INCOME</stp>
        <stp>[Fundamental &amp; Technical Model (1).xlsm]Segments!R96C13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96" s="17"/>
      </tp>
      <tp t="s">
        <v>#N/A N/A</v>
        <stp/>
        <stp>##V3_BDSV12</stp>
        <stp>SYK US Equity</stp>
        <stp>PG_OPERATING_INCOME</stp>
        <stp>[Fundamental &amp; Technical Model (1).xlsm]Segments!R96C12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96" s="17"/>
      </tp>
      <tp t="s">
        <v>#N/A N/A</v>
        <stp/>
        <stp>##V3_BDSV12</stp>
        <stp>SYK US Equity</stp>
        <stp>PG_OPERATING_INCOME</stp>
        <stp>[Fundamental &amp; Technical Model (1).xlsm]Segments!R96C11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96" s="17"/>
      </tp>
      <tp t="s">
        <v>#N/A N/A</v>
        <stp/>
        <stp>##V3_BDSV12</stp>
        <stp>SYK US Equity</stp>
        <stp>PG_OPERATING_INCOME</stp>
        <stp>[Fundamental &amp; Technical Model (1).xlsm]Segments!R96C10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96" s="17"/>
      </tp>
      <tp>
        <v>18.306693989071039</v>
        <stp/>
        <stp>##V3_BQLV12</stp>
        <stp>[Fundamental &amp; Technical Model (1).xlsm]Ratios!R27C6</stp>
        <stp>SYK US Equity</stp>
        <stp>NORMALIZED_PROFIT_MARGIN</stp>
        <stp>FPT</stp>
        <stp>A</stp>
        <stp>FPO</stp>
        <stp>-8A</stp>
        <stp>STD</stp>
        <stp>Mixed</stp>
        <stp>CONSOL</stp>
        <stp>Yes</stp>
        <tr r="F27" s="8"/>
      </tp>
      <tp>
        <v>18.080166339378536</v>
        <stp/>
        <stp>##V3_BQLV12</stp>
        <stp>[Fundamental &amp; Technical Model (1).xlsm]Ratios!R27C8</stp>
        <stp>SYK US Equity</stp>
        <stp>NORMALIZED_PROFIT_MARGIN</stp>
        <stp>FPT</stp>
        <stp>A</stp>
        <stp>FPO</stp>
        <stp>-6A</stp>
        <stp>STD</stp>
        <stp>Mixed</stp>
        <stp>CONSOL</stp>
        <stp>Yes</stp>
        <tr r="H27" s="8"/>
      </tp>
      <tp>
        <v>23.920765027322403</v>
        <stp/>
        <stp>##V3_BQLV12</stp>
        <stp>[Fundamental &amp; Technical Model (1).xlsm]Ratios!R25C6</stp>
        <stp>SYK US Equity</stp>
        <stp>OPER_INC_TO_NET_SALES</stp>
        <stp>FPT</stp>
        <stp>A</stp>
        <stp>FPO</stp>
        <stp>-8A</stp>
        <stp>STD</stp>
        <stp>Mixed</stp>
        <stp>CONSOL</stp>
        <stp>Yes</stp>
        <tr r="F25" s="8"/>
      </tp>
      <tp>
        <v>4226.6923076923067</v>
        <stp/>
        <stp>##V3_BQLV12</stp>
        <stp>[Fundamental &amp; Technical Model (1).xlsm]Key Stats!R21C12</stp>
        <stp>SYK US Equity</stp>
        <stp>EBITDA/10^6</stp>
        <stp>FPT</stp>
        <stp>A</stp>
        <stp>FPO</stp>
        <stp>1A</stp>
        <stp>STD</stp>
        <stp>Mixed</stp>
        <stp>CONSOL</stp>
        <stp>Yes</stp>
        <stp>CURRENCY</stp>
        <stp>USD</stp>
        <tr r="L21" s="23"/>
      </tp>
      <tp>
        <v>4606.2</v>
        <stp/>
        <stp>##V3_BQLV12</stp>
        <stp>[Fundamental &amp; Technical Model (1).xlsm]Key Stats!R21C13</stp>
        <stp>SYK US Equity</stp>
        <stp>EBITDA/10^6</stp>
        <stp>FPT</stp>
        <stp>A</stp>
        <stp>FPO</stp>
        <stp>2A</stp>
        <stp>STD</stp>
        <stp>Mixed</stp>
        <stp>CONSOL</stp>
        <stp>Yes</stp>
        <stp>CURRENCY</stp>
        <stp>USD</stp>
        <tr r="M21" s="23"/>
      </tp>
      <tp>
        <v>4956.363636363636</v>
        <stp/>
        <stp>##V3_BQLV12</stp>
        <stp>[Fundamental &amp; Technical Model (1).xlsm]Key Stats!R21C14</stp>
        <stp>SYK US Equity</stp>
        <stp>EBITDA/10^6</stp>
        <stp>FPT</stp>
        <stp>A</stp>
        <stp>FPO</stp>
        <stp>3A</stp>
        <stp>STD</stp>
        <stp>Mixed</stp>
        <stp>CONSOL</stp>
        <stp>Yes</stp>
        <stp>CURRENCY</stp>
        <stp>USD</stp>
        <tr r="N21" s="23"/>
      </tp>
      <tp>
        <v>296</v>
        <stp/>
        <stp>##V3_BQLV12</stp>
        <stp>[Fundamental &amp; Technical Model (1).xlsm]Income Statement!R46C11</stp>
        <stp>SYK US Equity</stp>
        <stp>IS_INC_TAX_EXP/10^6</stp>
        <stp>FPT</stp>
        <stp>A</stp>
        <stp>FPO</stp>
        <stp>-3A</stp>
        <stp>STD</stp>
        <stp>Mixed</stp>
        <stp>CONSOL</stp>
        <stp>Yes</stp>
        <stp>CURRENCY</stp>
        <stp>USD</stp>
        <tr r="K46" s="2"/>
      </tp>
      <tp>
        <v>1169.5</v>
        <stp/>
        <stp>##V3_BQLV12</stp>
        <stp>[Fundamental &amp; Technical Model (1).xlsm]Income Statement!R82C4</stp>
        <stp>SYK US Equity</stp>
        <stp>NORMALIZED_INCOME/10^6</stp>
        <stp>FPT</stp>
        <stp>A</stp>
        <stp>FPO</stp>
        <stp>-10A</stp>
        <stp>STD</stp>
        <stp>Mixed</stp>
        <stp>CONSOL</stp>
        <stp>Yes</stp>
        <stp>CURRENCY</stp>
        <stp>USD</stp>
        <tr r="D82" s="2"/>
      </tp>
      <tp t="s">
        <v>2015 A</v>
        <stp/>
        <stp>##V3_BQLV12</stp>
        <stp>[Fundamental &amp; Technical Model (1).xlsm]Cash Flow!R12C11</stp>
        <stp>SYK US Equity</stp>
        <stp>IS_EPS().PERIOD</stp>
        <stp>FPT</stp>
        <stp>A</stp>
        <stp>FPO</stp>
        <stp>-3A</stp>
        <stp>STD</stp>
        <stp>Mixed</stp>
        <stp>CONSOL</stp>
        <stp>Yes</stp>
        <tr r="K12" s="4"/>
      </tp>
      <tp>
        <v>0</v>
        <stp/>
        <stp>##V3_BQLV12</stp>
        <stp>[Fundamental &amp; Technical Model (1).xlsm]Balance Sheet!R70C5</stp>
        <stp>SYK US Equity</stp>
        <stp>MINORITY_NONCONTROLLING_INTEREST/10^6</stp>
        <stp>FPT</stp>
        <stp>A</stp>
        <stp>FPO</stp>
        <stp>-9A</stp>
        <stp>STD</stp>
        <stp>Mixed</stp>
        <stp>CONSOL</stp>
        <stp>Yes</stp>
        <stp>CURRENCY</stp>
        <stp>USD</stp>
        <tr r="E70" s="3"/>
      </tp>
      <tp>
        <v>0</v>
        <stp/>
        <stp>##V3_BQLV12</stp>
        <stp>[Fundamental &amp; Technical Model (1).xlsm]Balance Sheet!R70C6</stp>
        <stp>SYK US Equity</stp>
        <stp>MINORITY_NONCONTROLLING_INTEREST/10^6</stp>
        <stp>FPT</stp>
        <stp>A</stp>
        <stp>FPO</stp>
        <stp>-8A</stp>
        <stp>STD</stp>
        <stp>Mixed</stp>
        <stp>CONSOL</stp>
        <stp>Yes</stp>
        <stp>CURRENCY</stp>
        <stp>USD</stp>
        <tr r="F70" s="3"/>
      </tp>
      <tp>
        <v>0</v>
        <stp/>
        <stp>##V3_BQLV12</stp>
        <stp>[Fundamental &amp; Technical Model (1).xlsm]Balance Sheet!R70C7</stp>
        <stp>SYK US Equity</stp>
        <stp>MINORITY_NONCONTROLLING_INTEREST/10^6</stp>
        <stp>FPT</stp>
        <stp>A</stp>
        <stp>FPO</stp>
        <stp>-7A</stp>
        <stp>STD</stp>
        <stp>Mixed</stp>
        <stp>CONSOL</stp>
        <stp>Yes</stp>
        <stp>CURRENCY</stp>
        <stp>USD</stp>
        <tr r="G70" s="3"/>
      </tp>
      <tp>
        <v>0</v>
        <stp/>
        <stp>##V3_BQLV12</stp>
        <stp>[Fundamental &amp; Technical Model (1).xlsm]Balance Sheet!R70C8</stp>
        <stp>SYK US Equity</stp>
        <stp>MINORITY_NONCONTROLLING_INTEREST/10^6</stp>
        <stp>FPT</stp>
        <stp>A</stp>
        <stp>FPO</stp>
        <stp>-6A</stp>
        <stp>STD</stp>
        <stp>Mixed</stp>
        <stp>CONSOL</stp>
        <stp>Yes</stp>
        <stp>CURRENCY</stp>
        <stp>USD</stp>
        <tr r="H70" s="3"/>
      </tp>
      <tp>
        <v>0</v>
        <stp/>
        <stp>##V3_BQLV12</stp>
        <stp>[Fundamental &amp; Technical Model (1).xlsm]Balance Sheet!R70C9</stp>
        <stp>SYK US Equity</stp>
        <stp>MINORITY_NONCONTROLLING_INTEREST/10^6</stp>
        <stp>FPT</stp>
        <stp>A</stp>
        <stp>FPO</stp>
        <stp>-5A</stp>
        <stp>STD</stp>
        <stp>Mixed</stp>
        <stp>CONSOL</stp>
        <stp>Yes</stp>
        <stp>CURRENCY</stp>
        <stp>USD</stp>
        <tr r="I70" s="3"/>
      </tp>
      <tp t="s">
        <v>#N/A N/A</v>
        <stp/>
        <stp>##V3_BDSV12</stp>
        <stp>SYK US Equity</stp>
        <stp>PG_OPERATING_INCOME</stp>
        <stp>[Fundamental &amp; Technical Model (1).xlsm]Segments!R97C14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97" s="17"/>
      </tp>
      <tp>
        <v>84</v>
        <stp/>
        <stp>##V3_BQLV12</stp>
        <stp>[Fundamental &amp; Technical Model (1).xlsm]Balance Sheet!R73C5</stp>
        <stp>SYK US Equity</stp>
        <stp>INVTRY_IN_PROGRESS/10^6</stp>
        <stp>FPT</stp>
        <stp>A</stp>
        <stp>FPO</stp>
        <stp>-9A</stp>
        <stp>STD</stp>
        <stp>Mixed</stp>
        <stp>CONSOL</stp>
        <stp>Yes</stp>
        <stp>CURRENCY</stp>
        <stp>USD</stp>
        <tr r="E73" s="3"/>
      </tp>
      <tp t="s">
        <v>#N/A N/A</v>
        <stp/>
        <stp>##V3_BDSV12</stp>
        <stp>SYK US Equity</stp>
        <stp>PG_OPERATING_INCOME</stp>
        <stp>[Fundamental &amp; Technical Model (1).xlsm]Segments!R97C12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97" s="17"/>
      </tp>
      <tp t="s">
        <v>#N/A N/A</v>
        <stp/>
        <stp>##V3_BDSV12</stp>
        <stp>SYK US Equity</stp>
        <stp>PG_OPERATING_INCOME</stp>
        <stp>[Fundamental &amp; Technical Model (1).xlsm]Segments!R97C13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97" s="17"/>
      </tp>
      <tp t="s">
        <v>#N/A N/A</v>
        <stp/>
        <stp>##V3_BDSV12</stp>
        <stp>SYK US Equity</stp>
        <stp>PG_OPERATING_INCOME</stp>
        <stp>[Fundamental &amp; Technical Model (1).xlsm]Segments!R97C10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97" s="17"/>
      </tp>
      <tp t="s">
        <v>#N/A N/A</v>
        <stp/>
        <stp>##V3_BDSV12</stp>
        <stp>SYK US Equity</stp>
        <stp>PG_OPERATING_INCOME</stp>
        <stp>[Fundamental &amp; Technical Model (1).xlsm]Segments!R97C11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97" s="17"/>
      </tp>
      <tp>
        <v>30.275229357798164</v>
        <stp/>
        <stp>##V3_BQLV12</stp>
        <stp>[Fundamental &amp; Technical Model (1).xlsm]Ratios!R48C9</stp>
        <stp>SYK US Equity</stp>
        <stp>LT_DEBT_TO_COM_EQY</stp>
        <stp>FPT</stp>
        <stp>A</stp>
        <stp>FPO</stp>
        <stp>-5A</stp>
        <stp>STD</stp>
        <stp>Mixed</stp>
        <stp>CONSOL</stp>
        <stp>Yes</stp>
        <tr r="I48" s="8"/>
      </tp>
      <tp t="s">
        <v>2008 Y</v>
        <stp/>
        <stp>##V3_BDPV12</stp>
        <stp>SYK US Equity</stp>
        <stp>FISCAL_YEAR_PERIOD</stp>
        <stp>[Fundamental &amp; Technical Model (1).xlsm]Multiples!R12C3</stp>
        <stp>EQY_FUND_RELATIVE_PERIOD</stp>
        <stp>-10FY</stp>
        <tr r="C12" s="16"/>
      </tp>
      <tp>
        <v>23.709653428528931</v>
        <stp/>
        <stp>##V3_BQLV12</stp>
        <stp>[Fundamental &amp; Technical Model (1).xlsm]Ratios!R25C5</stp>
        <stp>SYK US Equity</stp>
        <stp>OPER_INC_TO_NET_SALES</stp>
        <stp>FPT</stp>
        <stp>A</stp>
        <stp>FPO</stp>
        <stp>-9A</stp>
        <stp>STD</stp>
        <stp>Mixed</stp>
        <stp>CONSOL</stp>
        <stp>Yes</stp>
        <tr r="E25" s="8"/>
      </tp>
      <tp t="e">
        <v>#N/A</v>
        <stp/>
        <stp>##V3_BDHV12</stp>
        <stp>SYK US Equity</stp>
        <stp>AVERAGE_PRICE_TO_FREE_CASH_FLOW</stp>
        <stp>-10FY</stp>
        <stp>-10FY</stp>
        <stp>[Fundamental &amp; Technical Model (1).xlsm]Multiples!R58C3</stp>
        <stp>EQY_CONSOLIDATED</stp>
        <stp>Yes</stp>
        <stp>ACCOUNTING_STANDARD_OVERRIDE</stp>
        <stp>Mixed</stp>
        <stp>Per</stp>
        <stp>FY</stp>
        <stp>Days=A</stp>
        <tr r="C58" s="16"/>
        <tr r="C58" s="16"/>
      </tp>
      <tp>
        <v>-132</v>
        <stp/>
        <stp>##V3_BQLV12</stp>
        <stp>[Fundamental &amp; Technical Model (1).xlsm]Cash Flow!R43C14</stp>
        <stp>SYK US Equity</stp>
        <stp>CF_OTHER_FNC_ACT/10^6</stp>
        <stp>FPT</stp>
        <stp>A</stp>
        <stp>FPO</stp>
        <stp>-0A</stp>
        <stp>STD</stp>
        <stp>Mixed</stp>
        <stp>CONSOL</stp>
        <stp>Yes</stp>
        <stp>CURRENCY</stp>
        <stp>USD</stp>
        <tr r="N43" s="4"/>
      </tp>
      <tp>
        <v>-66</v>
        <stp/>
        <stp>##V3_BQLV12</stp>
        <stp>[Fundamental &amp; Technical Model (1).xlsm]Cash Flow!R43C10</stp>
        <stp>SYK US Equity</stp>
        <stp>CF_OTHER_FNC_ACT/10^6</stp>
        <stp>FPT</stp>
        <stp>A</stp>
        <stp>FPO</stp>
        <stp>-4A</stp>
        <stp>STD</stp>
        <stp>Mixed</stp>
        <stp>CONSOL</stp>
        <stp>Yes</stp>
        <stp>CURRENCY</stp>
        <stp>USD</stp>
        <tr r="J43" s="4"/>
      </tp>
      <tp>
        <v>-180</v>
        <stp/>
        <stp>##V3_BQLV12</stp>
        <stp>[Fundamental &amp; Technical Model (1).xlsm]Cash Flow!R43C11</stp>
        <stp>SYK US Equity</stp>
        <stp>CF_OTHER_FNC_ACT/10^6</stp>
        <stp>FPT</stp>
        <stp>A</stp>
        <stp>FPO</stp>
        <stp>-3A</stp>
        <stp>STD</stp>
        <stp>Mixed</stp>
        <stp>CONSOL</stp>
        <stp>Yes</stp>
        <stp>CURRENCY</stp>
        <stp>USD</stp>
        <tr r="K43" s="4"/>
      </tp>
      <tp>
        <v>-118</v>
        <stp/>
        <stp>##V3_BQLV12</stp>
        <stp>[Fundamental &amp; Technical Model (1).xlsm]Cash Flow!R43C12</stp>
        <stp>SYK US Equity</stp>
        <stp>CF_OTHER_FNC_ACT/10^6</stp>
        <stp>FPT</stp>
        <stp>A</stp>
        <stp>FPO</stp>
        <stp>-2A</stp>
        <stp>STD</stp>
        <stp>Mixed</stp>
        <stp>CONSOL</stp>
        <stp>Yes</stp>
        <stp>CURRENCY</stp>
        <stp>USD</stp>
        <tr r="L43" s="4"/>
      </tp>
      <tp>
        <v>-153</v>
        <stp/>
        <stp>##V3_BQLV12</stp>
        <stp>[Fundamental &amp; Technical Model (1).xlsm]Cash Flow!R43C13</stp>
        <stp>SYK US Equity</stp>
        <stp>CF_OTHER_FNC_ACT/10^6</stp>
        <stp>FPT</stp>
        <stp>A</stp>
        <stp>FPO</stp>
        <stp>-1A</stp>
        <stp>STD</stp>
        <stp>Mixed</stp>
        <stp>CONSOL</stp>
        <stp>Yes</stp>
        <stp>CURRENCY</stp>
        <stp>USD</stp>
        <tr r="M43" s="4"/>
      </tp>
      <tp>
        <v>2.0247555648013313</v>
        <stp/>
        <stp>##V3_BQLV12</stp>
        <stp>[Fundamental &amp; Technical Model (1).xlsm]Ratios!R37C14</stp>
        <stp>SYK US Equity</stp>
        <stp>CUR_RATIO</stp>
        <stp>FPT</stp>
        <stp>A</stp>
        <stp>FPO</stp>
        <stp>-0A</stp>
        <stp>STD</stp>
        <stp>Mixed</stp>
        <stp>CONSOL</stp>
        <stp>Yes</stp>
        <tr r="N37" s="8"/>
      </tp>
      <tp t="s">
        <v>#N/A N/A</v>
        <stp/>
        <stp>##V3_BDSV12</stp>
        <stp>SYK US Equity</stp>
        <stp>PG_OPERATING_INCOME</stp>
        <stp>[Fundamental &amp; Technical Model (1).xlsm]Segments!R98C8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98" s="17"/>
      </tp>
      <tp t="s">
        <v>#N/A N/A</v>
        <stp/>
        <stp>##V3_BDSV12</stp>
        <stp>SYK US Equity</stp>
        <stp>PG_OPERATING_INCOME</stp>
        <stp>[Fundamental &amp; Technical Model (1).xlsm]Segments!R84C8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84" s="17"/>
      </tp>
      <tp t="e">
        <v>#N/A</v>
        <stp/>
        <stp>##V3_BDHV12</stp>
        <stp>SYK US Equity</stp>
        <stp>HIGH_EV_TO_T12M_EBITDA</stp>
        <stp>-4FY</stp>
        <stp>-4FY</stp>
        <stp>[Fundamental &amp; Technical Model (1).xlsm]Multiples!R23C9</stp>
        <stp>EQY_CONSOLIDATED</stp>
        <stp>Yes</stp>
        <stp>ACCOUNTING_STANDARD_OVERRIDE</stp>
        <stp>Mixed</stp>
        <stp>Per</stp>
        <stp>FY</stp>
        <stp>Days=A</stp>
        <tr r="I23" s="16"/>
        <tr r="I23" s="16"/>
      </tp>
      <tp t="s">
        <v>#N/A Invalid Parameter: Undefined item: CF_OTHER_INV_ACT.</v>
        <stp/>
        <stp>##V3_BQLV12</stp>
        <stp>[Fundamental &amp; Technical Model (1).xlsm]Cash Flow!R27C12</stp>
        <stp>SYK US Equity</stp>
        <stp>CF_OTHER_INV_ACT/10^6</stp>
        <stp>FPT</stp>
        <stp>A</stp>
        <stp>FPO</stp>
        <stp>-2A</stp>
        <stp>STD</stp>
        <stp>Mixed</stp>
        <stp>CONSOL</stp>
        <stp>Yes</stp>
        <stp>CURRENCY</stp>
        <stp>USD</stp>
        <tr r="L27" s="4"/>
      </tp>
      <tp t="s">
        <v>#N/A Invalid Parameter: Undefined item: CF_OTHER_INV_ACT.</v>
        <stp/>
        <stp>##V3_BQLV12</stp>
        <stp>[Fundamental &amp; Technical Model (1).xlsm]Cash Flow!R27C13</stp>
        <stp>SYK US Equity</stp>
        <stp>CF_OTHER_INV_ACT/10^6</stp>
        <stp>FPT</stp>
        <stp>A</stp>
        <stp>FPO</stp>
        <stp>-1A</stp>
        <stp>STD</stp>
        <stp>Mixed</stp>
        <stp>CONSOL</stp>
        <stp>Yes</stp>
        <stp>CURRENCY</stp>
        <stp>USD</stp>
        <tr r="M27" s="4"/>
      </tp>
      <tp t="s">
        <v>#N/A Invalid Parameter: Undefined item: CF_OTHER_INV_ACT.</v>
        <stp/>
        <stp>##V3_BQLV12</stp>
        <stp>[Fundamental &amp; Technical Model (1).xlsm]Cash Flow!R27C10</stp>
        <stp>SYK US Equity</stp>
        <stp>CF_OTHER_INV_ACT/10^6</stp>
        <stp>FPT</stp>
        <stp>A</stp>
        <stp>FPO</stp>
        <stp>-4A</stp>
        <stp>STD</stp>
        <stp>Mixed</stp>
        <stp>CONSOL</stp>
        <stp>Yes</stp>
        <stp>CURRENCY</stp>
        <stp>USD</stp>
        <tr r="J27" s="4"/>
      </tp>
      <tp t="s">
        <v>#N/A Invalid Parameter: Undefined item: CF_OTHER_INV_ACT.</v>
        <stp/>
        <stp>##V3_BQLV12</stp>
        <stp>[Fundamental &amp; Technical Model (1).xlsm]Cash Flow!R27C11</stp>
        <stp>SYK US Equity</stp>
        <stp>CF_OTHER_INV_ACT/10^6</stp>
        <stp>FPT</stp>
        <stp>A</stp>
        <stp>FPO</stp>
        <stp>-3A</stp>
        <stp>STD</stp>
        <stp>Mixed</stp>
        <stp>CONSOL</stp>
        <stp>Yes</stp>
        <stp>CURRENCY</stp>
        <stp>USD</stp>
        <tr r="K27" s="4"/>
      </tp>
      <tp t="s">
        <v>#N/A Invalid Parameter: Undefined item: CF_OTHER_INV_ACT.</v>
        <stp/>
        <stp>##V3_BQLV12</stp>
        <stp>[Fundamental &amp; Technical Model (1).xlsm]Cash Flow!R27C14</stp>
        <stp>SYK US Equity</stp>
        <stp>CF_OTHER_INV_ACT/10^6</stp>
        <stp>FPT</stp>
        <stp>A</stp>
        <stp>FPO</stp>
        <stp>-0A</stp>
        <stp>STD</stp>
        <stp>Mixed</stp>
        <stp>CONSOL</stp>
        <stp>Yes</stp>
        <stp>CURRENCY</stp>
        <stp>USD</stp>
        <tr r="N27" s="4"/>
      </tp>
      <tp t="s">
        <v>--</v>
        <stp/>
        <stp>##V3_BDPV12</stp>
        <stp>SYK US Equity</stp>
        <stp>BS_CAPITAL_LEASE_YR_4</stp>
        <stp>[Fundamental &amp; Technical Model (1).xlsm]Capital Structure Summary!R86C9</stp>
        <stp>EQY_FUND_RELATIVE_PERIOD</stp>
        <stp>-1FY</stp>
        <stp>EQY_FUND_CRNCY</stp>
        <stp>USD</stp>
        <stp>EQY_CONSOLIDATED</stp>
        <stp>Yes</stp>
        <stp>ACCOUNTING_STANDARD_OVERRIDE</stp>
        <stp>Mixed</stp>
        <stp>Fill=--</stp>
        <tr r="I86" s="21"/>
      </tp>
      <tp t="s">
        <v>--</v>
        <stp/>
        <stp>##V3_BDPV12</stp>
        <stp>SYK US Equity</stp>
        <stp>BS_CAPITAL_LEASE_YR_5</stp>
        <stp>[Fundamental &amp; Technical Model (1).xlsm]Capital Structure Summary!R87C9</stp>
        <stp>EQY_FUND_RELATIVE_PERIOD</stp>
        <stp>-1FY</stp>
        <stp>EQY_FUND_CRNCY</stp>
        <stp>USD</stp>
        <stp>EQY_CONSOLIDATED</stp>
        <stp>Yes</stp>
        <stp>ACCOUNTING_STANDARD_OVERRIDE</stp>
        <stp>Mixed</stp>
        <stp>Fill=--</stp>
        <tr r="I87" s="21"/>
      </tp>
      <tp t="s">
        <v>#N/A N/A</v>
        <stp/>
        <stp>##V3_BDSV12</stp>
        <stp>SYK US Equity</stp>
        <stp>PG_GROSS_PROFIT</stp>
        <stp>[Fundamental &amp; Technical Model (1).xlsm]Segments!R55C11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55" s="17"/>
      </tp>
      <tp t="s">
        <v>#N/A N/A</v>
        <stp/>
        <stp>##V3_BDSV12</stp>
        <stp>SYK US Equity</stp>
        <stp>PG_GROSS_PROFIT</stp>
        <stp>[Fundamental &amp; Technical Model (1).xlsm]Segments!R69C11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69" s="17"/>
      </tp>
      <tp>
        <v>1448.65</v>
        <stp/>
        <stp>##V3_BQLV12</stp>
        <stp>[Fundamental &amp; Technical Model (1).xlsm]Income Statement!R82C7</stp>
        <stp>SYK US Equity</stp>
        <stp>NORMALIZED_INCOME/10^6</stp>
        <stp>FPT</stp>
        <stp>A</stp>
        <stp>FPO</stp>
        <stp>-7A</stp>
        <stp>STD</stp>
        <stp>Mixed</stp>
        <stp>CONSOL</stp>
        <stp>Yes</stp>
        <stp>CURRENCY</stp>
        <stp>USD</stp>
        <tr r="G82" s="2"/>
      </tp>
      <tp t="s">
        <v>--</v>
        <stp/>
        <stp>##V3_BDPV12</stp>
        <stp>SYK US Equity</stp>
        <stp>BS_CAPITAL_LEASE_YR_1</stp>
        <stp>[Fundamental &amp; Technical Model (1).xlsm]Capital Structure Summary!R83C9</stp>
        <stp>EQY_FUND_RELATIVE_PERIOD</stp>
        <stp>-1FY</stp>
        <stp>EQY_FUND_CRNCY</stp>
        <stp>USD</stp>
        <stp>EQY_CONSOLIDATED</stp>
        <stp>Yes</stp>
        <stp>ACCOUNTING_STANDARD_OVERRIDE</stp>
        <stp>Mixed</stp>
        <stp>Fill=--</stp>
        <tr r="I83" s="21"/>
      </tp>
      <tp>
        <v>1340.05</v>
        <stp/>
        <stp>##V3_BQLV12</stp>
        <stp>[Fundamental &amp; Technical Model (1).xlsm]Income Statement!R82C6</stp>
        <stp>SYK US Equity</stp>
        <stp>NORMALIZED_INCOME/10^6</stp>
        <stp>FPT</stp>
        <stp>A</stp>
        <stp>FPO</stp>
        <stp>-8A</stp>
        <stp>STD</stp>
        <stp>Mixed</stp>
        <stp>CONSOL</stp>
        <stp>Yes</stp>
        <stp>CURRENCY</stp>
        <stp>USD</stp>
        <tr r="F82" s="2"/>
      </tp>
      <tp t="s">
        <v>--</v>
        <stp/>
        <stp>##V3_BDPV12</stp>
        <stp>SYK US Equity</stp>
        <stp>BS_CAPITAL_LEASE_YR_2</stp>
        <stp>[Fundamental &amp; Technical Model (1).xlsm]Capital Structure Summary!R84C9</stp>
        <stp>EQY_FUND_RELATIVE_PERIOD</stp>
        <stp>-1FY</stp>
        <stp>EQY_FUND_CRNCY</stp>
        <stp>USD</stp>
        <stp>EQY_CONSOLIDATED</stp>
        <stp>Yes</stp>
        <stp>ACCOUNTING_STANDARD_OVERRIDE</stp>
        <stp>Mixed</stp>
        <stp>Fill=--</stp>
        <tr r="I84" s="21"/>
      </tp>
      <tp>
        <v>1189.2</v>
        <stp/>
        <stp>##V3_BQLV12</stp>
        <stp>[Fundamental &amp; Technical Model (1).xlsm]Income Statement!R82C5</stp>
        <stp>SYK US Equity</stp>
        <stp>NORMALIZED_INCOME/10^6</stp>
        <stp>FPT</stp>
        <stp>A</stp>
        <stp>FPO</stp>
        <stp>-9A</stp>
        <stp>STD</stp>
        <stp>Mixed</stp>
        <stp>CONSOL</stp>
        <stp>Yes</stp>
        <stp>CURRENCY</stp>
        <stp>USD</stp>
        <tr r="E82" s="2"/>
      </tp>
      <tp t="s">
        <v>--</v>
        <stp/>
        <stp>##V3_BDPV12</stp>
        <stp>SYK US Equity</stp>
        <stp>BS_CAPITAL_LEASE_YR_3</stp>
        <stp>[Fundamental &amp; Technical Model (1).xlsm]Capital Structure Summary!R85C9</stp>
        <stp>EQY_FUND_RELATIVE_PERIOD</stp>
        <stp>-1FY</stp>
        <stp>EQY_FUND_CRNCY</stp>
        <stp>USD</stp>
        <stp>EQY_CONSOLIDATED</stp>
        <stp>Yes</stp>
        <stp>ACCOUNTING_STANDARD_OVERRIDE</stp>
        <stp>Mixed</stp>
        <stp>Fill=--</stp>
        <tr r="I85" s="21"/>
      </tp>
      <tp t="s">
        <v>--</v>
        <stp/>
        <stp>##V3_BDPV12</stp>
        <stp>SYK US Equity</stp>
        <stp>BS_CAPITAL_LEASE_YR_2</stp>
        <stp>[Fundamental &amp; Technical Model (1).xlsm]Capital Structure Summary!R84C5</stp>
        <stp>EQY_FUND_RELATIVE_PERIOD</stp>
        <stp>-3FY</stp>
        <stp>EQY_FUND_CRNCY</stp>
        <stp>USD</stp>
        <stp>EQY_CONSOLIDATED</stp>
        <stp>Yes</stp>
        <stp>ACCOUNTING_STANDARD_OVERRIDE</stp>
        <stp>Mixed</stp>
        <stp>Fill=--</stp>
        <tr r="E84" s="21"/>
      </tp>
      <tp t="s">
        <v>--</v>
        <stp/>
        <stp>##V3_BDPV12</stp>
        <stp>SYK US Equity</stp>
        <stp>BS_CAPITAL_LEASE_YR_3</stp>
        <stp>[Fundamental &amp; Technical Model (1).xlsm]Capital Structure Summary!R85C3</stp>
        <stp>EQY_FUND_RELATIVE_PERIOD</stp>
        <stp>-4FY</stp>
        <stp>EQY_FUND_CRNCY</stp>
        <stp>USD</stp>
        <stp>EQY_CONSOLIDATED</stp>
        <stp>Yes</stp>
        <stp>ACCOUNTING_STANDARD_OVERRIDE</stp>
        <stp>Mixed</stp>
        <stp>Fill=--</stp>
        <tr r="C85" s="21"/>
      </tp>
      <tp t="s">
        <v>--</v>
        <stp/>
        <stp>##V3_BDPV12</stp>
        <stp>SYK US Equity</stp>
        <stp>BS_CAPITAL_LEASE_YR_1</stp>
        <stp>[Fundamental &amp; Technical Model (1).xlsm]Capital Structure Summary!R83C7</stp>
        <stp>EQY_FUND_RELATIVE_PERIOD</stp>
        <stp>-2FY</stp>
        <stp>EQY_FUND_CRNCY</stp>
        <stp>USD</stp>
        <stp>EQY_CONSOLIDATED</stp>
        <stp>Yes</stp>
        <stp>ACCOUNTING_STANDARD_OVERRIDE</stp>
        <stp>Mixed</stp>
        <stp>Fill=--</stp>
        <tr r="G83" s="21"/>
      </tp>
      <tp t="s">
        <v>--</v>
        <stp/>
        <stp>##V3_BDPV12</stp>
        <stp>SYK US Equity</stp>
        <stp>BS_CAPITAL_LEASE_YR_2</stp>
        <stp>[Fundamental &amp; Technical Model (1).xlsm]Capital Structure Summary!R84C3</stp>
        <stp>EQY_FUND_RELATIVE_PERIOD</stp>
        <stp>-4FY</stp>
        <stp>EQY_FUND_CRNCY</stp>
        <stp>USD</stp>
        <stp>EQY_CONSOLIDATED</stp>
        <stp>Yes</stp>
        <stp>ACCOUNTING_STANDARD_OVERRIDE</stp>
        <stp>Mixed</stp>
        <stp>Fill=--</stp>
        <tr r="C84" s="21"/>
      </tp>
      <tp t="s">
        <v>--</v>
        <stp/>
        <stp>##V3_BDPV12</stp>
        <stp>SYK US Equity</stp>
        <stp>BS_CAPITAL_LEASE_YR_3</stp>
        <stp>[Fundamental &amp; Technical Model (1).xlsm]Capital Structure Summary!R85C5</stp>
        <stp>EQY_FUND_RELATIVE_PERIOD</stp>
        <stp>-3FY</stp>
        <stp>EQY_FUND_CRNCY</stp>
        <stp>USD</stp>
        <stp>EQY_CONSOLIDATED</stp>
        <stp>Yes</stp>
        <stp>ACCOUNTING_STANDARD_OVERRIDE</stp>
        <stp>Mixed</stp>
        <stp>Fill=--</stp>
        <tr r="E85" s="21"/>
      </tp>
      <tp t="s">
        <v>--</v>
        <stp/>
        <stp>##V3_BDPV12</stp>
        <stp>SYK US Equity</stp>
        <stp>BS_CAPITAL_LEASE_YR_3</stp>
        <stp>[Fundamental &amp; Technical Model (1).xlsm]Capital Structure Summary!R85C7</stp>
        <stp>EQY_FUND_RELATIVE_PERIOD</stp>
        <stp>-2FY</stp>
        <stp>EQY_FUND_CRNCY</stp>
        <stp>USD</stp>
        <stp>EQY_CONSOLIDATED</stp>
        <stp>Yes</stp>
        <stp>ACCOUNTING_STANDARD_OVERRIDE</stp>
        <stp>Mixed</stp>
        <stp>Fill=--</stp>
        <tr r="G85" s="21"/>
      </tp>
      <tp t="s">
        <v>--</v>
        <stp/>
        <stp>##V3_BDPV12</stp>
        <stp>SYK US Equity</stp>
        <stp>BS_CAPITAL_LEASE_YR_1</stp>
        <stp>[Fundamental &amp; Technical Model (1).xlsm]Capital Structure Summary!R83C3</stp>
        <stp>EQY_FUND_RELATIVE_PERIOD</stp>
        <stp>-4FY</stp>
        <stp>EQY_FUND_CRNCY</stp>
        <stp>USD</stp>
        <stp>EQY_CONSOLIDATED</stp>
        <stp>Yes</stp>
        <stp>ACCOUNTING_STANDARD_OVERRIDE</stp>
        <stp>Mixed</stp>
        <stp>Fill=--</stp>
        <tr r="C83" s="21"/>
      </tp>
      <tp>
        <v>1601</v>
        <stp/>
        <stp>##V3_BQLV12</stp>
        <stp>[Fundamental &amp; Technical Model (1).xlsm]Income Statement!R82C9</stp>
        <stp>SYK US Equity</stp>
        <stp>NORMALIZED_INCOME/10^6</stp>
        <stp>FPT</stp>
        <stp>A</stp>
        <stp>FPO</stp>
        <stp>-5A</stp>
        <stp>STD</stp>
        <stp>Mixed</stp>
        <stp>CONSOL</stp>
        <stp>Yes</stp>
        <stp>CURRENCY</stp>
        <stp>USD</stp>
        <tr r="I82" s="2"/>
      </tp>
      <tp t="s">
        <v>--</v>
        <stp/>
        <stp>##V3_BDPV12</stp>
        <stp>SYK US Equity</stp>
        <stp>BS_CAPITAL_LEASE_YR_2</stp>
        <stp>[Fundamental &amp; Technical Model (1).xlsm]Capital Structure Summary!R84C7</stp>
        <stp>EQY_FUND_RELATIVE_PERIOD</stp>
        <stp>-2FY</stp>
        <stp>EQY_FUND_CRNCY</stp>
        <stp>USD</stp>
        <stp>EQY_CONSOLIDATED</stp>
        <stp>Yes</stp>
        <stp>ACCOUNTING_STANDARD_OVERRIDE</stp>
        <stp>Mixed</stp>
        <stp>Fill=--</stp>
        <tr r="G84" s="21"/>
      </tp>
      <tp t="s">
        <v>--</v>
        <stp/>
        <stp>##V3_BDPV12</stp>
        <stp>SYK US Equity</stp>
        <stp>BS_CAPITAL_LEASE_YR_1</stp>
        <stp>[Fundamental &amp; Technical Model (1).xlsm]Capital Structure Summary!R83C5</stp>
        <stp>EQY_FUND_RELATIVE_PERIOD</stp>
        <stp>-3FY</stp>
        <stp>EQY_FUND_CRNCY</stp>
        <stp>USD</stp>
        <stp>EQY_CONSOLIDATED</stp>
        <stp>Yes</stp>
        <stp>ACCOUNTING_STANDARD_OVERRIDE</stp>
        <stp>Mixed</stp>
        <stp>Fill=--</stp>
        <tr r="E83" s="21"/>
      </tp>
      <tp>
        <v>1565.2</v>
        <stp/>
        <stp>##V3_BQLV12</stp>
        <stp>[Fundamental &amp; Technical Model (1).xlsm]Income Statement!R82C8</stp>
        <stp>SYK US Equity</stp>
        <stp>NORMALIZED_INCOME/10^6</stp>
        <stp>FPT</stp>
        <stp>A</stp>
        <stp>FPO</stp>
        <stp>-6A</stp>
        <stp>STD</stp>
        <stp>Mixed</stp>
        <stp>CONSOL</stp>
        <stp>Yes</stp>
        <stp>CURRENCY</stp>
        <stp>USD</stp>
        <tr r="H82" s="2"/>
      </tp>
      <tp t="s">
        <v>--</v>
        <stp/>
        <stp>##V3_BDPV12</stp>
        <stp>SYK US Equity</stp>
        <stp>BS_CAPITAL_LEASE_YR_5</stp>
        <stp>[Fundamental &amp; Technical Model (1).xlsm]Capital Structure Summary!R87C7</stp>
        <stp>EQY_FUND_RELATIVE_PERIOD</stp>
        <stp>-2FY</stp>
        <stp>EQY_FUND_CRNCY</stp>
        <stp>USD</stp>
        <stp>EQY_CONSOLIDATED</stp>
        <stp>Yes</stp>
        <stp>ACCOUNTING_STANDARD_OVERRIDE</stp>
        <stp>Mixed</stp>
        <stp>Fill=--</stp>
        <tr r="G87" s="21"/>
      </tp>
      <tp t="s">
        <v>--</v>
        <stp/>
        <stp>##V3_BDPV12</stp>
        <stp>SYK US Equity</stp>
        <stp>BS_CAPITAL_LEASE_YR_4</stp>
        <stp>[Fundamental &amp; Technical Model (1).xlsm]Capital Structure Summary!R86C7</stp>
        <stp>EQY_FUND_RELATIVE_PERIOD</stp>
        <stp>-2FY</stp>
        <stp>EQY_FUND_CRNCY</stp>
        <stp>USD</stp>
        <stp>EQY_CONSOLIDATED</stp>
        <stp>Yes</stp>
        <stp>ACCOUNTING_STANDARD_OVERRIDE</stp>
        <stp>Mixed</stp>
        <stp>Fill=--</stp>
        <tr r="G86" s="21"/>
      </tp>
      <tp t="s">
        <v>--</v>
        <stp/>
        <stp>##V3_BDPV12</stp>
        <stp>SYK US Equity</stp>
        <stp>BS_CAPITAL_LEASE_YR_4</stp>
        <stp>[Fundamental &amp; Technical Model (1).xlsm]Capital Structure Summary!R86C5</stp>
        <stp>EQY_FUND_RELATIVE_PERIOD</stp>
        <stp>-3FY</stp>
        <stp>EQY_FUND_CRNCY</stp>
        <stp>USD</stp>
        <stp>EQY_CONSOLIDATED</stp>
        <stp>Yes</stp>
        <stp>ACCOUNTING_STANDARD_OVERRIDE</stp>
        <stp>Mixed</stp>
        <stp>Fill=--</stp>
        <tr r="E86" s="21"/>
      </tp>
      <tp t="s">
        <v>--</v>
        <stp/>
        <stp>##V3_BDPV12</stp>
        <stp>SYK US Equity</stp>
        <stp>BS_CAPITAL_LEASE_YR_5</stp>
        <stp>[Fundamental &amp; Technical Model (1).xlsm]Capital Structure Summary!R87C3</stp>
        <stp>EQY_FUND_RELATIVE_PERIOD</stp>
        <stp>-4FY</stp>
        <stp>EQY_FUND_CRNCY</stp>
        <stp>USD</stp>
        <stp>EQY_CONSOLIDATED</stp>
        <stp>Yes</stp>
        <stp>ACCOUNTING_STANDARD_OVERRIDE</stp>
        <stp>Mixed</stp>
        <stp>Fill=--</stp>
        <tr r="C87" s="21"/>
      </tp>
      <tp t="s">
        <v>--</v>
        <stp/>
        <stp>##V3_BDPV12</stp>
        <stp>SYK US Equity</stp>
        <stp>BS_CAPITAL_LEASE_YR_4</stp>
        <stp>[Fundamental &amp; Technical Model (1).xlsm]Capital Structure Summary!R86C3</stp>
        <stp>EQY_FUND_RELATIVE_PERIOD</stp>
        <stp>-4FY</stp>
        <stp>EQY_FUND_CRNCY</stp>
        <stp>USD</stp>
        <stp>EQY_CONSOLIDATED</stp>
        <stp>Yes</stp>
        <stp>ACCOUNTING_STANDARD_OVERRIDE</stp>
        <stp>Mixed</stp>
        <stp>Fill=--</stp>
        <tr r="C86" s="21"/>
      </tp>
      <tp t="s">
        <v>--</v>
        <stp/>
        <stp>##V3_BDPV12</stp>
        <stp>SYK US Equity</stp>
        <stp>BS_CAPITAL_LEASE_YR_5</stp>
        <stp>[Fundamental &amp; Technical Model (1).xlsm]Capital Structure Summary!R87C5</stp>
        <stp>EQY_FUND_RELATIVE_PERIOD</stp>
        <stp>-3FY</stp>
        <stp>EQY_FUND_CRNCY</stp>
        <stp>USD</stp>
        <stp>EQY_CONSOLIDATED</stp>
        <stp>Yes</stp>
        <stp>ACCOUNTING_STANDARD_OVERRIDE</stp>
        <stp>Mixed</stp>
        <stp>Fill=--</stp>
        <tr r="E87" s="21"/>
      </tp>
      <tp t="s">
        <v>2014 A</v>
        <stp/>
        <stp>##V3_BQLV12</stp>
        <stp>[Fundamental &amp; Technical Model (1).xlsm]Cash Flow!R12C10</stp>
        <stp>SYK US Equity</stp>
        <stp>IS_EPS().PERIOD</stp>
        <stp>FPT</stp>
        <stp>A</stp>
        <stp>FPO</stp>
        <stp>-4A</stp>
        <stp>STD</stp>
        <stp>Mixed</stp>
        <stp>CONSOL</stp>
        <stp>Yes</stp>
        <tr r="J12" s="4"/>
      </tp>
      <tp t="e">
        <v>#N/A</v>
        <stp/>
        <stp>##V3_BDHV12</stp>
        <stp>SYK US Equity</stp>
        <stp>LOW_EV_TO_T12M_EBIT</stp>
        <stp>-2FY</stp>
        <stp>-2FY</stp>
        <stp>[Fundamental &amp; Technical Model (1).xlsm]Multiples!R30C11</stp>
        <stp>EQY_CONSOLIDATED</stp>
        <stp>Yes</stp>
        <stp>ACCOUNTING_STANDARD_OVERRIDE</stp>
        <stp>Mixed</stp>
        <stp>Per</stp>
        <stp>FY</stp>
        <stp>Days=A</stp>
        <tr r="K30" s="16"/>
        <tr r="K30" s="16"/>
      </tp>
      <tp t="e">
        <v>#N/A</v>
        <stp/>
        <stp>##V3_BDHV12</stp>
        <stp>SYK US Equity</stp>
        <stp>LOW_EV_TO_T12M_EBIT</stp>
        <stp>-3FY</stp>
        <stp>-3FY</stp>
        <stp>[Fundamental &amp; Technical Model (1).xlsm]Multiples!R30C10</stp>
        <stp>EQY_CONSOLIDATED</stp>
        <stp>Yes</stp>
        <stp>ACCOUNTING_STANDARD_OVERRIDE</stp>
        <stp>Mixed</stp>
        <stp>Per</stp>
        <stp>FY</stp>
        <stp>Days=A</stp>
        <tr r="J30" s="16"/>
        <tr r="J30" s="16"/>
      </tp>
      <tp t="e">
        <v>#N/A</v>
        <stp/>
        <stp>##V3_BDHV12</stp>
        <stp>SYK US Equity</stp>
        <stp>LOW_EV_TO_T12M_EBIT</stp>
        <stp>-0FY</stp>
        <stp>-0FY</stp>
        <stp>[Fundamental &amp; Technical Model (1).xlsm]Multiples!R30C13</stp>
        <stp>EQY_CONSOLIDATED</stp>
        <stp>Yes</stp>
        <stp>ACCOUNTING_STANDARD_OVERRIDE</stp>
        <stp>Mixed</stp>
        <stp>Per</stp>
        <stp>FY</stp>
        <stp>Days=A</stp>
        <tr r="M30" s="16"/>
        <tr r="M30" s="16"/>
      </tp>
      <tp t="e">
        <v>#N/A</v>
        <stp/>
        <stp>##V3_BDHV12</stp>
        <stp>SYK US Equity</stp>
        <stp>AVERAGE_PRICE_TO_CASH_FLOW</stp>
        <stp>-10FY</stp>
        <stp>-10FY</stp>
        <stp>[Fundamental &amp; Technical Model (1).xlsm]Multiples!R52C3</stp>
        <stp>EQY_CONSOLIDATED</stp>
        <stp>Yes</stp>
        <stp>ACCOUNTING_STANDARD_OVERRIDE</stp>
        <stp>Mixed</stp>
        <stp>Per</stp>
        <stp>FY</stp>
        <stp>Days=A</stp>
        <tr r="C52" s="16"/>
        <tr r="C52" s="16"/>
      </tp>
      <tp t="e">
        <v>#N/A</v>
        <stp/>
        <stp>##V3_BDHV12</stp>
        <stp>SYK US Equity</stp>
        <stp>LOW_EV_TO_T12M_EBIT</stp>
        <stp>-1FY</stp>
        <stp>-1FY</stp>
        <stp>[Fundamental &amp; Technical Model (1).xlsm]Multiples!R30C12</stp>
        <stp>EQY_CONSOLIDATED</stp>
        <stp>Yes</stp>
        <stp>ACCOUNTING_STANDARD_OVERRIDE</stp>
        <stp>Mixed</stp>
        <stp>Per</stp>
        <stp>FY</stp>
        <stp>Days=A</stp>
        <tr r="L30" s="16"/>
        <tr r="L30" s="16"/>
      </tp>
      <tp t="e">
        <v>#N/A</v>
        <stp/>
        <stp>##V3_BDHV12</stp>
        <stp>SYK US Equity</stp>
        <stp>HIGH_CLOSING_PRICE_TO_CASH_FLOW</stp>
        <stp>-10FY</stp>
        <stp>-10FY</stp>
        <stp>[Fundamental &amp; Technical Model (1).xlsm]Multiples!R53C3</stp>
        <stp>EQY_CONSOLIDATED</stp>
        <stp>Yes</stp>
        <stp>ACCOUNTING_STANDARD_OVERRIDE</stp>
        <stp>Mixed</stp>
        <stp>Per</stp>
        <stp>FY</stp>
        <stp>Days=A</stp>
        <tr r="C53" s="16"/>
        <tr r="C53" s="16"/>
      </tp>
      <tp t="e">
        <v>#N/A</v>
        <stp/>
        <stp>##V3_BDHV12</stp>
        <stp>SYK US Equity</stp>
        <stp>LOW_CLOSING_PRICE_TO_CASH_FLOW</stp>
        <stp>-4FY</stp>
        <stp>-4FY</stp>
        <stp>[Fundamental &amp; Technical Model (1).xlsm]Multiples!R54C9</stp>
        <stp>EQY_CONSOLIDATED</stp>
        <stp>Yes</stp>
        <stp>ACCOUNTING_STANDARD_OVERRIDE</stp>
        <stp>Mixed</stp>
        <stp>Per</stp>
        <stp>FY</stp>
        <stp>Days=A</stp>
        <tr r="I54" s="16"/>
        <tr r="I54" s="16"/>
      </tp>
      <tp t="s">
        <v>#N/A N/A</v>
        <stp/>
        <stp>##V3_BDSV12</stp>
        <stp>SYK US Equity</stp>
        <stp>PG_OPERATING_INCOME</stp>
        <stp>[Fundamental &amp; Technical Model (1).xlsm]Segments!R90C14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90" s="17"/>
      </tp>
      <tp t="s">
        <v>#N/A N/A</v>
        <stp/>
        <stp>##V3_BDSV12</stp>
        <stp>SYK US Equity</stp>
        <stp>PG_OPERATING_INCOME</stp>
        <stp>[Fundamental &amp; Technical Model (1).xlsm]Segments!R90C11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90" s="17"/>
      </tp>
      <tp t="s">
        <v>#N/A N/A</v>
        <stp/>
        <stp>##V3_BDSV12</stp>
        <stp>SYK US Equity</stp>
        <stp>PG_OPERATING_INCOME</stp>
        <stp>[Fundamental &amp; Technical Model (1).xlsm]Segments!R90C10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90" s="17"/>
      </tp>
      <tp t="s">
        <v>#N/A N/A</v>
        <stp/>
        <stp>##V3_BDSV12</stp>
        <stp>SYK US Equity</stp>
        <stp>PG_OPERATING_INCOME</stp>
        <stp>[Fundamental &amp; Technical Model (1).xlsm]Segments!R90C13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90" s="17"/>
      </tp>
      <tp t="s">
        <v>#N/A N/A</v>
        <stp/>
        <stp>##V3_BDSV12</stp>
        <stp>SYK US Equity</stp>
        <stp>PG_OPERATING_INCOME</stp>
        <stp>[Fundamental &amp; Technical Model (1).xlsm]Segments!R90C12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90" s="17"/>
      </tp>
      <tp t="e">
        <v>#N/A</v>
        <stp/>
        <stp>##V3_BDHV12</stp>
        <stp>SYK US Equity</stp>
        <stp>AVERAGE_DIVIDEND_YIELD</stp>
        <stp>-9FY</stp>
        <stp>-9FY</stp>
        <stp>[Fundamental &amp; Technical Model (1).xlsm]Multiples!R64C4</stp>
        <stp>EQY_CONSOLIDATED</stp>
        <stp>Yes</stp>
        <stp>ACCOUNTING_STANDARD_OVERRIDE</stp>
        <stp>Mixed</stp>
        <stp>Per</stp>
        <stp>FY</stp>
        <stp>Days=A</stp>
        <tr r="D64" s="16"/>
        <tr r="D64" s="16"/>
      </tp>
      <tp>
        <v>20.5</v>
        <stp/>
        <stp>##V3_BQLV12</stp>
        <stp>[Fundamental &amp; Technical Model (1).xlsm]Balance Sheet!R38C4</stp>
        <stp>SYK US Equity</stp>
        <stp>BS_ST_BORROW/10^6</stp>
        <stp>FPT</stp>
        <stp>A</stp>
        <stp>FPO</stp>
        <stp>-10A</stp>
        <stp>STD</stp>
        <stp>Mixed</stp>
        <stp>CONSOL</stp>
        <stp>Yes</stp>
        <stp>CURRENCY</stp>
        <stp>USD</stp>
        <tr r="D38" s="3"/>
      </tp>
      <tp t="s">
        <v>#N/A N/A</v>
        <stp/>
        <stp>##V3_BDSV12</stp>
        <stp>SYK US Equity</stp>
        <stp>PG_DEPR_AMORTIZATION</stp>
        <stp>[Fundamental &amp; Technical Model (1).xlsm]Segments!R142C4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142" s="17"/>
      </tp>
      <tp t="e">
        <v>#N/A</v>
        <stp/>
        <stp>##V3_BDHV12</stp>
        <stp>SYK US Equity</stp>
        <stp>PE_RATIO</stp>
        <stp>-0FY</stp>
        <stp>-0FY</stp>
        <stp>[Fundamental &amp; Technical Model (1).xlsm]Multiples!R33C13</stp>
        <stp>EQY_CONSOLIDATED</stp>
        <stp>Yes</stp>
        <stp>ACCOUNTING_STANDARD_OVERRIDE</stp>
        <stp>Mixed</stp>
        <stp>Per</stp>
        <stp>FY</stp>
        <stp>Days=A</stp>
        <tr r="M33" s="16"/>
        <tr r="M33" s="16"/>
      </tp>
      <tp t="e">
        <v>#N/A</v>
        <stp/>
        <stp>##V3_BDHV12</stp>
        <stp>SYK US Equity</stp>
        <stp>PE_RATIO</stp>
        <stp>-1FY</stp>
        <stp>-1FY</stp>
        <stp>[Fundamental &amp; Technical Model (1).xlsm]Multiples!R33C12</stp>
        <stp>EQY_CONSOLIDATED</stp>
        <stp>Yes</stp>
        <stp>ACCOUNTING_STANDARD_OVERRIDE</stp>
        <stp>Mixed</stp>
        <stp>Per</stp>
        <stp>FY</stp>
        <stp>Days=A</stp>
        <tr r="L33" s="16"/>
        <tr r="L33" s="16"/>
      </tp>
      <tp t="e">
        <v>#N/A</v>
        <stp/>
        <stp>##V3_BDHV12</stp>
        <stp>SYK US Equity</stp>
        <stp>PE_RATIO</stp>
        <stp>-2FY</stp>
        <stp>-2FY</stp>
        <stp>[Fundamental &amp; Technical Model (1).xlsm]Multiples!R33C11</stp>
        <stp>EQY_CONSOLIDATED</stp>
        <stp>Yes</stp>
        <stp>ACCOUNTING_STANDARD_OVERRIDE</stp>
        <stp>Mixed</stp>
        <stp>Per</stp>
        <stp>FY</stp>
        <stp>Days=A</stp>
        <tr r="K33" s="16"/>
        <tr r="K33" s="16"/>
      </tp>
      <tp>
        <v>-5.6</v>
        <stp/>
        <stp>##V3_BQLV12</stp>
        <stp>[Fundamental &amp; Technical Model (1).xlsm]Balance Sheet!R75C4</stp>
        <stp>SYK US Equity</stp>
        <stp>BS_OTHER_INV/10^6</stp>
        <stp>FPT</stp>
        <stp>A</stp>
        <stp>FPO</stp>
        <stp>-10A</stp>
        <stp>STD</stp>
        <stp>Mixed</stp>
        <stp>CONSOL</stp>
        <stp>Yes</stp>
        <stp>CURRENCY</stp>
        <stp>USD</stp>
        <tr r="D75" s="3"/>
      </tp>
      <tp t="e">
        <v>#N/A</v>
        <stp/>
        <stp>##V3_BDHV12</stp>
        <stp>SYK US Equity</stp>
        <stp>PE_RATIO</stp>
        <stp>-3FY</stp>
        <stp>-3FY</stp>
        <stp>[Fundamental &amp; Technical Model (1).xlsm]Multiples!R33C10</stp>
        <stp>EQY_CONSOLIDATED</stp>
        <stp>Yes</stp>
        <stp>ACCOUNTING_STANDARD_OVERRIDE</stp>
        <stp>Mixed</stp>
        <stp>Per</stp>
        <stp>FY</stp>
        <stp>Days=A</stp>
        <tr r="J33" s="16"/>
        <tr r="J33" s="16"/>
      </tp>
      <tp>
        <v>2.2935437589670014</v>
        <stp/>
        <stp>##V3_BQLV12</stp>
        <stp>[Fundamental &amp; Technical Model (1).xlsm]Ratios!R37C13</stp>
        <stp>SYK US Equity</stp>
        <stp>CUR_RATIO</stp>
        <stp>FPT</stp>
        <stp>A</stp>
        <stp>FPO</stp>
        <stp>-1A</stp>
        <stp>STD</stp>
        <stp>Mixed</stp>
        <stp>CONSOL</stp>
        <stp>Yes</stp>
        <tr r="M37" s="8"/>
      </tp>
      <tp t="s">
        <v>#N/A N/A</v>
        <stp/>
        <stp>##V3_BDSV12</stp>
        <stp>SYK US Equity</stp>
        <stp>PG_OPERATING_INCOME</stp>
        <stp>[Fundamental &amp; Technical Model (1).xlsm]Segments!R98C9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98" s="17"/>
      </tp>
      <tp t="s">
        <v>#N/A N/A</v>
        <stp/>
        <stp>##V3_BDSV12</stp>
        <stp>SYK US Equity</stp>
        <stp>PG_OPERATING_INCOME</stp>
        <stp>[Fundamental &amp; Technical Model (1).xlsm]Segments!R84C9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84" s="17"/>
      </tp>
      <tp t="e">
        <v>#N/A</v>
        <stp/>
        <stp>##V3_BDHV12</stp>
        <stp>SYK US Equity</stp>
        <stp>HIGH_EV_TO_T12M_EBITDA</stp>
        <stp>-5FY</stp>
        <stp>-5FY</stp>
        <stp>[Fundamental &amp; Technical Model (1).xlsm]Multiples!R23C8</stp>
        <stp>EQY_CONSOLIDATED</stp>
        <stp>Yes</stp>
        <stp>ACCOUNTING_STANDARD_OVERRIDE</stp>
        <stp>Mixed</stp>
        <stp>Per</stp>
        <stp>FY</stp>
        <stp>Days=A</stp>
        <tr r="H23" s="16"/>
        <tr r="H23" s="16"/>
      </tp>
      <tp t="s">
        <v>#N/A N/A</v>
        <stp/>
        <stp>##V3_BDSV12</stp>
        <stp>SYK US Equity</stp>
        <stp>PG_GROSS_PROFIT</stp>
        <stp>[Fundamental &amp; Technical Model (1).xlsm]Segments!R55C10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55" s="17"/>
      </tp>
      <tp t="s">
        <v>#N/A N/A</v>
        <stp/>
        <stp>##V3_BDSV12</stp>
        <stp>SYK US Equity</stp>
        <stp>PG_GROSS_PROFIT</stp>
        <stp>[Fundamental &amp; Technical Model (1).xlsm]Segments!R69C10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69" s="17"/>
      </tp>
      <tp>
        <v>15.132530120481928</v>
        <stp/>
        <stp>##V3_BQLV12</stp>
        <stp>[Fundamental &amp; Technical Model (1).xlsm]Ratios!R52C9</stp>
        <stp>SYK US Equity</stp>
        <stp>EBIT_TO_INT_EXP</stp>
        <stp>FPT</stp>
        <stp>A</stp>
        <stp>FPO</stp>
        <stp>-5A</stp>
        <stp>STD</stp>
        <stp>Mixed</stp>
        <stp>CONSOL</stp>
        <stp>Yes</stp>
        <tr r="I52" s="8"/>
      </tp>
      <tp>
        <v>-67.2</v>
        <stp/>
        <stp>##V3_BQLV12</stp>
        <stp>[Fundamental &amp; Technical Model (1).xlsm]Income Statement!R33C4</stp>
        <stp>SYK US Equity</stp>
        <stp>IS_NET_INTEREST_EXPENSE/10^6</stp>
        <stp>FPT</stp>
        <stp>A</stp>
        <stp>FPO</stp>
        <stp>-10A</stp>
        <stp>STD</stp>
        <stp>Mixed</stp>
        <stp>CONSOL</stp>
        <stp>Yes</stp>
        <stp>CURRENCY</stp>
        <stp>USD</stp>
        <tr r="D33" s="2"/>
      </tp>
      <tp>
        <v>2.81</v>
        <stp/>
        <stp>##V3_BQLV12</stp>
        <stp>[Fundamental &amp; Technical Model (1).xlsm]Income Statement!R62C4</stp>
        <stp>SYK US Equity</stp>
        <stp>IS_EPS</stp>
        <stp>FPT</stp>
        <stp>A</stp>
        <stp>FPO</stp>
        <stp>-10A</stp>
        <stp>STD</stp>
        <stp>Mixed</stp>
        <stp>CONSOL</stp>
        <stp>Yes</stp>
        <stp>CURRENCY</stp>
        <stp>USD</stp>
        <tr r="D62" s="2"/>
      </tp>
      <tp>
        <v>45.01</v>
        <stp/>
        <stp>##V3_BDPV12</stp>
        <stp>SYK US Equity</stp>
        <stp>ARDR_AVG_EXER_PX_OPT_OUTSTANDING</stp>
        <stp>[Fundamental &amp; Technical Model (1).xlsm]Supplemental!R21C3</stp>
        <stp>EQY_FUND_RELATIVE_PERIOD</stp>
        <stp>-10FY</stp>
        <stp>EQY_FUND_CRNCY</stp>
        <stp>USD</stp>
        <stp>EQY_CONSOLIDATED</stp>
        <stp>Yes</stp>
        <stp>ACCOUNTING_STANDARD_OVERRIDE</stp>
        <stp>Mixed</stp>
        <stp>Fill=--</stp>
        <tr r="C21" s="19"/>
      </tp>
      <tp>
        <v>33.811320754716981</v>
        <stp/>
        <stp>##V3_BQLV12</stp>
        <stp>[Fundamental &amp; Technical Model (1).xlsm]Ratios!R54C6</stp>
        <stp>SYK US Equity</stp>
        <stp>EBITDA_LES_CAP_EXPEND_TO_INT_EXP</stp>
        <stp>FPT</stp>
        <stp>A</stp>
        <stp>FPO</stp>
        <stp>-8A</stp>
        <stp>STD</stp>
        <stp>Mixed</stp>
        <stp>CONSOL</stp>
        <stp>Yes</stp>
        <tr r="F54" s="8"/>
      </tp>
      <tp>
        <v>28.698412698412699</v>
        <stp/>
        <stp>##V3_BQLV12</stp>
        <stp>[Fundamental &amp; Technical Model (1).xlsm]Ratios!R54C8</stp>
        <stp>SYK US Equity</stp>
        <stp>EBITDA_LES_CAP_EXPEND_TO_INT_EXP</stp>
        <stp>FPT</stp>
        <stp>A</stp>
        <stp>FPO</stp>
        <stp>-6A</stp>
        <stp>STD</stp>
        <stp>Mixed</stp>
        <stp>CONSOL</stp>
        <stp>Yes</stp>
        <tr r="H54" s="8"/>
      </tp>
      <tp t="s">
        <v>--</v>
        <stp/>
        <stp>##V3_BDPV12</stp>
        <stp>SYK US Equity</stp>
        <stp>BS_SECURED_DEBT</stp>
        <stp>[Fundamental &amp; Technical Model (1).xlsm]Capital Structure Summary!R53C11</stp>
        <stp>EQY_FUND_RELATIVE_PERIOD</stp>
        <stp>-0FY</stp>
        <stp>EQY_FUND_CRNCY</stp>
        <stp>USD</stp>
        <stp>EQY_CONSOLIDATED</stp>
        <stp>Yes</stp>
        <stp>ACCOUNTING_STANDARD_OVERRIDE</stp>
        <stp>Mixed</stp>
        <stp>Fill=--</stp>
        <tr r="K53" s="21"/>
      </tp>
      <tp t="e">
        <v>#N/A</v>
        <stp/>
        <stp>##V3_BDHV12</stp>
        <stp>SYK US Equity</stp>
        <stp>LOW_CLOSING_PRICE_TO_CASH_FLOW</stp>
        <stp>-5FY</stp>
        <stp>-5FY</stp>
        <stp>[Fundamental &amp; Technical Model (1).xlsm]Multiples!R54C8</stp>
        <stp>EQY_CONSOLIDATED</stp>
        <stp>Yes</stp>
        <stp>ACCOUNTING_STANDARD_OVERRIDE</stp>
        <stp>Mixed</stp>
        <stp>Per</stp>
        <stp>FY</stp>
        <stp>Days=A</stp>
        <tr r="H54" s="16"/>
        <tr r="H54" s="16"/>
      </tp>
      <tp t="s">
        <v>#N/A N/A</v>
        <stp/>
        <stp>##V3_BDSV12</stp>
        <stp>SYK US Equity</stp>
        <stp>PG_OPERATING_INCOME</stp>
        <stp>[Fundamental &amp; Technical Model (1).xlsm]Segments!R91C14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91" s="17"/>
      </tp>
      <tp>
        <v>3699</v>
        <stp/>
        <stp>##V3_BDPV12</stp>
        <stp>SYK US Equity</stp>
        <stp>CASH_AND_ST_INVESTMENTS</stp>
        <stp>[Fundamental &amp; Technical Model (1).xlsm]Capital Structure Summary!R48C11</stp>
        <stp>EQY_FUND_RELATIVE_PERIOD</stp>
        <stp>-0FY</stp>
        <stp>EQY_FUND_CRNCY</stp>
        <stp>USD</stp>
        <stp>EQY_CONSOLIDATED</stp>
        <stp>Yes</stp>
        <stp>ACCOUNTING_STANDARD_OVERRIDE</stp>
        <stp>Mixed</stp>
        <stp>Fill=--</stp>
        <tr r="K48" s="21"/>
      </tp>
      <tp t="s">
        <v>#N/A N/A</v>
        <stp/>
        <stp>##V3_BDSV12</stp>
        <stp>SYK US Equity</stp>
        <stp>PG_OPERATING_INCOME</stp>
        <stp>[Fundamental &amp; Technical Model (1).xlsm]Segments!R91C10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91" s="17"/>
      </tp>
      <tp t="s">
        <v>#N/A N/A</v>
        <stp/>
        <stp>##V3_BDSV12</stp>
        <stp>SYK US Equity</stp>
        <stp>PG_OPERATING_INCOME</stp>
        <stp>[Fundamental &amp; Technical Model (1).xlsm]Segments!R91C11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91" s="17"/>
      </tp>
      <tp t="s">
        <v>#N/A N/A</v>
        <stp/>
        <stp>##V3_BDSV12</stp>
        <stp>SYK US Equity</stp>
        <stp>PG_OPERATING_INCOME</stp>
        <stp>[Fundamental &amp; Technical Model (1).xlsm]Segments!R91C12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91" s="17"/>
      </tp>
      <tp t="s">
        <v>#N/A N/A</v>
        <stp/>
        <stp>##V3_BDSV12</stp>
        <stp>SYK US Equity</stp>
        <stp>PG_OPERATING_INCOME</stp>
        <stp>[Fundamental &amp; Technical Model (1).xlsm]Segments!R91C13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91" s="17"/>
      </tp>
      <tp t="e">
        <v>#N/A</v>
        <stp/>
        <stp>##V3_BDHV12</stp>
        <stp>SYK US Equity</stp>
        <stp>EV_TO_T12M_EBITDA</stp>
        <stp>-1FY</stp>
        <stp>-1FY</stp>
        <stp>[Fundamental &amp; Technical Model (1).xlsm]Multiples!R21C12</stp>
        <stp>EQY_CONSOLIDATED</stp>
        <stp>Yes</stp>
        <stp>ACCOUNTING_STANDARD_OVERRIDE</stp>
        <stp>Mixed</stp>
        <stp>Per</stp>
        <stp>FY</stp>
        <stp>Days=A</stp>
        <tr r="L21" s="16"/>
        <tr r="L21" s="16"/>
      </tp>
      <tp t="e">
        <v>#N/A</v>
        <stp/>
        <stp>##V3_BDHV12</stp>
        <stp>SYK US Equity</stp>
        <stp>EV_TO_T12M_EBITDA</stp>
        <stp>-0FY</stp>
        <stp>-0FY</stp>
        <stp>[Fundamental &amp; Technical Model (1).xlsm]Multiples!R21C13</stp>
        <stp>EQY_CONSOLIDATED</stp>
        <stp>Yes</stp>
        <stp>ACCOUNTING_STANDARD_OVERRIDE</stp>
        <stp>Mixed</stp>
        <stp>Per</stp>
        <stp>FY</stp>
        <stp>Days=A</stp>
        <tr r="M21" s="16"/>
        <tr r="M21" s="16"/>
      </tp>
      <tp t="e">
        <v>#N/A</v>
        <stp/>
        <stp>##V3_BDHV12</stp>
        <stp>SYK US Equity</stp>
        <stp>AVERAGE_DIVIDEND_YIELD</stp>
        <stp>-8FY</stp>
        <stp>-8FY</stp>
        <stp>[Fundamental &amp; Technical Model (1).xlsm]Multiples!R64C5</stp>
        <stp>EQY_CONSOLIDATED</stp>
        <stp>Yes</stp>
        <stp>ACCOUNTING_STANDARD_OVERRIDE</stp>
        <stp>Mixed</stp>
        <stp>Per</stp>
        <stp>FY</stp>
        <stp>Days=A</stp>
        <tr r="E64" s="16"/>
        <tr r="E64" s="16"/>
      </tp>
      <tp t="e">
        <v>#N/A</v>
        <stp/>
        <stp>##V3_BDHV12</stp>
        <stp>SYK US Equity</stp>
        <stp>EV_TO_T12M_EBITDA</stp>
        <stp>-3FY</stp>
        <stp>-3FY</stp>
        <stp>[Fundamental &amp; Technical Model (1).xlsm]Multiples!R21C10</stp>
        <stp>EQY_CONSOLIDATED</stp>
        <stp>Yes</stp>
        <stp>ACCOUNTING_STANDARD_OVERRIDE</stp>
        <stp>Mixed</stp>
        <stp>Per</stp>
        <stp>FY</stp>
        <stp>Days=A</stp>
        <tr r="J21" s="16"/>
        <tr r="J21" s="16"/>
      </tp>
      <tp t="e">
        <v>#N/A</v>
        <stp/>
        <stp>##V3_BDHV12</stp>
        <stp>SYK US Equity</stp>
        <stp>EV_TO_T12M_EBITDA</stp>
        <stp>-2FY</stp>
        <stp>-2FY</stp>
        <stp>[Fundamental &amp; Technical Model (1).xlsm]Multiples!R21C11</stp>
        <stp>EQY_CONSOLIDATED</stp>
        <stp>Yes</stp>
        <stp>ACCOUNTING_STANDARD_OVERRIDE</stp>
        <stp>Mixed</stp>
        <stp>Per</stp>
        <stp>FY</stp>
        <stp>Days=A</stp>
        <tr r="K21" s="16"/>
        <tr r="K21" s="16"/>
      </tp>
      <tp t="s">
        <v>#N/A N/A</v>
        <stp/>
        <stp>##V3_BDSV12</stp>
        <stp>SYK US Equity</stp>
        <stp>PG_DEPR_AMORTIZATION</stp>
        <stp>[Fundamental &amp; Technical Model (1).xlsm]Segments!R142C5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142" s="17"/>
      </tp>
      <tp>
        <v>69930521651.375</v>
        <stp/>
        <stp>##V3_BDPV12</stp>
        <stp>SYK Equity</stp>
        <stp>cur_mkt_cap</stp>
        <stp>[Fundamental &amp; Technical Model (1).xlsm]Public Comparables!R7C8</stp>
        <tr r="H7" s="24"/>
      </tp>
      <tp>
        <v>2.4971410419313851</v>
        <stp/>
        <stp>##V3_BQLV12</stp>
        <stp>[Fundamental &amp; Technical Model (1).xlsm]Ratios!R37C12</stp>
        <stp>SYK US Equity</stp>
        <stp>CUR_RATIO</stp>
        <stp>FPT</stp>
        <stp>A</stp>
        <stp>FPO</stp>
        <stp>-2A</stp>
        <stp>STD</stp>
        <stp>Mixed</stp>
        <stp>CONSOL</stp>
        <stp>Yes</stp>
        <tr r="L37" s="8"/>
      </tp>
      <tp t="s">
        <v>#N/A N/A</v>
        <stp/>
        <stp>##V3_BDSV12</stp>
        <stp>SYK US Equity</stp>
        <stp>PG_GROSS_PROFIT</stp>
        <stp>[Fundamental &amp; Technical Model (1).xlsm]Segments!R69C13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69" s="17"/>
      </tp>
      <tp t="s">
        <v>#N/A N/A</v>
        <stp/>
        <stp>##V3_BDSV12</stp>
        <stp>SYK US Equity</stp>
        <stp>PG_GROSS_PROFIT</stp>
        <stp>[Fundamental &amp; Technical Model (1).xlsm]Segments!R55C13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55" s="17"/>
      </tp>
      <tp>
        <v>-1197</v>
        <stp/>
        <stp>##V3_BQLV12</stp>
        <stp>[Fundamental &amp; Technical Model (1).xlsm]Income Statement!R46C14</stp>
        <stp>SYK US Equity</stp>
        <stp>IS_INC_TAX_EXP/10^6</stp>
        <stp>FPT</stp>
        <stp>A</stp>
        <stp>FPO</stp>
        <stp>-0A</stp>
        <stp>STD</stp>
        <stp>Mixed</stp>
        <stp>CONSOL</stp>
        <stp>Yes</stp>
        <stp>CURRENCY</stp>
        <stp>USD</stp>
        <tr r="N46" s="2"/>
      </tp>
      <tp>
        <v>27.634920634920636</v>
        <stp/>
        <stp>##V3_BQLV12</stp>
        <stp>[Fundamental &amp; Technical Model (1).xlsm]Ratios!R52C8</stp>
        <stp>SYK US Equity</stp>
        <stp>EBIT_TO_INT_EXP</stp>
        <stp>FPT</stp>
        <stp>A</stp>
        <stp>FPO</stp>
        <stp>-6A</stp>
        <stp>STD</stp>
        <stp>Mixed</stp>
        <stp>CONSOL</stp>
        <stp>Yes</stp>
        <tr r="H52" s="8"/>
      </tp>
      <tp>
        <v>0</v>
        <stp/>
        <stp>##V3_BDPV12</stp>
        <stp>SYK US Equity</stp>
        <stp>BS_PFD_EQY</stp>
        <stp>[Fundamental &amp; Technical Model (1).xlsm]Capital Structure Summary!R32C11</stp>
        <stp>EQY_FUND_RELATIVE_PERIOD</stp>
        <stp>-0FY</stp>
        <stp>EQY_FUND_CRNCY</stp>
        <stp>USD</stp>
        <stp>EQY_CONSOLIDATED</stp>
        <stp>Yes</stp>
        <stp>ACCOUNTING_STANDARD_OVERRIDE</stp>
        <stp>Mixed</stp>
        <stp>Fill=--</stp>
        <tr r="K32" s="21"/>
      </tp>
      <tp>
        <v>0</v>
        <stp/>
        <stp>##V3_BDPV12</stp>
        <stp>SYK US Equity</stp>
        <stp>ARD_ACCRUED_EXPENSES</stp>
        <stp>[Fundamental &amp; Technical Model (1).xlsm]Balance Sheet!R37C11</stp>
        <stp>EQY_FUND_RELATIVE_PERIOD</stp>
        <stp>-3FY</stp>
        <stp>EQY_FUND_CRNCY</stp>
        <stp>USD</stp>
        <stp>EQY_CONSOLIDATED</stp>
        <stp>Yes</stp>
        <stp>ACCOUNTING_STANDARD_OVERRIDE</stp>
        <stp>Mixed</stp>
        <stp>Fill=0</stp>
        <tr r="K37" s="3"/>
      </tp>
      <tp>
        <v>0</v>
        <stp/>
        <stp>##V3_BDPV12</stp>
        <stp>SYK US Equity</stp>
        <stp>ARD_ACCRUED_EXPENSES</stp>
        <stp>[Fundamental &amp; Technical Model (1).xlsm]Balance Sheet!R37C13</stp>
        <stp>EQY_FUND_RELATIVE_PERIOD</stp>
        <stp>-1FY</stp>
        <stp>EQY_FUND_CRNCY</stp>
        <stp>USD</stp>
        <stp>EQY_CONSOLIDATED</stp>
        <stp>Yes</stp>
        <stp>ACCOUNTING_STANDARD_OVERRIDE</stp>
        <stp>Mixed</stp>
        <stp>Fill=0</stp>
        <tr r="M37" s="3"/>
      </tp>
      <tp>
        <v>0</v>
        <stp/>
        <stp>##V3_BDPV12</stp>
        <stp>SYK US Equity</stp>
        <stp>ARD_ACCRUED_EXPENSES</stp>
        <stp>[Fundamental &amp; Technical Model (1).xlsm]Balance Sheet!R37C12</stp>
        <stp>EQY_FUND_RELATIVE_PERIOD</stp>
        <stp>-2FY</stp>
        <stp>EQY_FUND_CRNCY</stp>
        <stp>USD</stp>
        <stp>EQY_CONSOLIDATED</stp>
        <stp>Yes</stp>
        <stp>ACCOUNTING_STANDARD_OVERRIDE</stp>
        <stp>Mixed</stp>
        <stp>Fill=0</stp>
        <tr r="L37" s="3"/>
      </tp>
      <tp>
        <v>0</v>
        <stp/>
        <stp>##V3_BDPV12</stp>
        <stp>SYK US Equity</stp>
        <stp>ARD_ACCRUED_EXPENSES</stp>
        <stp>[Fundamental &amp; Technical Model (1).xlsm]Balance Sheet!R37C10</stp>
        <stp>EQY_FUND_RELATIVE_PERIOD</stp>
        <stp>-4FY</stp>
        <stp>EQY_FUND_CRNCY</stp>
        <stp>USD</stp>
        <stp>EQY_CONSOLIDATED</stp>
        <stp>Yes</stp>
        <stp>ACCOUNTING_STANDARD_OVERRIDE</stp>
        <stp>Mixed</stp>
        <stp>Fill=0</stp>
        <tr r="J37" s="3"/>
      </tp>
      <tp>
        <v>0</v>
        <stp/>
        <stp>##V3_BDPV12</stp>
        <stp>SYK US Equity</stp>
        <stp>ARD_ACCRUED_EXPENSES</stp>
        <stp>[Fundamental &amp; Technical Model (1).xlsm]Balance Sheet!R37C14</stp>
        <stp>EQY_FUND_RELATIVE_PERIOD</stp>
        <stp>-0FY</stp>
        <stp>EQY_FUND_CRNCY</stp>
        <stp>USD</stp>
        <stp>EQY_CONSOLIDATED</stp>
        <stp>Yes</stp>
        <stp>ACCOUNTING_STANDARD_OVERRIDE</stp>
        <stp>Mixed</stp>
        <stp>Fill=0</stp>
        <tr r="N37" s="3"/>
      </tp>
      <tp t="s">
        <v>#N/A N/A</v>
        <stp/>
        <stp>##V3_BDSV12</stp>
        <stp>SYK US Equity</stp>
        <stp>PG_OPERATING_INCOME</stp>
        <stp>[Fundamental &amp; Technical Model (1).xlsm]Segments!R92C13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92" s="17"/>
      </tp>
      <tp t="s">
        <v>#N/A N/A</v>
        <stp/>
        <stp>##V3_BDSV12</stp>
        <stp>SYK US Equity</stp>
        <stp>PG_OPERATING_INCOME</stp>
        <stp>[Fundamental &amp; Technical Model (1).xlsm]Segments!R92C12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92" s="17"/>
      </tp>
      <tp t="s">
        <v>#N/A N/A</v>
        <stp/>
        <stp>##V3_BDSV12</stp>
        <stp>SYK US Equity</stp>
        <stp>PG_OPERATING_INCOME</stp>
        <stp>[Fundamental &amp; Technical Model (1).xlsm]Segments!R92C11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92" s="17"/>
      </tp>
      <tp t="s">
        <v>#N/A N/A</v>
        <stp/>
        <stp>##V3_BDSV12</stp>
        <stp>SYK US Equity</stp>
        <stp>PG_OPERATING_INCOME</stp>
        <stp>[Fundamental &amp; Technical Model (1).xlsm]Segments!R92C10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92" s="17"/>
      </tp>
      <tp t="s">
        <v>#N/A N/A</v>
        <stp/>
        <stp>##V3_BDSV12</stp>
        <stp>SYK US Equity</stp>
        <stp>PG_OPERATING_INCOME</stp>
        <stp>[Fundamental &amp; Technical Model (1).xlsm]Segments!R92C14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92" s="17"/>
      </tp>
      <tp t="s">
        <v>#N/A N/A</v>
        <stp/>
        <stp>##V3_BDSV12</stp>
        <stp>SYK US Equity</stp>
        <stp>PG_DEPR_AMORTIZATION</stp>
        <stp>[Fundamental &amp; Technical Model (1).xlsm]Segments!R142C6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142" s="17"/>
      </tp>
      <tp>
        <v>9.6098484848484844</v>
        <stp/>
        <stp>##V3_BDPV12</stp>
        <stp>SYK US Equity</stp>
        <stp>EBIT_TO_INT_EXP</stp>
        <stp>[Fundamental &amp; Technical Model (1).xlsm]Capital Structure Summary!R64C11</stp>
        <stp>EQY_FUND_RELATIVE_PERIOD</stp>
        <stp>-0FY</stp>
        <stp>EQY_FUND_CRNCY</stp>
        <stp>USD</stp>
        <stp>EQY_CONSOLIDATED</stp>
        <stp>Yes</stp>
        <stp>ACCOUNTING_STANDARD_OVERRIDE</stp>
        <stp>Mixed</stp>
        <stp>Fill=--</stp>
        <tr r="K64" s="21"/>
      </tp>
      <tp t="e">
        <v>#N/A</v>
        <stp/>
        <stp>##V3_BDHV12</stp>
        <stp>SYK US Equity</stp>
        <stp>AVERAGE_DIVIDEND_YIELD</stp>
        <stp>-7FY</stp>
        <stp>-7FY</stp>
        <stp>[Fundamental &amp; Technical Model (1).xlsm]Multiples!R64C6</stp>
        <stp>EQY_CONSOLIDATED</stp>
        <stp>Yes</stp>
        <stp>ACCOUNTING_STANDARD_OVERRIDE</stp>
        <stp>Mixed</stp>
        <stp>Per</stp>
        <stp>FY</stp>
        <stp>Days=A</stp>
        <tr r="F64" s="16"/>
        <tr r="F64" s="16"/>
      </tp>
      <tp>
        <v>37</v>
        <stp/>
        <stp>##V3_BQLV12</stp>
        <stp>[Fundamental &amp; Technical Model (1).xlsm]Balance Sheet!R53C12</stp>
        <stp>SYK US Equity</stp>
        <stp>BS_COMMON_STOCK/10^6</stp>
        <stp>FPT</stp>
        <stp>A</stp>
        <stp>FPO</stp>
        <stp>-2A</stp>
        <stp>STD</stp>
        <stp>Mixed</stp>
        <stp>CONSOL</stp>
        <stp>Yes</stp>
        <stp>CURRENCY</stp>
        <stp>USD</stp>
        <tr r="L53" s="3"/>
      </tp>
      <tp>
        <v>37</v>
        <stp/>
        <stp>##V3_BQLV12</stp>
        <stp>[Fundamental &amp; Technical Model (1).xlsm]Balance Sheet!R53C11</stp>
        <stp>SYK US Equity</stp>
        <stp>BS_COMMON_STOCK/10^6</stp>
        <stp>FPT</stp>
        <stp>A</stp>
        <stp>FPO</stp>
        <stp>-3A</stp>
        <stp>STD</stp>
        <stp>Mixed</stp>
        <stp>CONSOL</stp>
        <stp>Yes</stp>
        <stp>CURRENCY</stp>
        <stp>USD</stp>
        <tr r="K53" s="3"/>
      </tp>
      <tp>
        <v>37</v>
        <stp/>
        <stp>##V3_BQLV12</stp>
        <stp>[Fundamental &amp; Technical Model (1).xlsm]Balance Sheet!R53C13</stp>
        <stp>SYK US Equity</stp>
        <stp>BS_COMMON_STOCK/10^6</stp>
        <stp>FPT</stp>
        <stp>A</stp>
        <stp>FPO</stp>
        <stp>-1A</stp>
        <stp>STD</stp>
        <stp>Mixed</stp>
        <stp>CONSOL</stp>
        <stp>Yes</stp>
        <stp>CURRENCY</stp>
        <stp>USD</stp>
        <tr r="M53" s="3"/>
      </tp>
      <tp>
        <v>38</v>
        <stp/>
        <stp>##V3_BQLV12</stp>
        <stp>[Fundamental &amp; Technical Model (1).xlsm]Balance Sheet!R53C10</stp>
        <stp>SYK US Equity</stp>
        <stp>BS_COMMON_STOCK/10^6</stp>
        <stp>FPT</stp>
        <stp>A</stp>
        <stp>FPO</stp>
        <stp>-4A</stp>
        <stp>STD</stp>
        <stp>Mixed</stp>
        <stp>CONSOL</stp>
        <stp>Yes</stp>
        <stp>CURRENCY</stp>
        <stp>USD</stp>
        <tr r="J53" s="3"/>
      </tp>
      <tp>
        <v>37</v>
        <stp/>
        <stp>##V3_BQLV12</stp>
        <stp>[Fundamental &amp; Technical Model (1).xlsm]Balance Sheet!R53C14</stp>
        <stp>SYK US Equity</stp>
        <stp>BS_COMMON_STOCK/10^6</stp>
        <stp>FPT</stp>
        <stp>A</stp>
        <stp>FPO</stp>
        <stp>-0A</stp>
        <stp>STD</stp>
        <stp>Mixed</stp>
        <stp>CONSOL</stp>
        <stp>Yes</stp>
        <stp>CURRENCY</stp>
        <stp>USD</stp>
        <tr r="N53" s="3"/>
      </tp>
      <tp>
        <v>2.2677704824436198</v>
        <stp/>
        <stp>##V3_BQLV12</stp>
        <stp>[Fundamental &amp; Technical Model (1).xlsm]Ratios!R37C11</stp>
        <stp>SYK US Equity</stp>
        <stp>CUR_RATIO</stp>
        <stp>FPT</stp>
        <stp>A</stp>
        <stp>FPO</stp>
        <stp>-3A</stp>
        <stp>STD</stp>
        <stp>Mixed</stp>
        <stp>CONSOL</stp>
        <stp>Yes</stp>
        <tr r="K37" s="8"/>
      </tp>
      <tp t="e">
        <v>#N/A</v>
        <stp/>
        <stp>##V3_BDHV12</stp>
        <stp>SYK US Equity</stp>
        <stp>EV_TO_T12M_EBIT</stp>
        <stp>-10FY</stp>
        <stp>-10FY</stp>
        <stp>[Fundamental &amp; Technical Model (1).xlsm]Multiples!R27C3</stp>
        <stp>EQY_CONSOLIDATED</stp>
        <stp>Yes</stp>
        <stp>ACCOUNTING_STANDARD_OVERRIDE</stp>
        <stp>Mixed</stp>
        <stp>Per</stp>
        <stp>FY</stp>
        <stp>Days=A</stp>
        <tr r="C27" s="16"/>
        <tr r="C27" s="16"/>
      </tp>
      <tp t="e">
        <v>#N/A</v>
        <stp/>
        <stp>##V3_BDHV12</stp>
        <stp>SYK US Equity</stp>
        <stp>AVERAGE_EV_TO_T12M_EBIT</stp>
        <stp>-10FY</stp>
        <stp>-10FY</stp>
        <stp>[Fundamental &amp; Technical Model (1).xlsm]Multiples!R28C3</stp>
        <stp>EQY_CONSOLIDATED</stp>
        <stp>Yes</stp>
        <stp>ACCOUNTING_STANDARD_OVERRIDE</stp>
        <stp>Mixed</stp>
        <stp>Per</stp>
        <stp>FY</stp>
        <stp>Days=A</stp>
        <tr r="C28" s="16"/>
        <tr r="C28" s="16"/>
      </tp>
      <tp t="s">
        <v>--</v>
        <stp/>
        <stp>##V3_BDPV12</stp>
        <stp>SYK US Equity</stp>
        <stp>ARDR_STOCK_OPTION_VAL_EXP_VOL</stp>
        <stp>[Fundamental &amp; Technical Model (1).xlsm]Supplemental!R29C4</stp>
        <stp>EQY_FUND_RELATIVE_PERIOD</stp>
        <stp>-9FY</stp>
        <stp>EQY_FUND_CRNCY</stp>
        <stp>USD</stp>
        <stp>EQY_CONSOLIDATED</stp>
        <stp>Yes</stp>
        <stp>ACCOUNTING_STANDARD_OVERRIDE</stp>
        <stp>Mixed</stp>
        <stp>Fill=--</stp>
        <tr r="D29" s="19"/>
      </tp>
      <tp>
        <v>28.6</v>
        <stp/>
        <stp>##V3_BDPV12</stp>
        <stp>SYK US Equity</stp>
        <stp>ARDR_STOCK_OPTION_VAL_EXP_VOL</stp>
        <stp>[Fundamental &amp; Technical Model (1).xlsm]Supplemental!R29C5</stp>
        <stp>EQY_FUND_RELATIVE_PERIOD</stp>
        <stp>-8FY</stp>
        <stp>EQY_FUND_CRNCY</stp>
        <stp>USD</stp>
        <stp>EQY_CONSOLIDATED</stp>
        <stp>Yes</stp>
        <stp>ACCOUNTING_STANDARD_OVERRIDE</stp>
        <stp>Mixed</stp>
        <stp>Fill=--</stp>
        <tr r="E29" s="19"/>
      </tp>
      <tp>
        <v>27.9</v>
        <stp/>
        <stp>##V3_BDPV12</stp>
        <stp>SYK US Equity</stp>
        <stp>ARDR_STOCK_OPTION_VAL_EXP_VOL</stp>
        <stp>[Fundamental &amp; Technical Model (1).xlsm]Supplemental!R29C8</stp>
        <stp>EQY_FUND_RELATIVE_PERIOD</stp>
        <stp>-5FY</stp>
        <stp>EQY_FUND_CRNCY</stp>
        <stp>USD</stp>
        <stp>EQY_CONSOLIDATED</stp>
        <stp>Yes</stp>
        <stp>ACCOUNTING_STANDARD_OVERRIDE</stp>
        <stp>Mixed</stp>
        <stp>Fill=--</stp>
        <tr r="H29" s="19"/>
      </tp>
      <tp>
        <v>20.2</v>
        <stp/>
        <stp>##V3_BDPV12</stp>
        <stp>SYK US Equity</stp>
        <stp>ARDR_STOCK_OPTION_VAL_EXP_VOL</stp>
        <stp>[Fundamental &amp; Technical Model (1).xlsm]Supplemental!R29C9</stp>
        <stp>EQY_FUND_RELATIVE_PERIOD</stp>
        <stp>-4FY</stp>
        <stp>EQY_FUND_CRNCY</stp>
        <stp>USD</stp>
        <stp>EQY_CONSOLIDATED</stp>
        <stp>Yes</stp>
        <stp>ACCOUNTING_STANDARD_OVERRIDE</stp>
        <stp>Mixed</stp>
        <stp>Fill=--</stp>
        <tr r="I29" s="19"/>
      </tp>
      <tp t="s">
        <v>#N/A N/A</v>
        <stp/>
        <stp>##V3_BDSV12</stp>
        <stp>SYK US Equity</stp>
        <stp>PG_GROSS_PROFIT</stp>
        <stp>[Fundamental &amp; Technical Model (1).xlsm]Segments!R69C12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69" s="17"/>
      </tp>
      <tp>
        <v>952.7</v>
        <stp/>
        <stp>##V3_BQLV12</stp>
        <stp>[Fundamental &amp; Technical Model (1).xlsm]Balance Sheet!R23C4</stp>
        <stp>SYK US Equity</stp>
        <stp>BS_INVENTORIES/10^6</stp>
        <stp>FPT</stp>
        <stp>A</stp>
        <stp>FPO</stp>
        <stp>-10A</stp>
        <stp>STD</stp>
        <stp>Mixed</stp>
        <stp>CONSOL</stp>
        <stp>Yes</stp>
        <stp>CURRENCY</stp>
        <stp>USD</stp>
        <tr r="D23" s="3"/>
      </tp>
      <tp t="s">
        <v>#N/A N/A</v>
        <stp/>
        <stp>##V3_BDSV12</stp>
        <stp>SYK US Equity</stp>
        <stp>PG_GROSS_PROFIT</stp>
        <stp>[Fundamental &amp; Technical Model (1).xlsm]Segments!R55C12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55" s="17"/>
      </tp>
      <tp>
        <v>30.107142857142858</v>
        <stp/>
        <stp>##V3_BQLV12</stp>
        <stp>[Fundamental &amp; Technical Model (1).xlsm]Ratios!R52C7</stp>
        <stp>SYK US Equity</stp>
        <stp>EBIT_TO_INT_EXP</stp>
        <stp>FPT</stp>
        <stp>A</stp>
        <stp>FPO</stp>
        <stp>-7A</stp>
        <stp>STD</stp>
        <stp>Mixed</stp>
        <stp>CONSOL</stp>
        <stp>Yes</stp>
        <tr r="G52" s="8"/>
      </tp>
      <tp>
        <v>26.9</v>
        <stp/>
        <stp>##V3_BDPV12</stp>
        <stp>SYK US Equity</stp>
        <stp>ARDR_STOCK_OPTION_VAL_EXP_VOL</stp>
        <stp>[Fundamental &amp; Technical Model (1).xlsm]Supplemental!R29C6</stp>
        <stp>EQY_FUND_RELATIVE_PERIOD</stp>
        <stp>-7FY</stp>
        <stp>EQY_FUND_CRNCY</stp>
        <stp>USD</stp>
        <stp>EQY_CONSOLIDATED</stp>
        <stp>Yes</stp>
        <stp>ACCOUNTING_STANDARD_OVERRIDE</stp>
        <stp>Mixed</stp>
        <stp>Fill=--</stp>
        <tr r="F29" s="19"/>
      </tp>
      <tp>
        <v>27.6</v>
        <stp/>
        <stp>##V3_BDPV12</stp>
        <stp>SYK US Equity</stp>
        <stp>ARDR_STOCK_OPTION_VAL_EXP_VOL</stp>
        <stp>[Fundamental &amp; Technical Model (1).xlsm]Supplemental!R29C7</stp>
        <stp>EQY_FUND_RELATIVE_PERIOD</stp>
        <stp>-6FY</stp>
        <stp>EQY_FUND_CRNCY</stp>
        <stp>USD</stp>
        <stp>EQY_CONSOLIDATED</stp>
        <stp>Yes</stp>
        <stp>ACCOUNTING_STANDARD_OVERRIDE</stp>
        <stp>Mixed</stp>
        <stp>Fill=--</stp>
        <tr r="G29" s="19"/>
      </tp>
      <tp>
        <v>12.575018848957024</v>
        <stp/>
        <stp>##V3_BQLV12</stp>
        <stp>[Fundamental &amp; Technical Model (1).xlsm]Balance Sheet!R67C5</stp>
        <stp>SYK US Equity</stp>
        <stp>TANG_BOOK_VAL_PER_SH</stp>
        <stp>FPT</stp>
        <stp>A</stp>
        <stp>FPO</stp>
        <stp>-9A</stp>
        <stp>STD</stp>
        <stp>Mixed</stp>
        <stp>CONSOL</stp>
        <stp>Yes</stp>
        <stp>CURRENCY</stp>
        <stp>USD</stp>
        <tr r="E67" s="3"/>
      </tp>
      <tp>
        <v>8.5026455026455032</v>
        <stp/>
        <stp>##V3_BQLV12</stp>
        <stp>[Fundamental &amp; Technical Model (1).xlsm]Balance Sheet!R67C9</stp>
        <stp>SYK US Equity</stp>
        <stp>TANG_BOOK_VAL_PER_SH</stp>
        <stp>FPT</stp>
        <stp>A</stp>
        <stp>FPO</stp>
        <stp>-5A</stp>
        <stp>STD</stp>
        <stp>Mixed</stp>
        <stp>CONSOL</stp>
        <stp>Yes</stp>
        <stp>CURRENCY</stp>
        <stp>USD</stp>
        <tr r="I67" s="3"/>
      </tp>
      <tp>
        <v>13.808184143222507</v>
        <stp/>
        <stp>##V3_BQLV12</stp>
        <stp>[Fundamental &amp; Technical Model (1).xlsm]Balance Sheet!R67C6</stp>
        <stp>SYK US Equity</stp>
        <stp>TANG_BOOK_VAL_PER_SH</stp>
        <stp>FPT</stp>
        <stp>A</stp>
        <stp>FPO</stp>
        <stp>-8A</stp>
        <stp>STD</stp>
        <stp>Mixed</stp>
        <stp>CONSOL</stp>
        <stp>Yes</stp>
        <stp>CURRENCY</stp>
        <stp>USD</stp>
        <tr r="F67" s="3"/>
      </tp>
      <tp>
        <v>13.239473684210527</v>
        <stp/>
        <stp>##V3_BQLV12</stp>
        <stp>[Fundamental &amp; Technical Model (1).xlsm]Balance Sheet!R67C8</stp>
        <stp>SYK US Equity</stp>
        <stp>TANG_BOOK_VAL_PER_SH</stp>
        <stp>FPT</stp>
        <stp>A</stp>
        <stp>FPO</stp>
        <stp>-6A</stp>
        <stp>STD</stp>
        <stp>Mixed</stp>
        <stp>CONSOL</stp>
        <stp>Yes</stp>
        <stp>CURRENCY</stp>
        <stp>USD</stp>
        <tr r="H67" s="3"/>
      </tp>
      <tp>
        <v>10.94225721784777</v>
        <stp/>
        <stp>##V3_BQLV12</stp>
        <stp>[Fundamental &amp; Technical Model (1).xlsm]Balance Sheet!R67C7</stp>
        <stp>SYK US Equity</stp>
        <stp>TANG_BOOK_VAL_PER_SH</stp>
        <stp>FPT</stp>
        <stp>A</stp>
        <stp>FPO</stp>
        <stp>-7A</stp>
        <stp>STD</stp>
        <stp>Mixed</stp>
        <stp>CONSOL</stp>
        <stp>Yes</stp>
        <stp>CURRENCY</stp>
        <stp>USD</stp>
        <tr r="G67" s="3"/>
      </tp>
      <tp>
        <v>5.28</v>
        <stp/>
        <stp>##V3_BQLV12</stp>
        <stp>[Fundamental &amp; Technical Model (1).xlsm]Ratios!R54C5</stp>
        <stp>SYK US Equity</stp>
        <stp>EBITDA_LES_CAP_EXPEND_TO_INT_EXP</stp>
        <stp>FPT</stp>
        <stp>A</stp>
        <stp>FPO</stp>
        <stp>-9A</stp>
        <stp>STD</stp>
        <stp>Mixed</stp>
        <stp>CONSOL</stp>
        <stp>Yes</stp>
        <tr r="E54" s="8"/>
      </tp>
      <tp>
        <v>16.481927710843372</v>
        <stp/>
        <stp>##V3_BQLV12</stp>
        <stp>[Fundamental &amp; Technical Model (1).xlsm]Ratios!R54C9</stp>
        <stp>SYK US Equity</stp>
        <stp>EBITDA_LES_CAP_EXPEND_TO_INT_EXP</stp>
        <stp>FPT</stp>
        <stp>A</stp>
        <stp>FPO</stp>
        <stp>-5A</stp>
        <stp>STD</stp>
        <stp>Mixed</stp>
        <stp>CONSOL</stp>
        <stp>Yes</stp>
        <tr r="I54" s="8"/>
      </tp>
      <tp t="s">
        <v>#N/A N/A</v>
        <stp/>
        <stp>##V3_BDSV12</stp>
        <stp>SYK US Equity</stp>
        <stp>PG_OPERATING_INCOME</stp>
        <stp>[Fundamental &amp; Technical Model (1).xlsm]Segments!R93C12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93" s="17"/>
      </tp>
      <tp t="s">
        <v>#N/A N/A</v>
        <stp/>
        <stp>##V3_BDSV12</stp>
        <stp>SYK US Equity</stp>
        <stp>PG_OPERATING_INCOME</stp>
        <stp>[Fundamental &amp; Technical Model (1).xlsm]Segments!R93C13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93" s="17"/>
      </tp>
      <tp t="s">
        <v>#N/A N/A</v>
        <stp/>
        <stp>##V3_BDSV12</stp>
        <stp>SYK US Equity</stp>
        <stp>PG_OPERATING_INCOME</stp>
        <stp>[Fundamental &amp; Technical Model (1).xlsm]Segments!R93C10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93" s="17"/>
      </tp>
      <tp t="s">
        <v>#N/A N/A</v>
        <stp/>
        <stp>##V3_BDSV12</stp>
        <stp>SYK US Equity</stp>
        <stp>PG_OPERATING_INCOME</stp>
        <stp>[Fundamental &amp; Technical Model (1).xlsm]Segments!R93C11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93" s="17"/>
      </tp>
      <tp t="s">
        <v>#N/A N/A</v>
        <stp/>
        <stp>##V3_BDSV12</stp>
        <stp>SYK US Equity</stp>
        <stp>PG_OPERATING_INCOME</stp>
        <stp>[Fundamental &amp; Technical Model (1).xlsm]Segments!R93C14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93" s="17"/>
      </tp>
      <tp>
        <v>948</v>
        <stp/>
        <stp>##V3_BQLV12</stp>
        <stp>[Fundamental &amp; Technical Model (1).xlsm]Balance Sheet!R29C8</stp>
        <stp>SYK US Equity</stp>
        <stp>BS_NET_FIX_ASSET/10^6</stp>
        <stp>FPT</stp>
        <stp>A</stp>
        <stp>FPO</stp>
        <stp>-6A</stp>
        <stp>STD</stp>
        <stp>Mixed</stp>
        <stp>CONSOL</stp>
        <stp>Yes</stp>
        <stp>CURRENCY</stp>
        <stp>USD</stp>
        <tr r="H29" s="3"/>
      </tp>
      <tp>
        <v>1081</v>
        <stp/>
        <stp>##V3_BQLV12</stp>
        <stp>[Fundamental &amp; Technical Model (1).xlsm]Balance Sheet!R29C9</stp>
        <stp>SYK US Equity</stp>
        <stp>BS_NET_FIX_ASSET/10^6</stp>
        <stp>FPT</stp>
        <stp>A</stp>
        <stp>FPO</stp>
        <stp>-5A</stp>
        <stp>STD</stp>
        <stp>Mixed</stp>
        <stp>CONSOL</stp>
        <stp>Yes</stp>
        <stp>CURRENCY</stp>
        <stp>USD</stp>
        <tr r="I29" s="3"/>
      </tp>
      <tp>
        <v>798</v>
        <stp/>
        <stp>##V3_BQLV12</stp>
        <stp>[Fundamental &amp; Technical Model (1).xlsm]Balance Sheet!R29C6</stp>
        <stp>SYK US Equity</stp>
        <stp>BS_NET_FIX_ASSET/10^6</stp>
        <stp>FPT</stp>
        <stp>A</stp>
        <stp>FPO</stp>
        <stp>-8A</stp>
        <stp>STD</stp>
        <stp>Mixed</stp>
        <stp>CONSOL</stp>
        <stp>Yes</stp>
        <stp>CURRENCY</stp>
        <stp>USD</stp>
        <tr r="F29" s="3"/>
      </tp>
      <tp>
        <v>888</v>
        <stp/>
        <stp>##V3_BQLV12</stp>
        <stp>[Fundamental &amp; Technical Model (1).xlsm]Balance Sheet!R29C7</stp>
        <stp>SYK US Equity</stp>
        <stp>BS_NET_FIX_ASSET/10^6</stp>
        <stp>FPT</stp>
        <stp>A</stp>
        <stp>FPO</stp>
        <stp>-7A</stp>
        <stp>STD</stp>
        <stp>Mixed</stp>
        <stp>CONSOL</stp>
        <stp>Yes</stp>
        <stp>CURRENCY</stp>
        <stp>USD</stp>
        <tr r="G29" s="3"/>
      </tp>
      <tp>
        <v>947.6</v>
        <stp/>
        <stp>##V3_BQLV12</stp>
        <stp>[Fundamental &amp; Technical Model (1).xlsm]Balance Sheet!R29C5</stp>
        <stp>SYK US Equity</stp>
        <stp>BS_NET_FIX_ASSET/10^6</stp>
        <stp>FPT</stp>
        <stp>A</stp>
        <stp>FPO</stp>
        <stp>-9A</stp>
        <stp>STD</stp>
        <stp>Mixed</stp>
        <stp>CONSOL</stp>
        <stp>Yes</stp>
        <stp>CURRENCY</stp>
        <stp>USD</stp>
        <tr r="E29" s="3"/>
      </tp>
      <tp t="s">
        <v>#N/A N/A</v>
        <stp/>
        <stp>##V3_BDSV12</stp>
        <stp>SYK US Equity</stp>
        <stp>PG_DEPR_AMORTIZATION</stp>
        <stp>[Fundamental &amp; Technical Model (1).xlsm]Segments!R142C7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142" s="17"/>
      </tp>
      <tp t="e">
        <v>#N/A</v>
        <stp/>
        <stp>##V3_BDHV12</stp>
        <stp>SYK US Equity</stp>
        <stp>AVERAGE_DIVIDEND_YIELD</stp>
        <stp>-6FY</stp>
        <stp>-6FY</stp>
        <stp>[Fundamental &amp; Technical Model (1).xlsm]Multiples!R64C7</stp>
        <stp>EQY_CONSOLIDATED</stp>
        <stp>Yes</stp>
        <stp>ACCOUNTING_STANDARD_OVERRIDE</stp>
        <stp>Mixed</stp>
        <stp>Per</stp>
        <stp>FY</stp>
        <stp>Days=A</stp>
        <tr r="G64" s="16"/>
        <tr r="G64" s="16"/>
      </tp>
      <tp>
        <v>2131.4</v>
        <stp/>
        <stp>##V3_BQLV12</stp>
        <stp>[Fundamental &amp; Technical Model (1).xlsm]Income Statement!R20C4</stp>
        <stp>SYK US Equity</stp>
        <stp>IS_COGS_TO_FE_AND_PP_AND_G/10^6</stp>
        <stp>FPT</stp>
        <stp>A</stp>
        <stp>FPO</stp>
        <stp>-10A</stp>
        <stp>STD</stp>
        <stp>Mixed</stp>
        <stp>CONSOL</stp>
        <stp>Yes</stp>
        <stp>CURRENCY</stp>
        <stp>USD</stp>
        <tr r="D20" s="2"/>
      </tp>
      <tp>
        <v>20.016595485123627</v>
        <stp/>
        <stp>##V3_BQLV12</stp>
        <stp>[Fundamental &amp; Technical Model (1).xlsm]Key Stats!R56C4</stp>
        <stp>SYK US Equity</stp>
        <stp>PX_TO_DILUTED_EPS_BEF_XO_ITEMS</stp>
        <stp>FPT=A</stp>
        <stp>FPO=0</stp>
        <stp>STD</stp>
        <stp>Mixed</stp>
        <stp>CONSOL</stp>
        <stp>Yes</stp>
        <stp>CURRENCY</stp>
        <stp>USD</stp>
        <tr r="D56" s="23"/>
      </tp>
      <tp>
        <v>3205</v>
        <stp/>
        <stp>##V3_BQLV12</stp>
        <stp>[Fundamental &amp; Technical Model (1).xlsm]Balance Sheet!R18C10</stp>
        <stp>SYK US Equity</stp>
        <stp>BS_MKT_SEC_OTHER_ST_INVEST/10^6</stp>
        <stp>FPT</stp>
        <stp>A</stp>
        <stp>FPO</stp>
        <stp>-4A</stp>
        <stp>STD</stp>
        <stp>Mixed</stp>
        <stp>CONSOL</stp>
        <stp>Yes</stp>
        <stp>CURRENCY</stp>
        <stp>USD</stp>
        <tr r="J18" s="3"/>
      </tp>
      <tp>
        <v>6.9501537186085871</v>
        <stp/>
        <stp>##V3_BQLV12</stp>
        <stp>[Fundamental &amp; Technical Model (1).xlsm]Ratios!R16C9</stp>
        <stp>SYK US Equity</stp>
        <stp>RETURN_ON_ASSET</stp>
        <stp>FPT</stp>
        <stp>A</stp>
        <stp>FPO</stp>
        <stp>-5A</stp>
        <stp>STD</stp>
        <stp>Mixed</stp>
        <stp>CONSOL</stp>
        <stp>Yes</stp>
        <tr r="I16" s="8"/>
      </tp>
      <tp>
        <v>7.0225733634311513</v>
        <stp/>
        <stp>##V3_BQLV12</stp>
        <stp>[Fundamental &amp; Technical Model (1).xlsm]Ratios!R32C13</stp>
        <stp>SYK US Equity</stp>
        <stp>SALES_REV_TURN(FPO=-1A, FPT=A)/((BS_NET_FIX_ASSET(FPO=-1A)+BS_NET_FIX_ASSET(FPO=-2A))/2)</stp>
        <stp>FPT</stp>
        <stp>A</stp>
        <stp>STD</stp>
        <stp>Mixed</stp>
        <stp>CONSOL</stp>
        <stp>Yes</stp>
        <tr r="M32" s="8"/>
      </tp>
      <tp>
        <v>8.659991292990858</v>
        <stp/>
        <stp>##V3_BQLV12</stp>
        <stp>[Fundamental &amp; Technical Model (1).xlsm]Ratios!R32C11</stp>
        <stp>SYK US Equity</stp>
        <stp>SALES_REV_TURN(FPO=-3A, FPT=A)/((BS_NET_FIX_ASSET(FPO=-3A)+BS_NET_FIX_ASSET(FPO=-4A))/2)</stp>
        <stp>FPT</stp>
        <stp>A</stp>
        <stp>STD</stp>
        <stp>Mixed</stp>
        <stp>CONSOL</stp>
        <stp>Yes</stp>
        <tr r="K32" s="8"/>
      </tp>
      <tp t="s">
        <v>2016 Y</v>
        <stp/>
        <stp>##V3_BDPV12</stp>
        <stp>SYK US Equity</stp>
        <stp>FISCAL_YEAR_PERIOD</stp>
        <stp>[Fundamental &amp; Technical Model (1).xlsm]Segments!R28C12</stp>
        <stp>EQY_FUND_RELATIVE_PERIOD</stp>
        <stp>-2FY</stp>
        <tr r="L28" s="17"/>
      </tp>
      <tp t="s">
        <v>MedSurg Equipment</v>
        <stp/>
        <stp>##V3_BDSV12</stp>
        <stp>SYK US Equity</stp>
        <stp>PG_OPERATING_INCOME</stp>
        <stp>[Fundamental &amp; Technical Model (1).xlsm]Segments!R76C3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76" s="17"/>
        <tr r="C76" s="17"/>
      </tp>
      <tp t="s">
        <v>Neurotech and Spine</v>
        <stp/>
        <stp>##V3_BDSV12</stp>
        <stp>SYK US Equity</stp>
        <stp>PG_OPERATING_INCOME</stp>
        <stp>[Fundamental &amp; Technical Model (1).xlsm]Segments!R77C3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77" s="17"/>
        <tr r="C77" s="17"/>
      </tp>
      <tp t="s">
        <v>Orthopaedics</v>
        <stp/>
        <stp>##V3_BDSV12</stp>
        <stp>SYK US Equity</stp>
        <stp>PG_OPERATING_INCOME</stp>
        <stp>[Fundamental &amp; Technical Model (1).xlsm]Segments!R75C3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75" s="17"/>
        <tr r="C75" s="17"/>
      </tp>
      <tp t="s">
        <v>#N/A N/A</v>
        <stp/>
        <stp>##V3_BDSV12</stp>
        <stp>SYK US Equity</stp>
        <stp>PG_OPERATING_INCOME</stp>
        <stp>[Fundamental &amp; Technical Model (1).xlsm]Segments!R78C8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78" s="17"/>
      </tp>
      <tp t="s">
        <v>#N/A N/A</v>
        <stp/>
        <stp>##V3_BDSV12</stp>
        <stp>SYK US Equity</stp>
        <stp>PG_OPERATING_INCOME</stp>
        <stp>[Fundamental &amp; Technical Model (1).xlsm]Segments!R79C8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79" s="17"/>
      </tp>
      <tp t="s">
        <v>#N/A N/A</v>
        <stp/>
        <stp>##V3_BDSV12</stp>
        <stp>SYK US Equity</stp>
        <stp>PG_OPERATING_INCOME</stp>
        <stp>[Fundamental &amp; Technical Model (1).xlsm]Segments!R79C9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79" s="17"/>
      </tp>
      <tp>
        <v>-1329</v>
        <stp/>
        <stp>##V3_BDSV12</stp>
        <stp>SYK US Equity</stp>
        <stp>PG_OPERATING_INCOME</stp>
        <stp>[Fundamental &amp; Technical Model (1).xlsm]Segments!R78C9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78" s="17"/>
        <tr r="I78" s="17"/>
      </tp>
      <tp>
        <v>59.813627049180326</v>
        <stp/>
        <stp>##V3_BQLV12</stp>
        <stp>[Fundamental &amp; Technical Model (1).xlsm]Ratios!R40C6</stp>
        <stp>SYK US Equity</stp>
        <stp>ACCT_RCV_DAYS</stp>
        <stp>FPT</stp>
        <stp>A</stp>
        <stp>FPO</stp>
        <stp>-8A</stp>
        <stp>STD</stp>
        <stp>Mixed</stp>
        <stp>CONSOL</stp>
        <stp>Yes</stp>
        <tr r="F40" s="8"/>
      </tp>
      <tp t="s">
        <v>Others</v>
        <stp/>
        <stp>##V3_BDSV12</stp>
        <stp>SYK US Equity</stp>
        <stp>PG_OPERATING_INCOME</stp>
        <stp>[Fundamental &amp; Technical Model (1).xlsm]Segments!R78C3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78" s="17"/>
        <tr r="C78" s="17"/>
      </tp>
      <tp t="s">
        <v>#N/A N/A</v>
        <stp/>
        <stp>##V3_BDSV12</stp>
        <stp>SYK US Equity</stp>
        <stp>PG_OPERATING_INCOME</stp>
        <stp>[Fundamental &amp; Technical Model (1).xlsm]Segments!R79C3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79" s="17"/>
      </tp>
      <tp t="s">
        <v>#N/A N/A</v>
        <stp/>
        <stp>##V3_BDSV12</stp>
        <stp>SYK US Equity</stp>
        <stp>PG_OPERATING_INCOME</stp>
        <stp>[Fundamental &amp; Technical Model (1).xlsm]Segments!R76C8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76" s="17"/>
      </tp>
      <tp t="s">
        <v>#N/A N/A</v>
        <stp/>
        <stp>##V3_BDSV12</stp>
        <stp>SYK US Equity</stp>
        <stp>PG_OPERATING_INCOME</stp>
        <stp>[Fundamental &amp; Technical Model (1).xlsm]Segments!R77C8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77" s="17"/>
      </tp>
      <tp t="s">
        <v>#N/A N/A</v>
        <stp/>
        <stp>##V3_BDSV12</stp>
        <stp>SYK US Equity</stp>
        <stp>PG_OPERATING_INCOME</stp>
        <stp>[Fundamental &amp; Technical Model (1).xlsm]Segments!R75C8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75" s="17"/>
      </tp>
      <tp>
        <v>430</v>
        <stp/>
        <stp>##V3_BDSV12</stp>
        <stp>SYK US Equity</stp>
        <stp>PG_OPERATING_INCOME</stp>
        <stp>[Fundamental &amp; Technical Model (1).xlsm]Segments!R77C9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77" s="17"/>
        <tr r="I77" s="17"/>
      </tp>
      <tp>
        <v>802</v>
        <stp/>
        <stp>##V3_BDSV12</stp>
        <stp>SYK US Equity</stp>
        <stp>PG_OPERATING_INCOME</stp>
        <stp>[Fundamental &amp; Technical Model (1).xlsm]Segments!R76C9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76" s="17"/>
        <tr r="I76" s="17"/>
      </tp>
      <tp>
        <v>1353</v>
        <stp/>
        <stp>##V3_BDSV12</stp>
        <stp>SYK US Equity</stp>
        <stp>PG_OPERATING_INCOME</stp>
        <stp>[Fundamental &amp; Technical Model (1).xlsm]Segments!R75C9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75" s="17"/>
        <tr r="I75" s="17"/>
      </tp>
      <tp t="s">
        <v>#N/A</v>
        <stp/>
        <stp>##V3_BQLV12</stp>
        <stp>[Fundamental &amp; Technical Model (1).xlsm]Ratios!R22C5</stp>
        <stp>SYK US Equity</stp>
        <stp>ADJ_SG_AND_A_TO_SALES</stp>
        <stp>FPT</stp>
        <stp>A</stp>
        <stp>FPO</stp>
        <stp>-9A</stp>
        <stp>STD</stp>
        <stp>Mixed</stp>
        <stp>CONSOL</stp>
        <stp>Yes</stp>
        <tr r="E22" s="8"/>
      </tp>
      <tp>
        <v>2.2841151385927505</v>
        <stp/>
        <stp>##V3_BQLV12</stp>
        <stp>[Fundamental &amp; Technical Model (1).xlsm]Ratios!R39C8</stp>
        <stp>SYK US Equity</stp>
        <stp>CASH_RATIO</stp>
        <stp>FPT</stp>
        <stp>A</stp>
        <stp>FPO</stp>
        <stp>-6A</stp>
        <stp>STD</stp>
        <stp>Mixed</stp>
        <stp>CONSOL</stp>
        <stp>Yes</stp>
        <tr r="H39" s="8"/>
      </tp>
      <tp>
        <v>0.51722391084093211</v>
        <stp/>
        <stp>##V3_BQLV12</stp>
        <stp>[Fundamental &amp; Technical Model (1).xlsm]Ratios!R55C6</stp>
        <stp>SYK US Equity</stp>
        <stp>TOT_DEBT_TO_EBITDA</stp>
        <stp>FPT</stp>
        <stp>A</stp>
        <stp>FPO</stp>
        <stp>-8A</stp>
        <stp>STD</stp>
        <stp>Mixed</stp>
        <stp>CONSOL</stp>
        <stp>Yes</stp>
        <tr r="F55" s="8"/>
      </tp>
      <tp>
        <v>27.874608890868444</v>
        <stp/>
        <stp>##V3_BQLV12</stp>
        <stp>[Fundamental &amp; Technical Model (1).xlsm]Key Stats!R56C6</stp>
        <stp>SYK US Equity</stp>
        <stp>PX_TO_DILUTED_EPS_BEF_XO_ITEMS</stp>
        <stp>FPT=A</stp>
        <stp>FPO=1</stp>
        <stp>STD</stp>
        <stp>Mixed</stp>
        <stp>CONSOL</stp>
        <stp>Yes</stp>
        <stp>CURRENCY</stp>
        <stp>USD</stp>
        <tr r="F56" s="23"/>
      </tp>
      <tp>
        <v>700</v>
        <stp/>
        <stp>##V3_BQLV12</stp>
        <stp>[Fundamental &amp; Technical Model (1).xlsm]Balance Sheet!R18C11</stp>
        <stp>SYK US Equity</stp>
        <stp>BS_MKT_SEC_OTHER_ST_INVEST/10^6</stp>
        <stp>FPT</stp>
        <stp>A</stp>
        <stp>FPO</stp>
        <stp>-3A</stp>
        <stp>STD</stp>
        <stp>Mixed</stp>
        <stp>CONSOL</stp>
        <stp>Yes</stp>
        <stp>CURRENCY</stp>
        <stp>USD</stp>
        <tr r="K18" s="3"/>
      </tp>
      <tp>
        <v>13601</v>
        <stp/>
        <stp>##V3_BQLV12</stp>
        <stp>[Fundamental &amp; Technical Model (1).xlsm]Income Statement!R16C14</stp>
        <stp>SYK US Equity</stp>
        <stp>SALES_REV_TURN/10^6</stp>
        <stp>FPT</stp>
        <stp>A</stp>
        <stp>FPO</stp>
        <stp>-0A</stp>
        <stp>STD</stp>
        <stp>Mixed</stp>
        <stp>CONSOL</stp>
        <stp>Yes</stp>
        <stp>CURRENCY</stp>
        <stp>USD</stp>
        <tr r="N16" s="2"/>
      </tp>
      <tp t="s">
        <v>2014 Y</v>
        <stp/>
        <stp>##V3_BDPV12</stp>
        <stp>SYK US Equity</stp>
        <stp>FISCAL_YEAR_PERIOD</stp>
        <stp>[Fundamental &amp; Technical Model (1).xlsm]Segments!R72C10</stp>
        <stp>EQY_FUND_RELATIVE_PERIOD</stp>
        <stp>-4FY</stp>
        <tr r="J72" s="17"/>
      </tp>
      <tp t="s">
        <v>2018 Y</v>
        <stp/>
        <stp>##V3_BDPV12</stp>
        <stp>SYK US Equity</stp>
        <stp>FISCAL_YEAR_PERIOD</stp>
        <stp>[Fundamental &amp; Technical Model (1).xlsm]Segments!R72C14</stp>
        <stp>EQY_FUND_RELATIVE_PERIOD</stp>
        <stp>-0FY</stp>
        <tr r="N72" s="17"/>
      </tp>
      <tp t="s">
        <v>#N/A Invalid Parameter: Undefined item: CF_OTHER_INV_ACT.</v>
        <stp/>
        <stp>##V3_BQLV12</stp>
        <stp>[Fundamental &amp; Technical Model (1).xlsm]Cash Flow!R27C4</stp>
        <stp>SYK US Equity</stp>
        <stp>CF_OTHER_INV_ACT/10^6</stp>
        <stp>FPT</stp>
        <stp>A</stp>
        <stp>FPO</stp>
        <stp>-10A</stp>
        <stp>STD</stp>
        <stp>Mixed</stp>
        <stp>CONSOL</stp>
        <stp>Yes</stp>
        <stp>CURRENCY</stp>
        <stp>USD</stp>
        <tr r="D27" s="4"/>
      </tp>
      <tp t="s">
        <v>2015 Y</v>
        <stp/>
        <stp>##V3_BDPV12</stp>
        <stp>SYK US Equity</stp>
        <stp>FISCAL_YEAR_PERIOD</stp>
        <stp>[Fundamental &amp; Technical Model (1).xlsm]Segments!R14C11</stp>
        <stp>EQY_FUND_RELATIVE_PERIOD</stp>
        <stp>-3FY</stp>
        <tr r="K14" s="17"/>
      </tp>
      <tp t="s">
        <v>2017 Y</v>
        <stp/>
        <stp>##V3_BDPV12</stp>
        <stp>SYK US Equity</stp>
        <stp>FISCAL_YEAR_PERIOD</stp>
        <stp>[Fundamental &amp; Technical Model (1).xlsm]Segments!R14C13</stp>
        <stp>EQY_FUND_RELATIVE_PERIOD</stp>
        <stp>-1FY</stp>
        <tr r="M14" s="17"/>
      </tp>
      <tp t="e">
        <v>#N/A</v>
        <stp/>
        <stp>##V3_BDHV12</stp>
        <stp>SYK US Equity</stp>
        <stp>HIGH_DIVIDEND_YIELD</stp>
        <stp>-2FY</stp>
        <stp>-2FY</stp>
        <stp>[Fundamental &amp; Technical Model (1).xlsm]Multiples!R65C11</stp>
        <stp>EQY_CONSOLIDATED</stp>
        <stp>Yes</stp>
        <stp>ACCOUNTING_STANDARD_OVERRIDE</stp>
        <stp>Mixed</stp>
        <stp>Per</stp>
        <stp>FY</stp>
        <stp>Days=A</stp>
        <tr r="K65" s="16"/>
        <tr r="K65" s="16"/>
      </tp>
      <tp t="e">
        <v>#N/A</v>
        <stp/>
        <stp>##V3_BDHV12</stp>
        <stp>SYK US Equity</stp>
        <stp>HIGH_DIVIDEND_YIELD</stp>
        <stp>-3FY</stp>
        <stp>-3FY</stp>
        <stp>[Fundamental &amp; Technical Model (1).xlsm]Multiples!R65C10</stp>
        <stp>EQY_CONSOLIDATED</stp>
        <stp>Yes</stp>
        <stp>ACCOUNTING_STANDARD_OVERRIDE</stp>
        <stp>Mixed</stp>
        <stp>Per</stp>
        <stp>FY</stp>
        <stp>Days=A</stp>
        <tr r="J65" s="16"/>
        <tr r="J65" s="16"/>
      </tp>
      <tp t="e">
        <v>#N/A</v>
        <stp/>
        <stp>##V3_BDHV12</stp>
        <stp>SYK US Equity</stp>
        <stp>HIGH_DIVIDEND_YIELD</stp>
        <stp>-0FY</stp>
        <stp>-0FY</stp>
        <stp>[Fundamental &amp; Technical Model (1).xlsm]Multiples!R65C13</stp>
        <stp>EQY_CONSOLIDATED</stp>
        <stp>Yes</stp>
        <stp>ACCOUNTING_STANDARD_OVERRIDE</stp>
        <stp>Mixed</stp>
        <stp>Per</stp>
        <stp>FY</stp>
        <stp>Days=A</stp>
        <tr r="M65" s="16"/>
        <tr r="M65" s="16"/>
      </tp>
      <tp t="e">
        <v>#N/A</v>
        <stp/>
        <stp>##V3_BDHV12</stp>
        <stp>SYK US Equity</stp>
        <stp>HIGH_DIVIDEND_YIELD</stp>
        <stp>-1FY</stp>
        <stp>-1FY</stp>
        <stp>[Fundamental &amp; Technical Model (1).xlsm]Multiples!R65C12</stp>
        <stp>EQY_CONSOLIDATED</stp>
        <stp>Yes</stp>
        <stp>ACCOUNTING_STANDARD_OVERRIDE</stp>
        <stp>Mixed</stp>
        <stp>Per</stp>
        <stp>FY</stp>
        <stp>Days=A</stp>
        <tr r="L65" s="16"/>
        <tr r="L65" s="16"/>
      </tp>
      <tp>
        <v>2474</v>
        <stp/>
        <stp>##V3_BQLV12</stp>
        <stp>[Fundamental &amp; Technical Model (1).xlsm]Key Stats!R24C11</stp>
        <stp>SYK US Equity</stp>
        <stp>EBIT/10^6</stp>
        <stp>FPT=LTM</stp>
        <stp>FPO</stp>
        <stp>-0</stp>
        <stp>STD</stp>
        <stp>Mixed</stp>
        <stp>CONSOL</stp>
        <stp>Yes</stp>
        <stp>CURRENCY</stp>
        <stp>USD</stp>
        <tr r="K24" s="23"/>
      </tp>
      <tp>
        <v>61.799717388070803</v>
        <stp/>
        <stp>##V3_BQLV12</stp>
        <stp>[Fundamental &amp; Technical Model (1).xlsm]Ratios!R40C5</stp>
        <stp>SYK US Equity</stp>
        <stp>ACCT_RCV_DAYS</stp>
        <stp>FPT</stp>
        <stp>A</stp>
        <stp>FPO</stp>
        <stp>-9A</stp>
        <stp>STD</stp>
        <stp>Mixed</stp>
        <stp>CONSOL</stp>
        <stp>Yes</stp>
        <tr r="E40" s="8"/>
      </tp>
      <tp t="s">
        <v>#N/A</v>
        <stp/>
        <stp>##V3_BQLV12</stp>
        <stp>[Fundamental &amp; Technical Model (1).xlsm]Ratios!R22C6</stp>
        <stp>SYK US Equity</stp>
        <stp>ADJ_SG_AND_A_TO_SALES</stp>
        <stp>FPT</stp>
        <stp>A</stp>
        <stp>FPO</stp>
        <stp>-8A</stp>
        <stp>STD</stp>
        <stp>Mixed</stp>
        <stp>CONSOL</stp>
        <stp>Yes</stp>
        <tr r="F22" s="8"/>
      </tp>
      <tp>
        <v>1.857608695652174</v>
        <stp/>
        <stp>##V3_BQLV12</stp>
        <stp>[Fundamental &amp; Technical Model (1).xlsm]Ratios!R39C7</stp>
        <stp>SYK US Equity</stp>
        <stp>CASH_RATIO</stp>
        <stp>FPT</stp>
        <stp>A</stp>
        <stp>FPO</stp>
        <stp>-7A</stp>
        <stp>STD</stp>
        <stp>Mixed</stp>
        <stp>CONSOL</stp>
        <stp>Yes</stp>
        <tr r="G39" s="8"/>
      </tp>
      <tp>
        <v>9.0955027791814053E-3</v>
        <stp/>
        <stp>##V3_BQLV12</stp>
        <stp>[Fundamental &amp; Technical Model (1).xlsm]Ratios!R55C5</stp>
        <stp>SYK US Equity</stp>
        <stp>TOT_DEBT_TO_EBITDA</stp>
        <stp>FPT</stp>
        <stp>A</stp>
        <stp>FPO</stp>
        <stp>-9A</stp>
        <stp>STD</stp>
        <stp>Mixed</stp>
        <stp>CONSOL</stp>
        <stp>Yes</stp>
        <tr r="E55" s="8"/>
      </tp>
      <tp t="e">
        <v>#N/A</v>
        <stp/>
        <stp>##V3_BDHV12</stp>
        <stp>SYK US Equity</stp>
        <stp>PX_TO_BOOK_RATIO</stp>
        <stp>-1FY</stp>
        <stp>-1FY</stp>
        <stp>[Fundamental &amp; Technical Model (1).xlsm]Multiples!R39C12</stp>
        <stp>EQY_CONSOLIDATED</stp>
        <stp>Yes</stp>
        <stp>ACCOUNTING_STANDARD_OVERRIDE</stp>
        <stp>Mixed</stp>
        <stp>Per</stp>
        <stp>FY</stp>
        <stp>Days=A</stp>
        <tr r="L39" s="16"/>
        <tr r="L39" s="16"/>
      </tp>
      <tp t="e">
        <v>#N/A</v>
        <stp/>
        <stp>##V3_BDHV12</stp>
        <stp>SYK US Equity</stp>
        <stp>PX_TO_BOOK_RATIO</stp>
        <stp>-0FY</stp>
        <stp>-0FY</stp>
        <stp>[Fundamental &amp; Technical Model (1).xlsm]Multiples!R39C13</stp>
        <stp>EQY_CONSOLIDATED</stp>
        <stp>Yes</stp>
        <stp>ACCOUNTING_STANDARD_OVERRIDE</stp>
        <stp>Mixed</stp>
        <stp>Per</stp>
        <stp>FY</stp>
        <stp>Days=A</stp>
        <tr r="M39" s="16"/>
        <tr r="M39" s="16"/>
      </tp>
      <tp>
        <v>0</v>
        <stp/>
        <stp>##V3_BQLV12</stp>
        <stp>[Fundamental &amp; Technical Model (1).xlsm]Balance Sheet!R31C4</stp>
        <stp>SYK US Equity</stp>
        <stp>BS_LT_INVEST/10^6</stp>
        <stp>FPT</stp>
        <stp>A</stp>
        <stp>FPO</stp>
        <stp>-10A</stp>
        <stp>STD</stp>
        <stp>Mixed</stp>
        <stp>CONSOL</stp>
        <stp>Yes</stp>
        <stp>CURRENCY</stp>
        <stp>USD</stp>
        <tr r="D31" s="3"/>
      </tp>
      <tp t="e">
        <v>#N/A</v>
        <stp/>
        <stp>##V3_BDHV12</stp>
        <stp>SYK US Equity</stp>
        <stp>PX_TO_BOOK_RATIO</stp>
        <stp>-3FY</stp>
        <stp>-3FY</stp>
        <stp>[Fundamental &amp; Technical Model (1).xlsm]Multiples!R39C10</stp>
        <stp>EQY_CONSOLIDATED</stp>
        <stp>Yes</stp>
        <stp>ACCOUNTING_STANDARD_OVERRIDE</stp>
        <stp>Mixed</stp>
        <stp>Per</stp>
        <stp>FY</stp>
        <stp>Days=A</stp>
        <tr r="J39" s="16"/>
        <tr r="J39" s="16"/>
      </tp>
      <tp>
        <v>806.3</v>
        <stp/>
        <stp>##V3_BQLV12</stp>
        <stp>[Fundamental &amp; Technical Model (1).xlsm]Balance Sheet!R26C5</stp>
        <stp>SYK US Equity</stp>
        <stp>BS_OTHER_CUR_ASSET/10^6</stp>
        <stp>FPT</stp>
        <stp>A</stp>
        <stp>FPO</stp>
        <stp>-9A</stp>
        <stp>STD</stp>
        <stp>Mixed</stp>
        <stp>CONSOL</stp>
        <stp>Yes</stp>
        <stp>CURRENCY</stp>
        <stp>USD</stp>
        <tr r="E26" s="3"/>
      </tp>
      <tp t="e">
        <v>#N/A</v>
        <stp/>
        <stp>##V3_BDHV12</stp>
        <stp>SYK US Equity</stp>
        <stp>PX_TO_BOOK_RATIO</stp>
        <stp>-2FY</stp>
        <stp>-2FY</stp>
        <stp>[Fundamental &amp; Technical Model (1).xlsm]Multiples!R39C11</stp>
        <stp>EQY_CONSOLIDATED</stp>
        <stp>Yes</stp>
        <stp>ACCOUNTING_STANDARD_OVERRIDE</stp>
        <stp>Mixed</stp>
        <stp>Per</stp>
        <stp>FY</stp>
        <stp>Days=A</stp>
        <tr r="K39" s="16"/>
        <tr r="K39" s="16"/>
      </tp>
      <tp>
        <v>23.091230857192922</v>
        <stp/>
        <stp>##V3_BQLV12</stp>
        <stp>[Fundamental &amp; Technical Model (1).xlsm]Key Stats!R56C7</stp>
        <stp>SYK US Equity</stp>
        <stp>PX_TO_DILUTED_EPS_BEF_XO_ITEMS</stp>
        <stp>FPT=A</stp>
        <stp>FPO=2</stp>
        <stp>STD</stp>
        <stp>Mixed</stp>
        <stp>CONSOL</stp>
        <stp>Yes</stp>
        <stp>CURRENCY</stp>
        <stp>USD</stp>
        <tr r="G56" s="23"/>
      </tp>
      <tp>
        <v>16822.777777777781</v>
        <stp/>
        <stp>##V3_BQLV12</stp>
        <stp>[Fundamental &amp; Technical Model (1).xlsm]Key Stats!R15C14</stp>
        <stp>SYK US Equity</stp>
        <stp>SALES_REV_TURN/10^6</stp>
        <stp>FPT</stp>
        <stp>A</stp>
        <stp>FPO</stp>
        <stp>3A</stp>
        <stp>STD</stp>
        <stp>Mixed</stp>
        <stp>CONSOL</stp>
        <stp>Yes</stp>
        <stp>CURRENCY</stp>
        <stp>USD</stp>
        <tr r="N15" s="23"/>
      </tp>
      <tp>
        <v>14795.678571428571</v>
        <stp/>
        <stp>##V3_BQLV12</stp>
        <stp>[Fundamental &amp; Technical Model (1).xlsm]Key Stats!R15C12</stp>
        <stp>SYK US Equity</stp>
        <stp>SALES_REV_TURN/10^6</stp>
        <stp>FPT</stp>
        <stp>A</stp>
        <stp>FPO</stp>
        <stp>1A</stp>
        <stp>STD</stp>
        <stp>Mixed</stp>
        <stp>CONSOL</stp>
        <stp>Yes</stp>
        <stp>CURRENCY</stp>
        <stp>USD</stp>
        <tr r="L15" s="23"/>
      </tp>
      <tp>
        <v>15796.392857142861</v>
        <stp/>
        <stp>##V3_BQLV12</stp>
        <stp>[Fundamental &amp; Technical Model (1).xlsm]Key Stats!R15C13</stp>
        <stp>SYK US Equity</stp>
        <stp>SALES_REV_TURN/10^6</stp>
        <stp>FPT</stp>
        <stp>A</stp>
        <stp>FPO</stp>
        <stp>2A</stp>
        <stp>STD</stp>
        <stp>Mixed</stp>
        <stp>CONSOL</stp>
        <stp>Yes</stp>
        <stp>CURRENCY</stp>
        <stp>USD</stp>
        <tr r="M15" s="23"/>
      </tp>
      <tp>
        <v>68</v>
        <stp/>
        <stp>##V3_BQLV12</stp>
        <stp>[Fundamental &amp; Technical Model (1).xlsm]Balance Sheet!R18C12</stp>
        <stp>SYK US Equity</stp>
        <stp>BS_MKT_SEC_OTHER_ST_INVEST/10^6</stp>
        <stp>FPT</stp>
        <stp>A</stp>
        <stp>FPO</stp>
        <stp>-2A</stp>
        <stp>STD</stp>
        <stp>Mixed</stp>
        <stp>CONSOL</stp>
        <stp>Yes</stp>
        <stp>CURRENCY</stp>
        <stp>USD</stp>
        <tr r="L18" s="3"/>
      </tp>
      <tp>
        <v>11.674840501714336</v>
        <stp/>
        <stp>##V3_BQLV12</stp>
        <stp>[Fundamental &amp; Technical Model (1).xlsm]Ratios!R16C7</stp>
        <stp>SYK US Equity</stp>
        <stp>RETURN_ON_ASSET</stp>
        <stp>FPT</stp>
        <stp>A</stp>
        <stp>FPO</stp>
        <stp>-7A</stp>
        <stp>STD</stp>
        <stp>Mixed</stp>
        <stp>CONSOL</stp>
        <stp>Yes</stp>
        <tr r="G16" s="8"/>
      </tp>
      <tp>
        <v>-</v>
        <stp/>
        <stp>##V3_BQLV12</stp>
        <stp>[Fundamental &amp; Technical Model (1).xlsm]Balance Sheet!R56C11</stp>
        <stp>SYK US Equity</stp>
        <stp>-BS_AMT_OF_TSY_STOCK/10^6</stp>
        <stp>FPT</stp>
        <stp>A</stp>
        <stp>FPO</stp>
        <stp>-3A</stp>
        <stp>STD</stp>
        <stp>Mixed</stp>
        <stp>CONSOL</stp>
        <stp>Yes</stp>
        <stp>CURRENCY</stp>
        <stp>USD</stp>
        <tr r="K56" s="3"/>
      </tp>
      <tp>
        <v>-</v>
        <stp/>
        <stp>##V3_BQLV12</stp>
        <stp>[Fundamental &amp; Technical Model (1).xlsm]Balance Sheet!R56C10</stp>
        <stp>SYK US Equity</stp>
        <stp>-BS_AMT_OF_TSY_STOCK/10^6</stp>
        <stp>FPT</stp>
        <stp>A</stp>
        <stp>FPO</stp>
        <stp>-4A</stp>
        <stp>STD</stp>
        <stp>Mixed</stp>
        <stp>CONSOL</stp>
        <stp>Yes</stp>
        <stp>CURRENCY</stp>
        <stp>USD</stp>
        <tr r="J56" s="3"/>
      </tp>
      <tp>
        <v>-</v>
        <stp/>
        <stp>##V3_BQLV12</stp>
        <stp>[Fundamental &amp; Technical Model (1).xlsm]Balance Sheet!R56C13</stp>
        <stp>SYK US Equity</stp>
        <stp>-BS_AMT_OF_TSY_STOCK/10^6</stp>
        <stp>FPT</stp>
        <stp>A</stp>
        <stp>FPO</stp>
        <stp>-1A</stp>
        <stp>STD</stp>
        <stp>Mixed</stp>
        <stp>CONSOL</stp>
        <stp>Yes</stp>
        <stp>CURRENCY</stp>
        <stp>USD</stp>
        <tr r="M56" s="3"/>
      </tp>
      <tp>
        <v>-</v>
        <stp/>
        <stp>##V3_BQLV12</stp>
        <stp>[Fundamental &amp; Technical Model (1).xlsm]Balance Sheet!R56C12</stp>
        <stp>SYK US Equity</stp>
        <stp>-BS_AMT_OF_TSY_STOCK/10^6</stp>
        <stp>FPT</stp>
        <stp>A</stp>
        <stp>FPO</stp>
        <stp>-2A</stp>
        <stp>STD</stp>
        <stp>Mixed</stp>
        <stp>CONSOL</stp>
        <stp>Yes</stp>
        <stp>CURRENCY</stp>
        <stp>USD</stp>
        <tr r="L56" s="3"/>
      </tp>
      <tp>
        <v>-</v>
        <stp/>
        <stp>##V3_BQLV12</stp>
        <stp>[Fundamental &amp; Technical Model (1).xlsm]Balance Sheet!R56C14</stp>
        <stp>SYK US Equity</stp>
        <stp>-BS_AMT_OF_TSY_STOCK/10^6</stp>
        <stp>FPT</stp>
        <stp>A</stp>
        <stp>FPO</stp>
        <stp>-0A</stp>
        <stp>STD</stp>
        <stp>Mixed</stp>
        <stp>CONSOL</stp>
        <stp>Yes</stp>
        <stp>CURRENCY</stp>
        <stp>USD</stp>
        <tr r="N56" s="3"/>
      </tp>
      <tp>
        <v>8.1828034682080926</v>
        <stp/>
        <stp>##V3_BQLV12</stp>
        <stp>[Fundamental &amp; Technical Model (1).xlsm]Ratios!R32C12</stp>
        <stp>SYK US Equity</stp>
        <stp>SALES_REV_TURN(FPO=-2A, FPT=A)/((BS_NET_FIX_ASSET(FPO=-2A)+BS_NET_FIX_ASSET(FPO=-3A))/2)</stp>
        <stp>FPT</stp>
        <stp>A</stp>
        <stp>STD</stp>
        <stp>Mixed</stp>
        <stp>CONSOL</stp>
        <stp>Yes</stp>
        <tr r="L32" s="8"/>
      </tp>
      <tp t="s">
        <v>2014 Y</v>
        <stp/>
        <stp>##V3_BDPV12</stp>
        <stp>SYK US Equity</stp>
        <stp>FISCAL_YEAR_PERIOD</stp>
        <stp>[Fundamental &amp; Technical Model (1).xlsm]Segments!R43C10</stp>
        <stp>EQY_FUND_RELATIVE_PERIOD</stp>
        <stp>-4FY</stp>
        <tr r="J43" s="17"/>
      </tp>
      <tp t="s">
        <v>2018 Y</v>
        <stp/>
        <stp>##V3_BDPV12</stp>
        <stp>SYK US Equity</stp>
        <stp>FISCAL_YEAR_PERIOD</stp>
        <stp>[Fundamental &amp; Technical Model (1).xlsm]Segments!R43C14</stp>
        <stp>EQY_FUND_RELATIVE_PERIOD</stp>
        <stp>-0FY</stp>
        <tr r="N43" s="17"/>
      </tp>
      <tp t="s">
        <v>2015 Y</v>
        <stp/>
        <stp>##V3_BDPV12</stp>
        <stp>SYK US Equity</stp>
        <stp>FISCAL_YEAR_PERIOD</stp>
        <stp>[Fundamental &amp; Technical Model (1).xlsm]Segments!R28C11</stp>
        <stp>EQY_FUND_RELATIVE_PERIOD</stp>
        <stp>-3FY</stp>
        <tr r="K28" s="17"/>
      </tp>
      <tp t="s">
        <v>2017 Y</v>
        <stp/>
        <stp>##V3_BDPV12</stp>
        <stp>SYK US Equity</stp>
        <stp>FISCAL_YEAR_PERIOD</stp>
        <stp>[Fundamental &amp; Technical Model (1).xlsm]Segments!R28C13</stp>
        <stp>EQY_FUND_RELATIVE_PERIOD</stp>
        <stp>-1FY</stp>
        <tr r="M28" s="17"/>
      </tp>
      <tp t="s">
        <v>#N/A N/A</v>
        <stp/>
        <stp>##V3_BDSV12</stp>
        <stp>SYK US Equity</stp>
        <stp>PG_OPERATING_INCOME</stp>
        <stp>[Fundamental &amp; Technical Model (1).xlsm]Segments!R79C12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79" s="17"/>
      </tp>
      <tp t="s">
        <v>#N/A N/A</v>
        <stp/>
        <stp>##V3_BDSV12</stp>
        <stp>SYK US Equity</stp>
        <stp>PG_OPERATING_INCOME</stp>
        <stp>[Fundamental &amp; Technical Model (1).xlsm]Segments!R79C13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79" s="17"/>
      </tp>
      <tp t="s">
        <v>#N/A N/A</v>
        <stp/>
        <stp>##V3_BDSV12</stp>
        <stp>SYK US Equity</stp>
        <stp>PG_OPERATING_INCOME</stp>
        <stp>[Fundamental &amp; Technical Model (1).xlsm]Segments!R79C10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79" s="17"/>
      </tp>
      <tp t="s">
        <v>#N/A N/A</v>
        <stp/>
        <stp>##V3_BDSV12</stp>
        <stp>SYK US Equity</stp>
        <stp>PG_OPERATING_INCOME</stp>
        <stp>[Fundamental &amp; Technical Model (1).xlsm]Segments!R79C11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79" s="17"/>
      </tp>
      <tp t="s">
        <v>#N/A N/A</v>
        <stp/>
        <stp>##V3_BDSV12</stp>
        <stp>SYK US Equity</stp>
        <stp>PG_OPERATING_INCOME</stp>
        <stp>[Fundamental &amp; Technical Model (1).xlsm]Segments!R79C14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79" s="17"/>
      </tp>
      <tp>
        <v>-1.4839818089944417</v>
        <stp/>
        <stp>##V3_BQLV12</stp>
        <stp>[Fundamental &amp; Technical Model (1).xlsm]Ratios!R56C5</stp>
        <stp>SYK US Equity</stp>
        <stp>NET_DEBT_TO_EBITDA</stp>
        <stp>FPT</stp>
        <stp>A</stp>
        <stp>FPO</stp>
        <stp>-9A</stp>
        <stp>STD</stp>
        <stp>Mixed</stp>
        <stp>CONSOL</stp>
        <stp>Yes</stp>
        <tr r="E56" s="8"/>
      </tp>
      <tp>
        <v>26.967213114754099</v>
        <stp/>
        <stp>##V3_BQLV12</stp>
        <stp>[Fundamental &amp; Technical Model (1).xlsm]Ratios!R23C6</stp>
        <stp>SYK US Equity</stp>
        <stp>EBITDA_MARGIN</stp>
        <stp>FPT</stp>
        <stp>A</stp>
        <stp>FPO</stp>
        <stp>-8A</stp>
        <stp>STD</stp>
        <stp>Mixed</stp>
        <stp>CONSOL</stp>
        <stp>Yes</stp>
        <tr r="F23" s="8"/>
      </tp>
      <tp>
        <v>943</v>
        <stp/>
        <stp>##V3_BQLV12</stp>
        <stp>[Fundamental &amp; Technical Model (1).xlsm]Balance Sheet!R26C6</stp>
        <stp>SYK US Equity</stp>
        <stp>BS_OTHER_CUR_ASSET/10^6</stp>
        <stp>FPT</stp>
        <stp>A</stp>
        <stp>FPO</stp>
        <stp>-8A</stp>
        <stp>STD</stp>
        <stp>Mixed</stp>
        <stp>CONSOL</stp>
        <stp>Yes</stp>
        <stp>CURRENCY</stp>
        <stp>USD</stp>
        <tr r="F26" s="3"/>
      </tp>
      <tp>
        <v>50.947540983606558</v>
        <stp/>
        <stp>##V3_BQLV12</stp>
        <stp>[Fundamental &amp; Technical Model (1).xlsm]Ratios!R52C4</stp>
        <stp>SYK US Equity</stp>
        <stp>EBIT_TO_INT_EXP</stp>
        <stp>FPT</stp>
        <stp>A</stp>
        <stp>FPO</stp>
        <stp>-10A</stp>
        <stp>STD</stp>
        <stp>Mixed</stp>
        <stp>CONSOL</stp>
        <stp>Yes</stp>
        <tr r="D52" s="8"/>
      </tp>
      <tp>
        <v>2890</v>
        <stp/>
        <stp>##V3_BQLV12</stp>
        <stp>[Fundamental &amp; Technical Model (1).xlsm]Balance Sheet!R18C8</stp>
        <stp>SYK US Equity</stp>
        <stp>BS_MKT_SEC_OTHER_ST_INVEST/10^6</stp>
        <stp>FPT</stp>
        <stp>A</stp>
        <stp>FPO</stp>
        <stp>-6A</stp>
        <stp>STD</stp>
        <stp>Mixed</stp>
        <stp>CONSOL</stp>
        <stp>Yes</stp>
        <stp>CURRENCY</stp>
        <stp>USD</stp>
        <tr r="H18" s="3"/>
      </tp>
      <tp>
        <v>20.572764988286622</v>
        <stp/>
        <stp>##V3_BQLV12</stp>
        <stp>[Fundamental &amp; Technical Model (1).xlsm]Key Stats!R56C8</stp>
        <stp>SYK US Equity</stp>
        <stp>PX_TO_DILUTED_EPS_BEF_XO_ITEMS</stp>
        <stp>FPT=A</stp>
        <stp>FPO=3</stp>
        <stp>STD</stp>
        <stp>Mixed</stp>
        <stp>CONSOL</stp>
        <stp>Yes</stp>
        <stp>CURRENCY</stp>
        <stp>USD</stp>
        <tr r="H56" s="23"/>
      </tp>
      <tp t="e">
        <v>#N/A</v>
        <stp/>
        <stp>##V3_BDHV12</stp>
        <stp>SYK US Equity</stp>
        <stp>AVERAGE_PRICE_TO_CASH_FLOW</stp>
        <stp>-0FY</stp>
        <stp>-0FY</stp>
        <stp>[Fundamental &amp; Technical Model (1).xlsm]Multiples!R52C13</stp>
        <stp>EQY_CONSOLIDATED</stp>
        <stp>Yes</stp>
        <stp>ACCOUNTING_STANDARD_OVERRIDE</stp>
        <stp>Mixed</stp>
        <stp>Per</stp>
        <stp>FY</stp>
        <stp>Days=A</stp>
        <tr r="M52" s="16"/>
        <tr r="M52" s="16"/>
      </tp>
      <tp t="e">
        <v>#N/A</v>
        <stp/>
        <stp>##V3_BDHV12</stp>
        <stp>SYK US Equity</stp>
        <stp>AVERAGE_PRICE_TO_CASH_FLOW</stp>
        <stp>-1FY</stp>
        <stp>-1FY</stp>
        <stp>[Fundamental &amp; Technical Model (1).xlsm]Multiples!R52C12</stp>
        <stp>EQY_CONSOLIDATED</stp>
        <stp>Yes</stp>
        <stp>ACCOUNTING_STANDARD_OVERRIDE</stp>
        <stp>Mixed</stp>
        <stp>Per</stp>
        <stp>FY</stp>
        <stp>Days=A</stp>
        <tr r="L52" s="16"/>
        <tr r="L52" s="16"/>
      </tp>
      <tp t="e">
        <v>#N/A</v>
        <stp/>
        <stp>##V3_BDHV12</stp>
        <stp>SYK US Equity</stp>
        <stp>AVERAGE_PRICE_TO_CASH_FLOW</stp>
        <stp>-2FY</stp>
        <stp>-2FY</stp>
        <stp>[Fundamental &amp; Technical Model (1).xlsm]Multiples!R52C11</stp>
        <stp>EQY_CONSOLIDATED</stp>
        <stp>Yes</stp>
        <stp>ACCOUNTING_STANDARD_OVERRIDE</stp>
        <stp>Mixed</stp>
        <stp>Per</stp>
        <stp>FY</stp>
        <stp>Days=A</stp>
        <tr r="K52" s="16"/>
        <tr r="K52" s="16"/>
      </tp>
      <tp t="e">
        <v>#N/A</v>
        <stp/>
        <stp>##V3_BDHV12</stp>
        <stp>SYK US Equity</stp>
        <stp>AVERAGE_PRICE_TO_CASH_FLOW</stp>
        <stp>-3FY</stp>
        <stp>-3FY</stp>
        <stp>[Fundamental &amp; Technical Model (1).xlsm]Multiples!R52C10</stp>
        <stp>EQY_CONSOLIDATED</stp>
        <stp>Yes</stp>
        <stp>ACCOUNTING_STANDARD_OVERRIDE</stp>
        <stp>Mixed</stp>
        <stp>Per</stp>
        <stp>FY</stp>
        <stp>Days=A</stp>
        <tr r="J52" s="16"/>
        <tr r="J52" s="16"/>
      </tp>
      <tp>
        <v>251</v>
        <stp/>
        <stp>##V3_BQLV12</stp>
        <stp>[Fundamental &amp; Technical Model (1).xlsm]Balance Sheet!R18C13</stp>
        <stp>SYK US Equity</stp>
        <stp>BS_MKT_SEC_OTHER_ST_INVEST/10^6</stp>
        <stp>FPT</stp>
        <stp>A</stp>
        <stp>FPO</stp>
        <stp>-1A</stp>
        <stp>STD</stp>
        <stp>Mixed</stp>
        <stp>CONSOL</stp>
        <stp>Yes</stp>
        <stp>CURRENCY</stp>
        <stp>USD</stp>
        <tr r="M18" s="3"/>
      </tp>
      <tp>
        <v>723</v>
        <stp/>
        <stp>##V3_BQLV12</stp>
        <stp>[Fundamental &amp; Technical Model (1).xlsm]Cash Flow!R16C14</stp>
        <stp>SYK US Equity</stp>
        <stp>CF_DEPR_AMORT/10^6</stp>
        <stp>FPT</stp>
        <stp>A</stp>
        <stp>FPO</stp>
        <stp>-0A</stp>
        <stp>STD</stp>
        <stp>Mixed</stp>
        <stp>CONSOL</stp>
        <stp>Yes</stp>
        <stp>CURRENCY</stp>
        <stp>USD</stp>
        <tr r="N16" s="4"/>
      </tp>
      <tp>
        <v>10.239823288103503</v>
        <stp/>
        <stp>##V3_BQLV12</stp>
        <stp>[Fundamental &amp; Technical Model (1).xlsm]Ratios!R16C8</stp>
        <stp>SYK US Equity</stp>
        <stp>RETURN_ON_ASSET</stp>
        <stp>FPT</stp>
        <stp>A</stp>
        <stp>FPO</stp>
        <stp>-6A</stp>
        <stp>STD</stp>
        <stp>Mixed</stp>
        <stp>CONSOL</stp>
        <stp>Yes</stp>
        <tr r="H16" s="8"/>
      </tp>
      <tp>
        <v>0</v>
        <stp/>
        <stp>##V3_BQLV12</stp>
        <stp>[Fundamental &amp; Technical Model (1).xlsm]Balance Sheet!R31C13</stp>
        <stp>SYK US Equity</stp>
        <stp>BS_LT_INVEST/10^6</stp>
        <stp>FPT</stp>
        <stp>A</stp>
        <stp>FPO</stp>
        <stp>-1A</stp>
        <stp>STD</stp>
        <stp>Mixed</stp>
        <stp>CONSOL</stp>
        <stp>Yes</stp>
        <stp>CURRENCY</stp>
        <stp>USD</stp>
        <tr r="M31" s="3"/>
      </tp>
      <tp>
        <v>0</v>
        <stp/>
        <stp>##V3_BQLV12</stp>
        <stp>[Fundamental &amp; Technical Model (1).xlsm]Balance Sheet!R31C12</stp>
        <stp>SYK US Equity</stp>
        <stp>BS_LT_INVEST/10^6</stp>
        <stp>FPT</stp>
        <stp>A</stp>
        <stp>FPO</stp>
        <stp>-2A</stp>
        <stp>STD</stp>
        <stp>Mixed</stp>
        <stp>CONSOL</stp>
        <stp>Yes</stp>
        <stp>CURRENCY</stp>
        <stp>USD</stp>
        <tr r="L31" s="3"/>
      </tp>
      <tp>
        <v>0</v>
        <stp/>
        <stp>##V3_BQLV12</stp>
        <stp>[Fundamental &amp; Technical Model (1).xlsm]Balance Sheet!R31C11</stp>
        <stp>SYK US Equity</stp>
        <stp>BS_LT_INVEST/10^6</stp>
        <stp>FPT</stp>
        <stp>A</stp>
        <stp>FPO</stp>
        <stp>-3A</stp>
        <stp>STD</stp>
        <stp>Mixed</stp>
        <stp>CONSOL</stp>
        <stp>Yes</stp>
        <stp>CURRENCY</stp>
        <stp>USD</stp>
        <tr r="K31" s="3"/>
      </tp>
      <tp>
        <v>0</v>
        <stp/>
        <stp>##V3_BQLV12</stp>
        <stp>[Fundamental &amp; Technical Model (1).xlsm]Balance Sheet!R31C10</stp>
        <stp>SYK US Equity</stp>
        <stp>BS_LT_INVEST/10^6</stp>
        <stp>FPT</stp>
        <stp>A</stp>
        <stp>FPO</stp>
        <stp>-4A</stp>
        <stp>STD</stp>
        <stp>Mixed</stp>
        <stp>CONSOL</stp>
        <stp>Yes</stp>
        <stp>CURRENCY</stp>
        <stp>USD</stp>
        <tr r="J31" s="3"/>
      </tp>
      <tp>
        <v>0</v>
        <stp/>
        <stp>##V3_BQLV12</stp>
        <stp>[Fundamental &amp; Technical Model (1).xlsm]Balance Sheet!R31C14</stp>
        <stp>SYK US Equity</stp>
        <stp>BS_LT_INVEST/10^6</stp>
        <stp>FPT</stp>
        <stp>A</stp>
        <stp>FPO</stp>
        <stp>-0A</stp>
        <stp>STD</stp>
        <stp>Mixed</stp>
        <stp>CONSOL</stp>
        <stp>Yes</stp>
        <stp>CURRENCY</stp>
        <stp>USD</stp>
        <tr r="N31" s="3"/>
      </tp>
      <tp>
        <v>378</v>
        <stp/>
        <stp>##V3_BQLV12</stp>
        <stp>[Fundamental &amp; Technical Model (1).xlsm]Cash Flow!R16C10</stp>
        <stp>SYK US Equity</stp>
        <stp>CF_DEPR_AMORT/10^6</stp>
        <stp>FPT</stp>
        <stp>A</stp>
        <stp>FPO</stp>
        <stp>-4A</stp>
        <stp>STD</stp>
        <stp>Mixed</stp>
        <stp>CONSOL</stp>
        <stp>Yes</stp>
        <stp>CURRENCY</stp>
        <stp>USD</stp>
        <tr r="J16" s="4"/>
      </tp>
      <tp>
        <v>397</v>
        <stp/>
        <stp>##V3_BQLV12</stp>
        <stp>[Fundamental &amp; Technical Model (1).xlsm]Cash Flow!R16C11</stp>
        <stp>SYK US Equity</stp>
        <stp>CF_DEPR_AMORT/10^6</stp>
        <stp>FPT</stp>
        <stp>A</stp>
        <stp>FPO</stp>
        <stp>-3A</stp>
        <stp>STD</stp>
        <stp>Mixed</stp>
        <stp>CONSOL</stp>
        <stp>Yes</stp>
        <stp>CURRENCY</stp>
        <stp>USD</stp>
        <tr r="K16" s="4"/>
      </tp>
      <tp>
        <v>546</v>
        <stp/>
        <stp>##V3_BQLV12</stp>
        <stp>[Fundamental &amp; Technical Model (1).xlsm]Cash Flow!R16C12</stp>
        <stp>SYK US Equity</stp>
        <stp>CF_DEPR_AMORT/10^6</stp>
        <stp>FPT</stp>
        <stp>A</stp>
        <stp>FPO</stp>
        <stp>-2A</stp>
        <stp>STD</stp>
        <stp>Mixed</stp>
        <stp>CONSOL</stp>
        <stp>Yes</stp>
        <stp>CURRENCY</stp>
        <stp>USD</stp>
        <tr r="L16" s="4"/>
      </tp>
      <tp>
        <v>642</v>
        <stp/>
        <stp>##V3_BQLV12</stp>
        <stp>[Fundamental &amp; Technical Model (1).xlsm]Cash Flow!R16C13</stp>
        <stp>SYK US Equity</stp>
        <stp>CF_DEPR_AMORT/10^6</stp>
        <stp>FPT</stp>
        <stp>A</stp>
        <stp>FPO</stp>
        <stp>-1A</stp>
        <stp>STD</stp>
        <stp>Mixed</stp>
        <stp>CONSOL</stp>
        <stp>Yes</stp>
        <stp>CURRENCY</stp>
        <stp>USD</stp>
        <tr r="M16" s="4"/>
      </tp>
      <tp t="s">
        <v>#N/A Invalid Parameter: Undefined item: CF_OTHER_INV_ACT.</v>
        <stp/>
        <stp>##V3_BQLV12</stp>
        <stp>[Fundamental &amp; Technical Model (1).xlsm]Cash Flow!R27C7</stp>
        <stp>SYK US Equity</stp>
        <stp>CF_OTHER_INV_ACT/10^6</stp>
        <stp>FPT</stp>
        <stp>A</stp>
        <stp>FPO</stp>
        <stp>-7A</stp>
        <stp>STD</stp>
        <stp>Mixed</stp>
        <stp>CONSOL</stp>
        <stp>Yes</stp>
        <stp>CURRENCY</stp>
        <stp>USD</stp>
        <tr r="G27" s="4"/>
      </tp>
      <tp t="s">
        <v>#N/A Invalid Parameter: Undefined item: CF_OTHER_INV_ACT.</v>
        <stp/>
        <stp>##V3_BQLV12</stp>
        <stp>[Fundamental &amp; Technical Model (1).xlsm]Cash Flow!R27C6</stp>
        <stp>SYK US Equity</stp>
        <stp>CF_OTHER_INV_ACT/10^6</stp>
        <stp>FPT</stp>
        <stp>A</stp>
        <stp>FPO</stp>
        <stp>-8A</stp>
        <stp>STD</stp>
        <stp>Mixed</stp>
        <stp>CONSOL</stp>
        <stp>Yes</stp>
        <stp>CURRENCY</stp>
        <stp>USD</stp>
        <tr r="F27" s="4"/>
      </tp>
      <tp t="s">
        <v>#N/A Invalid Parameter: Undefined item: CF_OTHER_INV_ACT.</v>
        <stp/>
        <stp>##V3_BQLV12</stp>
        <stp>[Fundamental &amp; Technical Model (1).xlsm]Cash Flow!R27C5</stp>
        <stp>SYK US Equity</stp>
        <stp>CF_OTHER_INV_ACT/10^6</stp>
        <stp>FPT</stp>
        <stp>A</stp>
        <stp>FPO</stp>
        <stp>-9A</stp>
        <stp>STD</stp>
        <stp>Mixed</stp>
        <stp>CONSOL</stp>
        <stp>Yes</stp>
        <stp>CURRENCY</stp>
        <stp>USD</stp>
        <tr r="E27" s="4"/>
      </tp>
      <tp t="s">
        <v>#N/A Invalid Parameter: Undefined item: CF_OTHER_INV_ACT.</v>
        <stp/>
        <stp>##V3_BQLV12</stp>
        <stp>[Fundamental &amp; Technical Model (1).xlsm]Cash Flow!R27C9</stp>
        <stp>SYK US Equity</stp>
        <stp>CF_OTHER_INV_ACT/10^6</stp>
        <stp>FPT</stp>
        <stp>A</stp>
        <stp>FPO</stp>
        <stp>-5A</stp>
        <stp>STD</stp>
        <stp>Mixed</stp>
        <stp>CONSOL</stp>
        <stp>Yes</stp>
        <stp>CURRENCY</stp>
        <stp>USD</stp>
        <tr r="I27" s="4"/>
      </tp>
      <tp t="s">
        <v>#N/A Invalid Parameter: Undefined item: CF_OTHER_INV_ACT.</v>
        <stp/>
        <stp>##V3_BQLV12</stp>
        <stp>[Fundamental &amp; Technical Model (1).xlsm]Cash Flow!R27C8</stp>
        <stp>SYK US Equity</stp>
        <stp>CF_OTHER_INV_ACT/10^6</stp>
        <stp>FPT</stp>
        <stp>A</stp>
        <stp>FPO</stp>
        <stp>-6A</stp>
        <stp>STD</stp>
        <stp>Mixed</stp>
        <stp>CONSOL</stp>
        <stp>Yes</stp>
        <stp>CURRENCY</stp>
        <stp>USD</stp>
        <tr r="H27" s="4"/>
      </tp>
      <tp>
        <v>35656.74</v>
        <stp/>
        <stp>##V3_BDPV12</stp>
        <stp>SYK US Equity</stp>
        <stp>HISTORICAL_MARKET_CAP</stp>
        <stp>[Fundamental &amp; Technical Model (1).xlsm]Capital Structure Summary!R29C3</stp>
        <stp>EQY_FUND_RELATIVE_PERIOD</stp>
        <stp>-4FY</stp>
        <stp>EQY_FUND_CRNCY</stp>
        <stp>USD</stp>
        <stp>EQY_CONSOLIDATED</stp>
        <stp>Yes</stp>
        <stp>ACCOUNTING_STANDARD_OVERRIDE</stp>
        <stp>Mixed</stp>
        <stp>Fill=--</stp>
        <tr r="C29" s="21"/>
      </tp>
      <tp>
        <v>34666.620000000003</v>
        <stp/>
        <stp>##V3_BDPV12</stp>
        <stp>SYK US Equity</stp>
        <stp>HISTORICAL_MARKET_CAP</stp>
        <stp>[Fundamental &amp; Technical Model (1).xlsm]Capital Structure Summary!R29C5</stp>
        <stp>EQY_FUND_RELATIVE_PERIOD</stp>
        <stp>-3FY</stp>
        <stp>EQY_FUND_CRNCY</stp>
        <stp>USD</stp>
        <stp>EQY_CONSOLIDATED</stp>
        <stp>Yes</stp>
        <stp>ACCOUNTING_STANDARD_OVERRIDE</stp>
        <stp>Mixed</stp>
        <stp>Fill=--</stp>
        <tr r="E29" s="21"/>
      </tp>
      <tp>
        <v>44928.75</v>
        <stp/>
        <stp>##V3_BDPV12</stp>
        <stp>SYK US Equity</stp>
        <stp>HISTORICAL_MARKET_CAP</stp>
        <stp>[Fundamental &amp; Technical Model (1).xlsm]Capital Structure Summary!R29C7</stp>
        <stp>EQY_FUND_RELATIVE_PERIOD</stp>
        <stp>-2FY</stp>
        <stp>EQY_FUND_CRNCY</stp>
        <stp>USD</stp>
        <stp>EQY_CONSOLIDATED</stp>
        <stp>Yes</stp>
        <stp>ACCOUNTING_STANDARD_OVERRIDE</stp>
        <stp>Mixed</stp>
        <stp>Fill=--</stp>
        <tr r="G29" s="21"/>
      </tp>
      <tp>
        <v>58009.5765704</v>
        <stp/>
        <stp>##V3_BDPV12</stp>
        <stp>SYK US Equity</stp>
        <stp>HISTORICAL_MARKET_CAP</stp>
        <stp>[Fundamental &amp; Technical Model (1).xlsm]Capital Structure Summary!R29C9</stp>
        <stp>EQY_FUND_RELATIVE_PERIOD</stp>
        <stp>-1FY</stp>
        <stp>EQY_FUND_CRNCY</stp>
        <stp>USD</stp>
        <stp>EQY_CONSOLIDATED</stp>
        <stp>Yes</stp>
        <stp>ACCOUNTING_STANDARD_OVERRIDE</stp>
        <stp>Mixed</stp>
        <stp>Fill=--</stp>
        <tr r="I29" s="21"/>
      </tp>
      <tp t="s">
        <v>2011 Y</v>
        <stp/>
        <stp>##V3_BDPV12</stp>
        <stp>SYK US Equity</stp>
        <stp>FISCAL_YEAR_PERIOD</stp>
        <stp>[Fundamental &amp; Technical Model (1).xlsm]Segments!R130C7</stp>
        <stp>EQY_FUND_RELATIVE_PERIOD</stp>
        <stp>-7FY</stp>
        <tr r="G130" s="17"/>
      </tp>
      <tp t="s">
        <v>2011 Y</v>
        <stp/>
        <stp>##V3_BDPV12</stp>
        <stp>SYK US Equity</stp>
        <stp>FISCAL_YEAR_PERIOD</stp>
        <stp>[Fundamental &amp; Technical Model (1).xlsm]Segments!R115C7</stp>
        <stp>EQY_FUND_RELATIVE_PERIOD</stp>
        <stp>-7FY</stp>
        <tr r="G115" s="17"/>
      </tp>
      <tp t="s">
        <v>2011 Y</v>
        <stp/>
        <stp>##V3_BDPV12</stp>
        <stp>SYK US Equity</stp>
        <stp>FISCAL_YEAR_PERIOD</stp>
        <stp>[Fundamental &amp; Technical Model (1).xlsm]Segments!R101C7</stp>
        <stp>EQY_FUND_RELATIVE_PERIOD</stp>
        <stp>-7FY</stp>
        <tr r="G101" s="17"/>
      </tp>
      <tp t="s">
        <v>2011 Y</v>
        <stp/>
        <stp>##V3_BDPV12</stp>
        <stp>SYK US Equity</stp>
        <stp>FISCAL_YEAR_PERIOD</stp>
        <stp>[Fundamental &amp; Technical Model (1).xlsm]Segments!R173C7</stp>
        <stp>EQY_FUND_RELATIVE_PERIOD</stp>
        <stp>-7FY</stp>
        <tr r="G173" s="17"/>
      </tp>
      <tp t="s">
        <v>2014 Y</v>
        <stp/>
        <stp>##V3_BDPV12</stp>
        <stp>SYK US Equity</stp>
        <stp>FISCAL_YEAR_PERIOD</stp>
        <stp>[Fundamental &amp; Technical Model (1).xlsm]Segments!R57C10</stp>
        <stp>EQY_FUND_RELATIVE_PERIOD</stp>
        <stp>-4FY</stp>
        <tr r="J57" s="17"/>
      </tp>
      <tp t="s">
        <v>2018 Y</v>
        <stp/>
        <stp>##V3_BDPV12</stp>
        <stp>SYK US Equity</stp>
        <stp>FISCAL_YEAR_PERIOD</stp>
        <stp>[Fundamental &amp; Technical Model (1).xlsm]Segments!R57C14</stp>
        <stp>EQY_FUND_RELATIVE_PERIOD</stp>
        <stp>-0FY</stp>
        <tr r="N57" s="17"/>
      </tp>
      <tp t="s">
        <v>2011 Y</v>
        <stp/>
        <stp>##V3_BDPV12</stp>
        <stp>SYK US Equity</stp>
        <stp>FISCAL_YEAR_PERIOD</stp>
        <stp>[Fundamental &amp; Technical Model (1).xlsm]Segments!R159C7</stp>
        <stp>EQY_FUND_RELATIVE_PERIOD</stp>
        <stp>-7FY</stp>
        <tr r="G159" s="17"/>
      </tp>
      <tp>
        <v>65.5</v>
        <stp/>
        <stp>##V3_BDPV12</stp>
        <stp>SYK US Equity</stp>
        <stp>IS_EXPENSE_STOCK_BASED_COMP</stp>
        <stp>[Fundamental &amp; Technical Model (1).xlsm]Supplemental!R33C3</stp>
        <stp>EQY_FUND_RELATIVE_PERIOD</stp>
        <stp>-10FY</stp>
        <stp>EQY_FUND_CRNCY</stp>
        <stp>USD</stp>
        <stp>EQY_CONSOLIDATED</stp>
        <stp>Yes</stp>
        <stp>ACCOUNTING_STANDARD_OVERRIDE</stp>
        <stp>Mixed</stp>
        <stp>Fill=--</stp>
        <tr r="C33" s="19"/>
      </tp>
      <tp t="s">
        <v>2011 Y</v>
        <stp/>
        <stp>##V3_BDPV12</stp>
        <stp>SYK US Equity</stp>
        <stp>FISCAL_YEAR_PERIOD</stp>
        <stp>[Fundamental &amp; Technical Model (1).xlsm]Segments!R144C7</stp>
        <stp>EQY_FUND_RELATIVE_PERIOD</stp>
        <stp>-7FY</stp>
        <tr r="G144" s="17"/>
      </tp>
      <tp t="s">
        <v>2016 Y</v>
        <stp/>
        <stp>##V3_BDPV12</stp>
        <stp>SYK US Equity</stp>
        <stp>FISCAL_YEAR_PERIOD</stp>
        <stp>[Fundamental &amp; Technical Model (1).xlsm]Segments!R14C12</stp>
        <stp>EQY_FUND_RELATIVE_PERIOD</stp>
        <stp>-2FY</stp>
        <tr r="L14" s="17"/>
      </tp>
      <tp>
        <v>-1243</v>
        <stp/>
        <stp>##V3_BDSV12</stp>
        <stp>SYK US Equity</stp>
        <stp>PG_OPERATING_INCOME</stp>
        <stp>[Fundamental &amp; Technical Model (1).xlsm]Segments!R78C13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78" s="17"/>
        <tr r="M78" s="17"/>
      </tp>
      <tp>
        <v>-1073</v>
        <stp/>
        <stp>##V3_BDSV12</stp>
        <stp>SYK US Equity</stp>
        <stp>PG_OPERATING_INCOME</stp>
        <stp>[Fundamental &amp; Technical Model (1).xlsm]Segments!R78C12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78" s="17"/>
        <tr r="L78" s="17"/>
      </tp>
      <tp>
        <v>-922</v>
        <stp/>
        <stp>##V3_BDSV12</stp>
        <stp>SYK US Equity</stp>
        <stp>PG_OPERATING_INCOME</stp>
        <stp>[Fundamental &amp; Technical Model (1).xlsm]Segments!R78C11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78" s="17"/>
        <tr r="K78" s="17"/>
      </tp>
      <tp>
        <v>1.4979299962363568</v>
        <stp/>
        <stp>##V3_BQLV12</stp>
        <stp>[Fundamental &amp; Technical Model (1).xlsm]Ratios!R39C9</stp>
        <stp>SYK US Equity</stp>
        <stp>CASH_RATIO</stp>
        <stp>FPT</stp>
        <stp>A</stp>
        <stp>FPO</stp>
        <stp>-5A</stp>
        <stp>STD</stp>
        <stp>Mixed</stp>
        <stp>CONSOL</stp>
        <stp>Yes</stp>
        <tr r="I39" s="8"/>
      </tp>
      <tp>
        <v>-1490</v>
        <stp/>
        <stp>##V3_BDSV12</stp>
        <stp>SYK US Equity</stp>
        <stp>PG_OPERATING_INCOME</stp>
        <stp>[Fundamental &amp; Technical Model (1).xlsm]Segments!R78C10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78" s="17"/>
        <tr r="J78" s="17"/>
      </tp>
      <tp>
        <v>-1.7016210739614994</v>
        <stp/>
        <stp>##V3_BQLV12</stp>
        <stp>[Fundamental &amp; Technical Model (1).xlsm]Ratios!R56C6</stp>
        <stp>SYK US Equity</stp>
        <stp>NET_DEBT_TO_EBITDA</stp>
        <stp>FPT</stp>
        <stp>A</stp>
        <stp>FPO</stp>
        <stp>-8A</stp>
        <stp>STD</stp>
        <stp>Mixed</stp>
        <stp>CONSOL</stp>
        <stp>Yes</stp>
        <tr r="F56" s="8"/>
      </tp>
      <tp>
        <v>-1411</v>
        <stp/>
        <stp>##V3_BDSV12</stp>
        <stp>SYK US Equity</stp>
        <stp>PG_OPERATING_INCOME</stp>
        <stp>[Fundamental &amp; Technical Model (1).xlsm]Segments!R78C14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78" s="17"/>
        <tr r="N78" s="17"/>
      </tp>
      <tp>
        <v>29.436263572809757</v>
        <stp/>
        <stp>##V3_BQLV12</stp>
        <stp>[Fundamental &amp; Technical Model (1).xlsm]Ratios!R23C5</stp>
        <stp>SYK US Equity</stp>
        <stp>EBITDA_MARGIN</stp>
        <stp>FPT</stp>
        <stp>A</stp>
        <stp>FPO</stp>
        <stp>-9A</stp>
        <stp>STD</stp>
        <stp>Mixed</stp>
        <stp>CONSOL</stp>
        <stp>Yes</stp>
        <tr r="E23" s="8"/>
      </tp>
      <tp>
        <v>0</v>
        <stp/>
        <stp>##V3_BQLV12</stp>
        <stp>[Fundamental &amp; Technical Model (1).xlsm]Balance Sheet!R44C4</stp>
        <stp>SYK US Equity</stp>
        <stp>BS_LT_BORROW/10^6</stp>
        <stp>FPT</stp>
        <stp>A</stp>
        <stp>FPO</stp>
        <stp>-10A</stp>
        <stp>STD</stp>
        <stp>Mixed</stp>
        <stp>CONSOL</stp>
        <stp>Yes</stp>
        <stp>CURRENCY</stp>
        <stp>USD</stp>
        <tr r="D44" s="3"/>
      </tp>
      <tp>
        <v>43550</v>
        <stp/>
        <stp>##V3_BTH</stp>
        <stp>SYK US Equity</stp>
        <stp>ATR</stp>
        <stp>3/26/2019</stp>
        <stp>4/25/2019</stp>
        <stp>[Fundamental &amp; Technical Model (1).xlsm]Technical Analysis Data!R5C7</stp>
        <stp>ATR</stp>
        <stp>MAType=Exponential</stp>
        <stp>TAPeriod=5</stp>
        <stp>DSHigh=PX_HIGH</stp>
        <stp>DSLow=PX_LOW</stp>
        <stp>DSClose=PX_LAST</stp>
        <stp>Dir=H</stp>
        <stp>Dts=S</stp>
        <stp>cols=22;rows=2</stp>
        <tr r="G5" s="31"/>
      </tp>
      <tp>
        <v>1089</v>
        <stp/>
        <stp>##V3_BQLV12</stp>
        <stp>[Fundamental &amp; Technical Model (1).xlsm]Balance Sheet!R26C7</stp>
        <stp>SYK US Equity</stp>
        <stp>BS_OTHER_CUR_ASSET/10^6</stp>
        <stp>FPT</stp>
        <stp>A</stp>
        <stp>FPO</stp>
        <stp>-7A</stp>
        <stp>STD</stp>
        <stp>Mixed</stp>
        <stp>CONSOL</stp>
        <stp>Yes</stp>
        <stp>CURRENCY</stp>
        <stp>USD</stp>
        <tr r="G26" s="3"/>
      </tp>
      <tp>
        <v>2641</v>
        <stp/>
        <stp>##V3_BQLV12</stp>
        <stp>[Fundamental &amp; Technical Model (1).xlsm]Balance Sheet!R18C9</stp>
        <stp>SYK US Equity</stp>
        <stp>BS_MKT_SEC_OTHER_ST_INVEST/10^6</stp>
        <stp>FPT</stp>
        <stp>A</stp>
        <stp>FPO</stp>
        <stp>-5A</stp>
        <stp>STD</stp>
        <stp>Mixed</stp>
        <stp>CONSOL</stp>
        <stp>Yes</stp>
        <stp>CURRENCY</stp>
        <stp>USD</stp>
        <tr r="I18" s="3"/>
      </tp>
      <tp>
        <v>3.3</v>
        <stp/>
        <stp>##V3_BDPV12</stp>
        <stp>SYK US Equity</stp>
        <stp>BS_OPTIONS_GRANTED</stp>
        <stp>[Fundamental &amp; Technical Model (1).xlsm]Supplemental!R15C3</stp>
        <stp>EQY_FUND_RELATIVE_PERIOD</stp>
        <stp>-10FY</stp>
        <stp>EQY_FUND_CRNCY</stp>
        <stp>USD</stp>
        <stp>EQY_CONSOLIDATED</stp>
        <stp>Yes</stp>
        <stp>ACCOUNTING_STANDARD_OVERRIDE</stp>
        <stp>Mixed</stp>
        <stp>Fill=--</stp>
        <tr r="C15" s="19"/>
      </tp>
      <tp>
        <v>45.69</v>
        <stp/>
        <stp>##V3_BDPV12</stp>
        <stp>SYK US Equity</stp>
        <stp>ARDR_AVG_EXER_PX_OPT_OUTSTANDING</stp>
        <stp>[Fundamental &amp; Technical Model (1).xlsm]Supplemental!R21C4</stp>
        <stp>EQY_FUND_RELATIVE_PERIOD</stp>
        <stp>-9FY</stp>
        <stp>EQY_FUND_CRNCY</stp>
        <stp>USD</stp>
        <stp>EQY_CONSOLIDATED</stp>
        <stp>Yes</stp>
        <stp>ACCOUNTING_STANDARD_OVERRIDE</stp>
        <stp>Mixed</stp>
        <stp>Fill=--</stp>
        <tr r="D21" s="19"/>
      </tp>
      <tp>
        <v>50.32</v>
        <stp/>
        <stp>##V3_BDPV12</stp>
        <stp>SYK US Equity</stp>
        <stp>ARDR_AVG_EXER_PX_OPT_OUTSTANDING</stp>
        <stp>[Fundamental &amp; Technical Model (1).xlsm]Supplemental!R21C5</stp>
        <stp>EQY_FUND_RELATIVE_PERIOD</stp>
        <stp>-8FY</stp>
        <stp>EQY_FUND_CRNCY</stp>
        <stp>USD</stp>
        <stp>EQY_CONSOLIDATED</stp>
        <stp>Yes</stp>
        <stp>ACCOUNTING_STANDARD_OVERRIDE</stp>
        <stp>Mixed</stp>
        <stp>Fill=--</stp>
        <tr r="E21" s="19"/>
      </tp>
      <tp>
        <v>55.35</v>
        <stp/>
        <stp>##V3_BDPV12</stp>
        <stp>SYK US Equity</stp>
        <stp>ARDR_AVG_EXER_PX_OPT_OUTSTANDING</stp>
        <stp>[Fundamental &amp; Technical Model (1).xlsm]Supplemental!R21C8</stp>
        <stp>EQY_FUND_RELATIVE_PERIOD</stp>
        <stp>-5FY</stp>
        <stp>EQY_FUND_CRNCY</stp>
        <stp>USD</stp>
        <stp>EQY_CONSOLIDATED</stp>
        <stp>Yes</stp>
        <stp>ACCOUNTING_STANDARD_OVERRIDE</stp>
        <stp>Mixed</stp>
        <stp>Fill=--</stp>
        <tr r="H21" s="19"/>
      </tp>
      <tp>
        <v>59.97</v>
        <stp/>
        <stp>##V3_BDPV12</stp>
        <stp>SYK US Equity</stp>
        <stp>ARDR_AVG_EXER_PX_OPT_OUTSTANDING</stp>
        <stp>[Fundamental &amp; Technical Model (1).xlsm]Supplemental!R21C9</stp>
        <stp>EQY_FUND_RELATIVE_PERIOD</stp>
        <stp>-4FY</stp>
        <stp>EQY_FUND_CRNCY</stp>
        <stp>USD</stp>
        <stp>EQY_CONSOLIDATED</stp>
        <stp>Yes</stp>
        <stp>ACCOUNTING_STANDARD_OVERRIDE</stp>
        <stp>Mixed</stp>
        <stp>Fill=--</stp>
        <tr r="I21" s="19"/>
      </tp>
      <tp>
        <v>50.32</v>
        <stp/>
        <stp>##V3_BDPV12</stp>
        <stp>SYK US Equity</stp>
        <stp>ARDR_AVG_EXER_PX_OPT_OUTSTANDING</stp>
        <stp>[Fundamental &amp; Technical Model (1).xlsm]Supplemental!R21C6</stp>
        <stp>EQY_FUND_RELATIVE_PERIOD</stp>
        <stp>-7FY</stp>
        <stp>EQY_FUND_CRNCY</stp>
        <stp>USD</stp>
        <stp>EQY_CONSOLIDATED</stp>
        <stp>Yes</stp>
        <stp>ACCOUNTING_STANDARD_OVERRIDE</stp>
        <stp>Mixed</stp>
        <stp>Fill=--</stp>
        <tr r="F21" s="19"/>
      </tp>
      <tp>
        <v>52.23</v>
        <stp/>
        <stp>##V3_BDPV12</stp>
        <stp>SYK US Equity</stp>
        <stp>ARDR_AVG_EXER_PX_OPT_OUTSTANDING</stp>
        <stp>[Fundamental &amp; Technical Model (1).xlsm]Supplemental!R21C7</stp>
        <stp>EQY_FUND_RELATIVE_PERIOD</stp>
        <stp>-6FY</stp>
        <stp>EQY_FUND_CRNCY</stp>
        <stp>USD</stp>
        <stp>EQY_CONSOLIDATED</stp>
        <stp>Yes</stp>
        <stp>ACCOUNTING_STANDARD_OVERRIDE</stp>
        <stp>Mixed</stp>
        <stp>Fill=--</stp>
        <tr r="G21" s="19"/>
      </tp>
      <tp>
        <v>83</v>
        <stp/>
        <stp>##V3_BQLV12</stp>
        <stp>[Fundamental &amp; Technical Model (1).xlsm]Balance Sheet!R18C14</stp>
        <stp>SYK US Equity</stp>
        <stp>BS_MKT_SEC_OTHER_ST_INVEST/10^6</stp>
        <stp>FPT</stp>
        <stp>A</stp>
        <stp>FPO</stp>
        <stp>-0A</stp>
        <stp>STD</stp>
        <stp>Mixed</stp>
        <stp>CONSOL</stp>
        <stp>Yes</stp>
        <stp>CURRENCY</stp>
        <stp>USD</stp>
        <tr r="N18" s="3"/>
      </tp>
      <tp>
        <v>21.284723509995178</v>
        <stp/>
        <stp>##V3_BQLV12</stp>
        <stp>[Fundamental &amp; Technical Model (1).xlsm]Ratios!R18C4</stp>
        <stp>SYK US Equity</stp>
        <stp>RETURN_COM_EQY</stp>
        <stp>FPT</stp>
        <stp>A</stp>
        <stp>FPO</stp>
        <stp>-10A</stp>
        <stp>STD</stp>
        <stp>Mixed</stp>
        <stp>CONSOL</stp>
        <stp>Yes</stp>
        <tr r="D18" s="8"/>
      </tp>
      <tp>
        <v>9946</v>
        <stp/>
        <stp>##V3_BQLV12</stp>
        <stp>[Fundamental &amp; Technical Model (1).xlsm]Income Statement!R16C11</stp>
        <stp>SYK US Equity</stp>
        <stp>SALES_REV_TURN/10^6</stp>
        <stp>FPT</stp>
        <stp>A</stp>
        <stp>FPO</stp>
        <stp>-3A</stp>
        <stp>STD</stp>
        <stp>Mixed</stp>
        <stp>CONSOL</stp>
        <stp>Yes</stp>
        <stp>CURRENCY</stp>
        <stp>USD</stp>
        <tr r="K16" s="2"/>
      </tp>
      <tp t="s">
        <v>2015 Y</v>
        <stp/>
        <stp>##V3_BDPV12</stp>
        <stp>SYK US Equity</stp>
        <stp>FISCAL_YEAR_PERIOD</stp>
        <stp>[Fundamental &amp; Technical Model (1).xlsm]Segments!R43C11</stp>
        <stp>EQY_FUND_RELATIVE_PERIOD</stp>
        <stp>-3FY</stp>
        <tr r="K43" s="17"/>
      </tp>
      <tp t="s">
        <v>2017 Y</v>
        <stp/>
        <stp>##V3_BDPV12</stp>
        <stp>SYK US Equity</stp>
        <stp>FISCAL_YEAR_PERIOD</stp>
        <stp>[Fundamental &amp; Technical Model (1).xlsm]Segments!R43C13</stp>
        <stp>EQY_FUND_RELATIVE_PERIOD</stp>
        <stp>-1FY</stp>
        <tr r="M43" s="17"/>
      </tp>
      <tp>
        <v>11.898785425101215</v>
        <stp/>
        <stp>##V3_BDPV12</stp>
        <stp>SYK US Equity</stp>
        <stp>EBITDA_TO_TOT_INT_EXP</stp>
        <stp>[Fundamental &amp; Technical Model (1).xlsm]Capital Structure Summary!R68C9</stp>
        <stp>EQY_FUND_RELATIVE_PERIOD</stp>
        <stp>-1FY</stp>
        <stp>EQY_FUND_CRNCY</stp>
        <stp>USD</stp>
        <stp>EQY_CONSOLIDATED</stp>
        <stp>Yes</stp>
        <stp>ACCOUNTING_STANDARD_OVERRIDE</stp>
        <stp>Mixed</stp>
        <stp>Fill=--</stp>
        <tr r="I68" s="21"/>
      </tp>
      <tp t="s">
        <v>2014 Y</v>
        <stp/>
        <stp>##V3_BDPV12</stp>
        <stp>SYK US Equity</stp>
        <stp>FISCAL_YEAR_PERIOD</stp>
        <stp>[Fundamental &amp; Technical Model (1).xlsm]Segments!R28C10</stp>
        <stp>EQY_FUND_RELATIVE_PERIOD</stp>
        <stp>-4FY</stp>
        <tr r="J28" s="17"/>
      </tp>
      <tp t="s">
        <v>2018 Y</v>
        <stp/>
        <stp>##V3_BDPV12</stp>
        <stp>SYK US Equity</stp>
        <stp>FISCAL_YEAR_PERIOD</stp>
        <stp>[Fundamental &amp; Technical Model (1).xlsm]Segments!R28C14</stp>
        <stp>EQY_FUND_RELATIVE_PERIOD</stp>
        <stp>-0FY</stp>
        <tr r="N28" s="17"/>
      </tp>
      <tp>
        <v>20.907407407407408</v>
        <stp/>
        <stp>##V3_BDPV12</stp>
        <stp>SYK US Equity</stp>
        <stp>EBITDA_TO_TOT_INT_EXP</stp>
        <stp>[Fundamental &amp; Technical Model (1).xlsm]Capital Structure Summary!R68C5</stp>
        <stp>EQY_FUND_RELATIVE_PERIOD</stp>
        <stp>-3FY</stp>
        <stp>EQY_FUND_CRNCY</stp>
        <stp>USD</stp>
        <stp>EQY_CONSOLIDATED</stp>
        <stp>Yes</stp>
        <stp>ACCOUNTING_STANDARD_OVERRIDE</stp>
        <stp>Mixed</stp>
        <stp>Fill=--</stp>
        <tr r="E68" s="21"/>
      </tp>
      <tp>
        <v>14.371681415929203</v>
        <stp/>
        <stp>##V3_BDPV12</stp>
        <stp>SYK US Equity</stp>
        <stp>EBITDA_TO_TOT_INT_EXP</stp>
        <stp>[Fundamental &amp; Technical Model (1).xlsm]Capital Structure Summary!R68C3</stp>
        <stp>EQY_FUND_RELATIVE_PERIOD</stp>
        <stp>-4FY</stp>
        <stp>EQY_FUND_CRNCY</stp>
        <stp>USD</stp>
        <stp>EQY_CONSOLIDATED</stp>
        <stp>Yes</stp>
        <stp>ACCOUNTING_STANDARD_OVERRIDE</stp>
        <stp>Mixed</stp>
        <stp>Fill=--</stp>
        <tr r="C68" s="21"/>
      </tp>
      <tp>
        <v>11.934210526315789</v>
        <stp/>
        <stp>##V3_BDPV12</stp>
        <stp>SYK US Equity</stp>
        <stp>EBITDA_TO_TOT_INT_EXP</stp>
        <stp>[Fundamental &amp; Technical Model (1).xlsm]Capital Structure Summary!R68C7</stp>
        <stp>EQY_FUND_RELATIVE_PERIOD</stp>
        <stp>-2FY</stp>
        <stp>EQY_FUND_CRNCY</stp>
        <stp>USD</stp>
        <stp>EQY_CONSOLIDATED</stp>
        <stp>Yes</stp>
        <stp>ACCOUNTING_STANDARD_OVERRIDE</stp>
        <stp>Mixed</stp>
        <stp>Fill=--</stp>
        <tr r="G68" s="21"/>
      </tp>
      <tp>
        <v>182.05346027315233</v>
        <stp/>
        <stp>##V3_BQLV12</stp>
        <stp>[Fundamental &amp; Technical Model (1).xlsm]Ratios!R43C6</stp>
        <stp>SYK US Equity</stp>
        <stp>CASH_CONVERSION_CYCLE</stp>
        <stp>FPT</stp>
        <stp>A</stp>
        <stp>FPO</stp>
        <stp>-8A</stp>
        <stp>STD</stp>
        <stp>Mixed</stp>
        <stp>CONSOL</stp>
        <stp>Yes</stp>
        <tr r="F43" s="8"/>
      </tp>
      <tp t="e">
        <v>#N/A</v>
        <stp/>
        <stp>##V3_BDHV12</stp>
        <stp>SYK US Equity</stp>
        <stp>PX_ERN_RATIO_WITH_HIGH_CLOS_PX</stp>
        <stp>-5FY</stp>
        <stp>-5FY</stp>
        <stp>[Fundamental &amp; Technical Model (1).xlsm]Multiples!R35C8</stp>
        <stp>EQY_CONSOLIDATED</stp>
        <stp>Yes</stp>
        <stp>ACCOUNTING_STANDARD_OVERRIDE</stp>
        <stp>Mixed</stp>
        <stp>Per</stp>
        <stp>FY</stp>
        <stp>Days=A</stp>
        <tr r="H35" s="16"/>
        <tr r="H35" s="16"/>
      </tp>
      <tp>
        <v>0</v>
        <stp/>
        <stp>##V3_BDPV12</stp>
        <stp>SYK US Equity</stp>
        <stp>ARD_ACCRUED_EXPENSES</stp>
        <stp>[Fundamental &amp; Technical Model (1).xlsm]Balance Sheet!R37C5</stp>
        <stp>EQY_FUND_RELATIVE_PERIOD</stp>
        <stp>-9FY</stp>
        <stp>EQY_FUND_CRNCY</stp>
        <stp>USD</stp>
        <stp>EQY_CONSOLIDATED</stp>
        <stp>Yes</stp>
        <stp>ACCOUNTING_STANDARD_OVERRIDE</stp>
        <stp>Mixed</stp>
        <stp>Fill=0</stp>
        <tr r="E37" s="3"/>
      </tp>
      <tp>
        <v>0</v>
        <stp/>
        <stp>##V3_BDPV12</stp>
        <stp>SYK US Equity</stp>
        <stp>ARD_ACCRUED_EXPENSES</stp>
        <stp>[Fundamental &amp; Technical Model (1).xlsm]Balance Sheet!R37C9</stp>
        <stp>EQY_FUND_RELATIVE_PERIOD</stp>
        <stp>-5FY</stp>
        <stp>EQY_FUND_CRNCY</stp>
        <stp>USD</stp>
        <stp>EQY_CONSOLIDATED</stp>
        <stp>Yes</stp>
        <stp>ACCOUNTING_STANDARD_OVERRIDE</stp>
        <stp>Mixed</stp>
        <stp>Fill=0</stp>
        <tr r="I37" s="3"/>
      </tp>
      <tp>
        <v>0</v>
        <stp/>
        <stp>##V3_BDPV12</stp>
        <stp>SYK US Equity</stp>
        <stp>ARD_ACCRUED_EXPENSES</stp>
        <stp>[Fundamental &amp; Technical Model (1).xlsm]Balance Sheet!R37C6</stp>
        <stp>EQY_FUND_RELATIVE_PERIOD</stp>
        <stp>-8FY</stp>
        <stp>EQY_FUND_CRNCY</stp>
        <stp>USD</stp>
        <stp>EQY_CONSOLIDATED</stp>
        <stp>Yes</stp>
        <stp>ACCOUNTING_STANDARD_OVERRIDE</stp>
        <stp>Mixed</stp>
        <stp>Fill=0</stp>
        <tr r="F37" s="3"/>
      </tp>
      <tp>
        <v>0</v>
        <stp/>
        <stp>##V3_BDPV12</stp>
        <stp>SYK US Equity</stp>
        <stp>ARD_ACCRUED_EXPENSES</stp>
        <stp>[Fundamental &amp; Technical Model (1).xlsm]Balance Sheet!R37C8</stp>
        <stp>EQY_FUND_RELATIVE_PERIOD</stp>
        <stp>-6FY</stp>
        <stp>EQY_FUND_CRNCY</stp>
        <stp>USD</stp>
        <stp>EQY_CONSOLIDATED</stp>
        <stp>Yes</stp>
        <stp>ACCOUNTING_STANDARD_OVERRIDE</stp>
        <stp>Mixed</stp>
        <stp>Fill=0</stp>
        <tr r="H37" s="3"/>
      </tp>
      <tp>
        <v>0</v>
        <stp/>
        <stp>##V3_BDPV12</stp>
        <stp>SYK US Equity</stp>
        <stp>ARD_ACCRUED_EXPENSES</stp>
        <stp>[Fundamental &amp; Technical Model (1).xlsm]Balance Sheet!R37C7</stp>
        <stp>EQY_FUND_RELATIVE_PERIOD</stp>
        <stp>-7FY</stp>
        <stp>EQY_FUND_CRNCY</stp>
        <stp>USD</stp>
        <stp>EQY_CONSOLIDATED</stp>
        <stp>Yes</stp>
        <stp>ACCOUNTING_STANDARD_OVERRIDE</stp>
        <stp>Mixed</stp>
        <stp>Fill=0</stp>
        <tr r="G37" s="3"/>
      </tp>
      <tp>
        <v>17.720328442163115</v>
        <stp/>
        <stp>##V3_BQLV12</stp>
        <stp>[Fundamental &amp; Technical Model (1).xlsm]Ratios!R17C6</stp>
        <stp>SYK US Equity</stp>
        <stp>RETURN_ON_CAP</stp>
        <stp>FPT</stp>
        <stp>A</stp>
        <stp>FPO</stp>
        <stp>-8A</stp>
        <stp>STD</stp>
        <stp>Mixed</stp>
        <stp>CONSOL</stp>
        <stp>Yes</stp>
        <tr r="F17" s="8"/>
      </tp>
      <tp>
        <v>0</v>
        <stp/>
        <stp>##V3_BQLV12</stp>
        <stp>[Fundamental &amp; Technical Model (1).xlsm]Balance Sheet!R49C6</stp>
        <stp>SYK US Equity</stp>
        <stp>BS_PFD_EQY/10^6</stp>
        <stp>FPT</stp>
        <stp>A</stp>
        <stp>FPO</stp>
        <stp>-8A</stp>
        <stp>STD</stp>
        <stp>Mixed</stp>
        <stp>CONSOL</stp>
        <stp>Yes</stp>
        <stp>CURRENCY</stp>
        <stp>USD</stp>
        <tr r="F49" s="3"/>
      </tp>
      <tp>
        <v>0</v>
        <stp/>
        <stp>##V3_BQLV12</stp>
        <stp>[Fundamental &amp; Technical Model (1).xlsm]Key Stats!R41C4</stp>
        <stp>SYK US Equity</stp>
        <stp>MINORITY_NONCONTROLLING_INTEREST/10^6</stp>
        <stp>STD</stp>
        <stp>Mixed</stp>
        <stp>CONSOL</stp>
        <stp>Yes</stp>
        <stp>CURRENCY</stp>
        <stp>USD</stp>
        <tr r="D41" s="23"/>
      </tp>
      <tp>
        <v>0</v>
        <stp/>
        <stp>##V3_BQLV12</stp>
        <stp>[Fundamental &amp; Technical Model (1).xlsm]Key Stats!R45C4</stp>
        <stp>SYK US Equity</stp>
        <stp>MINORITY_NONCONTROLLING_INTEREST/10^6</stp>
        <stp>STD</stp>
        <stp>Mixed</stp>
        <stp>CONSOL</stp>
        <stp>Yes</stp>
        <stp>CURRENCY</stp>
        <stp>USD</stp>
        <tr r="D45" s="23"/>
      </tp>
      <tp t="e">
        <v>#N/A</v>
        <stp/>
        <stp>##V3_BDHV12</stp>
        <stp>SYK US Equity</stp>
        <stp>DIVIDEND_YIELD</stp>
        <stp>-4FY</stp>
        <stp>-4FY</stp>
        <stp>[Fundamental &amp; Technical Model (1).xlsm]Multiples!R63C9</stp>
        <stp>EQY_CONSOLIDATED</stp>
        <stp>Yes</stp>
        <stp>ACCOUNTING_STANDARD_OVERRIDE</stp>
        <stp>Mixed</stp>
        <stp>Per</stp>
        <stp>FY</stp>
        <stp>Days=A</stp>
        <tr r="I63" s="16"/>
        <tr r="I63" s="16"/>
      </tp>
      <tp>
        <v>9675</v>
        <stp/>
        <stp>##V3_BQLV12</stp>
        <stp>[Fundamental &amp; Technical Model (1).xlsm]Income Statement!R16C10</stp>
        <stp>SYK US Equity</stp>
        <stp>SALES_REV_TURN/10^6</stp>
        <stp>FPT</stp>
        <stp>A</stp>
        <stp>FPO</stp>
        <stp>-4A</stp>
        <stp>STD</stp>
        <stp>Mixed</stp>
        <stp>CONSOL</stp>
        <stp>Yes</stp>
        <stp>CURRENCY</stp>
        <stp>USD</stp>
        <tr r="J16" s="2"/>
      </tp>
      <tp t="s">
        <v>2016 Y</v>
        <stp/>
        <stp>##V3_BDPV12</stp>
        <stp>SYK US Equity</stp>
        <stp>FISCAL_YEAR_PERIOD</stp>
        <stp>[Fundamental &amp; Technical Model (1).xlsm]Segments!R72C12</stp>
        <stp>EQY_FUND_RELATIVE_PERIOD</stp>
        <stp>-2FY</stp>
        <tr r="L72" s="17"/>
      </tp>
      <tp t="s">
        <v>2015 Y</v>
        <stp/>
        <stp>##V3_BDPV12</stp>
        <stp>SYK US Equity</stp>
        <stp>FISCAL_YEAR_PERIOD</stp>
        <stp>[Fundamental &amp; Technical Model (1).xlsm]Segments!R57C11</stp>
        <stp>EQY_FUND_RELATIVE_PERIOD</stp>
        <stp>-3FY</stp>
        <tr r="K57" s="17"/>
      </tp>
      <tp t="s">
        <v>2017 Y</v>
        <stp/>
        <stp>##V3_BDPV12</stp>
        <stp>SYK US Equity</stp>
        <stp>FISCAL_YEAR_PERIOD</stp>
        <stp>[Fundamental &amp; Technical Model (1).xlsm]Segments!R57C13</stp>
        <stp>EQY_FUND_RELATIVE_PERIOD</stp>
        <stp>-1FY</stp>
        <tr r="M57" s="17"/>
      </tp>
      <tp t="s">
        <v>USD</v>
        <stp/>
        <stp>##V3_BDPV12</stp>
        <stp>SYK US Equity</stp>
        <stp>EQY FUND CRNCY</stp>
        <stp>[Fundamental &amp; Technical Model (1).xlsm]Cash Flow!R7C12</stp>
        <tr r="L7" s="4"/>
      </tp>
      <tp>
        <v>180.38152887988349</v>
        <stp/>
        <stp>##V3_BQLV12</stp>
        <stp>[Fundamental &amp; Technical Model (1).xlsm]Ratios!R43C5</stp>
        <stp>SYK US Equity</stp>
        <stp>CASH_CONVERSION_CYCLE</stp>
        <stp>FPT</stp>
        <stp>A</stp>
        <stp>FPO</stp>
        <stp>-9A</stp>
        <stp>STD</stp>
        <stp>Mixed</stp>
        <stp>CONSOL</stp>
        <stp>Yes</stp>
        <tr r="E43" s="8"/>
      </tp>
      <tp t="e">
        <v>#N/A</v>
        <stp/>
        <stp>##V3_BDHV12</stp>
        <stp>SYK US Equity</stp>
        <stp>PX_ERN_RATIO_WITH_HIGH_CLOS_PX</stp>
        <stp>-4FY</stp>
        <stp>-4FY</stp>
        <stp>[Fundamental &amp; Technical Model (1).xlsm]Multiples!R35C9</stp>
        <stp>EQY_CONSOLIDATED</stp>
        <stp>Yes</stp>
        <stp>ACCOUNTING_STANDARD_OVERRIDE</stp>
        <stp>Mixed</stp>
        <stp>Per</stp>
        <stp>FY</stp>
        <stp>Days=A</stp>
        <tr r="I35" s="16"/>
        <tr r="I35" s="16"/>
      </tp>
      <tp>
        <v>18.546765503322604</v>
        <stp/>
        <stp>##V3_BQLV12</stp>
        <stp>[Fundamental &amp; Technical Model (1).xlsm]Ratios!R17C5</stp>
        <stp>SYK US Equity</stp>
        <stp>RETURN_ON_CAP</stp>
        <stp>FPT</stp>
        <stp>A</stp>
        <stp>FPO</stp>
        <stp>-9A</stp>
        <stp>STD</stp>
        <stp>Mixed</stp>
        <stp>CONSOL</stp>
        <stp>Yes</stp>
        <tr r="E17" s="8"/>
      </tp>
      <tp>
        <v>18.831325301204821</v>
        <stp/>
        <stp>##V3_BQLV12</stp>
        <stp>[Fundamental &amp; Technical Model (1).xlsm]Ratios!R53C9</stp>
        <stp>SYK US Equity</stp>
        <stp>EBITDA_TO_TOT_INT_EXP</stp>
        <stp>FPT</stp>
        <stp>A</stp>
        <stp>FPO</stp>
        <stp>-5A</stp>
        <stp>STD</stp>
        <stp>Mixed</stp>
        <stp>CONSOL</stp>
        <stp>Yes</stp>
        <tr r="I53" s="8"/>
      </tp>
      <tp>
        <v>0</v>
        <stp/>
        <stp>##V3_BQLV12</stp>
        <stp>[Fundamental &amp; Technical Model (1).xlsm]Balance Sheet!R49C7</stp>
        <stp>SYK US Equity</stp>
        <stp>BS_PFD_EQY/10^6</stp>
        <stp>FPT</stp>
        <stp>A</stp>
        <stp>FPO</stp>
        <stp>-7A</stp>
        <stp>STD</stp>
        <stp>Mixed</stp>
        <stp>CONSOL</stp>
        <stp>Yes</stp>
        <stp>CURRENCY</stp>
        <stp>USD</stp>
        <tr r="G49" s="3"/>
      </tp>
      <tp>
        <v>939.7</v>
        <stp/>
        <stp>##V3_BQLV12</stp>
        <stp>[Fundamental &amp; Technical Model (1).xlsm]Balance Sheet!R54C5</stp>
        <stp>SYK US Equity</stp>
        <stp>BS_SH_CAP_AND_APIC/10^6</stp>
        <stp>FPT</stp>
        <stp>A</stp>
        <stp>FPO</stp>
        <stp>-9A</stp>
        <stp>STD</stp>
        <stp>Mixed</stp>
        <stp>CONSOL</stp>
        <stp>Yes</stp>
        <stp>CURRENCY</stp>
        <stp>USD</stp>
        <tr r="E54" s="3"/>
      </tp>
      <tp>
        <v>39</v>
        <stp/>
        <stp>##V3_BQLV12</stp>
        <stp>[Fundamental &amp; Technical Model (1).xlsm]Cash Flow!R49C7</stp>
        <stp>SYK US Equity</stp>
        <stp>CF_ACT_CASH_PAID_FOR_INT_DEBT/10^6</stp>
        <stp>FPT</stp>
        <stp>A</stp>
        <stp>FPO</stp>
        <stp>-7A</stp>
        <stp>STD</stp>
        <stp>Mixed</stp>
        <stp>CONSOL</stp>
        <stp>Yes</stp>
        <stp>CURRENCY</stp>
        <stp>USD</stp>
        <tr r="G49" s="4"/>
      </tp>
      <tp>
        <v>39</v>
        <stp/>
        <stp>##V3_BQLV12</stp>
        <stp>[Fundamental &amp; Technical Model (1).xlsm]Cash Flow!R49C6</stp>
        <stp>SYK US Equity</stp>
        <stp>CF_ACT_CASH_PAID_FOR_INT_DEBT/10^6</stp>
        <stp>FPT</stp>
        <stp>A</stp>
        <stp>FPO</stp>
        <stp>-8A</stp>
        <stp>STD</stp>
        <stp>Mixed</stp>
        <stp>CONSOL</stp>
        <stp>Yes</stp>
        <stp>CURRENCY</stp>
        <stp>USD</stp>
        <tr r="F49" s="4"/>
      </tp>
      <tp>
        <v>5</v>
        <stp/>
        <stp>##V3_BQLV12</stp>
        <stp>[Fundamental &amp; Technical Model (1).xlsm]Cash Flow!R49C5</stp>
        <stp>SYK US Equity</stp>
        <stp>CF_ACT_CASH_PAID_FOR_INT_DEBT/10^6</stp>
        <stp>FPT</stp>
        <stp>A</stp>
        <stp>FPO</stp>
        <stp>-9A</stp>
        <stp>STD</stp>
        <stp>Mixed</stp>
        <stp>CONSOL</stp>
        <stp>Yes</stp>
        <stp>CURRENCY</stp>
        <stp>USD</stp>
        <tr r="E49" s="4"/>
      </tp>
      <tp>
        <v>88</v>
        <stp/>
        <stp>##V3_BQLV12</stp>
        <stp>[Fundamental &amp; Technical Model (1).xlsm]Cash Flow!R49C9</stp>
        <stp>SYK US Equity</stp>
        <stp>CF_ACT_CASH_PAID_FOR_INT_DEBT/10^6</stp>
        <stp>FPT</stp>
        <stp>A</stp>
        <stp>FPO</stp>
        <stp>-5A</stp>
        <stp>STD</stp>
        <stp>Mixed</stp>
        <stp>CONSOL</stp>
        <stp>Yes</stp>
        <stp>CURRENCY</stp>
        <stp>USD</stp>
        <tr r="I49" s="4"/>
      </tp>
      <tp>
        <v>55</v>
        <stp/>
        <stp>##V3_BQLV12</stp>
        <stp>[Fundamental &amp; Technical Model (1).xlsm]Cash Flow!R49C8</stp>
        <stp>SYK US Equity</stp>
        <stp>CF_ACT_CASH_PAID_FOR_INT_DEBT/10^6</stp>
        <stp>FPT</stp>
        <stp>A</stp>
        <stp>FPO</stp>
        <stp>-6A</stp>
        <stp>STD</stp>
        <stp>Mixed</stp>
        <stp>CONSOL</stp>
        <stp>Yes</stp>
        <stp>CURRENCY</stp>
        <stp>USD</stp>
        <tr r="H49" s="4"/>
      </tp>
      <tp t="e">
        <v>#N/A</v>
        <stp/>
        <stp>##V3_BDHV12</stp>
        <stp>SYK US Equity</stp>
        <stp>DIVIDEND_YIELD</stp>
        <stp>-5FY</stp>
        <stp>-5FY</stp>
        <stp>[Fundamental &amp; Technical Model (1).xlsm]Multiples!R63C8</stp>
        <stp>EQY_CONSOLIDATED</stp>
        <stp>Yes</stp>
        <stp>ACCOUNTING_STANDARD_OVERRIDE</stp>
        <stp>Mixed</stp>
        <stp>Per</stp>
        <stp>FY</stp>
        <stp>Days=A</stp>
        <tr r="H63" s="16"/>
        <tr r="H63" s="16"/>
      </tp>
      <tp t="e">
        <v>#N/A</v>
        <stp/>
        <stp>##V3_BDHV12</stp>
        <stp>SYK US Equity</stp>
        <stp>HIGH_PRICE_TO_TANGIBLE_BPS</stp>
        <stp>-0FY</stp>
        <stp>-0FY</stp>
        <stp>[Fundamental &amp; Technical Model (1).xlsm]Multiples!R47C13</stp>
        <stp>EQY_CONSOLIDATED</stp>
        <stp>Yes</stp>
        <stp>ACCOUNTING_STANDARD_OVERRIDE</stp>
        <stp>Mixed</stp>
        <stp>Per</stp>
        <stp>FY</stp>
        <stp>Days=A</stp>
        <tr r="M47" s="16"/>
      </tp>
      <tp t="e">
        <v>#N/A</v>
        <stp/>
        <stp>##V3_BDHV12</stp>
        <stp>SYK US Equity</stp>
        <stp>HIGH_PRICE_TO_TANGIBLE_BPS</stp>
        <stp>-1FY</stp>
        <stp>-1FY</stp>
        <stp>[Fundamental &amp; Technical Model (1).xlsm]Multiples!R47C12</stp>
        <stp>EQY_CONSOLIDATED</stp>
        <stp>Yes</stp>
        <stp>ACCOUNTING_STANDARD_OVERRIDE</stp>
        <stp>Mixed</stp>
        <stp>Per</stp>
        <stp>FY</stp>
        <stp>Days=A</stp>
        <tr r="L47" s="16"/>
      </tp>
      <tp t="e">
        <v>#N/A</v>
        <stp/>
        <stp>##V3_BDHV12</stp>
        <stp>SYK US Equity</stp>
        <stp>HIGH_PRICE_TO_TANGIBLE_BPS</stp>
        <stp>-2FY</stp>
        <stp>-2FY</stp>
        <stp>[Fundamental &amp; Technical Model (1).xlsm]Multiples!R47C11</stp>
        <stp>EQY_CONSOLIDATED</stp>
        <stp>Yes</stp>
        <stp>ACCOUNTING_STANDARD_OVERRIDE</stp>
        <stp>Mixed</stp>
        <stp>Per</stp>
        <stp>FY</stp>
        <stp>Days=A</stp>
        <tr r="K47" s="16"/>
        <tr r="K47" s="16"/>
      </tp>
      <tp t="e">
        <v>#N/A</v>
        <stp/>
        <stp>##V3_BDHV12</stp>
        <stp>SYK US Equity</stp>
        <stp>HIGH_PRICE_TO_TANGIBLE_BPS</stp>
        <stp>-3FY</stp>
        <stp>-3FY</stp>
        <stp>[Fundamental &amp; Technical Model (1).xlsm]Multiples!R47C10</stp>
        <stp>EQY_CONSOLIDATED</stp>
        <stp>Yes</stp>
        <stp>ACCOUNTING_STANDARD_OVERRIDE</stp>
        <stp>Mixed</stp>
        <stp>Per</stp>
        <stp>FY</stp>
        <stp>Days=A</stp>
        <tr r="J47" s="16"/>
        <tr r="J47" s="16"/>
      </tp>
      <tp>
        <v>43555</v>
        <stp/>
        <stp>##V3_BQLV12</stp>
        <stp>[Fundamental &amp; Technical Model (1).xlsm]Key Stats!R13C11</stp>
        <stp>SYK US Equity</stp>
        <stp>IS_EPS().PERIOD_END_DATE</stp>
        <stp>FPT=LTM</stp>
        <stp>FPO</stp>
        <stp>-0</stp>
        <stp>STD</stp>
        <stp>Mixed</stp>
        <stp>CONSOL</stp>
        <stp>Yes</stp>
        <stp>CURRENCY</stp>
        <stp>USD</stp>
        <tr r="K13" s="23"/>
      </tp>
      <tp>
        <v>6.376465072667604</v>
        <stp/>
        <stp>##V3_BQLV12</stp>
        <stp>[Fundamental &amp; Technical Model (1).xlsm]Ratios!R32C14</stp>
        <stp>SYK US Equity</stp>
        <stp>SALES_REV_TURN(FPO=-0A, FPT=A)/((BS_NET_FIX_ASSET(FPO=-0A)+BS_NET_FIX_ASSET(FPO=-1A))/2)</stp>
        <stp>FPT</stp>
        <stp>A</stp>
        <stp>STD</stp>
        <stp>Mixed</stp>
        <stp>CONSOL</stp>
        <stp>Yes</stp>
        <tr r="N32" s="8"/>
      </tp>
      <tp>
        <v>8.8802202845341895</v>
        <stp/>
        <stp>##V3_BQLV12</stp>
        <stp>[Fundamental &amp; Technical Model (1).xlsm]Ratios!R32C10</stp>
        <stp>SYK US Equity</stp>
        <stp>SALES_REV_TURN(FPO=-4A, FPT=A)/((BS_NET_FIX_ASSET(FPO=-4A)+BS_NET_FIX_ASSET(FPO=-5A))/2)</stp>
        <stp>FPT</stp>
        <stp>A</stp>
        <stp>STD</stp>
        <stp>Mixed</stp>
        <stp>CONSOL</stp>
        <stp>Yes</stp>
        <tr r="J32" s="8"/>
      </tp>
      <tp>
        <v>12444</v>
        <stp/>
        <stp>##V3_BQLV12</stp>
        <stp>[Fundamental &amp; Technical Model (1).xlsm]Income Statement!R16C13</stp>
        <stp>SYK US Equity</stp>
        <stp>SALES_REV_TURN/10^6</stp>
        <stp>FPT</stp>
        <stp>A</stp>
        <stp>FPO</stp>
        <stp>-1A</stp>
        <stp>STD</stp>
        <stp>Mixed</stp>
        <stp>CONSOL</stp>
        <stp>Yes</stp>
        <stp>CURRENCY</stp>
        <stp>USD</stp>
        <tr r="M16" s="2"/>
      </tp>
      <tp t="s">
        <v>#N/A</v>
        <stp/>
        <stp>##V3_BQLV12</stp>
        <stp>[Fundamental &amp; Technical Model (1).xlsm]Income Statement!R17C14</stp>
        <stp>SYK US Equity</stp>
        <stp>IS_OTHER_REVENUE_GAAP/10^6</stp>
        <stp>FPT</stp>
        <stp>A</stp>
        <stp>FPO</stp>
        <stp>-0A</stp>
        <stp>STD</stp>
        <stp>Mixed</stp>
        <stp>CONSOL</stp>
        <stp>Yes</stp>
        <stp>CURRENCY</stp>
        <stp>USD</stp>
        <tr r="N17" s="2"/>
      </tp>
      <tp t="s">
        <v>USD</v>
        <stp/>
        <stp>##V3_BDPV12</stp>
        <stp>SYK US Equity</stp>
        <stp>EQY FUND CRNCY</stp>
        <stp>[Fundamental &amp; Technical Model (1).xlsm]Segments!R7C12</stp>
        <tr r="L7" s="17"/>
      </tp>
      <tp t="s">
        <v>#N/A</v>
        <stp/>
        <stp>##V3_BQLV12</stp>
        <stp>[Fundamental &amp; Technical Model (1).xlsm]Income Statement!R17C10</stp>
        <stp>SYK US Equity</stp>
        <stp>IS_OTHER_REVENUE_GAAP/10^6</stp>
        <stp>FPT</stp>
        <stp>A</stp>
        <stp>FPO</stp>
        <stp>-4A</stp>
        <stp>STD</stp>
        <stp>Mixed</stp>
        <stp>CONSOL</stp>
        <stp>Yes</stp>
        <stp>CURRENCY</stp>
        <stp>USD</stp>
        <tr r="J17" s="2"/>
      </tp>
      <tp t="s">
        <v>#N/A</v>
        <stp/>
        <stp>##V3_BQLV12</stp>
        <stp>[Fundamental &amp; Technical Model (1).xlsm]Income Statement!R17C11</stp>
        <stp>SYK US Equity</stp>
        <stp>IS_OTHER_REVENUE_GAAP/10^6</stp>
        <stp>FPT</stp>
        <stp>A</stp>
        <stp>FPO</stp>
        <stp>-3A</stp>
        <stp>STD</stp>
        <stp>Mixed</stp>
        <stp>CONSOL</stp>
        <stp>Yes</stp>
        <stp>CURRENCY</stp>
        <stp>USD</stp>
        <tr r="K17" s="2"/>
      </tp>
      <tp t="s">
        <v>#N/A</v>
        <stp/>
        <stp>##V3_BQLV12</stp>
        <stp>[Fundamental &amp; Technical Model (1).xlsm]Income Statement!R17C12</stp>
        <stp>SYK US Equity</stp>
        <stp>IS_OTHER_REVENUE_GAAP/10^6</stp>
        <stp>FPT</stp>
        <stp>A</stp>
        <stp>FPO</stp>
        <stp>-2A</stp>
        <stp>STD</stp>
        <stp>Mixed</stp>
        <stp>CONSOL</stp>
        <stp>Yes</stp>
        <stp>CURRENCY</stp>
        <stp>USD</stp>
        <tr r="L17" s="2"/>
      </tp>
      <tp t="s">
        <v>#N/A</v>
        <stp/>
        <stp>##V3_BQLV12</stp>
        <stp>[Fundamental &amp; Technical Model (1).xlsm]Income Statement!R17C13</stp>
        <stp>SYK US Equity</stp>
        <stp>IS_OTHER_REVENUE_GAAP/10^6</stp>
        <stp>FPT</stp>
        <stp>A</stp>
        <stp>FPO</stp>
        <stp>-1A</stp>
        <stp>STD</stp>
        <stp>Mixed</stp>
        <stp>CONSOL</stp>
        <stp>Yes</stp>
        <stp>CURRENCY</stp>
        <stp>USD</stp>
        <tr r="M17" s="2"/>
      </tp>
      <tp t="s">
        <v>2016 Y</v>
        <stp/>
        <stp>##V3_BDPV12</stp>
        <stp>SYK US Equity</stp>
        <stp>FISCAL_YEAR_PERIOD</stp>
        <stp>[Fundamental &amp; Technical Model (1).xlsm]Segments!R43C12</stp>
        <stp>EQY_FUND_RELATIVE_PERIOD</stp>
        <stp>-2FY</stp>
        <tr r="L43" s="17"/>
      </tp>
      <tp>
        <v>-83.7</v>
        <stp/>
        <stp>##V3_BQLV12</stp>
        <stp>[Fundamental &amp; Technical Model (1).xlsm]Cash Flow!R17C4</stp>
        <stp>SYK US Equity</stp>
        <stp>CF_OTHER_NON_CASH_ADJUST/10^6</stp>
        <stp>FPT</stp>
        <stp>A</stp>
        <stp>FPO</stp>
        <stp>-10A</stp>
        <stp>STD</stp>
        <stp>Mixed</stp>
        <stp>CONSOL</stp>
        <stp>Yes</stp>
        <stp>CURRENCY</stp>
        <stp>USD</stp>
        <tr r="D17" s="4"/>
      </tp>
      <tp t="s">
        <v>12/31/2008</v>
        <stp/>
        <stp>##V3_BDPV12</stp>
        <stp>SYK US Equity</stp>
        <stp>LATEST_PERIOD_END_DT_FULL_RECORD</stp>
        <stp>[Fundamental &amp; Technical Model (1).xlsm]Supplemental!R13C3</stp>
        <stp>EQY_FUND_RELATIVE_PERIOD</stp>
        <stp>-10FY</stp>
        <stp>EQY_CONSOLIDATED</stp>
        <stp>Yes</stp>
        <tr r="C13" s="19"/>
        <tr r="C13" s="19"/>
      </tp>
      <tp>
        <v>32.031746031746032</v>
        <stp/>
        <stp>##V3_BQLV12</stp>
        <stp>[Fundamental &amp; Technical Model (1).xlsm]Ratios!R53C8</stp>
        <stp>SYK US Equity</stp>
        <stp>EBITDA_TO_TOT_INT_EXP</stp>
        <stp>FPT</stp>
        <stp>A</stp>
        <stp>FPO</stp>
        <stp>-6A</stp>
        <stp>STD</stp>
        <stp>Mixed</stp>
        <stp>CONSOL</stp>
        <stp>Yes</stp>
        <tr r="H53" s="8"/>
      </tp>
      <tp>
        <v>1003</v>
        <stp/>
        <stp>##V3_BQLV12</stp>
        <stp>[Fundamental &amp; Technical Model (1).xlsm]Balance Sheet!R54C6</stp>
        <stp>SYK US Equity</stp>
        <stp>BS_SH_CAP_AND_APIC/10^6</stp>
        <stp>FPT</stp>
        <stp>A</stp>
        <stp>FPO</stp>
        <stp>-8A</stp>
        <stp>STD</stp>
        <stp>Mixed</stp>
        <stp>CONSOL</stp>
        <stp>Yes</stp>
        <stp>CURRENCY</stp>
        <stp>USD</stp>
        <tr r="F54" s="3"/>
      </tp>
      <tp>
        <v>3.40558101361056</v>
        <stp/>
        <stp>##V3_BQLV12</stp>
        <stp>[Fundamental &amp; Technical Model (1).xlsm]Ratios!R37C4</stp>
        <stp>SYK US Equity</stp>
        <stp>CUR_RATIO</stp>
        <stp>FPT</stp>
        <stp>A</stp>
        <stp>FPO</stp>
        <stp>-10A</stp>
        <stp>STD</stp>
        <stp>Mixed</stp>
        <stp>CONSOL</stp>
        <stp>Yes</stp>
        <tr r="D37" s="8"/>
      </tp>
      <tp>
        <v>12</v>
        <stp/>
        <stp>##V3_BQLV12</stp>
        <stp>[Fundamental &amp; Technical Model (1).xlsm]Cash Flow!R43C7</stp>
        <stp>SYK US Equity</stp>
        <stp>CF_OTHER_FNC_ACT/10^6</stp>
        <stp>FPT</stp>
        <stp>A</stp>
        <stp>FPO</stp>
        <stp>-7A</stp>
        <stp>STD</stp>
        <stp>Mixed</stp>
        <stp>CONSOL</stp>
        <stp>Yes</stp>
        <stp>CURRENCY</stp>
        <stp>USD</stp>
        <tr r="G43" s="4"/>
      </tp>
      <tp>
        <v>-4</v>
        <stp/>
        <stp>##V3_BQLV12</stp>
        <stp>[Fundamental &amp; Technical Model (1).xlsm]Cash Flow!R43C6</stp>
        <stp>SYK US Equity</stp>
        <stp>CF_OTHER_FNC_ACT/10^6</stp>
        <stp>FPT</stp>
        <stp>A</stp>
        <stp>FPO</stp>
        <stp>-8A</stp>
        <stp>STD</stp>
        <stp>Mixed</stp>
        <stp>CONSOL</stp>
        <stp>Yes</stp>
        <stp>CURRENCY</stp>
        <stp>USD</stp>
        <tr r="F43" s="4"/>
      </tp>
      <tp>
        <v>26</v>
        <stp/>
        <stp>##V3_BQLV12</stp>
        <stp>[Fundamental &amp; Technical Model (1).xlsm]Cash Flow!R43C5</stp>
        <stp>SYK US Equity</stp>
        <stp>CF_OTHER_FNC_ACT/10^6</stp>
        <stp>FPT</stp>
        <stp>A</stp>
        <stp>FPO</stp>
        <stp>-9A</stp>
        <stp>STD</stp>
        <stp>Mixed</stp>
        <stp>CONSOL</stp>
        <stp>Yes</stp>
        <stp>CURRENCY</stp>
        <stp>USD</stp>
        <tr r="E43" s="4"/>
      </tp>
      <tp>
        <v>-12</v>
        <stp/>
        <stp>##V3_BQLV12</stp>
        <stp>[Fundamental &amp; Technical Model (1).xlsm]Cash Flow!R43C9</stp>
        <stp>SYK US Equity</stp>
        <stp>CF_OTHER_FNC_ACT/10^6</stp>
        <stp>FPT</stp>
        <stp>A</stp>
        <stp>FPO</stp>
        <stp>-5A</stp>
        <stp>STD</stp>
        <stp>Mixed</stp>
        <stp>CONSOL</stp>
        <stp>Yes</stp>
        <stp>CURRENCY</stp>
        <stp>USD</stp>
        <tr r="I43" s="4"/>
      </tp>
      <tp>
        <v>5</v>
        <stp/>
        <stp>##V3_BQLV12</stp>
        <stp>[Fundamental &amp; Technical Model (1).xlsm]Cash Flow!R43C8</stp>
        <stp>SYK US Equity</stp>
        <stp>CF_OTHER_FNC_ACT/10^6</stp>
        <stp>FPT</stp>
        <stp>A</stp>
        <stp>FPO</stp>
        <stp>-6A</stp>
        <stp>STD</stp>
        <stp>Mixed</stp>
        <stp>CONSOL</stp>
        <stp>Yes</stp>
        <stp>CURRENCY</stp>
        <stp>USD</stp>
        <tr r="H43" s="4"/>
      </tp>
      <tp>
        <v>83.8</v>
        <stp/>
        <stp>##V3_BQLV12</stp>
        <stp>[Fundamental &amp; Technical Model (1).xlsm]Cash Flow!R38C4</stp>
        <stp>SYK US Equity</stp>
        <stp>CF_INCR_CAP_STOCK/10^6</stp>
        <stp>FPT</stp>
        <stp>A</stp>
        <stp>FPO</stp>
        <stp>-10A</stp>
        <stp>STD</stp>
        <stp>Mixed</stp>
        <stp>CONSOL</stp>
        <stp>Yes</stp>
        <stp>CURRENCY</stp>
        <stp>USD</stp>
        <tr r="D38" s="4"/>
      </tp>
      <tp>
        <v>11325</v>
        <stp/>
        <stp>##V3_BQLV12</stp>
        <stp>[Fundamental &amp; Technical Model (1).xlsm]Income Statement!R16C12</stp>
        <stp>SYK US Equity</stp>
        <stp>SALES_REV_TURN/10^6</stp>
        <stp>FPT</stp>
        <stp>A</stp>
        <stp>FPO</stp>
        <stp>-2A</stp>
        <stp>STD</stp>
        <stp>Mixed</stp>
        <stp>CONSOL</stp>
        <stp>Yes</stp>
        <stp>CURRENCY</stp>
        <stp>USD</stp>
        <tr r="L16" s="2"/>
      </tp>
      <tp>
        <v>43550</v>
        <stp/>
        <stp>##V3_BTH</stp>
        <stp>SYK US Equity</stp>
        <stp>MIN_x0002__x0003_MAX_x0002__x0003_MM_RETRACEMENT</stp>
        <stp>3/26/2019</stp>
        <stp>4/25/2019</stp>
        <stp>[Fundamental &amp; Technical Model (1).xlsm]Technical Analysis Data!R79C7</stp>
        <stp>MAXMIN</stp>
        <stp>TAPeriod=20</stp>
        <stp>Retracement=50</stp>
        <stp>DSHigh=PX_HIGH</stp>
        <stp>DSLow=PX_LOW</stp>
        <stp>Dir=H</stp>
        <stp>Dts=S</stp>
        <stp>cols=22;rows=4</stp>
        <tr r="G79" s="31"/>
      </tp>
      <tp t="s">
        <v>2015 Y</v>
        <stp/>
        <stp>##V3_BDPV12</stp>
        <stp>SYK US Equity</stp>
        <stp>FISCAL_YEAR_PERIOD</stp>
        <stp>[Fundamental &amp; Technical Model (1).xlsm]Segments!R72C11</stp>
        <stp>EQY_FUND_RELATIVE_PERIOD</stp>
        <stp>-3FY</stp>
        <tr r="K72" s="17"/>
      </tp>
      <tp t="s">
        <v>2017 Y</v>
        <stp/>
        <stp>##V3_BDPV12</stp>
        <stp>SYK US Equity</stp>
        <stp>FISCAL_YEAR_PERIOD</stp>
        <stp>[Fundamental &amp; Technical Model (1).xlsm]Segments!R72C13</stp>
        <stp>EQY_FUND_RELATIVE_PERIOD</stp>
        <stp>-1FY</stp>
        <tr r="M72" s="17"/>
      </tp>
      <tp t="s">
        <v>2016 Y</v>
        <stp/>
        <stp>##V3_BDPV12</stp>
        <stp>SYK US Equity</stp>
        <stp>FISCAL_YEAR_PERIOD</stp>
        <stp>[Fundamental &amp; Technical Model (1).xlsm]Segments!R57C12</stp>
        <stp>EQY_FUND_RELATIVE_PERIOD</stp>
        <stp>-2FY</stp>
        <tr r="L57" s="17"/>
      </tp>
      <tp t="s">
        <v>2014 Y</v>
        <stp/>
        <stp>##V3_BDPV12</stp>
        <stp>SYK US Equity</stp>
        <stp>FISCAL_YEAR_PERIOD</stp>
        <stp>[Fundamental &amp; Technical Model (1).xlsm]Segments!R14C10</stp>
        <stp>EQY_FUND_RELATIVE_PERIOD</stp>
        <stp>-4FY</stp>
        <tr r="J14" s="17"/>
      </tp>
      <tp t="s">
        <v>2018 Y</v>
        <stp/>
        <stp>##V3_BDPV12</stp>
        <stp>SYK US Equity</stp>
        <stp>FISCAL_YEAR_PERIOD</stp>
        <stp>[Fundamental &amp; Technical Model (1).xlsm]Segments!R14C14</stp>
        <stp>EQY_FUND_RELATIVE_PERIOD</stp>
        <stp>-0FY</stp>
        <tr r="N14" s="17"/>
      </tp>
      <tp t="e">
        <v>#N/A</v>
        <stp/>
        <stp>##V3_BDHV12</stp>
        <stp>SYK US Equity</stp>
        <stp>LOW_PRICE_TO_FREE_CASH_FLOW</stp>
        <stp>-2FY</stp>
        <stp>-2FY</stp>
        <stp>[Fundamental &amp; Technical Model (1).xlsm]Multiples!R60C11</stp>
        <stp>EQY_CONSOLIDATED</stp>
        <stp>Yes</stp>
        <stp>ACCOUNTING_STANDARD_OVERRIDE</stp>
        <stp>Mixed</stp>
        <stp>Per</stp>
        <stp>FY</stp>
        <stp>Days=A</stp>
        <tr r="K60" s="16"/>
        <tr r="K60" s="16"/>
      </tp>
      <tp t="e">
        <v>#N/A</v>
        <stp/>
        <stp>##V3_BDHV12</stp>
        <stp>SYK US Equity</stp>
        <stp>LOW_PRICE_TO_FREE_CASH_FLOW</stp>
        <stp>-3FY</stp>
        <stp>-3FY</stp>
        <stp>[Fundamental &amp; Technical Model (1).xlsm]Multiples!R60C10</stp>
        <stp>EQY_CONSOLIDATED</stp>
        <stp>Yes</stp>
        <stp>ACCOUNTING_STANDARD_OVERRIDE</stp>
        <stp>Mixed</stp>
        <stp>Per</stp>
        <stp>FY</stp>
        <stp>Days=A</stp>
        <tr r="J60" s="16"/>
        <tr r="J60" s="16"/>
      </tp>
      <tp t="e">
        <v>#N/A</v>
        <stp/>
        <stp>##V3_BDHV12</stp>
        <stp>SYK US Equity</stp>
        <stp>LOW_PRICE_TO_FREE_CASH_FLOW</stp>
        <stp>-0FY</stp>
        <stp>-0FY</stp>
        <stp>[Fundamental &amp; Technical Model (1).xlsm]Multiples!R60C13</stp>
        <stp>EQY_CONSOLIDATED</stp>
        <stp>Yes</stp>
        <stp>ACCOUNTING_STANDARD_OVERRIDE</stp>
        <stp>Mixed</stp>
        <stp>Per</stp>
        <stp>FY</stp>
        <stp>Days=A</stp>
        <tr r="M60" s="16"/>
        <tr r="M60" s="16"/>
      </tp>
      <tp t="e">
        <v>#N/A</v>
        <stp/>
        <stp>##V3_BDHV12</stp>
        <stp>SYK US Equity</stp>
        <stp>LOW_PRICE_TO_FREE_CASH_FLOW</stp>
        <stp>-1FY</stp>
        <stp>-1FY</stp>
        <stp>[Fundamental &amp; Technical Model (1).xlsm]Multiples!R60C12</stp>
        <stp>EQY_CONSOLIDATED</stp>
        <stp>Yes</stp>
        <stp>ACCOUNTING_STANDARD_OVERRIDE</stp>
        <stp>Mixed</stp>
        <stp>Per</stp>
        <stp>FY</stp>
        <stp>Days=A</stp>
        <tr r="L60" s="16"/>
        <tr r="L60" s="16"/>
      </tp>
      <tp>
        <v>1.8895705521472392</v>
        <stp/>
        <stp>##V3_BDPV12</stp>
        <stp>SYK US Equity</stp>
        <stp>NET_DEBT_TO_EBITDA</stp>
        <stp>[Fundamental &amp; Technical Model (1).xlsm]Capital Structure Summary!R58C11</stp>
        <stp>EQY_FUND_RELATIVE_PERIOD</stp>
        <stp>-0FY</stp>
        <stp>EQY_FUND_CRNCY</stp>
        <stp>USD</stp>
        <stp>EQY_CONSOLIDATED</stp>
        <stp>Yes</stp>
        <stp>ACCOUNTING_STANDARD_OVERRIDE</stp>
        <stp>Mixed</stp>
        <stp>Fill=--</stp>
        <tr r="K58" s="21"/>
      </tp>
      <tp>
        <v>0.26473273151435239</v>
        <stp/>
        <stp>##V3_BDPV12</stp>
        <stp>SYK US Equity</stp>
        <stp>CFO_TO_TOT_DEBT</stp>
        <stp>[Fundamental &amp; Technical Model (1).xlsm]Capital Structure Summary!R62C11</stp>
        <stp>EQY_FUND_RELATIVE_PERIOD</stp>
        <stp>-0FY</stp>
        <stp>EQY_FUND_CRNCY</stp>
        <stp>USD</stp>
        <stp>EQY_CONSOLIDATED</stp>
        <stp>Yes</stp>
        <stp>ACCOUNTING_STANDARD_OVERRIDE</stp>
        <stp>Mixed</stp>
        <stp>Fill=--</stp>
        <tr r="K62" s="21"/>
      </tp>
      <tp>
        <v>35.142857142857146</v>
        <stp/>
        <stp>##V3_BQLV12</stp>
        <stp>[Fundamental &amp; Technical Model (1).xlsm]Ratios!R53C7</stp>
        <stp>SYK US Equity</stp>
        <stp>EBITDA_TO_TOT_INT_EXP</stp>
        <stp>FPT</stp>
        <stp>A</stp>
        <stp>FPO</stp>
        <stp>-7A</stp>
        <stp>STD</stp>
        <stp>Mixed</stp>
        <stp>CONSOL</stp>
        <stp>Yes</stp>
        <tr r="G53" s="8"/>
      </tp>
      <tp>
        <v>0</v>
        <stp/>
        <stp>##V3_BQLV12</stp>
        <stp>[Fundamental &amp; Technical Model (1).xlsm]Balance Sheet!R49C5</stp>
        <stp>SYK US Equity</stp>
        <stp>BS_PFD_EQY/10^6</stp>
        <stp>FPT</stp>
        <stp>A</stp>
        <stp>FPO</stp>
        <stp>-9A</stp>
        <stp>STD</stp>
        <stp>Mixed</stp>
        <stp>CONSOL</stp>
        <stp>Yes</stp>
        <stp>CURRENCY</stp>
        <stp>USD</stp>
        <tr r="E49" s="3"/>
      </tp>
      <tp>
        <v>1060</v>
        <stp/>
        <stp>##V3_BQLV12</stp>
        <stp>[Fundamental &amp; Technical Model (1).xlsm]Balance Sheet!R54C7</stp>
        <stp>SYK US Equity</stp>
        <stp>BS_SH_CAP_AND_APIC/10^6</stp>
        <stp>FPT</stp>
        <stp>A</stp>
        <stp>FPO</stp>
        <stp>-7A</stp>
        <stp>STD</stp>
        <stp>Mixed</stp>
        <stp>CONSOL</stp>
        <stp>Yes</stp>
        <stp>CURRENCY</stp>
        <stp>USD</stp>
        <tr r="G54" s="3"/>
      </tp>
      <tp>
        <v>0.20671467694492343</v>
        <stp/>
        <stp>##V3_BDPV12</stp>
        <stp>SYK US Equity</stp>
        <stp>FCF_TO_TOTAL_DEBT</stp>
        <stp>[Fundamental &amp; Technical Model (1).xlsm]Capital Structure Summary!R61C11</stp>
        <stp>EQY_FUND_RELATIVE_PERIOD</stp>
        <stp>-0FY</stp>
        <stp>EQY_FUND_CRNCY</stp>
        <stp>USD</stp>
        <stp>EQY_CONSOLIDATED</stp>
        <stp>Yes</stp>
        <stp>ACCOUNTING_STANDARD_OVERRIDE</stp>
        <stp>Mixed</stp>
        <stp>Fill=--</stp>
        <tr r="K61" s="21"/>
      </tp>
      <tp>
        <v>8.6</v>
        <stp/>
        <stp>##V3_BQLV12</stp>
        <stp>[Fundamental &amp; Technical Model (1).xlsm]Cash Flow!R22C4</stp>
        <stp>SYK US Equity</stp>
        <stp>CF_DISP_FIX_ASSET/10^6</stp>
        <stp>FPT</stp>
        <stp>A</stp>
        <stp>FPO</stp>
        <stp>-10A</stp>
        <stp>STD</stp>
        <stp>Mixed</stp>
        <stp>CONSOL</stp>
        <stp>Yes</stp>
        <stp>CURRENCY</stp>
        <stp>USD</stp>
        <tr r="D22" s="4"/>
      </tp>
      <tp>
        <v>26</v>
        <stp/>
        <stp>##V3_BQLV12</stp>
        <stp>[Fundamental &amp; Technical Model (1).xlsm]Cash Flow!R31C4</stp>
        <stp>SYK US Equity</stp>
        <stp>CF_INCR_LT_BORROW/10^6</stp>
        <stp>FPT</stp>
        <stp>A</stp>
        <stp>FPO</stp>
        <stp>-10A</stp>
        <stp>STD</stp>
        <stp>Mixed</stp>
        <stp>CONSOL</stp>
        <stp>Yes</stp>
        <stp>CURRENCY</stp>
        <stp>USD</stp>
        <tr r="D31" s="4"/>
      </tp>
      <tp>
        <v>6355</v>
        <stp/>
        <stp>##V3_BDPV12</stp>
        <stp>SYK US Equity</stp>
        <stp>BS_BEYOND_YEAR_5_PRINCIPAL</stp>
        <stp>[Fundamental &amp; Technical Model (1).xlsm]Capital Structure Summary!R79C11</stp>
        <stp>EQY_FUND_RELATIVE_PERIOD</stp>
        <stp>-0FY</stp>
        <stp>EQY_FUND_CRNCY</stp>
        <stp>USD</stp>
        <stp>EQY_CONSOLIDATED</stp>
        <stp>Yes</stp>
        <stp>ACCOUNTING_STANDARD_OVERRIDE</stp>
        <stp>Mixed</stp>
        <stp>Fill=--</stp>
        <tr r="K79" s="21"/>
      </tp>
      <tp>
        <v>0</v>
        <stp/>
        <stp>##V3_BDPV12</stp>
        <stp>SYK US Equity</stp>
        <stp>ARD_RENTAL_EXP_COST_OF_REVENUE</stp>
        <stp>[Fundamental &amp; Technical Model (1).xlsm]Income Statement!R86C7</stp>
        <stp>EQY FUND RELATIVE PERIOD</stp>
        <stp>-7FY</stp>
        <stp>EQY_FUND_CRNCY</stp>
        <stp>USD</stp>
        <stp>EQY_CONSOLIDATED</stp>
        <stp>Yes</stp>
        <stp>ACCOUNTING_STANDARD_OVERRIDE</stp>
        <stp>Mixed</stp>
        <stp>Fill=0</stp>
        <tr r="G86" s="2"/>
      </tp>
      <tp>
        <v>0</v>
        <stp/>
        <stp>##V3_BDPV12</stp>
        <stp>SYK US Equity</stp>
        <stp>ARD_RENTAL_EXP_COST_OF_REVENUE</stp>
        <stp>[Fundamental &amp; Technical Model (1).xlsm]Income Statement!R86C6</stp>
        <stp>EQY FUND RELATIVE PERIOD</stp>
        <stp>-8FY</stp>
        <stp>EQY_FUND_CRNCY</stp>
        <stp>USD</stp>
        <stp>EQY_CONSOLIDATED</stp>
        <stp>Yes</stp>
        <stp>ACCOUNTING_STANDARD_OVERRIDE</stp>
        <stp>Mixed</stp>
        <stp>Fill=0</stp>
        <tr r="F86" s="2"/>
      </tp>
      <tp>
        <v>0</v>
        <stp/>
        <stp>##V3_BDPV12</stp>
        <stp>SYK US Equity</stp>
        <stp>ARD_RENTAL_EXP_COST_OF_REVENUE</stp>
        <stp>[Fundamental &amp; Technical Model (1).xlsm]Income Statement!R86C8</stp>
        <stp>EQY FUND RELATIVE PERIOD</stp>
        <stp>-6FY</stp>
        <stp>EQY_FUND_CRNCY</stp>
        <stp>USD</stp>
        <stp>EQY_CONSOLIDATED</stp>
        <stp>Yes</stp>
        <stp>ACCOUNTING_STANDARD_OVERRIDE</stp>
        <stp>Mixed</stp>
        <stp>Fill=0</stp>
        <tr r="H86" s="2"/>
      </tp>
      <tp>
        <v>0</v>
        <stp/>
        <stp>##V3_BDPV12</stp>
        <stp>SYK US Equity</stp>
        <stp>ARD_RENTAL_EXP_COST_OF_REVENUE</stp>
        <stp>[Fundamental &amp; Technical Model (1).xlsm]Income Statement!R86C5</stp>
        <stp>EQY FUND RELATIVE PERIOD</stp>
        <stp>-9FY</stp>
        <stp>EQY_FUND_CRNCY</stp>
        <stp>USD</stp>
        <stp>EQY_CONSOLIDATED</stp>
        <stp>Yes</stp>
        <stp>ACCOUNTING_STANDARD_OVERRIDE</stp>
        <stp>Mixed</stp>
        <stp>Fill=0</stp>
        <tr r="E86" s="2"/>
      </tp>
      <tp>
        <v>0</v>
        <stp/>
        <stp>##V3_BDPV12</stp>
        <stp>SYK US Equity</stp>
        <stp>ARD_RENTAL_EXP_COST_OF_REVENUE</stp>
        <stp>[Fundamental &amp; Technical Model (1).xlsm]Income Statement!R86C9</stp>
        <stp>EQY FUND RELATIVE PERIOD</stp>
        <stp>-5FY</stp>
        <stp>EQY_FUND_CRNCY</stp>
        <stp>USD</stp>
        <stp>EQY_CONSOLIDATED</stp>
        <stp>Yes</stp>
        <stp>ACCOUNTING_STANDARD_OVERRIDE</stp>
        <stp>Mixed</stp>
        <stp>Fill=0</stp>
        <tr r="I86" s="2"/>
      </tp>
      <tp t="s">
        <v>--</v>
        <stp/>
        <stp>##V3_BDPV12</stp>
        <stp>SYK US Equity</stp>
        <stp>BS_TOTAL_SUBLEASE_INCOME</stp>
        <stp>[Fundamental &amp; Technical Model (1).xlsm]Capital Structure Summary!R106C11</stp>
        <stp>EQY_FUND_RELATIVE_PERIOD</stp>
        <stp>-0FY</stp>
        <stp>EQY_FUND_CRNCY</stp>
        <stp>USD</stp>
        <stp>EQY_CONSOLIDATED</stp>
        <stp>Yes</stp>
        <stp>ACCOUNTING_STANDARD_OVERRIDE</stp>
        <stp>Mixed</stp>
        <stp>Fill=--</stp>
        <tr r="K106" s="21"/>
      </tp>
      <tp t="s">
        <v>2015 Y</v>
        <stp/>
        <stp>##V3_BDPV12</stp>
        <stp>SYK US Equity</stp>
        <stp>FISCAL_YEAR_PERIOD</stp>
        <stp>[Fundamental &amp; Technical Model (1).xlsm]Segments!R86C11</stp>
        <stp>EQY_FUND_RELATIVE_PERIOD</stp>
        <stp>-3FY</stp>
        <tr r="K86" s="17"/>
      </tp>
      <tp t="s">
        <v>2017 Y</v>
        <stp/>
        <stp>##V3_BDPV12</stp>
        <stp>SYK US Equity</stp>
        <stp>FISCAL_YEAR_PERIOD</stp>
        <stp>[Fundamental &amp; Technical Model (1).xlsm]Segments!R86C13</stp>
        <stp>EQY_FUND_RELATIVE_PERIOD</stp>
        <stp>-1FY</stp>
        <tr r="M86" s="17"/>
      </tp>
      <tp t="s">
        <v>12/31/2018</v>
        <stp/>
        <stp>##V3_BDPV12</stp>
        <stp>SYK US Equity</stp>
        <stp>LATEST_PERIOD_END_DT_FULL_RECORD</stp>
        <stp>[Fundamental &amp; Technical Model (1).xlsm]Capital Structure Summary!R37C11</stp>
        <stp>EQY_FUND_RELATIVE_PERIOD</stp>
        <stp>-0FY</stp>
        <stp>EQY_CONSOLIDATED</stp>
        <stp>Yes</stp>
        <tr r="K37" s="21"/>
        <tr r="K37" s="21"/>
      </tp>
      <tp t="s">
        <v>12/31/2018</v>
        <stp/>
        <stp>##V3_BDPV12</stp>
        <stp>SYK US Equity</stp>
        <stp>LATEST_PERIOD_END_DT_FULL_RECORD</stp>
        <stp>[Fundamental &amp; Technical Model (1).xlsm]Capital Structure Summary!R27C11</stp>
        <stp>EQY_FUND_RELATIVE_PERIOD</stp>
        <stp>-0FY</stp>
        <stp>EQY_CONSOLIDATED</stp>
        <stp>Yes</stp>
        <tr r="K27" s="21"/>
        <tr r="K27" s="21"/>
      </tp>
      <tp t="s">
        <v>#N/A N/A</v>
        <stp/>
        <stp>##V3_BDSV12</stp>
        <stp>SYK US Equity</stp>
        <stp>PG_OPERATING_INCOME</stp>
        <stp>[Fundamental &amp; Technical Model (1).xlsm]Segments!R83C14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83" s="17"/>
      </tp>
      <tp t="s">
        <v>#N/A N/A</v>
        <stp/>
        <stp>##V3_BDSV12</stp>
        <stp>SYK US Equity</stp>
        <stp>PG_OPERATING_INCOME</stp>
        <stp>[Fundamental &amp; Technical Model (1).xlsm]Segments!R83C12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83" s="17"/>
      </tp>
      <tp>
        <v>9.27</v>
        <stp/>
        <stp>##V3_BQLV12</stp>
        <stp>[Fundamental &amp; Technical Model (1).xlsm]Key Stats!R30C11</stp>
        <stp>SYK US Equity</stp>
        <stp>IS_DIL_EPS_BEF_XO</stp>
        <stp>FPT=LTM</stp>
        <stp>FPO</stp>
        <stp>-0</stp>
        <stp>STD</stp>
        <stp>Mixed</stp>
        <stp>CONSOL</stp>
        <stp>Yes</stp>
        <stp>CURRENCY</stp>
        <stp>USD</stp>
        <tr r="K30" s="23"/>
      </tp>
      <tp t="s">
        <v>#N/A N/A</v>
        <stp/>
        <stp>##V3_BDSV12</stp>
        <stp>SYK US Equity</stp>
        <stp>PG_OPERATING_INCOME</stp>
        <stp>[Fundamental &amp; Technical Model (1).xlsm]Segments!R83C13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83" s="17"/>
      </tp>
      <tp t="s">
        <v>#N/A N/A</v>
        <stp/>
        <stp>##V3_BDSV12</stp>
        <stp>SYK US Equity</stp>
        <stp>PG_OPERATING_INCOME</stp>
        <stp>[Fundamental &amp; Technical Model (1).xlsm]Segments!R83C10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83" s="17"/>
      </tp>
      <tp t="s">
        <v>#N/A N/A</v>
        <stp/>
        <stp>##V3_BDSV12</stp>
        <stp>SYK US Equity</stp>
        <stp>PG_OPERATING_INCOME</stp>
        <stp>[Fundamental &amp; Technical Model (1).xlsm]Segments!R83C11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83" s="17"/>
      </tp>
      <tp t="e">
        <v>#N/A</v>
        <stp/>
        <stp>##V3_BDHV12</stp>
        <stp>SYK US Equity</stp>
        <stp>PX_ERN_RATIO_WITH_HIGH_CLOS_PX</stp>
        <stp>-9FY</stp>
        <stp>-9FY</stp>
        <stp>[Fundamental &amp; Technical Model (1).xlsm]Multiples!R35C4</stp>
        <stp>EQY_CONSOLIDATED</stp>
        <stp>Yes</stp>
        <stp>ACCOUNTING_STANDARD_OVERRIDE</stp>
        <stp>Mixed</stp>
        <stp>Per</stp>
        <stp>FY</stp>
        <stp>Days=A</stp>
        <tr r="D35" s="16"/>
        <tr r="D35" s="16"/>
      </tp>
      <tp>
        <v>37.245283018867923</v>
        <stp/>
        <stp>##V3_BQLV12</stp>
        <stp>[Fundamental &amp; Technical Model (1).xlsm]Ratios!R53C6</stp>
        <stp>SYK US Equity</stp>
        <stp>EBITDA_TO_TOT_INT_EXP</stp>
        <stp>FPT</stp>
        <stp>A</stp>
        <stp>FPO</stp>
        <stp>-8A</stp>
        <stp>STD</stp>
        <stp>Mixed</stp>
        <stp>CONSOL</stp>
        <stp>Yes</stp>
        <tr r="F53" s="8"/>
      </tp>
      <tp t="e">
        <v>#N/A</v>
        <stp/>
        <stp>##V3_BDHV12</stp>
        <stp>SYK US Equity</stp>
        <stp>DIVIDEND_YIELD</stp>
        <stp>-8FY</stp>
        <stp>-8FY</stp>
        <stp>[Fundamental &amp; Technical Model (1).xlsm]Multiples!R63C5</stp>
        <stp>EQY_CONSOLIDATED</stp>
        <stp>Yes</stp>
        <stp>ACCOUNTING_STANDARD_OVERRIDE</stp>
        <stp>Mixed</stp>
        <stp>Per</stp>
        <stp>FY</stp>
        <stp>Days=A</stp>
        <tr r="E63" s="16"/>
        <tr r="E63" s="16"/>
      </tp>
      <tp>
        <v>1136</v>
        <stp/>
        <stp>##V3_BQLV12</stp>
        <stp>[Fundamental &amp; Technical Model (1).xlsm]Balance Sheet!R54C8</stp>
        <stp>SYK US Equity</stp>
        <stp>BS_SH_CAP_AND_APIC/10^6</stp>
        <stp>FPT</stp>
        <stp>A</stp>
        <stp>FPO</stp>
        <stp>-6A</stp>
        <stp>STD</stp>
        <stp>Mixed</stp>
        <stp>CONSOL</stp>
        <stp>Yes</stp>
        <stp>CURRENCY</stp>
        <stp>USD</stp>
        <tr r="H54" s="3"/>
      </tp>
      <tp t="s">
        <v>#N/A N/A</v>
        <stp/>
        <stp>##V3_BDSV12</stp>
        <stp>SYK US Equity</stp>
        <stp>PG_DEPR_AMORTIZATION</stp>
        <stp>[Fundamental &amp; Technical Model (1).xlsm]Segments!R156C6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156" s="17"/>
      </tp>
      <tp>
        <v>9.6098484848484844</v>
        <stp/>
        <stp>##V3_BDPV12</stp>
        <stp>SYK US Equity</stp>
        <stp>INTEREST_COVERAGE_RATIO</stp>
        <stp>[Fundamental &amp; Technical Model (1).xlsm]Capital Structure Summary!R65C11</stp>
        <stp>EQY_FUND_RELATIVE_PERIOD</stp>
        <stp>-0FY</stp>
        <stp>EQY_FUND_CRNCY</stp>
        <stp>USD</stp>
        <stp>EQY_CONSOLIDATED</stp>
        <stp>Yes</stp>
        <stp>ACCOUNTING_STANDARD_OVERRIDE</stp>
        <stp>Mixed</stp>
        <stp>Fill=--</stp>
        <tr r="K65" s="21"/>
      </tp>
      <tp>
        <v>0</v>
        <stp/>
        <stp>##V3_BQLV12</stp>
        <stp>[Fundamental &amp; Technical Model (1).xlsm]Balance Sheet!R49C14</stp>
        <stp>SYK US Equity</stp>
        <stp>BS_PFD_EQY/10^6</stp>
        <stp>FPT</stp>
        <stp>A</stp>
        <stp>FPO</stp>
        <stp>-0A</stp>
        <stp>STD</stp>
        <stp>Mixed</stp>
        <stp>CONSOL</stp>
        <stp>Yes</stp>
        <stp>CURRENCY</stp>
        <stp>USD</stp>
        <tr r="N49" s="3"/>
      </tp>
      <tp>
        <v>747</v>
        <stp/>
        <stp>##V3_BQLV12</stp>
        <stp>[Fundamental &amp; Technical Model (1).xlsm]Balance Sheet!R26C14</stp>
        <stp>SYK US Equity</stp>
        <stp>BS_OTHER_CUR_ASSET/10^6</stp>
        <stp>FPT</stp>
        <stp>A</stp>
        <stp>FPO</stp>
        <stp>-0A</stp>
        <stp>STD</stp>
        <stp>Mixed</stp>
        <stp>CONSOL</stp>
        <stp>Yes</stp>
        <stp>CURRENCY</stp>
        <stp>USD</stp>
        <tr r="N26" s="3"/>
      </tp>
      <tp>
        <v>42735</v>
        <stp/>
        <stp>##V3_BQLV12</stp>
        <stp>[Fundamental &amp; Technical Model (1).xlsm]Ratios!R14C12</stp>
        <stp>SYK US Equity</stp>
        <stp>IS_EPS().PERIOD_END_DATE</stp>
        <stp>FPT</stp>
        <stp>A</stp>
        <stp>FPO</stp>
        <stp>-2A</stp>
        <stp>STD</stp>
        <stp>Mixed</stp>
        <stp>CONSOL</stp>
        <stp>Yes</stp>
        <tr r="L14" s="8"/>
      </tp>
      <tp>
        <v>0</v>
        <stp/>
        <stp>##V3_BQLV12</stp>
        <stp>[Fundamental &amp; Technical Model (1).xlsm]Cash Flow!R25C6</stp>
        <stp>SYK US Equity</stp>
        <stp>CF_CASH_FOR_DIVESTITURES/10^6</stp>
        <stp>FPT</stp>
        <stp>A</stp>
        <stp>FPO</stp>
        <stp>-8A</stp>
        <stp>STD</stp>
        <stp>Mixed</stp>
        <stp>CONSOL</stp>
        <stp>Yes</stp>
        <stp>CURRENCY</stp>
        <stp>USD</stp>
        <tr r="F25" s="4"/>
      </tp>
      <tp>
        <v>0</v>
        <stp/>
        <stp>##V3_BQLV12</stp>
        <stp>[Fundamental &amp; Technical Model (1).xlsm]Cash Flow!R25C7</stp>
        <stp>SYK US Equity</stp>
        <stp>CF_CASH_FOR_DIVESTITURES/10^6</stp>
        <stp>FPT</stp>
        <stp>A</stp>
        <stp>FPO</stp>
        <stp>-7A</stp>
        <stp>STD</stp>
        <stp>Mixed</stp>
        <stp>CONSOL</stp>
        <stp>Yes</stp>
        <stp>CURRENCY</stp>
        <stp>USD</stp>
        <tr r="G25" s="4"/>
      </tp>
      <tp>
        <v>0</v>
        <stp/>
        <stp>##V3_BQLV12</stp>
        <stp>[Fundamental &amp; Technical Model (1).xlsm]Cash Flow!R25C5</stp>
        <stp>SYK US Equity</stp>
        <stp>CF_CASH_FOR_DIVESTITURES/10^6</stp>
        <stp>FPT</stp>
        <stp>A</stp>
        <stp>FPO</stp>
        <stp>-9A</stp>
        <stp>STD</stp>
        <stp>Mixed</stp>
        <stp>CONSOL</stp>
        <stp>Yes</stp>
        <stp>CURRENCY</stp>
        <stp>USD</stp>
        <tr r="E25" s="4"/>
      </tp>
      <tp>
        <v>0</v>
        <stp/>
        <stp>##V3_BQLV12</stp>
        <stp>[Fundamental &amp; Technical Model (1).xlsm]Cash Flow!R25C8</stp>
        <stp>SYK US Equity</stp>
        <stp>CF_CASH_FOR_DIVESTITURES/10^6</stp>
        <stp>FPT</stp>
        <stp>A</stp>
        <stp>FPO</stp>
        <stp>-6A</stp>
        <stp>STD</stp>
        <stp>Mixed</stp>
        <stp>CONSOL</stp>
        <stp>Yes</stp>
        <stp>CURRENCY</stp>
        <stp>USD</stp>
        <tr r="H25" s="4"/>
      </tp>
      <tp>
        <v>0</v>
        <stp/>
        <stp>##V3_BQLV12</stp>
        <stp>[Fundamental &amp; Technical Model (1).xlsm]Cash Flow!R25C9</stp>
        <stp>SYK US Equity</stp>
        <stp>CF_CASH_FOR_DIVESTITURES/10^6</stp>
        <stp>FPT</stp>
        <stp>A</stp>
        <stp>FPO</stp>
        <stp>-5A</stp>
        <stp>STD</stp>
        <stp>Mixed</stp>
        <stp>CONSOL</stp>
        <stp>Yes</stp>
        <stp>CURRENCY</stp>
        <stp>USD</stp>
        <tr r="I25" s="4"/>
      </tp>
      <tp>
        <v>380.1</v>
        <stp/>
        <stp>##V3_BQLV12</stp>
        <stp>[Fundamental &amp; Technical Model (1).xlsm]Income Statement!R68C13</stp>
        <stp>SYK US Equity</stp>
        <stp>IS_SH_FOR_DILUTED_EPS/10^6</stp>
        <stp>FPT</stp>
        <stp>A</stp>
        <stp>FPO</stp>
        <stp>-1A</stp>
        <stp>STD</stp>
        <stp>Mixed</stp>
        <stp>CONSOL</stp>
        <stp>Yes</stp>
        <stp>CURRENCY</stp>
        <stp>USD</stp>
        <tr r="M68" s="2"/>
      </tp>
      <tp>
        <v>378.5</v>
        <stp/>
        <stp>##V3_BQLV12</stp>
        <stp>[Fundamental &amp; Technical Model (1).xlsm]Income Statement!R68C12</stp>
        <stp>SYK US Equity</stp>
        <stp>IS_SH_FOR_DILUTED_EPS/10^6</stp>
        <stp>FPT</stp>
        <stp>A</stp>
        <stp>FPO</stp>
        <stp>-2A</stp>
        <stp>STD</stp>
        <stp>Mixed</stp>
        <stp>CONSOL</stp>
        <stp>Yes</stp>
        <stp>CURRENCY</stp>
        <stp>USD</stp>
        <tr r="L68" s="2"/>
      </tp>
      <tp>
        <v>380.9</v>
        <stp/>
        <stp>##V3_BQLV12</stp>
        <stp>[Fundamental &amp; Technical Model (1).xlsm]Income Statement!R68C11</stp>
        <stp>SYK US Equity</stp>
        <stp>IS_SH_FOR_DILUTED_EPS/10^6</stp>
        <stp>FPT</stp>
        <stp>A</stp>
        <stp>FPO</stp>
        <stp>-3A</stp>
        <stp>STD</stp>
        <stp>Mixed</stp>
        <stp>CONSOL</stp>
        <stp>Yes</stp>
        <stp>CURRENCY</stp>
        <stp>USD</stp>
        <tr r="K68" s="2"/>
      </tp>
      <tp>
        <v>382.8</v>
        <stp/>
        <stp>##V3_BQLV12</stp>
        <stp>[Fundamental &amp; Technical Model (1).xlsm]Income Statement!R68C10</stp>
        <stp>SYK US Equity</stp>
        <stp>IS_SH_FOR_DILUTED_EPS/10^6</stp>
        <stp>FPT</stp>
        <stp>A</stp>
        <stp>FPO</stp>
        <stp>-4A</stp>
        <stp>STD</stp>
        <stp>Mixed</stp>
        <stp>CONSOL</stp>
        <stp>Yes</stp>
        <stp>CURRENCY</stp>
        <stp>USD</stp>
        <tr r="J68" s="2"/>
      </tp>
      <tp>
        <v>7222</v>
        <stp/>
        <stp>##V3_BDPV12</stp>
        <stp>SYK US Equity</stp>
        <stp>ARDR_DEBT_SCHEDULE_TOTAL_DEBT</stp>
        <stp>[Fundamental &amp; Technical Model (1).xlsm]Capital Structure Summary!R80C9</stp>
        <stp>EQY_FUND_RELATIVE_PERIOD</stp>
        <stp>-1FY</stp>
        <stp>EQY_FUND_CRNCY</stp>
        <stp>USD</stp>
        <stp>EQY_CONSOLIDATED</stp>
        <stp>Yes</stp>
        <stp>ACCOUNTING_STANDARD_OVERRIDE</stp>
        <stp>Mixed</stp>
        <stp>Fill=--</stp>
        <tr r="I80" s="21"/>
      </tp>
      <tp>
        <v>380.3</v>
        <stp/>
        <stp>##V3_BQLV12</stp>
        <stp>[Fundamental &amp; Technical Model (1).xlsm]Income Statement!R68C14</stp>
        <stp>SYK US Equity</stp>
        <stp>IS_SH_FOR_DILUTED_EPS/10^6</stp>
        <stp>FPT</stp>
        <stp>A</stp>
        <stp>FPO</stp>
        <stp>-0A</stp>
        <stp>STD</stp>
        <stp>Mixed</stp>
        <stp>CONSOL</stp>
        <stp>Yes</stp>
        <stp>CURRENCY</stp>
        <stp>USD</stp>
        <tr r="N68" s="2"/>
      </tp>
      <tp>
        <v>3998</v>
        <stp/>
        <stp>##V3_BDPV12</stp>
        <stp>SYK US Equity</stp>
        <stp>ARDR_DEBT_SCHEDULE_TOTAL_DEBT</stp>
        <stp>[Fundamental &amp; Technical Model (1).xlsm]Capital Structure Summary!R80C5</stp>
        <stp>EQY_FUND_RELATIVE_PERIOD</stp>
        <stp>-3FY</stp>
        <stp>EQY_FUND_CRNCY</stp>
        <stp>USD</stp>
        <stp>EQY_CONSOLIDATED</stp>
        <stp>Yes</stp>
        <stp>ACCOUNTING_STANDARD_OVERRIDE</stp>
        <stp>Mixed</stp>
        <stp>Fill=--</stp>
        <tr r="E80" s="21"/>
      </tp>
      <tp>
        <v>3973</v>
        <stp/>
        <stp>##V3_BDPV12</stp>
        <stp>SYK US Equity</stp>
        <stp>ARDR_DEBT_SCHEDULE_TOTAL_DEBT</stp>
        <stp>[Fundamental &amp; Technical Model (1).xlsm]Capital Structure Summary!R80C3</stp>
        <stp>EQY_FUND_RELATIVE_PERIOD</stp>
        <stp>-4FY</stp>
        <stp>EQY_FUND_CRNCY</stp>
        <stp>USD</stp>
        <stp>EQY_CONSOLIDATED</stp>
        <stp>Yes</stp>
        <stp>ACCOUNTING_STANDARD_OVERRIDE</stp>
        <stp>Mixed</stp>
        <stp>Fill=--</stp>
        <tr r="C80" s="21"/>
      </tp>
      <tp>
        <v>6914</v>
        <stp/>
        <stp>##V3_BDPV12</stp>
        <stp>SYK US Equity</stp>
        <stp>ARDR_DEBT_SCHEDULE_TOTAL_DEBT</stp>
        <stp>[Fundamental &amp; Technical Model (1).xlsm]Capital Structure Summary!R80C7</stp>
        <stp>EQY_FUND_RELATIVE_PERIOD</stp>
        <stp>-2FY</stp>
        <stp>EQY_FUND_CRNCY</stp>
        <stp>USD</stp>
        <stp>EQY_CONSOLIDATED</stp>
        <stp>Yes</stp>
        <stp>ACCOUNTING_STANDARD_OVERRIDE</stp>
        <stp>Mixed</stp>
        <stp>Fill=--</stp>
        <tr r="G80" s="21"/>
      </tp>
      <tp>
        <v>-270</v>
        <stp/>
        <stp>##V3_BQLV12</stp>
        <stp>[Fundamental &amp; Technical Model (1).xlsm]Cash Flow!R21C11</stp>
        <stp>SYK US Equity</stp>
        <stp>CF_CAP_EXPEND_PRPTY_ADD/10^6</stp>
        <stp>FPT</stp>
        <stp>A</stp>
        <stp>FPO</stp>
        <stp>-3A</stp>
        <stp>STD</stp>
        <stp>Mixed</stp>
        <stp>CONSOL</stp>
        <stp>Yes</stp>
        <stp>CURRENCY</stp>
        <stp>USD</stp>
        <tr r="K21" s="4"/>
      </tp>
      <tp>
        <v>-598</v>
        <stp/>
        <stp>##V3_BQLV12</stp>
        <stp>[Fundamental &amp; Technical Model (1).xlsm]Cash Flow!R21C13</stp>
        <stp>SYK US Equity</stp>
        <stp>CF_CAP_EXPEND_PRPTY_ADD/10^6</stp>
        <stp>FPT</stp>
        <stp>A</stp>
        <stp>FPO</stp>
        <stp>-1A</stp>
        <stp>STD</stp>
        <stp>Mixed</stp>
        <stp>CONSOL</stp>
        <stp>Yes</stp>
        <stp>CURRENCY</stp>
        <stp>USD</stp>
        <tr r="M21" s="4"/>
      </tp>
      <tp>
        <v>-490</v>
        <stp/>
        <stp>##V3_BQLV12</stp>
        <stp>[Fundamental &amp; Technical Model (1).xlsm]Cash Flow!R21C12</stp>
        <stp>SYK US Equity</stp>
        <stp>CF_CAP_EXPEND_PRPTY_ADD/10^6</stp>
        <stp>FPT</stp>
        <stp>A</stp>
        <stp>FPO</stp>
        <stp>-2A</stp>
        <stp>STD</stp>
        <stp>Mixed</stp>
        <stp>CONSOL</stp>
        <stp>Yes</stp>
        <stp>CURRENCY</stp>
        <stp>USD</stp>
        <tr r="L21" s="4"/>
      </tp>
      <tp>
        <v>-233</v>
        <stp/>
        <stp>##V3_BQLV12</stp>
        <stp>[Fundamental &amp; Technical Model (1).xlsm]Cash Flow!R21C10</stp>
        <stp>SYK US Equity</stp>
        <stp>CF_CAP_EXPEND_PRPTY_ADD/10^6</stp>
        <stp>FPT</stp>
        <stp>A</stp>
        <stp>FPO</stp>
        <stp>-4A</stp>
        <stp>STD</stp>
        <stp>Mixed</stp>
        <stp>CONSOL</stp>
        <stp>Yes</stp>
        <stp>CURRENCY</stp>
        <stp>USD</stp>
        <tr r="J21" s="4"/>
      </tp>
      <tp>
        <v>-572</v>
        <stp/>
        <stp>##V3_BQLV12</stp>
        <stp>[Fundamental &amp; Technical Model (1).xlsm]Cash Flow!R21C14</stp>
        <stp>SYK US Equity</stp>
        <stp>CF_CAP_EXPEND_PRPTY_ADD/10^6</stp>
        <stp>FPT</stp>
        <stp>A</stp>
        <stp>FPO</stp>
        <stp>-0A</stp>
        <stp>STD</stp>
        <stp>Mixed</stp>
        <stp>CONSOL</stp>
        <stp>Yes</stp>
        <stp>CURRENCY</stp>
        <stp>USD</stp>
        <tr r="N21" s="4"/>
      </tp>
      <tp>
        <v>0.4</v>
        <stp/>
        <stp>##V3_BQLV12</stp>
        <stp>[Fundamental &amp; Technical Model (1).xlsm]Income Statement!R73C4</stp>
        <stp>SYK US Equity</stp>
        <stp>IS_DIV_PER_SHR</stp>
        <stp>FPT</stp>
        <stp>A</stp>
        <stp>FPO</stp>
        <stp>-10A</stp>
        <stp>STD</stp>
        <stp>Mixed</stp>
        <stp>CONSOL</stp>
        <stp>Yes</stp>
        <stp>CURRENCY</stp>
        <stp>USD</stp>
        <tr r="D73" s="2"/>
      </tp>
      <tp>
        <v>188.2115851194942</v>
        <stp/>
        <stp>##V3_BQLV12</stp>
        <stp>[Fundamental &amp; Technical Model (1).xlsm]Ratios!R43C9</stp>
        <stp>SYK US Equity</stp>
        <stp>CASH_CONVERSION_CYCLE</stp>
        <stp>FPT</stp>
        <stp>A</stp>
        <stp>FPO</stp>
        <stp>-5A</stp>
        <stp>STD</stp>
        <stp>Mixed</stp>
        <stp>CONSOL</stp>
        <stp>Yes</stp>
        <tr r="I43" s="8"/>
      </tp>
      <tp t="s">
        <v>#N/A N/A</v>
        <stp/>
        <stp>##V3_BDSV12</stp>
        <stp>SYK US Equity</stp>
        <stp>PG_OPERATING_INCOME</stp>
        <stp>[Fundamental &amp; Technical Model (1).xlsm]Segments!R82C14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82" s="17"/>
      </tp>
      <tp t="s">
        <v>#N/A N/A</v>
        <stp/>
        <stp>##V3_BDSV12</stp>
        <stp>SYK US Equity</stp>
        <stp>PG_OPERATING_INCOME</stp>
        <stp>[Fundamental &amp; Technical Model (1).xlsm]Segments!R82C13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82" s="17"/>
      </tp>
      <tp t="s">
        <v>#N/A N/A</v>
        <stp/>
        <stp>##V3_BDSV12</stp>
        <stp>SYK US Equity</stp>
        <stp>PG_OPERATING_INCOME</stp>
        <stp>[Fundamental &amp; Technical Model (1).xlsm]Segments!R82C12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82" s="17"/>
      </tp>
      <tp t="s">
        <v>#N/A N/A</v>
        <stp/>
        <stp>##V3_BDSV12</stp>
        <stp>SYK US Equity</stp>
        <stp>PG_OPERATING_INCOME</stp>
        <stp>[Fundamental &amp; Technical Model (1).xlsm]Segments!R82C11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82" s="17"/>
      </tp>
      <tp t="s">
        <v>#N/A N/A</v>
        <stp/>
        <stp>##V3_BDSV12</stp>
        <stp>SYK US Equity</stp>
        <stp>PG_OPERATING_INCOME</stp>
        <stp>[Fundamental &amp; Technical Model (1).xlsm]Segments!R82C10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82" s="17"/>
      </tp>
      <tp t="e">
        <v>#N/A</v>
        <stp/>
        <stp>##V3_BDHV12</stp>
        <stp>SYK US Equity</stp>
        <stp>PX_ERN_RATIO_WITH_HIGH_CLOS_PX</stp>
        <stp>-8FY</stp>
        <stp>-8FY</stp>
        <stp>[Fundamental &amp; Technical Model (1).xlsm]Multiples!R35C5</stp>
        <stp>EQY_CONSOLIDATED</stp>
        <stp>Yes</stp>
        <stp>ACCOUNTING_STANDARD_OVERRIDE</stp>
        <stp>Mixed</stp>
        <stp>Per</stp>
        <stp>FY</stp>
        <stp>Days=A</stp>
        <tr r="E35" s="16"/>
        <tr r="E35" s="16"/>
      </tp>
      <tp>
        <v>15.34768975684114</v>
        <stp/>
        <stp>##V3_BQLV12</stp>
        <stp>[Fundamental &amp; Technical Model (1).xlsm]Ratios!R16C4</stp>
        <stp>SYK US Equity</stp>
        <stp>RETURN_ON_ASSET</stp>
        <stp>FPT</stp>
        <stp>A</stp>
        <stp>FPO</stp>
        <stp>-10A</stp>
        <stp>STD</stp>
        <stp>Mixed</stp>
        <stp>CONSOL</stp>
        <stp>Yes</stp>
        <tr r="D16" s="8"/>
      </tp>
      <tp>
        <v>9.6968221856015102</v>
        <stp/>
        <stp>##V3_BQLV12</stp>
        <stp>[Fundamental &amp; Technical Model (1).xlsm]Ratios!R17C9</stp>
        <stp>SYK US Equity</stp>
        <stp>RETURN_ON_CAP</stp>
        <stp>FPT</stp>
        <stp>A</stp>
        <stp>FPO</stp>
        <stp>-5A</stp>
        <stp>STD</stp>
        <stp>Mixed</stp>
        <stp>CONSOL</stp>
        <stp>Yes</stp>
        <tr r="I17" s="8"/>
      </tp>
      <tp>
        <v>5.6542857142857139</v>
        <stp/>
        <stp>##V3_BQLV12</stp>
        <stp>[Fundamental &amp; Technical Model (1).xlsm]Ratios!R53C5</stp>
        <stp>SYK US Equity</stp>
        <stp>EBITDA_TO_TOT_INT_EXP</stp>
        <stp>FPT</stp>
        <stp>A</stp>
        <stp>FPO</stp>
        <stp>-9A</stp>
        <stp>STD</stp>
        <stp>Mixed</stp>
        <stp>CONSOL</stp>
        <stp>Yes</stp>
        <tr r="E53" s="8"/>
      </tp>
      <tp t="e">
        <v>#N/A</v>
        <stp/>
        <stp>##V3_BDHV12</stp>
        <stp>SYK US Equity</stp>
        <stp>DIVIDEND_YIELD</stp>
        <stp>-9FY</stp>
        <stp>-9FY</stp>
        <stp>[Fundamental &amp; Technical Model (1).xlsm]Multiples!R63C4</stp>
        <stp>EQY_CONSOLIDATED</stp>
        <stp>Yes</stp>
        <stp>ACCOUNTING_STANDARD_OVERRIDE</stp>
        <stp>Mixed</stp>
        <stp>Per</stp>
        <stp>FY</stp>
        <stp>Days=A</stp>
        <tr r="D63" s="16"/>
        <tr r="D63" s="16"/>
      </tp>
      <tp>
        <v>1198</v>
        <stp/>
        <stp>##V3_BQLV12</stp>
        <stp>[Fundamental &amp; Technical Model (1).xlsm]Balance Sheet!R54C9</stp>
        <stp>SYK US Equity</stp>
        <stp>BS_SH_CAP_AND_APIC/10^6</stp>
        <stp>FPT</stp>
        <stp>A</stp>
        <stp>FPO</stp>
        <stp>-5A</stp>
        <stp>STD</stp>
        <stp>Mixed</stp>
        <stp>CONSOL</stp>
        <stp>Yes</stp>
        <stp>CURRENCY</stp>
        <stp>USD</stp>
        <tr r="I54" s="3"/>
      </tp>
      <tp t="s">
        <v>#N/A N/A</v>
        <stp/>
        <stp>##V3_BDSV12</stp>
        <stp>SYK US Equity</stp>
        <stp>PG_DEPR_AMORTIZATION</stp>
        <stp>[Fundamental &amp; Technical Model (1).xlsm]Segments!R156C7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156" s="17"/>
      </tp>
      <tp>
        <v>11693</v>
        <stp/>
        <stp>##V3_BQLV12</stp>
        <stp>[Fundamental &amp; Technical Model (1).xlsm]Key Stats!R43C4</stp>
        <stp>SYK US Equity</stp>
        <stp>TOT_COMMON_EQY/10^6</stp>
        <stp>STD</stp>
        <stp>Mixed</stp>
        <stp>CONSOL</stp>
        <stp>Yes</stp>
        <stp>CURRENCY</stp>
        <stp>USD</stp>
        <tr r="D43" s="23"/>
      </tp>
      <tp t="e">
        <v>#N/A</v>
        <stp/>
        <stp>##V3_BDHV12</stp>
        <stp>SYK US Equity</stp>
        <stp>EV_TO_T12M_SALES</stp>
        <stp>-10FY</stp>
        <stp>-10FY</stp>
        <stp>[Fundamental &amp; Technical Model (1).xlsm]Multiples!R15C3</stp>
        <stp>EQY_CONSOLIDATED</stp>
        <stp>Yes</stp>
        <stp>ACCOUNTING_STANDARD_OVERRIDE</stp>
        <stp>Mixed</stp>
        <stp>Per</stp>
        <stp>FY</stp>
        <stp>Days=A</stp>
        <tr r="C15" s="16"/>
        <tr r="C15" s="16"/>
      </tp>
      <tp t="e">
        <v>#N/A</v>
        <stp/>
        <stp>##V3_BDHV12</stp>
        <stp>SYK US Equity</stp>
        <stp>LOW_PRICE_TO_TANGIBLE_BPS</stp>
        <stp>-10FY</stp>
        <stp>-10FY</stp>
        <stp>[Fundamental &amp; Technical Model (1).xlsm]Multiples!R48C3</stp>
        <stp>EQY_CONSOLIDATED</stp>
        <stp>Yes</stp>
        <stp>ACCOUNTING_STANDARD_OVERRIDE</stp>
        <stp>Mixed</stp>
        <stp>Per</stp>
        <stp>FY</stp>
        <stp>Days=A</stp>
        <tr r="C48" s="16"/>
        <tr r="C48" s="16"/>
      </tp>
      <tp>
        <v>1596</v>
        <stp/>
        <stp>##V3_BQLV12</stp>
        <stp>[Fundamental &amp; Technical Model (1).xlsm]Balance Sheet!R54C14</stp>
        <stp>SYK US Equity</stp>
        <stp>BS_SH_CAP_AND_APIC/10^6</stp>
        <stp>FPT</stp>
        <stp>A</stp>
        <stp>FPO</stp>
        <stp>-0A</stp>
        <stp>STD</stp>
        <stp>Mixed</stp>
        <stp>CONSOL</stp>
        <stp>Yes</stp>
        <stp>CURRENCY</stp>
        <stp>USD</stp>
        <tr r="N54" s="3"/>
      </tp>
      <tp>
        <v>1.1161460624725033</v>
        <stp/>
        <stp>##V3_BDPV12</stp>
        <stp>SYK US Equity</stp>
        <stp>DEGREE_FINANCIAL_LEVERAGE</stp>
        <stp>[Fundamental &amp; Technical Model (1).xlsm]Capital Structure Summary!R66C11</stp>
        <stp>EQY_FUND_RELATIVE_PERIOD</stp>
        <stp>-0FY</stp>
        <stp>EQY_FUND_CRNCY</stp>
        <stp>USD</stp>
        <stp>EQY_CONSOLIDATED</stp>
        <stp>Yes</stp>
        <stp>ACCOUNTING_STANDARD_OVERRIDE</stp>
        <stp>Mixed</stp>
        <stp>Fill=--</stp>
        <tr r="K66" s="21"/>
      </tp>
      <tp>
        <v>437</v>
        <stp/>
        <stp>##V3_BQLV12</stp>
        <stp>[Fundamental &amp; Technical Model (1).xlsm]Balance Sheet!R39C12</stp>
        <stp>SYK US Equity</stp>
        <stp>BS_ACCT_PAYABLE/10^6</stp>
        <stp>FPT</stp>
        <stp>A</stp>
        <stp>FPO</stp>
        <stp>-2A</stp>
        <stp>STD</stp>
        <stp>Mixed</stp>
        <stp>CONSOL</stp>
        <stp>Yes</stp>
        <stp>CURRENCY</stp>
        <stp>USD</stp>
        <tr r="L39" s="3"/>
      </tp>
      <tp>
        <v>410</v>
        <stp/>
        <stp>##V3_BQLV12</stp>
        <stp>[Fundamental &amp; Technical Model (1).xlsm]Balance Sheet!R39C11</stp>
        <stp>SYK US Equity</stp>
        <stp>BS_ACCT_PAYABLE/10^6</stp>
        <stp>FPT</stp>
        <stp>A</stp>
        <stp>FPO</stp>
        <stp>-3A</stp>
        <stp>STD</stp>
        <stp>Mixed</stp>
        <stp>CONSOL</stp>
        <stp>Yes</stp>
        <stp>CURRENCY</stp>
        <stp>USD</stp>
        <tr r="K39" s="3"/>
      </tp>
      <tp>
        <v>487</v>
        <stp/>
        <stp>##V3_BQLV12</stp>
        <stp>[Fundamental &amp; Technical Model (1).xlsm]Balance Sheet!R39C13</stp>
        <stp>SYK US Equity</stp>
        <stp>BS_ACCT_PAYABLE/10^6</stp>
        <stp>FPT</stp>
        <stp>A</stp>
        <stp>FPO</stp>
        <stp>-1A</stp>
        <stp>STD</stp>
        <stp>Mixed</stp>
        <stp>CONSOL</stp>
        <stp>Yes</stp>
        <stp>CURRENCY</stp>
        <stp>USD</stp>
        <tr r="M39" s="3"/>
      </tp>
      <tp>
        <v>329</v>
        <stp/>
        <stp>##V3_BQLV12</stp>
        <stp>[Fundamental &amp; Technical Model (1).xlsm]Balance Sheet!R39C10</stp>
        <stp>SYK US Equity</stp>
        <stp>BS_ACCT_PAYABLE/10^6</stp>
        <stp>FPT</stp>
        <stp>A</stp>
        <stp>FPO</stp>
        <stp>-4A</stp>
        <stp>STD</stp>
        <stp>Mixed</stp>
        <stp>CONSOL</stp>
        <stp>Yes</stp>
        <stp>CURRENCY</stp>
        <stp>USD</stp>
        <tr r="J39" s="3"/>
      </tp>
      <tp>
        <v>646</v>
        <stp/>
        <stp>##V3_BQLV12</stp>
        <stp>[Fundamental &amp; Technical Model (1).xlsm]Balance Sheet!R39C14</stp>
        <stp>SYK US Equity</stp>
        <stp>BS_ACCT_PAYABLE/10^6</stp>
        <stp>FPT</stp>
        <stp>A</stp>
        <stp>FPO</stp>
        <stp>-0A</stp>
        <stp>STD</stp>
        <stp>Mixed</stp>
        <stp>CONSOL</stp>
        <stp>Yes</stp>
        <stp>CURRENCY</stp>
        <stp>USD</stp>
        <tr r="N39" s="3"/>
      </tp>
      <tp>
        <v>2.4</v>
        <stp/>
        <stp>##V3_BDPV12</stp>
        <stp>SYK US Equity</stp>
        <stp>BS_OPTIONS_GRANTED</stp>
        <stp>[Fundamental &amp; Technical Model (1).xlsm]Supplemental!R15C10</stp>
        <stp>EQY_FUND_RELATIVE_PERIOD</stp>
        <stp>-3FY</stp>
        <stp>EQY_FUND_CRNCY</stp>
        <stp>USD</stp>
        <stp>EQY_CONSOLIDATED</stp>
        <stp>Yes</stp>
        <stp>ACCOUNTING_STANDARD_OVERRIDE</stp>
        <stp>Mixed</stp>
        <stp>Fill=--</stp>
        <tr r="J15" s="19"/>
      </tp>
      <tp>
        <v>3.0999999999999996</v>
        <stp/>
        <stp>##V3_BDPV12</stp>
        <stp>SYK US Equity</stp>
        <stp>BS_OPTIONS_GRANTED</stp>
        <stp>[Fundamental &amp; Technical Model (1).xlsm]Supplemental!R15C11</stp>
        <stp>EQY_FUND_RELATIVE_PERIOD</stp>
        <stp>-2FY</stp>
        <stp>EQY_FUND_CRNCY</stp>
        <stp>USD</stp>
        <stp>EQY_CONSOLIDATED</stp>
        <stp>Yes</stp>
        <stp>ACCOUNTING_STANDARD_OVERRIDE</stp>
        <stp>Mixed</stp>
        <stp>Fill=--</stp>
        <tr r="K15" s="19"/>
      </tp>
      <tp>
        <v>2.9</v>
        <stp/>
        <stp>##V3_BDPV12</stp>
        <stp>SYK US Equity</stp>
        <stp>BS_OPTIONS_GRANTED</stp>
        <stp>[Fundamental &amp; Technical Model (1).xlsm]Supplemental!R15C12</stp>
        <stp>EQY_FUND_RELATIVE_PERIOD</stp>
        <stp>-1FY</stp>
        <stp>EQY_FUND_CRNCY</stp>
        <stp>USD</stp>
        <stp>EQY_CONSOLIDATED</stp>
        <stp>Yes</stp>
        <stp>ACCOUNTING_STANDARD_OVERRIDE</stp>
        <stp>Mixed</stp>
        <stp>Fill=--</stp>
        <tr r="L15" s="19"/>
      </tp>
      <tp>
        <v>2.4</v>
        <stp/>
        <stp>##V3_BDPV12</stp>
        <stp>SYK US Equity</stp>
        <stp>BS_OPTIONS_GRANTED</stp>
        <stp>[Fundamental &amp; Technical Model (1).xlsm]Supplemental!R15C13</stp>
        <stp>EQY_FUND_RELATIVE_PERIOD</stp>
        <stp>-0FY</stp>
        <stp>EQY_FUND_CRNCY</stp>
        <stp>USD</stp>
        <stp>EQY_CONSOLIDATED</stp>
        <stp>Yes</stp>
        <stp>ACCOUNTING_STANDARD_OVERRIDE</stp>
        <stp>Mixed</stp>
        <stp>Fill=--</stp>
        <tr r="M15" s="19"/>
      </tp>
      <tp>
        <v>378.5</v>
        <stp/>
        <stp>##V3_BQLV12</stp>
        <stp>[Fundamental &amp; Technical Model (1).xlsm]Income Statement!R64C10</stp>
        <stp>SYK US Equity</stp>
        <stp>IS_AVG_NUM_SH_FOR_EPS/10^6</stp>
        <stp>FPT</stp>
        <stp>A</stp>
        <stp>FPO</stp>
        <stp>-4A</stp>
        <stp>STD</stp>
        <stp>Mixed</stp>
        <stp>CONSOL</stp>
        <stp>Yes</stp>
        <stp>CURRENCY</stp>
        <stp>USD</stp>
        <tr r="J64" s="2"/>
      </tp>
      <tp>
        <v>376.6</v>
        <stp/>
        <stp>##V3_BQLV12</stp>
        <stp>[Fundamental &amp; Technical Model (1).xlsm]Income Statement!R64C11</stp>
        <stp>SYK US Equity</stp>
        <stp>IS_AVG_NUM_SH_FOR_EPS/10^6</stp>
        <stp>FPT</stp>
        <stp>A</stp>
        <stp>FPO</stp>
        <stp>-3A</stp>
        <stp>STD</stp>
        <stp>Mixed</stp>
        <stp>CONSOL</stp>
        <stp>Yes</stp>
        <stp>CURRENCY</stp>
        <stp>USD</stp>
        <tr r="K64" s="2"/>
      </tp>
      <tp>
        <v>374.1</v>
        <stp/>
        <stp>##V3_BQLV12</stp>
        <stp>[Fundamental &amp; Technical Model (1).xlsm]Income Statement!R64C12</stp>
        <stp>SYK US Equity</stp>
        <stp>IS_AVG_NUM_SH_FOR_EPS/10^6</stp>
        <stp>FPT</stp>
        <stp>A</stp>
        <stp>FPO</stp>
        <stp>-2A</stp>
        <stp>STD</stp>
        <stp>Mixed</stp>
        <stp>CONSOL</stp>
        <stp>Yes</stp>
        <stp>CURRENCY</stp>
        <stp>USD</stp>
        <tr r="L64" s="2"/>
      </tp>
      <tp>
        <v>374</v>
        <stp/>
        <stp>##V3_BQLV12</stp>
        <stp>[Fundamental &amp; Technical Model (1).xlsm]Income Statement!R64C13</stp>
        <stp>SYK US Equity</stp>
        <stp>IS_AVG_NUM_SH_FOR_EPS/10^6</stp>
        <stp>FPT</stp>
        <stp>A</stp>
        <stp>FPO</stp>
        <stp>-1A</stp>
        <stp>STD</stp>
        <stp>Mixed</stp>
        <stp>CONSOL</stp>
        <stp>Yes</stp>
        <stp>CURRENCY</stp>
        <stp>USD</stp>
        <tr r="M64" s="2"/>
      </tp>
      <tp>
        <v>374.1</v>
        <stp/>
        <stp>##V3_BQLV12</stp>
        <stp>[Fundamental &amp; Technical Model (1).xlsm]Income Statement!R64C14</stp>
        <stp>SYK US Equity</stp>
        <stp>IS_AVG_NUM_SH_FOR_EPS/10^6</stp>
        <stp>FPT</stp>
        <stp>A</stp>
        <stp>FPO</stp>
        <stp>-0A</stp>
        <stp>STD</stp>
        <stp>Mixed</stp>
        <stp>CONSOL</stp>
        <stp>Yes</stp>
        <stp>CURRENCY</stp>
        <stp>USD</stp>
        <tr r="N64" s="2"/>
      </tp>
      <tp t="s">
        <v>#N/A</v>
        <stp/>
        <stp>##V3_BQLV12</stp>
        <stp>[Fundamental &amp; Technical Model (1).xlsm]Cash Flow!R42C11</stp>
        <stp>SYK US Equity</stp>
        <stp>CF_INCR_DECR_INSUR_RSRV/10^6</stp>
        <stp>FPT</stp>
        <stp>A</stp>
        <stp>FPO</stp>
        <stp>-3A</stp>
        <stp>STD</stp>
        <stp>Mixed</stp>
        <stp>CONSOL</stp>
        <stp>Yes</stp>
        <stp>CURRENCY</stp>
        <stp>USD</stp>
        <tr r="K42" s="4"/>
      </tp>
      <tp t="s">
        <v>#N/A</v>
        <stp/>
        <stp>##V3_BQLV12</stp>
        <stp>[Fundamental &amp; Technical Model (1).xlsm]Cash Flow!R42C13</stp>
        <stp>SYK US Equity</stp>
        <stp>CF_INCR_DECR_INSUR_RSRV/10^6</stp>
        <stp>FPT</stp>
        <stp>A</stp>
        <stp>FPO</stp>
        <stp>-1A</stp>
        <stp>STD</stp>
        <stp>Mixed</stp>
        <stp>CONSOL</stp>
        <stp>Yes</stp>
        <stp>CURRENCY</stp>
        <stp>USD</stp>
        <tr r="M42" s="4"/>
      </tp>
      <tp t="s">
        <v>#N/A</v>
        <stp/>
        <stp>##V3_BQLV12</stp>
        <stp>[Fundamental &amp; Technical Model (1).xlsm]Cash Flow!R42C12</stp>
        <stp>SYK US Equity</stp>
        <stp>CF_INCR_DECR_INSUR_RSRV/10^6</stp>
        <stp>FPT</stp>
        <stp>A</stp>
        <stp>FPO</stp>
        <stp>-2A</stp>
        <stp>STD</stp>
        <stp>Mixed</stp>
        <stp>CONSOL</stp>
        <stp>Yes</stp>
        <stp>CURRENCY</stp>
        <stp>USD</stp>
        <tr r="L42" s="4"/>
      </tp>
      <tp t="s">
        <v>#N/A</v>
        <stp/>
        <stp>##V3_BQLV12</stp>
        <stp>[Fundamental &amp; Technical Model (1).xlsm]Cash Flow!R42C10</stp>
        <stp>SYK US Equity</stp>
        <stp>CF_INCR_DECR_INSUR_RSRV/10^6</stp>
        <stp>FPT</stp>
        <stp>A</stp>
        <stp>FPO</stp>
        <stp>-4A</stp>
        <stp>STD</stp>
        <stp>Mixed</stp>
        <stp>CONSOL</stp>
        <stp>Yes</stp>
        <stp>CURRENCY</stp>
        <stp>USD</stp>
        <tr r="J42" s="4"/>
      </tp>
      <tp t="s">
        <v>#N/A</v>
        <stp/>
        <stp>##V3_BQLV12</stp>
        <stp>[Fundamental &amp; Technical Model (1).xlsm]Cash Flow!R42C14</stp>
        <stp>SYK US Equity</stp>
        <stp>CF_INCR_DECR_INSUR_RSRV/10^6</stp>
        <stp>FPT</stp>
        <stp>A</stp>
        <stp>FPO</stp>
        <stp>-0A</stp>
        <stp>STD</stp>
        <stp>Mixed</stp>
        <stp>CONSOL</stp>
        <stp>Yes</stp>
        <stp>CURRENCY</stp>
        <stp>USD</stp>
        <tr r="N42" s="4"/>
      </tp>
      <tp t="s">
        <v>2016 Y</v>
        <stp/>
        <stp>##V3_BDPV12</stp>
        <stp>SYK US Equity</stp>
        <stp>FISCAL_YEAR_PERIOD</stp>
        <stp>[Fundamental &amp; Technical Model (1).xlsm]Segments!R86C12</stp>
        <stp>EQY_FUND_RELATIVE_PERIOD</stp>
        <stp>-2FY</stp>
        <tr r="L86" s="17"/>
      </tp>
      <tp>
        <v>185.92529075811291</v>
        <stp/>
        <stp>##V3_BQLV12</stp>
        <stp>[Fundamental &amp; Technical Model (1).xlsm]Ratios!R43C8</stp>
        <stp>SYK US Equity</stp>
        <stp>CASH_CONVERSION_CYCLE</stp>
        <stp>FPT</stp>
        <stp>A</stp>
        <stp>FPO</stp>
        <stp>-6A</stp>
        <stp>STD</stp>
        <stp>Mixed</stp>
        <stp>CONSOL</stp>
        <stp>Yes</stp>
        <tr r="H43" s="8"/>
      </tp>
      <tp t="e">
        <v>#N/A</v>
        <stp/>
        <stp>##V3_BDHV12</stp>
        <stp>SYK US Equity</stp>
        <stp>PX_ERN_RATIO_WITH_HIGH_CLOS_PX</stp>
        <stp>-7FY</stp>
        <stp>-7FY</stp>
        <stp>[Fundamental &amp; Technical Model (1).xlsm]Multiples!R35C6</stp>
        <stp>EQY_CONSOLIDATED</stp>
        <stp>Yes</stp>
        <stp>ACCOUNTING_STANDARD_OVERRIDE</stp>
        <stp>Mixed</stp>
        <stp>Per</stp>
        <stp>FY</stp>
        <stp>Days=A</stp>
        <tr r="F35" s="16"/>
        <tr r="F35" s="16"/>
      </tp>
      <tp t="s">
        <v>#N/A N/A</v>
        <stp/>
        <stp>##V3_BDSV12</stp>
        <stp>SYK US Equity</stp>
        <stp>PG_OPERATING_INCOME</stp>
        <stp>[Fundamental &amp; Technical Model (1).xlsm]Segments!R81C10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81" s="17"/>
      </tp>
      <tp t="s">
        <v>#N/A N/A</v>
        <stp/>
        <stp>##V3_BDSV12</stp>
        <stp>SYK US Equity</stp>
        <stp>PG_OPERATING_INCOME</stp>
        <stp>[Fundamental &amp; Technical Model (1).xlsm]Segments!R81C11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81" s="17"/>
      </tp>
      <tp t="s">
        <v>#N/A N/A</v>
        <stp/>
        <stp>##V3_BDSV12</stp>
        <stp>SYK US Equity</stp>
        <stp>PG_OPERATING_INCOME</stp>
        <stp>[Fundamental &amp; Technical Model (1).xlsm]Segments!R81C12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81" s="17"/>
      </tp>
      <tp t="s">
        <v>#N/A N/A</v>
        <stp/>
        <stp>##V3_BDSV12</stp>
        <stp>SYK US Equity</stp>
        <stp>PG_OPERATING_INCOME</stp>
        <stp>[Fundamental &amp; Technical Model (1).xlsm]Segments!R81C13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81" s="17"/>
      </tp>
      <tp t="s">
        <v>#N/A N/A</v>
        <stp/>
        <stp>##V3_BDSV12</stp>
        <stp>SYK US Equity</stp>
        <stp>PG_OPERATING_INCOME</stp>
        <stp>[Fundamental &amp; Technical Model (1).xlsm]Segments!R81C14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81" s="17"/>
      </tp>
      <tp>
        <v>13.588705606487437</v>
        <stp/>
        <stp>##V3_BQLV12</stp>
        <stp>[Fundamental &amp; Technical Model (1).xlsm]Ratios!R17C8</stp>
        <stp>SYK US Equity</stp>
        <stp>RETURN_ON_CAP</stp>
        <stp>FPT</stp>
        <stp>A</stp>
        <stp>FPO</stp>
        <stp>-6A</stp>
        <stp>STD</stp>
        <stp>Mixed</stp>
        <stp>CONSOL</stp>
        <stp>Yes</stp>
        <tr r="H17" s="8"/>
      </tp>
      <tp>
        <v>0</v>
        <stp/>
        <stp>##V3_BQLV12</stp>
        <stp>[Fundamental &amp; Technical Model (1).xlsm]Balance Sheet!R49C8</stp>
        <stp>SYK US Equity</stp>
        <stp>BS_PFD_EQY/10^6</stp>
        <stp>FPT</stp>
        <stp>A</stp>
        <stp>FPO</stp>
        <stp>-6A</stp>
        <stp>STD</stp>
        <stp>Mixed</stp>
        <stp>CONSOL</stp>
        <stp>Yes</stp>
        <stp>CURRENCY</stp>
        <stp>USD</stp>
        <tr r="H49" s="3"/>
      </tp>
      <tp t="s">
        <v>#N/A N/A</v>
        <stp/>
        <stp>##V3_BDSV12</stp>
        <stp>SYK US Equity</stp>
        <stp>PG_DEPR_AMORTIZATION</stp>
        <stp>[Fundamental &amp; Technical Model (1).xlsm]Segments!R156C4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156" s="17"/>
      </tp>
      <tp t="e">
        <v>#N/A</v>
        <stp/>
        <stp>##V3_BDHV12</stp>
        <stp>SYK US Equity</stp>
        <stp>DIVIDEND_YIELD</stp>
        <stp>-6FY</stp>
        <stp>-6FY</stp>
        <stp>[Fundamental &amp; Technical Model (1).xlsm]Multiples!R63C7</stp>
        <stp>EQY_CONSOLIDATED</stp>
        <stp>Yes</stp>
        <stp>ACCOUNTING_STANDARD_OVERRIDE</stp>
        <stp>Mixed</stp>
        <stp>Per</stp>
        <stp>FY</stp>
        <stp>Days=A</stp>
        <tr r="G63" s="16"/>
        <tr r="G63" s="16"/>
      </tp>
      <tp>
        <v>5.2421800000000003</v>
        <stp/>
        <stp>##V3_BDPV12</stp>
        <stp>ZBH Equity</stp>
        <stp>trail_12M_EPS</stp>
        <stp>[Fundamental &amp; Technical Model (1).xlsm]Public Comparables!R13C13</stp>
        <tr r="M13" s="24"/>
      </tp>
      <tp>
        <v>2.8539119999999998</v>
        <stp/>
        <stp>##V3_BDPV12</stp>
        <stp>BAX Equity</stp>
        <stp>trail_12M_EPS</stp>
        <stp>[Fundamental &amp; Technical Model (1).xlsm]Public Comparables!R14C13</stp>
        <tr r="M14" s="24"/>
      </tp>
      <tp>
        <v>1.099834</v>
        <stp/>
        <stp>##V3_BDPV12</stp>
        <stp>BSX Equity</stp>
        <stp>trail_12M_EPS</stp>
        <stp>[Fundamental &amp; Technical Model (1).xlsm]Public Comparables!R11C13</stp>
        <tr r="M11" s="24"/>
      </tp>
      <tp>
        <v>42004</v>
        <stp/>
        <stp>##V3_BQLV12</stp>
        <stp>[Fundamental &amp; Technical Model (1).xlsm]Income Statement!R15C10</stp>
        <stp>SYK US Equity</stp>
        <stp>IS_EPS().PERIOD_END_DATE</stp>
        <stp>FPT</stp>
        <stp>A</stp>
        <stp>FPO</stp>
        <stp>-4A</stp>
        <stp>STD</stp>
        <stp>Mixed</stp>
        <stp>CONSOL</stp>
        <stp>Yes</stp>
        <tr r="J15" s="2"/>
      </tp>
      <tp>
        <v>43465</v>
        <stp/>
        <stp>##V3_BQLV12</stp>
        <stp>[Fundamental &amp; Technical Model (1).xlsm]Income Statement!R15C14</stp>
        <stp>SYK US Equity</stp>
        <stp>IS_EPS().PERIOD_END_DATE</stp>
        <stp>FPT</stp>
        <stp>A</stp>
        <stp>FPO</stp>
        <stp>-0A</stp>
        <stp>STD</stp>
        <stp>Mixed</stp>
        <stp>CONSOL</stp>
        <stp>Yes</stp>
        <tr r="N15" s="2"/>
      </tp>
      <tp>
        <v>42369</v>
        <stp/>
        <stp>##V3_BQLV12</stp>
        <stp>[Fundamental &amp; Technical Model (1).xlsm]Ratios!R14C11</stp>
        <stp>SYK US Equity</stp>
        <stp>IS_EPS().PERIOD_END_DATE</stp>
        <stp>FPT</stp>
        <stp>A</stp>
        <stp>FPO</stp>
        <stp>-3A</stp>
        <stp>STD</stp>
        <stp>Mixed</stp>
        <stp>CONSOL</stp>
        <stp>Yes</stp>
        <tr r="K14" s="8"/>
      </tp>
      <tp>
        <v>43100</v>
        <stp/>
        <stp>##V3_BQLV12</stp>
        <stp>[Fundamental &amp; Technical Model (1).xlsm]Ratios!R14C13</stp>
        <stp>SYK US Equity</stp>
        <stp>IS_EPS().PERIOD_END_DATE</stp>
        <stp>FPT</stp>
        <stp>A</stp>
        <stp>FPO</stp>
        <stp>-1A</stp>
        <stp>STD</stp>
        <stp>Mixed</stp>
        <stp>CONSOL</stp>
        <stp>Yes</stp>
        <tr r="M14" s="8"/>
      </tp>
      <tp>
        <v>264</v>
        <stp/>
        <stp>##V3_BQLV12</stp>
        <stp>[Fundamental &amp; Technical Model (1).xlsm]Income Statement!R31C14</stp>
        <stp>SYK US Equity</stp>
        <stp>IS_INT_EXPENSE/10^6</stp>
        <stp>FPT</stp>
        <stp>A</stp>
        <stp>FPO</stp>
        <stp>-0A</stp>
        <stp>STD</stp>
        <stp>Mixed</stp>
        <stp>CONSOL</stp>
        <stp>Yes</stp>
        <stp>CURRENCY</stp>
        <stp>USD</stp>
        <tr r="N31" s="2"/>
      </tp>
      <tp>
        <v>43550</v>
        <stp/>
        <stp>##V3_BTH</stp>
        <stp>SYK US Equity</stp>
        <stp>MAOsc_x0002__x0003_MAO_SIGNAL_x0002__x0003_MAO_DIFF</stp>
        <stp>3/26/2019</stp>
        <stp>4/25/2019</stp>
        <stp>[Fundamental &amp; Technical Model (1).xlsm]Technical Analysis Data!R71C7</stp>
        <stp>MAO</stp>
        <stp>OscType=Difference</stp>
        <stp>MAType1=Simple</stp>
        <stp>MAPeriod1=6</stp>
        <stp>MAType2=Simple</stp>
        <stp>MAPeriod2=36</stp>
        <stp>SigType=Simple</stp>
        <stp>SigPeriod=9</stp>
        <stp>DSClose1=PX_LAST</stp>
        <stp>DSClose2=PX_LAST</stp>
        <stp>Dir=H</stp>
        <stp>Dts=S</stp>
        <stp>cols=22;rows=4</stp>
        <tr r="G71" s="31"/>
      </tp>
      <tp>
        <v>1020.7</v>
        <stp/>
        <stp>##V3_BQLV12</stp>
        <stp>[Fundamental &amp; Technical Model (1).xlsm]Cash Flow!R51C4</stp>
        <stp>SYK US Equity</stp>
        <stp>CF_FREE_CASH_FLOW/10^6</stp>
        <stp>FPT</stp>
        <stp>A</stp>
        <stp>FPO</stp>
        <stp>-10A</stp>
        <stp>STD</stp>
        <stp>Mixed</stp>
        <stp>CONSOL</stp>
        <stp>Yes</stp>
        <stp>CURRENCY</stp>
        <stp>USD</stp>
        <tr r="D51" s="4"/>
      </tp>
      <tp t="s">
        <v>#N/A</v>
        <stp/>
        <stp>##V3_BQLV12</stp>
        <stp>[Fundamental &amp; Technical Model (1).xlsm]Cash Flow!R40C12</stp>
        <stp>SYK US Equity</stp>
        <stp>IS_SPECIAL_CASH_DIVIDEND_AMOUNT/10^6</stp>
        <stp>FPT</stp>
        <stp>A</stp>
        <stp>FPO</stp>
        <stp>-2A</stp>
        <stp>STD</stp>
        <stp>Mixed</stp>
        <stp>CONSOL</stp>
        <stp>Yes</stp>
        <stp>CURRENCY</stp>
        <stp>USD</stp>
        <tr r="L40" s="4"/>
      </tp>
      <tp t="s">
        <v>#N/A</v>
        <stp/>
        <stp>##V3_BQLV12</stp>
        <stp>[Fundamental &amp; Technical Model (1).xlsm]Cash Flow!R40C11</stp>
        <stp>SYK US Equity</stp>
        <stp>IS_SPECIAL_CASH_DIVIDEND_AMOUNT/10^6</stp>
        <stp>FPT</stp>
        <stp>A</stp>
        <stp>FPO</stp>
        <stp>-3A</stp>
        <stp>STD</stp>
        <stp>Mixed</stp>
        <stp>CONSOL</stp>
        <stp>Yes</stp>
        <stp>CURRENCY</stp>
        <stp>USD</stp>
        <tr r="K40" s="4"/>
      </tp>
      <tp t="s">
        <v>#N/A</v>
        <stp/>
        <stp>##V3_BQLV12</stp>
        <stp>[Fundamental &amp; Technical Model (1).xlsm]Cash Flow!R40C13</stp>
        <stp>SYK US Equity</stp>
        <stp>IS_SPECIAL_CASH_DIVIDEND_AMOUNT/10^6</stp>
        <stp>FPT</stp>
        <stp>A</stp>
        <stp>FPO</stp>
        <stp>-1A</stp>
        <stp>STD</stp>
        <stp>Mixed</stp>
        <stp>CONSOL</stp>
        <stp>Yes</stp>
        <stp>CURRENCY</stp>
        <stp>USD</stp>
        <tr r="M40" s="4"/>
      </tp>
      <tp t="s">
        <v>#N/A</v>
        <stp/>
        <stp>##V3_BQLV12</stp>
        <stp>[Fundamental &amp; Technical Model (1).xlsm]Cash Flow!R40C10</stp>
        <stp>SYK US Equity</stp>
        <stp>IS_SPECIAL_CASH_DIVIDEND_AMOUNT/10^6</stp>
        <stp>FPT</stp>
        <stp>A</stp>
        <stp>FPO</stp>
        <stp>-4A</stp>
        <stp>STD</stp>
        <stp>Mixed</stp>
        <stp>CONSOL</stp>
        <stp>Yes</stp>
        <stp>CURRENCY</stp>
        <stp>USD</stp>
        <tr r="J40" s="4"/>
      </tp>
      <tp t="s">
        <v>#N/A</v>
        <stp/>
        <stp>##V3_BQLV12</stp>
        <stp>[Fundamental &amp; Technical Model (1).xlsm]Cash Flow!R40C14</stp>
        <stp>SYK US Equity</stp>
        <stp>IS_SPECIAL_CASH_DIVIDEND_AMOUNT/10^6</stp>
        <stp>FPT</stp>
        <stp>A</stp>
        <stp>FPO</stp>
        <stp>-0A</stp>
        <stp>STD</stp>
        <stp>Mixed</stp>
        <stp>CONSOL</stp>
        <stp>Yes</stp>
        <stp>CURRENCY</stp>
        <stp>USD</stp>
        <tr r="N40" s="4"/>
      </tp>
      <tp>
        <v>8471</v>
        <stp/>
        <stp>##V3_BQLV12</stp>
        <stp>[Fundamental &amp; Technical Model (1).xlsm]Key Stats!R39C4</stp>
        <stp>SYK US Equity</stp>
        <stp>SHORT_AND_LONG_TERM_DEBT/10^6</stp>
        <stp>STD</stp>
        <stp>Mixed</stp>
        <stp>CONSOL</stp>
        <stp>Yes</stp>
        <stp>CURRENCY</stp>
        <stp>USD</stp>
        <tr r="D39" s="23"/>
      </tp>
      <tp>
        <v>172.27868653308036</v>
        <stp/>
        <stp>##V3_BQLV12</stp>
        <stp>[Fundamental &amp; Technical Model (1).xlsm]Ratios!R43C7</stp>
        <stp>SYK US Equity</stp>
        <stp>CASH_CONVERSION_CYCLE</stp>
        <stp>FPT</stp>
        <stp>A</stp>
        <stp>FPO</stp>
        <stp>-7A</stp>
        <stp>STD</stp>
        <stp>Mixed</stp>
        <stp>CONSOL</stp>
        <stp>Yes</stp>
        <tr r="G43" s="8"/>
      </tp>
      <tp t="e">
        <v>#N/A</v>
        <stp/>
        <stp>##V3_BDHV12</stp>
        <stp>SYK US Equity</stp>
        <stp>PX_ERN_RATIO_WITH_HIGH_CLOS_PX</stp>
        <stp>-6FY</stp>
        <stp>-6FY</stp>
        <stp>[Fundamental &amp; Technical Model (1).xlsm]Multiples!R35C7</stp>
        <stp>EQY_CONSOLIDATED</stp>
        <stp>Yes</stp>
        <stp>ACCOUNTING_STANDARD_OVERRIDE</stp>
        <stp>Mixed</stp>
        <stp>Per</stp>
        <stp>FY</stp>
        <stp>Days=A</stp>
        <tr r="G35" s="16"/>
        <tr r="G35" s="16"/>
      </tp>
      <tp>
        <v>8471</v>
        <stp/>
        <stp>##V3_BQLV12</stp>
        <stp>[Fundamental &amp; Technical Model (1).xlsm]Key Stats!R46C4</stp>
        <stp>SYK US Equity</stp>
        <stp>SHORT_AND_LONG_TERM_DEBT/10^6</stp>
        <stp>STD</stp>
        <stp>Mixed</stp>
        <stp>CONSOL</stp>
        <stp>Yes</stp>
        <stp>CURRENCY</stp>
        <stp>USD</stp>
        <tr r="D46" s="23"/>
      </tp>
      <tp t="s">
        <v>#N/A N/A</v>
        <stp/>
        <stp>##V3_BDSV12</stp>
        <stp>SYK US Equity</stp>
        <stp>PG_OPERATING_INCOME</stp>
        <stp>[Fundamental &amp; Technical Model (1).xlsm]Segments!R80C11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80" s="17"/>
      </tp>
      <tp t="s">
        <v>#N/A N/A</v>
        <stp/>
        <stp>##V3_BDSV12</stp>
        <stp>SYK US Equity</stp>
        <stp>PG_OPERATING_INCOME</stp>
        <stp>[Fundamental &amp; Technical Model (1).xlsm]Segments!R80C10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80" s="17"/>
      </tp>
      <tp t="s">
        <v>#N/A N/A</v>
        <stp/>
        <stp>##V3_BDSV12</stp>
        <stp>SYK US Equity</stp>
        <stp>PG_OPERATING_INCOME</stp>
        <stp>[Fundamental &amp; Technical Model (1).xlsm]Segments!R80C13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80" s="17"/>
      </tp>
      <tp t="s">
        <v>#N/A N/A</v>
        <stp/>
        <stp>##V3_BDSV12</stp>
        <stp>SYK US Equity</stp>
        <stp>PG_OPERATING_INCOME</stp>
        <stp>[Fundamental &amp; Technical Model (1).xlsm]Segments!R80C12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80" s="17"/>
      </tp>
      <tp>
        <v>15.750581254725025</v>
        <stp/>
        <stp>##V3_BQLV12</stp>
        <stp>[Fundamental &amp; Technical Model (1).xlsm]Ratios!R17C7</stp>
        <stp>SYK US Equity</stp>
        <stp>RETURN_ON_CAP</stp>
        <stp>FPT</stp>
        <stp>A</stp>
        <stp>FPO</stp>
        <stp>-7A</stp>
        <stp>STD</stp>
        <stp>Mixed</stp>
        <stp>CONSOL</stp>
        <stp>Yes</stp>
        <tr r="G17" s="8"/>
      </tp>
      <tp t="s">
        <v>#N/A N/A</v>
        <stp/>
        <stp>##V3_BDSV12</stp>
        <stp>SYK US Equity</stp>
        <stp>PG_OPERATING_INCOME</stp>
        <stp>[Fundamental &amp; Technical Model (1).xlsm]Segments!R80C14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80" s="17"/>
      </tp>
      <tp>
        <v>0</v>
        <stp/>
        <stp>##V3_BQLV12</stp>
        <stp>[Fundamental &amp; Technical Model (1).xlsm]Balance Sheet!R49C9</stp>
        <stp>SYK US Equity</stp>
        <stp>BS_PFD_EQY/10^6</stp>
        <stp>FPT</stp>
        <stp>A</stp>
        <stp>FPO</stp>
        <stp>-5A</stp>
        <stp>STD</stp>
        <stp>Mixed</stp>
        <stp>CONSOL</stp>
        <stp>Yes</stp>
        <stp>CURRENCY</stp>
        <stp>USD</stp>
        <tr r="I49" s="3"/>
      </tp>
      <tp t="s">
        <v>#N/A N/A</v>
        <stp/>
        <stp>##V3_BDSV12</stp>
        <stp>SYK US Equity</stp>
        <stp>PG_DEPR_AMORTIZATION</stp>
        <stp>[Fundamental &amp; Technical Model (1).xlsm]Segments!R156C5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156" s="17"/>
      </tp>
      <tp>
        <v>68.274240123842702</v>
        <stp/>
        <stp>##V3_BQLV12</stp>
        <stp>[Fundamental &amp; Technical Model (1).xlsm]Ratios!R21C4</stp>
        <stp>SYK US Equity</stp>
        <stp>GROSS_MARGIN</stp>
        <stp>FPT</stp>
        <stp>A</stp>
        <stp>FPO</stp>
        <stp>-10A</stp>
        <stp>STD</stp>
        <stp>Mixed</stp>
        <stp>CONSOL</stp>
        <stp>Yes</stp>
        <tr r="D21" s="8"/>
      </tp>
      <tp t="e">
        <v>#N/A</v>
        <stp/>
        <stp>##V3_BDHV12</stp>
        <stp>SYK US Equity</stp>
        <stp>PX_TO_CASH_FLOW</stp>
        <stp>-10FY</stp>
        <stp>-10FY</stp>
        <stp>[Fundamental &amp; Technical Model (1).xlsm]Multiples!R51C3</stp>
        <stp>EQY_CONSOLIDATED</stp>
        <stp>Yes</stp>
        <stp>ACCOUNTING_STANDARD_OVERRIDE</stp>
        <stp>Mixed</stp>
        <stp>Per</stp>
        <stp>FY</stp>
        <stp>Days=A</stp>
        <tr r="C51" s="16"/>
        <tr r="C51" s="16"/>
      </tp>
      <tp t="e">
        <v>#N/A</v>
        <stp/>
        <stp>##V3_BDHV12</stp>
        <stp>SYK US Equity</stp>
        <stp>DIVIDEND_YIELD</stp>
        <stp>-7FY</stp>
        <stp>-7FY</stp>
        <stp>[Fundamental &amp; Technical Model (1).xlsm]Multiples!R63C6</stp>
        <stp>EQY_CONSOLIDATED</stp>
        <stp>Yes</stp>
        <stp>ACCOUNTING_STANDARD_OVERRIDE</stp>
        <stp>Mixed</stp>
        <stp>Per</stp>
        <stp>FY</stp>
        <stp>Days=A</stp>
        <tr r="F63" s="16"/>
        <tr r="F63" s="16"/>
      </tp>
      <tp t="s">
        <v>#N/A N/A</v>
        <stp/>
        <stp>##V3_BDSV12</stp>
        <stp>SYK US Equity</stp>
        <stp>PG_GROSS_PROFIT</stp>
        <stp>[Fundamental &amp; Technical Model (1).xlsm]Segments!R68C5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68" s="17"/>
      </tp>
      <tp t="s">
        <v>#N/A N/A</v>
        <stp/>
        <stp>##V3_BDSV12</stp>
        <stp>SYK US Equity</stp>
        <stp>PG_GROSS_PROFIT</stp>
        <stp>[Fundamental &amp; Technical Model (1).xlsm]Segments!R54C5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54" s="17"/>
      </tp>
      <tp t="s">
        <v>#N/A N/A</v>
        <stp/>
        <stp>##V3_BDSV12</stp>
        <stp>SYK US Equity</stp>
        <stp>PG_GROSS_PROFIT</stp>
        <stp>[Fundamental &amp; Technical Model (1).xlsm]Segments!R67C5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67" s="17"/>
      </tp>
      <tp t="s">
        <v>#N/A N/A</v>
        <stp/>
        <stp>##V3_BDSV12</stp>
        <stp>SYK US Equity</stp>
        <stp>PG_GROSS_PROFIT</stp>
        <stp>[Fundamental &amp; Technical Model (1).xlsm]Segments!R53C5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53" s="17"/>
      </tp>
      <tp>
        <v>0</v>
        <stp/>
        <stp>##V3_BQLV12</stp>
        <stp>[Fundamental &amp; Technical Model (1).xlsm]Balance Sheet!R49C11</stp>
        <stp>SYK US Equity</stp>
        <stp>BS_PFD_EQY/10^6</stp>
        <stp>FPT</stp>
        <stp>A</stp>
        <stp>FPO</stp>
        <stp>-3A</stp>
        <stp>STD</stp>
        <stp>Mixed</stp>
        <stp>CONSOL</stp>
        <stp>Yes</stp>
        <stp>CURRENCY</stp>
        <stp>USD</stp>
        <tr r="K49" s="3"/>
      </tp>
      <tp>
        <v>1469</v>
        <stp/>
        <stp>##V3_BQLV12</stp>
        <stp>[Fundamental &amp; Technical Model (1).xlsm]Balance Sheet!R54C12</stp>
        <stp>SYK US Equity</stp>
        <stp>BS_SH_CAP_AND_APIC/10^6</stp>
        <stp>FPT</stp>
        <stp>A</stp>
        <stp>FPO</stp>
        <stp>-2A</stp>
        <stp>STD</stp>
        <stp>Mixed</stp>
        <stp>CONSOL</stp>
        <stp>Yes</stp>
        <stp>CURRENCY</stp>
        <stp>USD</stp>
        <tr r="L54" s="3"/>
      </tp>
      <tp>
        <v>564</v>
        <stp/>
        <stp>##V3_BQLV12</stp>
        <stp>[Fundamental &amp; Technical Model (1).xlsm]Balance Sheet!R26C11</stp>
        <stp>SYK US Equity</stp>
        <stp>BS_OTHER_CUR_ASSET/10^6</stp>
        <stp>FPT</stp>
        <stp>A</stp>
        <stp>FPO</stp>
        <stp>-3A</stp>
        <stp>STD</stp>
        <stp>Mixed</stp>
        <stp>CONSOL</stp>
        <stp>Yes</stp>
        <stp>CURRENCY</stp>
        <stp>USD</stp>
        <tr r="K26" s="3"/>
      </tp>
      <tp t="s">
        <v>#N/A N/A</v>
        <stp/>
        <stp>##V3_BDSV12</stp>
        <stp>SYK US Equity</stp>
        <stp>PG_GROSS_PROFIT</stp>
        <stp>[Fundamental &amp; Technical Model (1).xlsm]Segments!R60C5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60" s="17"/>
      </tp>
      <tp t="s">
        <v>#N/A N/A</v>
        <stp/>
        <stp>##V3_BDSV12</stp>
        <stp>SYK US Equity</stp>
        <stp>PG_GROSS_PROFIT</stp>
        <stp>[Fundamental &amp; Technical Model (1).xlsm]Segments!R46C5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46" s="17"/>
      </tp>
      <tp t="s">
        <v>#N/A N/A</v>
        <stp/>
        <stp>##V3_BDSV12</stp>
        <stp>SYK US Equity</stp>
        <stp>PG_GROSS_PROFIT</stp>
        <stp>[Fundamental &amp; Technical Model (1).xlsm]Segments!R62C5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62" s="17"/>
      </tp>
      <tp t="s">
        <v>#N/A N/A</v>
        <stp/>
        <stp>##V3_BDSV12</stp>
        <stp>SYK US Equity</stp>
        <stp>PG_GROSS_PROFIT</stp>
        <stp>[Fundamental &amp; Technical Model (1).xlsm]Segments!R48C5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48" s="17"/>
      </tp>
      <tp t="s">
        <v>#N/A N/A</v>
        <stp/>
        <stp>##V3_BDSV12</stp>
        <stp>SYK US Equity</stp>
        <stp>PG_GROSS_PROFIT</stp>
        <stp>[Fundamental &amp; Technical Model (1).xlsm]Segments!R61C5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61" s="17"/>
      </tp>
      <tp t="s">
        <v>#N/A N/A</v>
        <stp/>
        <stp>##V3_BDSV12</stp>
        <stp>SYK US Equity</stp>
        <stp>PG_GROSS_PROFIT</stp>
        <stp>[Fundamental &amp; Technical Model (1).xlsm]Segments!R47C5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47" s="17"/>
      </tp>
      <tp t="s">
        <v>#N/A N/A</v>
        <stp/>
        <stp>##V3_BDSV12</stp>
        <stp>SYK US Equity</stp>
        <stp>PG_GROSS_PROFIT</stp>
        <stp>[Fundamental &amp; Technical Model (1).xlsm]Segments!R64C5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64" s="17"/>
      </tp>
      <tp t="s">
        <v>#N/A N/A</v>
        <stp/>
        <stp>##V3_BDSV12</stp>
        <stp>SYK US Equity</stp>
        <stp>PG_GROSS_PROFIT</stp>
        <stp>[Fundamental &amp; Technical Model (1).xlsm]Segments!R50C5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50" s="17"/>
      </tp>
      <tp t="s">
        <v>#N/A N/A</v>
        <stp/>
        <stp>##V3_BDSV12</stp>
        <stp>SYK US Equity</stp>
        <stp>PG_GROSS_PROFIT</stp>
        <stp>[Fundamental &amp; Technical Model (1).xlsm]Segments!R63C5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63" s="17"/>
      </tp>
      <tp t="s">
        <v>#N/A N/A</v>
        <stp/>
        <stp>##V3_BDSV12</stp>
        <stp>SYK US Equity</stp>
        <stp>PG_GROSS_PROFIT</stp>
        <stp>[Fundamental &amp; Technical Model (1).xlsm]Segments!R49C5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49" s="17"/>
      </tp>
      <tp t="s">
        <v>#N/A N/A</v>
        <stp/>
        <stp>##V3_BDSV12</stp>
        <stp>SYK US Equity</stp>
        <stp>PG_GROSS_PROFIT</stp>
        <stp>[Fundamental &amp; Technical Model (1).xlsm]Segments!R66C5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66" s="17"/>
      </tp>
      <tp t="s">
        <v>#N/A N/A</v>
        <stp/>
        <stp>##V3_BDSV12</stp>
        <stp>SYK US Equity</stp>
        <stp>PG_GROSS_PROFIT</stp>
        <stp>[Fundamental &amp; Technical Model (1).xlsm]Segments!R52C5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52" s="17"/>
      </tp>
      <tp t="s">
        <v>#N/A N/A</v>
        <stp/>
        <stp>##V3_BDSV12</stp>
        <stp>SYK US Equity</stp>
        <stp>PG_GROSS_PROFIT</stp>
        <stp>[Fundamental &amp; Technical Model (1).xlsm]Segments!R65C5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65" s="17"/>
      </tp>
      <tp t="s">
        <v>#N/A N/A</v>
        <stp/>
        <stp>##V3_BDSV12</stp>
        <stp>SYK US Equity</stp>
        <stp>PG_GROSS_PROFIT</stp>
        <stp>[Fundamental &amp; Technical Model (1).xlsm]Segments!R51C5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51" s="17"/>
      </tp>
      <tp>
        <v>247</v>
        <stp/>
        <stp>##V3_BQLV12</stp>
        <stp>[Fundamental &amp; Technical Model (1).xlsm]Income Statement!R31C13</stp>
        <stp>SYK US Equity</stp>
        <stp>IS_INT_EXPENSE/10^6</stp>
        <stp>FPT</stp>
        <stp>A</stp>
        <stp>FPO</stp>
        <stp>-1A</stp>
        <stp>STD</stp>
        <stp>Mixed</stp>
        <stp>CONSOL</stp>
        <stp>Yes</stp>
        <stp>CURRENCY</stp>
        <stp>USD</stp>
        <tr r="M31" s="2"/>
      </tp>
      <tp t="s">
        <v>--</v>
        <stp/>
        <stp>##V3_BDPV12</stp>
        <stp>SYK US Equity</stp>
        <stp>BS_WTD_AVG_INT_RATE_ST_LT_DEBT</stp>
        <stp>[Fundamental &amp; Technical Model (1).xlsm]Capital Structure Summary!R120C11</stp>
        <stp>EQY_FUND_RELATIVE_PERIOD</stp>
        <stp>-0FY</stp>
        <stp>EQY_FUND_CRNCY</stp>
        <stp>USD</stp>
        <stp>EQY_CONSOLIDATED</stp>
        <stp>Yes</stp>
        <stp>ACCOUNTING_STANDARD_OVERRIDE</stp>
        <stp>Mixed</stp>
        <stp>Fill=--</stp>
        <tr r="K120" s="21"/>
      </tp>
      <tp>
        <v>-1000</v>
        <stp/>
        <stp>##V3_BQLV12</stp>
        <stp>[Fundamental &amp; Technical Model (1).xlsm]Cash Flow!R39C4</stp>
        <stp>SYK US Equity</stp>
        <stp>CF_DECR_CAP_STOCK/10^6</stp>
        <stp>FPT</stp>
        <stp>A</stp>
        <stp>FPO</stp>
        <stp>-10A</stp>
        <stp>STD</stp>
        <stp>Mixed</stp>
        <stp>CONSOL</stp>
        <stp>Yes</stp>
        <stp>CURRENCY</stp>
        <stp>USD</stp>
        <tr r="D39" s="4"/>
      </tp>
      <tp>
        <v>13.277679824403585</v>
        <stp/>
        <stp>##V3_BQLV12</stp>
        <stp>[Fundamental &amp; Technical Model (1).xlsm]Ratios!R16C5</stp>
        <stp>SYK US Equity</stp>
        <stp>RETURN_ON_ASSET</stp>
        <stp>FPT</stp>
        <stp>A</stp>
        <stp>FPO</stp>
        <stp>-9A</stp>
        <stp>STD</stp>
        <stp>Mixed</stp>
        <stp>CONSOL</stp>
        <stp>Yes</stp>
        <tr r="E16" s="8"/>
      </tp>
      <tp>
        <v>20.37740679632515</v>
        <stp/>
        <stp>##V3_BQLV12</stp>
        <stp>[Fundamental &amp; Technical Model (1).xlsm]Key Stats!R54C4</stp>
        <stp>SYK US Equity</stp>
        <stp>EV_TO_EBITDA</stp>
        <stp>FPT=A</stp>
        <stp>FPO=0</stp>
        <stp>STD</stp>
        <stp>Mixed</stp>
        <stp>CONSOL</stp>
        <stp>Yes</stp>
        <stp>CURRENCY</stp>
        <stp>USD</stp>
        <tr r="D54" s="23"/>
      </tp>
      <tp t="s">
        <v>12/31/2018</v>
        <stp/>
        <stp>##V3_BDPV12</stp>
        <stp>SYK US Equity</stp>
        <stp>LATEST_PERIOD_END_DT_FULL_RECORD</stp>
        <stp>[Fundamental &amp; Technical Model (1).xlsm]Capital Structure Summary!R13C11</stp>
        <stp>EQY_FUND_RELATIVE_PERIOD</stp>
        <stp>-0FY</stp>
        <stp>EQY_CONSOLIDATED</stp>
        <stp>Yes</stp>
        <tr r="K13" s="21"/>
        <tr r="K13" s="21"/>
      </tp>
      <tp>
        <v>700</v>
        <stp/>
        <stp>##V3_BDSV12</stp>
        <stp>SYK US Equity</stp>
        <stp>PG_OPERATING_INCOME</stp>
        <stp>[Fundamental &amp; Technical Model (1).xlsm]Segments!R77C14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77" s="17"/>
        <tr r="N77" s="17"/>
      </tp>
      <tp>
        <v>36.115729963418694</v>
        <stp/>
        <stp>##V3_BQLV12</stp>
        <stp>[Fundamental &amp; Technical Model (1).xlsm]Ratios!R22C9</stp>
        <stp>SYK US Equity</stp>
        <stp>ADJ_SG_AND_A_TO_SALES</stp>
        <stp>FPT</stp>
        <stp>A</stp>
        <stp>FPO</stp>
        <stp>-5A</stp>
        <stp>STD</stp>
        <stp>Mixed</stp>
        <stp>CONSOL</stp>
        <stp>Yes</stp>
        <tr r="I22" s="8"/>
      </tp>
      <tp>
        <v>476</v>
        <stp/>
        <stp>##V3_BDSV12</stp>
        <stp>SYK US Equity</stp>
        <stp>PG_OPERATING_INCOME</stp>
        <stp>[Fundamental &amp; Technical Model (1).xlsm]Segments!R77C10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77" s="17"/>
        <tr r="J77" s="17"/>
      </tp>
      <tp>
        <v>474</v>
        <stp/>
        <stp>##V3_BDSV12</stp>
        <stp>SYK US Equity</stp>
        <stp>PG_OPERATING_INCOME</stp>
        <stp>[Fundamental &amp; Technical Model (1).xlsm]Segments!R77C11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77" s="17"/>
        <tr r="K77" s="17"/>
      </tp>
      <tp>
        <v>559</v>
        <stp/>
        <stp>##V3_BDSV12</stp>
        <stp>SYK US Equity</stp>
        <stp>PG_OPERATING_INCOME</stp>
        <stp>[Fundamental &amp; Technical Model (1).xlsm]Segments!R77C12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77" s="17"/>
        <tr r="L77" s="17"/>
      </tp>
      <tp>
        <v>-0.83841463414634143</v>
        <stp/>
        <stp>##V3_BQLV12</stp>
        <stp>[Fundamental &amp; Technical Model (1).xlsm]Ratios!R56C7</stp>
        <stp>SYK US Equity</stp>
        <stp>NET_DEBT_TO_EBITDA</stp>
        <stp>FPT</stp>
        <stp>A</stp>
        <stp>FPO</stp>
        <stp>-7A</stp>
        <stp>STD</stp>
        <stp>Mixed</stp>
        <stp>CONSOL</stp>
        <stp>Yes</stp>
        <tr r="G56" s="8"/>
      </tp>
      <tp>
        <v>631</v>
        <stp/>
        <stp>##V3_BDSV12</stp>
        <stp>SYK US Equity</stp>
        <stp>PG_OPERATING_INCOME</stp>
        <stp>[Fundamental &amp; Technical Model (1).xlsm]Segments!R77C13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77" s="17"/>
        <tr r="M77" s="17"/>
      </tp>
      <tp>
        <v>23.310615686727505</v>
        <stp/>
        <stp>##V3_BQLV12</stp>
        <stp>[Fundamental &amp; Technical Model (1).xlsm]Ratios!R23C8</stp>
        <stp>SYK US Equity</stp>
        <stp>EBITDA_MARGIN</stp>
        <stp>FPT</stp>
        <stp>A</stp>
        <stp>FPO</stp>
        <stp>-6A</stp>
        <stp>STD</stp>
        <stp>Mixed</stp>
        <stp>CONSOL</stp>
        <stp>Yes</stp>
        <tr r="H23" s="8"/>
      </tp>
      <tp t="s">
        <v>#N/A N/A</v>
        <stp/>
        <stp>##V3_BDSV12</stp>
        <stp>SYK US Equity</stp>
        <stp>PG_ASSETS</stp>
        <stp>[Fundamental &amp; Technical Model (1).xlsm]Segments!R126C6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126" s="17"/>
      </tp>
      <tp t="s">
        <v>#N/A N/A</v>
        <stp/>
        <stp>##V3_BDSV12</stp>
        <stp>SYK US Equity</stp>
        <stp>PG_ASSETS</stp>
        <stp>[Fundamental &amp; Technical Model (1).xlsm]Segments!R112C6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112" s="17"/>
      </tp>
      <tp t="s">
        <v>#N/A N/A</v>
        <stp/>
        <stp>##V3_BDSV12</stp>
        <stp>SYK US Equity</stp>
        <stp>PG_ASSETS</stp>
        <stp>[Fundamental &amp; Technical Model (1).xlsm]Segments!R125C6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125" s="17"/>
      </tp>
      <tp>
        <v>1168</v>
        <stp/>
        <stp>##V3_BQLV12</stp>
        <stp>[Fundamental &amp; Technical Model (1).xlsm]Balance Sheet!R26C8</stp>
        <stp>SYK US Equity</stp>
        <stp>BS_OTHER_CUR_ASSET/10^6</stp>
        <stp>FPT</stp>
        <stp>A</stp>
        <stp>FPO</stp>
        <stp>-6A</stp>
        <stp>STD</stp>
        <stp>Mixed</stp>
        <stp>CONSOL</stp>
        <stp>Yes</stp>
        <stp>CURRENCY</stp>
        <stp>USD</stp>
        <tr r="H26" s="3"/>
      </tp>
      <tp t="s">
        <v>#N/A N/A</v>
        <stp/>
        <stp>##V3_BDSV12</stp>
        <stp>SYK US Equity</stp>
        <stp>PG_ASSETS</stp>
        <stp>[Fundamental &amp; Technical Model (1).xlsm]Segments!R111C6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111" s="17"/>
      </tp>
      <tp t="s">
        <v>#N/A N/A</v>
        <stp/>
        <stp>##V3_BDSV12</stp>
        <stp>SYK US Equity</stp>
        <stp>PG_ASSETS</stp>
        <stp>[Fundamental &amp; Technical Model (1).xlsm]Segments!R124C6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124" s="17"/>
      </tp>
      <tp t="s">
        <v>#N/A N/A</v>
        <stp/>
        <stp>##V3_BDSV12</stp>
        <stp>SYK US Equity</stp>
        <stp>PG_ASSETS</stp>
        <stp>[Fundamental &amp; Technical Model (1).xlsm]Segments!R110C6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110" s="17"/>
      </tp>
      <tp t="s">
        <v>#N/A N/A</v>
        <stp/>
        <stp>##V3_BDSV12</stp>
        <stp>SYK US Equity</stp>
        <stp>PG_ASSETS</stp>
        <stp>[Fundamental &amp; Technical Model (1).xlsm]Segments!R123C6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123" s="17"/>
      </tp>
      <tp t="s">
        <v>#N/A N/A</v>
        <stp/>
        <stp>##V3_BDSV12</stp>
        <stp>SYK US Equity</stp>
        <stp>PG_ASSETS</stp>
        <stp>[Fundamental &amp; Technical Model (1).xlsm]Segments!R109C6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109" s="17"/>
      </tp>
      <tp t="s">
        <v>#N/A N/A</v>
        <stp/>
        <stp>##V3_BDSV12</stp>
        <stp>SYK US Equity</stp>
        <stp>PG_ASSETS</stp>
        <stp>[Fundamental &amp; Technical Model (1).xlsm]Segments!R122C6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122" s="17"/>
      </tp>
      <tp t="s">
        <v>#N/A N/A</v>
        <stp/>
        <stp>##V3_BDSV12</stp>
        <stp>SYK US Equity</stp>
        <stp>PG_ASSETS</stp>
        <stp>[Fundamental &amp; Technical Model (1).xlsm]Segments!R108C6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108" s="17"/>
      </tp>
      <tp t="s">
        <v>#N/A N/A</v>
        <stp/>
        <stp>##V3_BDSV12</stp>
        <stp>SYK US Equity</stp>
        <stp>PG_ASSETS</stp>
        <stp>[Fundamental &amp; Technical Model (1).xlsm]Segments!R121C6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121" s="17"/>
      </tp>
      <tp t="e">
        <v>#N/A</v>
        <stp/>
        <stp>##V3_BDHV12</stp>
        <stp>SYK US Equity</stp>
        <stp>AVERAGE_EV_TO_T12M_SALES</stp>
        <stp>-10FY</stp>
        <stp>-10FY</stp>
        <stp>[Fundamental &amp; Technical Model (1).xlsm]Multiples!R16C3</stp>
        <stp>EQY_CONSOLIDATED</stp>
        <stp>Yes</stp>
        <stp>ACCOUNTING_STANDARD_OVERRIDE</stp>
        <stp>Mixed</stp>
        <stp>Per</stp>
        <stp>FY</stp>
        <stp>Days=A</stp>
        <tr r="C16" s="16"/>
        <tr r="C16" s="16"/>
      </tp>
      <tp>
        <v>4629</v>
        <stp/>
        <stp>##V3_BDSV12</stp>
        <stp>SYK US Equity</stp>
        <stp>PG_ASSETS</stp>
        <stp>[Fundamental &amp; Technical Model (1).xlsm]Segments!R107C6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107" s="17"/>
        <tr r="F107" s="17"/>
      </tp>
      <tp t="s">
        <v>#N/A N/A</v>
        <stp/>
        <stp>##V3_BDSV12</stp>
        <stp>SYK US Equity</stp>
        <stp>PG_ASSETS</stp>
        <stp>[Fundamental &amp; Technical Model (1).xlsm]Segments!R120C6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120" s="17"/>
      </tp>
      <tp>
        <v>777</v>
        <stp/>
        <stp>##V3_BDSV12</stp>
        <stp>SYK US Equity</stp>
        <stp>PG_ASSETS</stp>
        <stp>[Fundamental &amp; Technical Model (1).xlsm]Segments!R106C6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106" s="17"/>
        <tr r="F106" s="17"/>
      </tp>
      <tp>
        <v>2622</v>
        <stp/>
        <stp>##V3_BQLV12</stp>
        <stp>[Fundamental &amp; Technical Model (1).xlsm]Balance Sheet!R18C6</stp>
        <stp>SYK US Equity</stp>
        <stp>BS_MKT_SEC_OTHER_ST_INVEST/10^6</stp>
        <stp>FPT</stp>
        <stp>A</stp>
        <stp>FPO</stp>
        <stp>-8A</stp>
        <stp>STD</stp>
        <stp>Mixed</stp>
        <stp>CONSOL</stp>
        <stp>Yes</stp>
        <stp>CURRENCY</stp>
        <stp>USD</stp>
        <tr r="F18" s="3"/>
      </tp>
      <tp t="s">
        <v>#N/A N/A</v>
        <stp/>
        <stp>##V3_BDSV12</stp>
        <stp>SYK US Equity</stp>
        <stp>PG_ASSETS</stp>
        <stp>[Fundamental &amp; Technical Model (1).xlsm]Segments!R119C6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119" s="17"/>
      </tp>
      <tp>
        <v>3156</v>
        <stp/>
        <stp>##V3_BDSV12</stp>
        <stp>SYK US Equity</stp>
        <stp>PG_ASSETS</stp>
        <stp>[Fundamental &amp; Technical Model (1).xlsm]Segments!R105C6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105" s="17"/>
        <tr r="F105" s="17"/>
      </tp>
      <tp t="s">
        <v>#N/A N/A</v>
        <stp/>
        <stp>##V3_BDSV12</stp>
        <stp>SYK US Equity</stp>
        <stp>PG_ASSETS</stp>
        <stp>[Fundamental &amp; Technical Model (1).xlsm]Segments!R118C6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118" s="17"/>
      </tp>
      <tp>
        <v>2333</v>
        <stp/>
        <stp>##V3_BDSV12</stp>
        <stp>SYK US Equity</stp>
        <stp>PG_ASSETS</stp>
        <stp>[Fundamental &amp; Technical Model (1).xlsm]Segments!R104C6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104" s="17"/>
        <tr r="F104" s="17"/>
      </tp>
      <tp t="s">
        <v>#N/A N/A</v>
        <stp/>
        <stp>##V3_BDSV12</stp>
        <stp>SYK US Equity</stp>
        <stp>PG_GROSS_PROFIT</stp>
        <stp>[Fundamental &amp; Technical Model (1).xlsm]Segments!R67C4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67" s="17"/>
      </tp>
      <tp t="s">
        <v>#N/A N/A</v>
        <stp/>
        <stp>##V3_BDSV12</stp>
        <stp>SYK US Equity</stp>
        <stp>PG_GROSS_PROFIT</stp>
        <stp>[Fundamental &amp; Technical Model (1).xlsm]Segments!R53C4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53" s="17"/>
      </tp>
      <tp t="s">
        <v>#N/A N/A</v>
        <stp/>
        <stp>##V3_BDSV12</stp>
        <stp>SYK US Equity</stp>
        <stp>PG_GROSS_PROFIT</stp>
        <stp>[Fundamental &amp; Technical Model (1).xlsm]Segments!R68C4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68" s="17"/>
      </tp>
      <tp t="s">
        <v>#N/A N/A</v>
        <stp/>
        <stp>##V3_BDSV12</stp>
        <stp>SYK US Equity</stp>
        <stp>PG_GROSS_PROFIT</stp>
        <stp>[Fundamental &amp; Technical Model (1).xlsm]Segments!R54C4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54" s="17"/>
      </tp>
      <tp>
        <v>0</v>
        <stp/>
        <stp>##V3_BQLV12</stp>
        <stp>[Fundamental &amp; Technical Model (1).xlsm]Balance Sheet!R49C10</stp>
        <stp>SYK US Equity</stp>
        <stp>BS_PFD_EQY/10^6</stp>
        <stp>FPT</stp>
        <stp>A</stp>
        <stp>FPO</stp>
        <stp>-4A</stp>
        <stp>STD</stp>
        <stp>Mixed</stp>
        <stp>CONSOL</stp>
        <stp>Yes</stp>
        <stp>CURRENCY</stp>
        <stp>USD</stp>
        <tr r="J49" s="3"/>
      </tp>
      <tp>
        <v>1533</v>
        <stp/>
        <stp>##V3_BQLV12</stp>
        <stp>[Fundamental &amp; Technical Model (1).xlsm]Balance Sheet!R54C13</stp>
        <stp>SYK US Equity</stp>
        <stp>BS_SH_CAP_AND_APIC/10^6</stp>
        <stp>FPT</stp>
        <stp>A</stp>
        <stp>FPO</stp>
        <stp>-1A</stp>
        <stp>STD</stp>
        <stp>Mixed</stp>
        <stp>CONSOL</stp>
        <stp>Yes</stp>
        <stp>CURRENCY</stp>
        <stp>USD</stp>
        <tr r="M54" s="3"/>
      </tp>
      <tp>
        <v>524</v>
        <stp/>
        <stp>##V3_BQLV12</stp>
        <stp>[Fundamental &amp; Technical Model (1).xlsm]Balance Sheet!R26C10</stp>
        <stp>SYK US Equity</stp>
        <stp>BS_OTHER_CUR_ASSET/10^6</stp>
        <stp>FPT</stp>
        <stp>A</stp>
        <stp>FPO</stp>
        <stp>-4A</stp>
        <stp>STD</stp>
        <stp>Mixed</stp>
        <stp>CONSOL</stp>
        <stp>Yes</stp>
        <stp>CURRENCY</stp>
        <stp>USD</stp>
        <tr r="J26" s="3"/>
      </tp>
      <tp>
        <v>90</v>
        <stp/>
        <stp>##V3_BQLV12</stp>
        <stp>[Fundamental &amp; Technical Model (1).xlsm]Cash Flow!R17C13</stp>
        <stp>SYK US Equity</stp>
        <stp>CF_OTHER_NON_CASH_ADJUST/10^6</stp>
        <stp>FPT</stp>
        <stp>A</stp>
        <stp>FPO</stp>
        <stp>-1A</stp>
        <stp>STD</stp>
        <stp>Mixed</stp>
        <stp>CONSOL</stp>
        <stp>Yes</stp>
        <stp>CURRENCY</stp>
        <stp>USD</stp>
        <tr r="M17" s="4"/>
      </tp>
      <tp>
        <v>306</v>
        <stp/>
        <stp>##V3_BQLV12</stp>
        <stp>[Fundamental &amp; Technical Model (1).xlsm]Cash Flow!R17C12</stp>
        <stp>SYK US Equity</stp>
        <stp>CF_OTHER_NON_CASH_ADJUST/10^6</stp>
        <stp>FPT</stp>
        <stp>A</stp>
        <stp>FPO</stp>
        <stp>-2A</stp>
        <stp>STD</stp>
        <stp>Mixed</stp>
        <stp>CONSOL</stp>
        <stp>Yes</stp>
        <stp>CURRENCY</stp>
        <stp>USD</stp>
        <tr r="L17" s="4"/>
      </tp>
      <tp>
        <v>342</v>
        <stp/>
        <stp>##V3_BQLV12</stp>
        <stp>[Fundamental &amp; Technical Model (1).xlsm]Cash Flow!R17C11</stp>
        <stp>SYK US Equity</stp>
        <stp>CF_OTHER_NON_CASH_ADJUST/10^6</stp>
        <stp>FPT</stp>
        <stp>A</stp>
        <stp>FPO</stp>
        <stp>-3A</stp>
        <stp>STD</stp>
        <stp>Mixed</stp>
        <stp>CONSOL</stp>
        <stp>Yes</stp>
        <stp>CURRENCY</stp>
        <stp>USD</stp>
        <tr r="K17" s="4"/>
      </tp>
      <tp>
        <v>71</v>
        <stp/>
        <stp>##V3_BQLV12</stp>
        <stp>[Fundamental &amp; Technical Model (1).xlsm]Cash Flow!R17C10</stp>
        <stp>SYK US Equity</stp>
        <stp>CF_OTHER_NON_CASH_ADJUST/10^6</stp>
        <stp>FPT</stp>
        <stp>A</stp>
        <stp>FPO</stp>
        <stp>-4A</stp>
        <stp>STD</stp>
        <stp>Mixed</stp>
        <stp>CONSOL</stp>
        <stp>Yes</stp>
        <stp>CURRENCY</stp>
        <stp>USD</stp>
        <tr r="J17" s="4"/>
      </tp>
      <tp>
        <v>-1380</v>
        <stp/>
        <stp>##V3_BQLV12</stp>
        <stp>[Fundamental &amp; Technical Model (1).xlsm]Cash Flow!R17C14</stp>
        <stp>SYK US Equity</stp>
        <stp>CF_OTHER_NON_CASH_ADJUST/10^6</stp>
        <stp>FPT</stp>
        <stp>A</stp>
        <stp>FPO</stp>
        <stp>-0A</stp>
        <stp>STD</stp>
        <stp>Mixed</stp>
        <stp>CONSOL</stp>
        <stp>Yes</stp>
        <stp>CURRENCY</stp>
        <stp>USD</stp>
        <tr r="N17" s="4"/>
      </tp>
      <tp t="s">
        <v>#N/A N/A</v>
        <stp/>
        <stp>##V3_BDSV12</stp>
        <stp>SYK US Equity</stp>
        <stp>PG_GROSS_PROFIT</stp>
        <stp>[Fundamental &amp; Technical Model (1).xlsm]Segments!R60C4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60" s="17"/>
      </tp>
      <tp t="s">
        <v>#N/A N/A</v>
        <stp/>
        <stp>##V3_BDSV12</stp>
        <stp>SYK US Equity</stp>
        <stp>PG_GROSS_PROFIT</stp>
        <stp>[Fundamental &amp; Technical Model (1).xlsm]Segments!R46C4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46" s="17"/>
      </tp>
      <tp t="s">
        <v>#N/A N/A</v>
        <stp/>
        <stp>##V3_BDSV12</stp>
        <stp>SYK US Equity</stp>
        <stp>PG_GROSS_PROFIT</stp>
        <stp>[Fundamental &amp; Technical Model (1).xlsm]Segments!R61C4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61" s="17"/>
      </tp>
      <tp t="s">
        <v>#N/A N/A</v>
        <stp/>
        <stp>##V3_BDSV12</stp>
        <stp>SYK US Equity</stp>
        <stp>PG_GROSS_PROFIT</stp>
        <stp>[Fundamental &amp; Technical Model (1).xlsm]Segments!R47C4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47" s="17"/>
      </tp>
      <tp t="s">
        <v>#N/A N/A</v>
        <stp/>
        <stp>##V3_BDSV12</stp>
        <stp>SYK US Equity</stp>
        <stp>PG_GROSS_PROFIT</stp>
        <stp>[Fundamental &amp; Technical Model (1).xlsm]Segments!R62C4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62" s="17"/>
      </tp>
      <tp t="s">
        <v>#N/A N/A</v>
        <stp/>
        <stp>##V3_BDSV12</stp>
        <stp>SYK US Equity</stp>
        <stp>PG_GROSS_PROFIT</stp>
        <stp>[Fundamental &amp; Technical Model (1).xlsm]Segments!R48C4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48" s="17"/>
      </tp>
      <tp t="s">
        <v>#N/A N/A</v>
        <stp/>
        <stp>##V3_BDSV12</stp>
        <stp>SYK US Equity</stp>
        <stp>PG_GROSS_PROFIT</stp>
        <stp>[Fundamental &amp; Technical Model (1).xlsm]Segments!R63C4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63" s="17"/>
      </tp>
      <tp t="s">
        <v>#N/A N/A</v>
        <stp/>
        <stp>##V3_BDSV12</stp>
        <stp>SYK US Equity</stp>
        <stp>PG_GROSS_PROFIT</stp>
        <stp>[Fundamental &amp; Technical Model (1).xlsm]Segments!R49C4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49" s="17"/>
      </tp>
      <tp t="s">
        <v>#N/A N/A</v>
        <stp/>
        <stp>##V3_BDSV12</stp>
        <stp>SYK US Equity</stp>
        <stp>PG_GROSS_PROFIT</stp>
        <stp>[Fundamental &amp; Technical Model (1).xlsm]Segments!R64C4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64" s="17"/>
      </tp>
      <tp t="s">
        <v>#N/A N/A</v>
        <stp/>
        <stp>##V3_BDSV12</stp>
        <stp>SYK US Equity</stp>
        <stp>PG_GROSS_PROFIT</stp>
        <stp>[Fundamental &amp; Technical Model (1).xlsm]Segments!R50C4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50" s="17"/>
      </tp>
      <tp t="s">
        <v>#N/A N/A</v>
        <stp/>
        <stp>##V3_BDSV12</stp>
        <stp>SYK US Equity</stp>
        <stp>PG_GROSS_PROFIT</stp>
        <stp>[Fundamental &amp; Technical Model (1).xlsm]Segments!R65C4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65" s="17"/>
      </tp>
      <tp t="s">
        <v>#N/A N/A</v>
        <stp/>
        <stp>##V3_BDSV12</stp>
        <stp>SYK US Equity</stp>
        <stp>PG_GROSS_PROFIT</stp>
        <stp>[Fundamental &amp; Technical Model (1).xlsm]Segments!R51C4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51" s="17"/>
      </tp>
      <tp t="s">
        <v>#N/A N/A</v>
        <stp/>
        <stp>##V3_BDSV12</stp>
        <stp>SYK US Equity</stp>
        <stp>PG_GROSS_PROFIT</stp>
        <stp>[Fundamental &amp; Technical Model (1).xlsm]Segments!R66C4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66" s="17"/>
      </tp>
      <tp t="s">
        <v>#N/A N/A</v>
        <stp/>
        <stp>##V3_BDSV12</stp>
        <stp>SYK US Equity</stp>
        <stp>PG_GROSS_PROFIT</stp>
        <stp>[Fundamental &amp; Technical Model (1).xlsm]Segments!R52C4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52" s="17"/>
      </tp>
      <tp>
        <v>42369</v>
        <stp/>
        <stp>##V3_BQLV12</stp>
        <stp>[Fundamental &amp; Technical Model (1).xlsm]Income Statement!R15C11</stp>
        <stp>SYK US Equity</stp>
        <stp>IS_EPS().PERIOD_END_DATE</stp>
        <stp>FPT</stp>
        <stp>A</stp>
        <stp>FPO</stp>
        <stp>-3A</stp>
        <stp>STD</stp>
        <stp>Mixed</stp>
        <stp>CONSOL</stp>
        <stp>Yes</stp>
        <tr r="K15" s="2"/>
      </tp>
      <tp>
        <v>43100</v>
        <stp/>
        <stp>##V3_BQLV12</stp>
        <stp>[Fundamental &amp; Technical Model (1).xlsm]Income Statement!R15C13</stp>
        <stp>SYK US Equity</stp>
        <stp>IS_EPS().PERIOD_END_DATE</stp>
        <stp>FPT</stp>
        <stp>A</stp>
        <stp>FPO</stp>
        <stp>-1A</stp>
        <stp>STD</stp>
        <stp>Mixed</stp>
        <stp>CONSOL</stp>
        <stp>Yes</stp>
        <tr r="M15" s="2"/>
      </tp>
      <tp>
        <v>42004</v>
        <stp/>
        <stp>##V3_BQLV12</stp>
        <stp>[Fundamental &amp; Technical Model (1).xlsm]Ratios!R14C10</stp>
        <stp>SYK US Equity</stp>
        <stp>IS_EPS().PERIOD_END_DATE</stp>
        <stp>FPT</stp>
        <stp>A</stp>
        <stp>FPO</stp>
        <stp>-4A</stp>
        <stp>STD</stp>
        <stp>Mixed</stp>
        <stp>CONSOL</stp>
        <stp>Yes</stp>
        <tr r="J14" s="8"/>
      </tp>
      <tp>
        <v>43465</v>
        <stp/>
        <stp>##V3_BQLV12</stp>
        <stp>[Fundamental &amp; Technical Model (1).xlsm]Ratios!R14C14</stp>
        <stp>SYK US Equity</stp>
        <stp>IS_EPS().PERIOD_END_DATE</stp>
        <stp>FPT</stp>
        <stp>A</stp>
        <stp>FPO</stp>
        <stp>-0A</stp>
        <stp>STD</stp>
        <stp>Mixed</stp>
        <stp>CONSOL</stp>
        <stp>Yes</stp>
        <tr r="N14" s="8"/>
      </tp>
      <tp>
        <v>228</v>
        <stp/>
        <stp>##V3_BQLV12</stp>
        <stp>[Fundamental &amp; Technical Model (1).xlsm]Income Statement!R31C12</stp>
        <stp>SYK US Equity</stp>
        <stp>IS_INT_EXPENSE/10^6</stp>
        <stp>FPT</stp>
        <stp>A</stp>
        <stp>FPO</stp>
        <stp>-2A</stp>
        <stp>STD</stp>
        <stp>Mixed</stp>
        <stp>CONSOL</stp>
        <stp>Yes</stp>
        <stp>CURRENCY</stp>
        <stp>USD</stp>
        <tr r="L31" s="2"/>
      </tp>
      <tp>
        <v>12.751486254338559</v>
        <stp/>
        <stp>##V3_BQLV12</stp>
        <stp>[Fundamental &amp; Technical Model (1).xlsm]Ratios!R16C6</stp>
        <stp>SYK US Equity</stp>
        <stp>RETURN_ON_ASSET</stp>
        <stp>FPT</stp>
        <stp>A</stp>
        <stp>FPO</stp>
        <stp>-8A</stp>
        <stp>STD</stp>
        <stp>Mixed</stp>
        <stp>CONSOL</stp>
        <stp>Yes</stp>
        <tr r="F16" s="8"/>
      </tp>
      <tp>
        <v>9.34</v>
        <stp/>
        <stp>##V3_BQLV12</stp>
        <stp>[Fundamental &amp; Technical Model (1).xlsm]Key Stats!R30C10</stp>
        <stp>SYK US Equity</stp>
        <stp>IS_DIL_EPS_BEF_XO</stp>
        <stp>FPT</stp>
        <stp>A</stp>
        <stp>FPO</stp>
        <stp>-0A</stp>
        <stp>STD</stp>
        <stp>Mixed</stp>
        <stp>CONSOL</stp>
        <stp>Yes</stp>
        <stp>CURRENCY</stp>
        <stp>USD</stp>
        <tr r="J30" s="23"/>
      </tp>
      <tp>
        <v>2954</v>
        <stp/>
        <stp>##V3_BQLV12</stp>
        <stp>[Fundamental &amp; Technical Model (1).xlsm]Income Statement!R77C14</stp>
        <stp>SYK US Equity</stp>
        <stp>EBITA/10^6</stp>
        <stp>FPT</stp>
        <stp>A</stp>
        <stp>FPO</stp>
        <stp>-0A</stp>
        <stp>STD</stp>
        <stp>Mixed</stp>
        <stp>CONSOL</stp>
        <stp>Yes</stp>
        <stp>CURRENCY</stp>
        <stp>USD</stp>
        <tr r="N77" s="2"/>
      </tp>
      <tp>
        <v>2494</v>
        <stp/>
        <stp>##V3_BQLV12</stp>
        <stp>[Fundamental &amp; Technical Model (1).xlsm]Income Statement!R77C12</stp>
        <stp>SYK US Equity</stp>
        <stp>EBITA/10^6</stp>
        <stp>FPT</stp>
        <stp>A</stp>
        <stp>FPO</stp>
        <stp>-2A</stp>
        <stp>STD</stp>
        <stp>Mixed</stp>
        <stp>CONSOL</stp>
        <stp>Yes</stp>
        <stp>CURRENCY</stp>
        <stp>USD</stp>
        <tr r="L77" s="2"/>
      </tp>
      <tp>
        <v>2668</v>
        <stp/>
        <stp>##V3_BQLV12</stp>
        <stp>[Fundamental &amp; Technical Model (1).xlsm]Income Statement!R77C13</stp>
        <stp>SYK US Equity</stp>
        <stp>EBITA/10^6</stp>
        <stp>FPT</stp>
        <stp>A</stp>
        <stp>FPO</stp>
        <stp>-1A</stp>
        <stp>STD</stp>
        <stp>Mixed</stp>
        <stp>CONSOL</stp>
        <stp>Yes</stp>
        <stp>CURRENCY</stp>
        <stp>USD</stp>
        <tr r="M77" s="2"/>
      </tp>
      <tp>
        <v>17.636868904020243</v>
        <stp/>
        <stp>##V3_BQLV12</stp>
        <stp>[Fundamental &amp; Technical Model (1).xlsm]Key Stats!R54C6</stp>
        <stp>SYK US Equity</stp>
        <stp>EV_TO_EBITDA</stp>
        <stp>FPT=A</stp>
        <stp>FPO=1</stp>
        <stp>STD</stp>
        <stp>Mixed</stp>
        <stp>CONSOL</stp>
        <stp>Yes</stp>
        <stp>CURRENCY</stp>
        <stp>USD</stp>
        <tr r="F54" s="23"/>
      </tp>
      <tp>
        <v>17.636868904020243</v>
        <stp/>
        <stp>##V3_BQLV12</stp>
        <stp>[Fundamental &amp; Technical Model (1).xlsm]Key Stats!R61C5</stp>
        <stp>SYK US Equity</stp>
        <stp>EV_TO_EBITDA</stp>
        <stp>FPT=A</stp>
        <stp>FPO=1</stp>
        <stp>STD</stp>
        <stp>Mixed</stp>
        <stp>CONSOL</stp>
        <stp>Yes</stp>
        <stp>CURRENCY</stp>
        <stp>USD</stp>
        <tr r="E61" s="23"/>
      </tp>
      <tp>
        <v>1434</v>
        <stp/>
        <stp>##V3_BQLV12</stp>
        <stp>[Fundamental &amp; Technical Model (1).xlsm]Income Statement!R77C10</stp>
        <stp>SYK US Equity</stp>
        <stp>EBITA/10^6</stp>
        <stp>FPT</stp>
        <stp>A</stp>
        <stp>FPO</stp>
        <stp>-4A</stp>
        <stp>STD</stp>
        <stp>Mixed</stp>
        <stp>CONSOL</stp>
        <stp>Yes</stp>
        <stp>CURRENCY</stp>
        <stp>USD</stp>
        <tr r="J77" s="2"/>
      </tp>
      <tp>
        <v>2071</v>
        <stp/>
        <stp>##V3_BQLV12</stp>
        <stp>[Fundamental &amp; Technical Model (1).xlsm]Income Statement!R77C11</stp>
        <stp>SYK US Equity</stp>
        <stp>EBITA/10^6</stp>
        <stp>FPT</stp>
        <stp>A</stp>
        <stp>FPO</stp>
        <stp>-3A</stp>
        <stp>STD</stp>
        <stp>Mixed</stp>
        <stp>CONSOL</stp>
        <stp>Yes</stp>
        <stp>CURRENCY</stp>
        <stp>USD</stp>
        <tr r="K77" s="2"/>
      </tp>
      <tp t="s">
        <v>2010 Y</v>
        <stp/>
        <stp>##V3_BDPV12</stp>
        <stp>SYK US Equity</stp>
        <stp>FISCAL_YEAR_PERIOD</stp>
        <stp>[Fundamental &amp; Technical Model (1).xlsm]Segments!R130C6</stp>
        <stp>EQY_FUND_RELATIVE_PERIOD</stp>
        <stp>-8FY</stp>
        <tr r="F130" s="17"/>
      </tp>
      <tp t="s">
        <v>2012 Y</v>
        <stp/>
        <stp>##V3_BDPV12</stp>
        <stp>SYK US Equity</stp>
        <stp>FISCAL_YEAR_PERIOD</stp>
        <stp>[Fundamental &amp; Technical Model (1).xlsm]Segments!R130C8</stp>
        <stp>EQY_FUND_RELATIVE_PERIOD</stp>
        <stp>-6FY</stp>
        <tr r="H130" s="17"/>
      </tp>
      <tp t="s">
        <v>2010 Y</v>
        <stp/>
        <stp>##V3_BDPV12</stp>
        <stp>SYK US Equity</stp>
        <stp>FISCAL_YEAR_PERIOD</stp>
        <stp>[Fundamental &amp; Technical Model (1).xlsm]Segments!R115C6</stp>
        <stp>EQY_FUND_RELATIVE_PERIOD</stp>
        <stp>-8FY</stp>
        <tr r="F115" s="17"/>
      </tp>
      <tp t="s">
        <v>2012 Y</v>
        <stp/>
        <stp>##V3_BDPV12</stp>
        <stp>SYK US Equity</stp>
        <stp>FISCAL_YEAR_PERIOD</stp>
        <stp>[Fundamental &amp; Technical Model (1).xlsm]Segments!R115C8</stp>
        <stp>EQY_FUND_RELATIVE_PERIOD</stp>
        <stp>-6FY</stp>
        <tr r="H115" s="17"/>
      </tp>
      <tp t="s">
        <v>2010 Y</v>
        <stp/>
        <stp>##V3_BDPV12</stp>
        <stp>SYK US Equity</stp>
        <stp>FISCAL_YEAR_PERIOD</stp>
        <stp>[Fundamental &amp; Technical Model (1).xlsm]Segments!R101C6</stp>
        <stp>EQY_FUND_RELATIVE_PERIOD</stp>
        <stp>-8FY</stp>
        <tr r="F101" s="17"/>
      </tp>
      <tp t="s">
        <v>2012 Y</v>
        <stp/>
        <stp>##V3_BDPV12</stp>
        <stp>SYK US Equity</stp>
        <stp>FISCAL_YEAR_PERIOD</stp>
        <stp>[Fundamental &amp; Technical Model (1).xlsm]Segments!R101C8</stp>
        <stp>EQY_FUND_RELATIVE_PERIOD</stp>
        <stp>-6FY</stp>
        <tr r="H101" s="17"/>
      </tp>
      <tp>
        <v>312</v>
        <stp/>
        <stp>##V3_BDPV12</stp>
        <stp>SYK US Equity</stp>
        <stp>ARD_PREPAID_EXP_AND_OTHER</stp>
        <stp>[Fundamental &amp; Technical Model (1).xlsm]Balance Sheet!R24C7</stp>
        <stp>EQY_FUND_RELATIVE_PERIOD</stp>
        <stp>-7FY</stp>
        <stp>EQY_FUND_CRNCY</stp>
        <stp>USD</stp>
        <stp>EQY_CONSOLIDATED</stp>
        <stp>Yes</stp>
        <stp>ACCOUNTING_STANDARD_OVERRIDE</stp>
        <stp>Mixed</stp>
        <stp>Fill=0</stp>
        <tr r="G24" s="3"/>
      </tp>
      <tp>
        <v>204.1</v>
        <stp/>
        <stp>##V3_BDPV12</stp>
        <stp>SYK US Equity</stp>
        <stp>ARD_PREPAID_EXP_AND_OTHER</stp>
        <stp>[Fundamental &amp; Technical Model (1).xlsm]Balance Sheet!R24C5</stp>
        <stp>EQY_FUND_RELATIVE_PERIOD</stp>
        <stp>-9FY</stp>
        <stp>EQY_FUND_CRNCY</stp>
        <stp>USD</stp>
        <stp>EQY_CONSOLIDATED</stp>
        <stp>Yes</stp>
        <stp>ACCOUNTING_STANDARD_OVERRIDE</stp>
        <stp>Mixed</stp>
        <stp>Fill=0</stp>
        <tr r="E24" s="3"/>
      </tp>
      <tp>
        <v>535</v>
        <stp/>
        <stp>##V3_BDPV12</stp>
        <stp>SYK US Equity</stp>
        <stp>ARD_PREPAID_EXP_AND_OTHER</stp>
        <stp>[Fundamental &amp; Technical Model (1).xlsm]Balance Sheet!R24C9</stp>
        <stp>EQY_FUND_RELATIVE_PERIOD</stp>
        <stp>-5FY</stp>
        <stp>EQY_FUND_CRNCY</stp>
        <stp>USD</stp>
        <stp>EQY_CONSOLIDATED</stp>
        <stp>Yes</stp>
        <stp>ACCOUNTING_STANDARD_OVERRIDE</stp>
        <stp>Mixed</stp>
        <stp>Fill=0</stp>
        <tr r="I24" s="3"/>
      </tp>
      <tp>
        <v>290</v>
        <stp/>
        <stp>##V3_BDPV12</stp>
        <stp>SYK US Equity</stp>
        <stp>ARD_PREPAID_EXP_AND_OTHER</stp>
        <stp>[Fundamental &amp; Technical Model (1).xlsm]Balance Sheet!R24C6</stp>
        <stp>EQY_FUND_RELATIVE_PERIOD</stp>
        <stp>-8FY</stp>
        <stp>EQY_FUND_CRNCY</stp>
        <stp>USD</stp>
        <stp>EQY_CONSOLIDATED</stp>
        <stp>Yes</stp>
        <stp>ACCOUNTING_STANDARD_OVERRIDE</stp>
        <stp>Mixed</stp>
        <stp>Fill=0</stp>
        <tr r="F24" s="3"/>
      </tp>
      <tp>
        <v>357</v>
        <stp/>
        <stp>##V3_BDPV12</stp>
        <stp>SYK US Equity</stp>
        <stp>ARD_PREPAID_EXP_AND_OTHER</stp>
        <stp>[Fundamental &amp; Technical Model (1).xlsm]Balance Sheet!R24C8</stp>
        <stp>EQY_FUND_RELATIVE_PERIOD</stp>
        <stp>-6FY</stp>
        <stp>EQY_FUND_CRNCY</stp>
        <stp>USD</stp>
        <stp>EQY_CONSOLIDATED</stp>
        <stp>Yes</stp>
        <stp>ACCOUNTING_STANDARD_OVERRIDE</stp>
        <stp>Mixed</stp>
        <stp>Fill=0</stp>
        <tr r="H24" s="3"/>
      </tp>
      <tp t="s">
        <v>2010 Y</v>
        <stp/>
        <stp>##V3_BDPV12</stp>
        <stp>SYK US Equity</stp>
        <stp>FISCAL_YEAR_PERIOD</stp>
        <stp>[Fundamental &amp; Technical Model (1).xlsm]Segments!R173C6</stp>
        <stp>EQY_FUND_RELATIVE_PERIOD</stp>
        <stp>-8FY</stp>
        <tr r="F173" s="17"/>
      </tp>
      <tp t="s">
        <v>2012 Y</v>
        <stp/>
        <stp>##V3_BDPV12</stp>
        <stp>SYK US Equity</stp>
        <stp>FISCAL_YEAR_PERIOD</stp>
        <stp>[Fundamental &amp; Technical Model (1).xlsm]Segments!R173C8</stp>
        <stp>EQY_FUND_RELATIVE_PERIOD</stp>
        <stp>-6FY</stp>
        <tr r="H173" s="17"/>
      </tp>
      <tp t="s">
        <v>2010 Y</v>
        <stp/>
        <stp>##V3_BDPV12</stp>
        <stp>SYK US Equity</stp>
        <stp>FISCAL_YEAR_PERIOD</stp>
        <stp>[Fundamental &amp; Technical Model (1).xlsm]Segments!R159C6</stp>
        <stp>EQY_FUND_RELATIVE_PERIOD</stp>
        <stp>-8FY</stp>
        <tr r="F159" s="17"/>
      </tp>
      <tp t="s">
        <v>2012 Y</v>
        <stp/>
        <stp>##V3_BDPV12</stp>
        <stp>SYK US Equity</stp>
        <stp>FISCAL_YEAR_PERIOD</stp>
        <stp>[Fundamental &amp; Technical Model (1).xlsm]Segments!R159C8</stp>
        <stp>EQY_FUND_RELATIVE_PERIOD</stp>
        <stp>-6FY</stp>
        <tr r="H159" s="17"/>
      </tp>
      <tp t="s">
        <v>2010 Y</v>
        <stp/>
        <stp>##V3_BDPV12</stp>
        <stp>SYK US Equity</stp>
        <stp>FISCAL_YEAR_PERIOD</stp>
        <stp>[Fundamental &amp; Technical Model (1).xlsm]Segments!R144C6</stp>
        <stp>EQY_FUND_RELATIVE_PERIOD</stp>
        <stp>-8FY</stp>
        <tr r="F144" s="17"/>
      </tp>
      <tp t="s">
        <v>2012 Y</v>
        <stp/>
        <stp>##V3_BDPV12</stp>
        <stp>SYK US Equity</stp>
        <stp>FISCAL_YEAR_PERIOD</stp>
        <stp>[Fundamental &amp; Technical Model (1).xlsm]Segments!R144C8</stp>
        <stp>EQY_FUND_RELATIVE_PERIOD</stp>
        <stp>-6FY</stp>
        <tr r="H144" s="17"/>
      </tp>
      <tp>
        <v>3.0242331288343558</v>
        <stp/>
        <stp>##V3_BDPV12</stp>
        <stp>SYK US Equity</stp>
        <stp>TOT_DEBT_TO_EBITDA</stp>
        <stp>[Fundamental &amp; Technical Model (1).xlsm]Capital Structure Summary!R59C11</stp>
        <stp>EQY_FUND_RELATIVE_PERIOD</stp>
        <stp>-0FY</stp>
        <stp>EQY_FUND_CRNCY</stp>
        <stp>USD</stp>
        <stp>EQY_CONSOLIDATED</stp>
        <stp>Yes</stp>
        <stp>ACCOUNTING_STANDARD_OVERRIDE</stp>
        <stp>Mixed</stp>
        <stp>Fill=--</stp>
        <tr r="K59" s="21"/>
      </tp>
      <tp>
        <v>59.639729520008871</v>
        <stp/>
        <stp>##V3_BQLV12</stp>
        <stp>[Fundamental &amp; Technical Model (1).xlsm]Ratios!R40C9</stp>
        <stp>SYK US Equity</stp>
        <stp>ACCT_RCV_DAYS</stp>
        <stp>FPT</stp>
        <stp>A</stp>
        <stp>FPO</stp>
        <stp>-5A</stp>
        <stp>STD</stp>
        <stp>Mixed</stp>
        <stp>CONSOL</stp>
        <stp>Yes</stp>
        <tr r="I40" s="8"/>
      </tp>
      <tp>
        <v>1444</v>
        <stp/>
        <stp>##V3_BDSV12</stp>
        <stp>SYK US Equity</stp>
        <stp>PG_OPERATING_INCOME</stp>
        <stp>[Fundamental &amp; Technical Model (1).xlsm]Segments!R76C14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76" s="17"/>
        <tr r="N76" s="17"/>
      </tp>
      <tp>
        <v>822</v>
        <stp/>
        <stp>##V3_BDSV12</stp>
        <stp>SYK US Equity</stp>
        <stp>PG_OPERATING_INCOME</stp>
        <stp>[Fundamental &amp; Technical Model (1).xlsm]Segments!R76C11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76" s="17"/>
        <tr r="K76" s="17"/>
      </tp>
      <tp>
        <v>850</v>
        <stp/>
        <stp>##V3_BDSV12</stp>
        <stp>SYK US Equity</stp>
        <stp>PG_OPERATING_INCOME</stp>
        <stp>[Fundamental &amp; Technical Model (1).xlsm]Segments!R76C10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76" s="17"/>
        <tr r="J76" s="17"/>
      </tp>
      <tp>
        <v>1228</v>
        <stp/>
        <stp>##V3_BDSV12</stp>
        <stp>SYK US Equity</stp>
        <stp>PG_OPERATING_INCOME</stp>
        <stp>[Fundamental &amp; Technical Model (1).xlsm]Segments!R76C13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76" s="17"/>
        <tr r="M76" s="17"/>
      </tp>
      <tp>
        <v>1.7683941138835573</v>
        <stp/>
        <stp>##V3_BQLV12</stp>
        <stp>[Fundamental &amp; Technical Model (1).xlsm]Ratios!R55C9</stp>
        <stp>SYK US Equity</stp>
        <stp>TOT_DEBT_TO_EBITDA</stp>
        <stp>FPT</stp>
        <stp>A</stp>
        <stp>FPO</stp>
        <stp>-5A</stp>
        <stp>STD</stp>
        <stp>Mixed</stp>
        <stp>CONSOL</stp>
        <stp>Yes</stp>
        <tr r="I55" s="8"/>
      </tp>
      <tp>
        <v>-1.2502477700693757</v>
        <stp/>
        <stp>##V3_BQLV12</stp>
        <stp>[Fundamental &amp; Technical Model (1).xlsm]Ratios!R56C8</stp>
        <stp>SYK US Equity</stp>
        <stp>NET_DEBT_TO_EBITDA</stp>
        <stp>FPT</stp>
        <stp>A</stp>
        <stp>FPO</stp>
        <stp>-6A</stp>
        <stp>STD</stp>
        <stp>Mixed</stp>
        <stp>CONSOL</stp>
        <stp>Yes</stp>
        <tr r="H56" s="8"/>
      </tp>
      <tp>
        <v>1087</v>
        <stp/>
        <stp>##V3_BDSV12</stp>
        <stp>SYK US Equity</stp>
        <stp>PG_OPERATING_INCOME</stp>
        <stp>[Fundamental &amp; Technical Model (1).xlsm]Segments!R76C12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76" s="17"/>
        <tr r="L76" s="17"/>
      </tp>
      <tp>
        <v>23.690863127482846</v>
        <stp/>
        <stp>##V3_BQLV12</stp>
        <stp>[Fundamental &amp; Technical Model (1).xlsm]Ratios!R23C7</stp>
        <stp>SYK US Equity</stp>
        <stp>EBITDA_MARGIN</stp>
        <stp>FPT</stp>
        <stp>A</stp>
        <stp>FPO</stp>
        <stp>-7A</stp>
        <stp>STD</stp>
        <stp>Mixed</stp>
        <stp>CONSOL</stp>
        <stp>Yes</stp>
        <tr r="G23" s="8"/>
      </tp>
      <tp>
        <v>6.8714329548941393</v>
        <stp/>
        <stp>##V3_BQLV12</stp>
        <stp>[Fundamental &amp; Technical Model (1).xlsm]Ratios!R32C4</stp>
        <stp>SYK US Equity</stp>
        <stp>SALES_REV_TURN(FPO=-10A, FPT=A)/((BS_NET_FIX_ASSET(FPO=-10A)+BS_NET_FIX_ASSET(FPO=-11A))/2)</stp>
        <stp>FPT</stp>
        <stp>A</stp>
        <stp>STD</stp>
        <stp>Mixed</stp>
        <stp>CONSOL</stp>
        <stp>Yes</stp>
        <tr r="D32" s="8"/>
      </tp>
      <tp t="s">
        <v>#N/A N/A</v>
        <stp/>
        <stp>##V3_BDSV12</stp>
        <stp>SYK US Equity</stp>
        <stp>PG_ASSETS</stp>
        <stp>[Fundamental &amp; Technical Model (1).xlsm]Segments!R125C7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125" s="17"/>
      </tp>
      <tp t="s">
        <v>#N/A N/A</v>
        <stp/>
        <stp>##V3_BDSV12</stp>
        <stp>SYK US Equity</stp>
        <stp>PG_ASSETS</stp>
        <stp>[Fundamental &amp; Technical Model (1).xlsm]Segments!R111C7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111" s="17"/>
      </tp>
      <tp t="s">
        <v>#N/A N/A</v>
        <stp/>
        <stp>##V3_BDSV12</stp>
        <stp>SYK US Equity</stp>
        <stp>PG_ASSETS</stp>
        <stp>[Fundamental &amp; Technical Model (1).xlsm]Segments!R126C7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126" s="17"/>
      </tp>
      <tp>
        <v>1415</v>
        <stp/>
        <stp>##V3_BQLV12</stp>
        <stp>[Fundamental &amp; Technical Model (1).xlsm]Balance Sheet!R26C9</stp>
        <stp>SYK US Equity</stp>
        <stp>BS_OTHER_CUR_ASSET/10^6</stp>
        <stp>FPT</stp>
        <stp>A</stp>
        <stp>FPO</stp>
        <stp>-5A</stp>
        <stp>STD</stp>
        <stp>Mixed</stp>
        <stp>CONSOL</stp>
        <stp>Yes</stp>
        <stp>CURRENCY</stp>
        <stp>USD</stp>
        <tr r="I26" s="3"/>
      </tp>
      <tp t="s">
        <v>#N/A N/A</v>
        <stp/>
        <stp>##V3_BDSV12</stp>
        <stp>SYK US Equity</stp>
        <stp>PG_ASSETS</stp>
        <stp>[Fundamental &amp; Technical Model (1).xlsm]Segments!R112C7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112" s="17"/>
      </tp>
      <tp t="s">
        <v>#N/A N/A</v>
        <stp/>
        <stp>##V3_BDSV12</stp>
        <stp>SYK US Equity</stp>
        <stp>PG_ASSETS</stp>
        <stp>[Fundamental &amp; Technical Model (1).xlsm]Segments!R123C7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123" s="17"/>
      </tp>
      <tp t="s">
        <v>#N/A N/A</v>
        <stp/>
        <stp>##V3_BDSV12</stp>
        <stp>SYK US Equity</stp>
        <stp>PG_ASSETS</stp>
        <stp>[Fundamental &amp; Technical Model (1).xlsm]Segments!R109C7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109" s="17"/>
      </tp>
      <tp>
        <v>86</v>
        <stp/>
        <stp>##V3_BDPV12</stp>
        <stp>SYK US Equity</stp>
        <stp>IS_EXPENSE_STOCK_BASED_COMP</stp>
        <stp>[Fundamental &amp; Technical Model (1).xlsm]Supplemental!R33C10</stp>
        <stp>EQY_FUND_RELATIVE_PERIOD</stp>
        <stp>-3FY</stp>
        <stp>EQY_FUND_CRNCY</stp>
        <stp>USD</stp>
        <stp>EQY_CONSOLIDATED</stp>
        <stp>Yes</stp>
        <stp>ACCOUNTING_STANDARD_OVERRIDE</stp>
        <stp>Mixed</stp>
        <stp>Fill=--</stp>
        <tr r="J33" s="19"/>
      </tp>
      <tp>
        <v>97</v>
        <stp/>
        <stp>##V3_BDPV12</stp>
        <stp>SYK US Equity</stp>
        <stp>IS_EXPENSE_STOCK_BASED_COMP</stp>
        <stp>[Fundamental &amp; Technical Model (1).xlsm]Supplemental!R33C11</stp>
        <stp>EQY_FUND_RELATIVE_PERIOD</stp>
        <stp>-2FY</stp>
        <stp>EQY_FUND_CRNCY</stp>
        <stp>USD</stp>
        <stp>EQY_CONSOLIDATED</stp>
        <stp>Yes</stp>
        <stp>ACCOUNTING_STANDARD_OVERRIDE</stp>
        <stp>Mixed</stp>
        <stp>Fill=--</stp>
        <tr r="K33" s="19"/>
      </tp>
      <tp>
        <v>113</v>
        <stp/>
        <stp>##V3_BDPV12</stp>
        <stp>SYK US Equity</stp>
        <stp>IS_EXPENSE_STOCK_BASED_COMP</stp>
        <stp>[Fundamental &amp; Technical Model (1).xlsm]Supplemental!R33C12</stp>
        <stp>EQY_FUND_RELATIVE_PERIOD</stp>
        <stp>-1FY</stp>
        <stp>EQY_FUND_CRNCY</stp>
        <stp>USD</stp>
        <stp>EQY_CONSOLIDATED</stp>
        <stp>Yes</stp>
        <stp>ACCOUNTING_STANDARD_OVERRIDE</stp>
        <stp>Mixed</stp>
        <stp>Fill=--</stp>
        <tr r="L33" s="19"/>
      </tp>
      <tp>
        <v>119</v>
        <stp/>
        <stp>##V3_BDPV12</stp>
        <stp>SYK US Equity</stp>
        <stp>IS_EXPENSE_STOCK_BASED_COMP</stp>
        <stp>[Fundamental &amp; Technical Model (1).xlsm]Supplemental!R33C13</stp>
        <stp>EQY_FUND_RELATIVE_PERIOD</stp>
        <stp>-0FY</stp>
        <stp>EQY_FUND_CRNCY</stp>
        <stp>USD</stp>
        <stp>EQY_CONSOLIDATED</stp>
        <stp>Yes</stp>
        <stp>ACCOUNTING_STANDARD_OVERRIDE</stp>
        <stp>Mixed</stp>
        <stp>Fill=--</stp>
        <tr r="M33" s="19"/>
      </tp>
      <tp t="s">
        <v>#N/A N/A</v>
        <stp/>
        <stp>##V3_BDSV12</stp>
        <stp>SYK US Equity</stp>
        <stp>PG_ASSETS</stp>
        <stp>[Fundamental &amp; Technical Model (1).xlsm]Segments!R124C7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124" s="17"/>
      </tp>
      <tp t="s">
        <v>#N/A N/A</v>
        <stp/>
        <stp>##V3_BDSV12</stp>
        <stp>SYK US Equity</stp>
        <stp>PG_ASSETS</stp>
        <stp>[Fundamental &amp; Technical Model (1).xlsm]Segments!R110C7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110" s="17"/>
      </tp>
      <tp t="s">
        <v>#N/A N/A</v>
        <stp/>
        <stp>##V3_BDSV12</stp>
        <stp>SYK US Equity</stp>
        <stp>PG_ASSETS</stp>
        <stp>[Fundamental &amp; Technical Model (1).xlsm]Segments!R121C7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121" s="17"/>
      </tp>
      <tp>
        <v>3785</v>
        <stp/>
        <stp>##V3_BDSV12</stp>
        <stp>SYK US Equity</stp>
        <stp>PG_ASSETS</stp>
        <stp>[Fundamental &amp; Technical Model (1).xlsm]Segments!R107C7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107" s="17"/>
        <tr r="G107" s="17"/>
      </tp>
      <tp t="s">
        <v>#N/A N/A</v>
        <stp/>
        <stp>##V3_BDSV12</stp>
        <stp>SYK US Equity</stp>
        <stp>PG_ASSETS</stp>
        <stp>[Fundamental &amp; Technical Model (1).xlsm]Segments!R122C7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122" s="17"/>
      </tp>
      <tp t="s">
        <v>#N/A N/A</v>
        <stp/>
        <stp>##V3_BDSV12</stp>
        <stp>SYK US Equity</stp>
        <stp>PG_ASSETS</stp>
        <stp>[Fundamental &amp; Technical Model (1).xlsm]Segments!R108C7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108" s="17"/>
      </tp>
      <tp t="s">
        <v>#N/A N/A</v>
        <stp/>
        <stp>##V3_BDSV12</stp>
        <stp>SYK US Equity</stp>
        <stp>PG_ASSETS</stp>
        <stp>[Fundamental &amp; Technical Model (1).xlsm]Segments!R119C7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119" s="17"/>
      </tp>
      <tp>
        <v>3758</v>
        <stp/>
        <stp>##V3_BDSV12</stp>
        <stp>SYK US Equity</stp>
        <stp>PG_ASSETS</stp>
        <stp>[Fundamental &amp; Technical Model (1).xlsm]Segments!R105C7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105" s="17"/>
        <tr r="G105" s="17"/>
      </tp>
      <tp>
        <v>2513</v>
        <stp/>
        <stp>##V3_BQLV12</stp>
        <stp>[Fundamental &amp; Technical Model (1).xlsm]Balance Sheet!R18C7</stp>
        <stp>SYK US Equity</stp>
        <stp>BS_MKT_SEC_OTHER_ST_INVEST/10^6</stp>
        <stp>FPT</stp>
        <stp>A</stp>
        <stp>FPO</stp>
        <stp>-7A</stp>
        <stp>STD</stp>
        <stp>Mixed</stp>
        <stp>CONSOL</stp>
        <stp>Yes</stp>
        <stp>CURRENCY</stp>
        <stp>USD</stp>
        <tr r="G18" s="3"/>
      </tp>
      <tp t="s">
        <v>#N/A N/A</v>
        <stp/>
        <stp>##V3_BDSV12</stp>
        <stp>SYK US Equity</stp>
        <stp>PG_ASSETS</stp>
        <stp>[Fundamental &amp; Technical Model (1).xlsm]Segments!R120C7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120" s="17"/>
      </tp>
      <tp>
        <v>2245</v>
        <stp/>
        <stp>##V3_BDSV12</stp>
        <stp>SYK US Equity</stp>
        <stp>PG_ASSETS</stp>
        <stp>[Fundamental &amp; Technical Model (1).xlsm]Segments!R106C7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106" s="17"/>
        <tr r="G106" s="17"/>
      </tp>
      <tp t="s">
        <v>#N/A N/A</v>
        <stp/>
        <stp>##V3_BDSV12</stp>
        <stp>SYK US Equity</stp>
        <stp>PG_ASSETS</stp>
        <stp>[Fundamental &amp; Technical Model (1).xlsm]Segments!R118C7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118" s="17"/>
      </tp>
      <tp>
        <v>2358</v>
        <stp/>
        <stp>##V3_BDSV12</stp>
        <stp>SYK US Equity</stp>
        <stp>PG_ASSETS</stp>
        <stp>[Fundamental &amp; Technical Model (1).xlsm]Segments!R104C7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104" s="17"/>
        <tr r="G104" s="17"/>
      </tp>
      <tp t="s">
        <v>#N/A N/A</v>
        <stp/>
        <stp>##V3_BDSV12</stp>
        <stp>SYK US Equity</stp>
        <stp>PG_GROSS_PROFIT</stp>
        <stp>[Fundamental &amp; Technical Model (1).xlsm]Segments!R68C7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68" s="17"/>
      </tp>
      <tp t="s">
        <v>#N/A N/A</v>
        <stp/>
        <stp>##V3_BDSV12</stp>
        <stp>SYK US Equity</stp>
        <stp>PG_GROSS_PROFIT</stp>
        <stp>[Fundamental &amp; Technical Model (1).xlsm]Segments!R54C7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54" s="17"/>
      </tp>
      <tp t="s">
        <v>#N/A N/A</v>
        <stp/>
        <stp>##V3_BDSV12</stp>
        <stp>SYK US Equity</stp>
        <stp>PG_GROSS_PROFIT</stp>
        <stp>[Fundamental &amp; Technical Model (1).xlsm]Segments!R67C7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67" s="17"/>
      </tp>
      <tp t="s">
        <v>#N/A N/A</v>
        <stp/>
        <stp>##V3_BDSV12</stp>
        <stp>SYK US Equity</stp>
        <stp>PG_GROSS_PROFIT</stp>
        <stp>[Fundamental &amp; Technical Model (1).xlsm]Segments!R53C7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53" s="17"/>
      </tp>
      <tp>
        <v>0</v>
        <stp/>
        <stp>##V3_BQLV12</stp>
        <stp>[Fundamental &amp; Technical Model (1).xlsm]Balance Sheet!R49C13</stp>
        <stp>SYK US Equity</stp>
        <stp>BS_PFD_EQY/10^6</stp>
        <stp>FPT</stp>
        <stp>A</stp>
        <stp>FPO</stp>
        <stp>-1A</stp>
        <stp>STD</stp>
        <stp>Mixed</stp>
        <stp>CONSOL</stp>
        <stp>Yes</stp>
        <stp>CURRENCY</stp>
        <stp>USD</stp>
        <tr r="M49" s="3"/>
      </tp>
      <tp>
        <v>1290</v>
        <stp/>
        <stp>##V3_BQLV12</stp>
        <stp>[Fundamental &amp; Technical Model (1).xlsm]Balance Sheet!R54C10</stp>
        <stp>SYK US Equity</stp>
        <stp>BS_SH_CAP_AND_APIC/10^6</stp>
        <stp>FPT</stp>
        <stp>A</stp>
        <stp>FPO</stp>
        <stp>-4A</stp>
        <stp>STD</stp>
        <stp>Mixed</stp>
        <stp>CONSOL</stp>
        <stp>Yes</stp>
        <stp>CURRENCY</stp>
        <stp>USD</stp>
        <tr r="J54" s="3"/>
      </tp>
      <tp>
        <v>537</v>
        <stp/>
        <stp>##V3_BQLV12</stp>
        <stp>[Fundamental &amp; Technical Model (1).xlsm]Balance Sheet!R26C13</stp>
        <stp>SYK US Equity</stp>
        <stp>BS_OTHER_CUR_ASSET/10^6</stp>
        <stp>FPT</stp>
        <stp>A</stp>
        <stp>FPO</stp>
        <stp>-1A</stp>
        <stp>STD</stp>
        <stp>Mixed</stp>
        <stp>CONSOL</stp>
        <stp>Yes</stp>
        <stp>CURRENCY</stp>
        <stp>USD</stp>
        <tr r="M26" s="3"/>
      </tp>
      <tp t="s">
        <v>#N/A N/A</v>
        <stp/>
        <stp>##V3_BDSV12</stp>
        <stp>SYK US Equity</stp>
        <stp>PG_GROSS_PROFIT</stp>
        <stp>[Fundamental &amp; Technical Model (1).xlsm]Segments!R62C7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62" s="17"/>
      </tp>
      <tp t="s">
        <v>#N/A N/A</v>
        <stp/>
        <stp>##V3_BDSV12</stp>
        <stp>SYK US Equity</stp>
        <stp>PG_GROSS_PROFIT</stp>
        <stp>[Fundamental &amp; Technical Model (1).xlsm]Segments!R48C7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48" s="17"/>
      </tp>
      <tp t="s">
        <v>#N/A N/A</v>
        <stp/>
        <stp>##V3_BDSV12</stp>
        <stp>SYK US Equity</stp>
        <stp>PG_GROSS_PROFIT</stp>
        <stp>[Fundamental &amp; Technical Model (1).xlsm]Segments!R61C7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61" s="17"/>
      </tp>
      <tp t="s">
        <v>#N/A N/A</v>
        <stp/>
        <stp>##V3_BDSV12</stp>
        <stp>SYK US Equity</stp>
        <stp>PG_GROSS_PROFIT</stp>
        <stp>[Fundamental &amp; Technical Model (1).xlsm]Segments!R47C7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47" s="17"/>
      </tp>
      <tp t="s">
        <v>#N/A N/A</v>
        <stp/>
        <stp>##V3_BDSV12</stp>
        <stp>SYK US Equity</stp>
        <stp>PG_GROSS_PROFIT</stp>
        <stp>[Fundamental &amp; Technical Model (1).xlsm]Segments!R60C7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60" s="17"/>
      </tp>
      <tp t="s">
        <v>#N/A N/A</v>
        <stp/>
        <stp>##V3_BDSV12</stp>
        <stp>SYK US Equity</stp>
        <stp>PG_GROSS_PROFIT</stp>
        <stp>[Fundamental &amp; Technical Model (1).xlsm]Segments!R46C7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46" s="17"/>
      </tp>
      <tp t="s">
        <v>#N/A N/A</v>
        <stp/>
        <stp>##V3_BDSV12</stp>
        <stp>SYK US Equity</stp>
        <stp>PG_GROSS_PROFIT</stp>
        <stp>[Fundamental &amp; Technical Model (1).xlsm]Segments!R66C7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66" s="17"/>
      </tp>
      <tp t="s">
        <v>#N/A N/A</v>
        <stp/>
        <stp>##V3_BDSV12</stp>
        <stp>SYK US Equity</stp>
        <stp>PG_GROSS_PROFIT</stp>
        <stp>[Fundamental &amp; Technical Model (1).xlsm]Segments!R52C7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52" s="17"/>
      </tp>
      <tp t="s">
        <v>#N/A N/A</v>
        <stp/>
        <stp>##V3_BDSV12</stp>
        <stp>SYK US Equity</stp>
        <stp>PG_GROSS_PROFIT</stp>
        <stp>[Fundamental &amp; Technical Model (1).xlsm]Segments!R65C7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65" s="17"/>
      </tp>
      <tp t="s">
        <v>#N/A N/A</v>
        <stp/>
        <stp>##V3_BDSV12</stp>
        <stp>SYK US Equity</stp>
        <stp>PG_GROSS_PROFIT</stp>
        <stp>[Fundamental &amp; Technical Model (1).xlsm]Segments!R51C7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51" s="17"/>
      </tp>
      <tp t="s">
        <v>#N/A N/A</v>
        <stp/>
        <stp>##V3_BDSV12</stp>
        <stp>SYK US Equity</stp>
        <stp>PG_GROSS_PROFIT</stp>
        <stp>[Fundamental &amp; Technical Model (1).xlsm]Segments!R64C7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64" s="17"/>
      </tp>
      <tp t="s">
        <v>#N/A N/A</v>
        <stp/>
        <stp>##V3_BDSV12</stp>
        <stp>SYK US Equity</stp>
        <stp>PG_GROSS_PROFIT</stp>
        <stp>[Fundamental &amp; Technical Model (1).xlsm]Segments!R50C7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50" s="17"/>
      </tp>
      <tp t="s">
        <v>#N/A N/A</v>
        <stp/>
        <stp>##V3_BDSV12</stp>
        <stp>SYK US Equity</stp>
        <stp>PG_GROSS_PROFIT</stp>
        <stp>[Fundamental &amp; Technical Model (1).xlsm]Segments!R63C7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63" s="17"/>
      </tp>
      <tp t="s">
        <v>#N/A N/A</v>
        <stp/>
        <stp>##V3_BDSV12</stp>
        <stp>SYK US Equity</stp>
        <stp>PG_GROSS_PROFIT</stp>
        <stp>[Fundamental &amp; Technical Model (1).xlsm]Segments!R49C7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49" s="17"/>
      </tp>
      <tp>
        <v>0</v>
        <stp/>
        <stp>##V3_BQLV12</stp>
        <stp>[Fundamental &amp; Technical Model (1).xlsm]Income Statement!R54C9</stp>
        <stp>SYK US Equity</stp>
        <stp>OTHER_ADJUSTMENTS/10^6</stp>
        <stp>FPT</stp>
        <stp>A</stp>
        <stp>FPO</stp>
        <stp>-5A</stp>
        <stp>STD</stp>
        <stp>Mixed</stp>
        <stp>CONSOL</stp>
        <stp>Yes</stp>
        <stp>CURRENCY</stp>
        <stp>USD</stp>
        <tr r="I54" s="2"/>
      </tp>
      <tp>
        <v>0</v>
        <stp/>
        <stp>##V3_BQLV12</stp>
        <stp>[Fundamental &amp; Technical Model (1).xlsm]Income Statement!R54C8</stp>
        <stp>SYK US Equity</stp>
        <stp>OTHER_ADJUSTMENTS/10^6</stp>
        <stp>FPT</stp>
        <stp>A</stp>
        <stp>FPO</stp>
        <stp>-6A</stp>
        <stp>STD</stp>
        <stp>Mixed</stp>
        <stp>CONSOL</stp>
        <stp>Yes</stp>
        <stp>CURRENCY</stp>
        <stp>USD</stp>
        <tr r="H54" s="2"/>
      </tp>
      <tp t="s">
        <v>--</v>
        <stp/>
        <stp>##V3_BDPV12</stp>
        <stp>SYK US Equity</stp>
        <stp>BS_WEIGHTED_AVG_FV_PER_OPTION</stp>
        <stp>[Fundamental &amp; Technical Model (1).xlsm]Supplemental!R20C4</stp>
        <stp>EQY_FUND_RELATIVE_PERIOD</stp>
        <stp>-9FY</stp>
        <stp>EQY_FUND_CRNCY</stp>
        <stp>USD</stp>
        <stp>EQY_CONSOLIDATED</stp>
        <stp>Yes</stp>
        <stp>ACCOUNTING_STANDARD_OVERRIDE</stp>
        <stp>Mixed</stp>
        <stp>Fill=--</stp>
        <tr r="D20" s="19"/>
      </tp>
      <tp>
        <v>15.87</v>
        <stp/>
        <stp>##V3_BDPV12</stp>
        <stp>SYK US Equity</stp>
        <stp>BS_WEIGHTED_AVG_FV_PER_OPTION</stp>
        <stp>[Fundamental &amp; Technical Model (1).xlsm]Supplemental!R20C5</stp>
        <stp>EQY_FUND_RELATIVE_PERIOD</stp>
        <stp>-8FY</stp>
        <stp>EQY_FUND_CRNCY</stp>
        <stp>USD</stp>
        <stp>EQY_CONSOLIDATED</stp>
        <stp>Yes</stp>
        <stp>ACCOUNTING_STANDARD_OVERRIDE</stp>
        <stp>Mixed</stp>
        <stp>Fill=--</stp>
        <tr r="E20" s="19"/>
      </tp>
      <tp>
        <v>15.24</v>
        <stp/>
        <stp>##V3_BDPV12</stp>
        <stp>SYK US Equity</stp>
        <stp>BS_WEIGHTED_AVG_FV_PER_OPTION</stp>
        <stp>[Fundamental &amp; Technical Model (1).xlsm]Supplemental!R20C8</stp>
        <stp>EQY_FUND_RELATIVE_PERIOD</stp>
        <stp>-5FY</stp>
        <stp>EQY_FUND_CRNCY</stp>
        <stp>USD</stp>
        <stp>EQY_CONSOLIDATED</stp>
        <stp>Yes</stp>
        <stp>ACCOUNTING_STANDARD_OVERRIDE</stp>
        <stp>Mixed</stp>
        <stp>Fill=--</stp>
        <tr r="H20" s="19"/>
      </tp>
      <tp>
        <v>15.8</v>
        <stp/>
        <stp>##V3_BDPV12</stp>
        <stp>SYK US Equity</stp>
        <stp>BS_WEIGHTED_AVG_FV_PER_OPTION</stp>
        <stp>[Fundamental &amp; Technical Model (1).xlsm]Supplemental!R20C9</stp>
        <stp>EQY_FUND_RELATIVE_PERIOD</stp>
        <stp>-4FY</stp>
        <stp>EQY_FUND_CRNCY</stp>
        <stp>USD</stp>
        <stp>EQY_CONSOLIDATED</stp>
        <stp>Yes</stp>
        <stp>ACCOUNTING_STANDARD_OVERRIDE</stp>
        <stp>Mixed</stp>
        <stp>Fill=--</stp>
        <tr r="I20" s="19"/>
      </tp>
      <tp>
        <v>108</v>
        <stp/>
        <stp>##V3_BQLV12</stp>
        <stp>[Fundamental &amp; Technical Model (1).xlsm]Income Statement!R31C11</stp>
        <stp>SYK US Equity</stp>
        <stp>IS_INT_EXPENSE/10^6</stp>
        <stp>FPT</stp>
        <stp>A</stp>
        <stp>FPO</stp>
        <stp>-3A</stp>
        <stp>STD</stp>
        <stp>Mixed</stp>
        <stp>CONSOL</stp>
        <stp>Yes</stp>
        <stp>CURRENCY</stp>
        <stp>USD</stp>
        <tr r="K31" s="2"/>
      </tp>
      <tp>
        <v>17.14</v>
        <stp/>
        <stp>##V3_BDPV12</stp>
        <stp>SYK US Equity</stp>
        <stp>BS_WEIGHTED_AVG_FV_PER_OPTION</stp>
        <stp>[Fundamental &amp; Technical Model (1).xlsm]Supplemental!R20C6</stp>
        <stp>EQY_FUND_RELATIVE_PERIOD</stp>
        <stp>-7FY</stp>
        <stp>EQY_FUND_CRNCY</stp>
        <stp>USD</stp>
        <stp>EQY_CONSOLIDATED</stp>
        <stp>Yes</stp>
        <stp>ACCOUNTING_STANDARD_OVERRIDE</stp>
        <stp>Mixed</stp>
        <stp>Fill=--</stp>
        <tr r="F20" s="19"/>
      </tp>
      <tp>
        <v>13.36</v>
        <stp/>
        <stp>##V3_BDPV12</stp>
        <stp>SYK US Equity</stp>
        <stp>BS_WEIGHTED_AVG_FV_PER_OPTION</stp>
        <stp>[Fundamental &amp; Technical Model (1).xlsm]Supplemental!R20C7</stp>
        <stp>EQY_FUND_RELATIVE_PERIOD</stp>
        <stp>-6FY</stp>
        <stp>EQY_FUND_CRNCY</stp>
        <stp>USD</stp>
        <stp>EQY_CONSOLIDATED</stp>
        <stp>Yes</stp>
        <stp>ACCOUNTING_STANDARD_OVERRIDE</stp>
        <stp>Mixed</stp>
        <stp>Fill=--</stp>
        <tr r="G20" s="19"/>
      </tp>
      <tp>
        <v>27.363624857612962</v>
        <stp/>
        <stp>##V3_BQLV12</stp>
        <stp>[Fundamental &amp; Technical Model (1).xlsm]Income Statement!R80C4</stp>
        <stp>SYK US Equity</stp>
        <stp>EFF_TAX_RATE</stp>
        <stp>FPT</stp>
        <stp>A</stp>
        <stp>FPO</stp>
        <stp>-10A</stp>
        <stp>STD</stp>
        <stp>Mixed</stp>
        <stp>CONSOL</stp>
        <stp>Yes</stp>
        <stp>CURRENCY</stp>
        <stp>USD</stp>
        <tr r="D80" s="2"/>
      </tp>
      <tp>
        <v>0</v>
        <stp/>
        <stp>##V3_BQLV12</stp>
        <stp>[Fundamental &amp; Technical Model (1).xlsm]Income Statement!R54C7</stp>
        <stp>SYK US Equity</stp>
        <stp>OTHER_ADJUSTMENTS/10^6</stp>
        <stp>FPT</stp>
        <stp>A</stp>
        <stp>FPO</stp>
        <stp>-7A</stp>
        <stp>STD</stp>
        <stp>Mixed</stp>
        <stp>CONSOL</stp>
        <stp>Yes</stp>
        <stp>CURRENCY</stp>
        <stp>USD</stp>
        <tr r="G54" s="2"/>
      </tp>
      <tp>
        <v>0</v>
        <stp/>
        <stp>##V3_BQLV12</stp>
        <stp>[Fundamental &amp; Technical Model (1).xlsm]Income Statement!R54C6</stp>
        <stp>SYK US Equity</stp>
        <stp>OTHER_ADJUSTMENTS/10^6</stp>
        <stp>FPT</stp>
        <stp>A</stp>
        <stp>FPO</stp>
        <stp>-8A</stp>
        <stp>STD</stp>
        <stp>Mixed</stp>
        <stp>CONSOL</stp>
        <stp>Yes</stp>
        <stp>CURRENCY</stp>
        <stp>USD</stp>
        <tr r="F54" s="2"/>
      </tp>
      <tp>
        <v>0</v>
        <stp/>
        <stp>##V3_BQLV12</stp>
        <stp>[Fundamental &amp; Technical Model (1).xlsm]Income Statement!R54C5</stp>
        <stp>SYK US Equity</stp>
        <stp>OTHER_ADJUSTMENTS/10^6</stp>
        <stp>FPT</stp>
        <stp>A</stp>
        <stp>FPO</stp>
        <stp>-9A</stp>
        <stp>STD</stp>
        <stp>Mixed</stp>
        <stp>CONSOL</stp>
        <stp>Yes</stp>
        <stp>CURRENCY</stp>
        <stp>USD</stp>
        <tr r="E54" s="2"/>
      </tp>
      <tp>
        <v>55.603448275862071</v>
        <stp/>
        <stp>##V3_BQLV12</stp>
        <stp>[Fundamental &amp; Technical Model (1).xlsm]Income Statement!R80C10</stp>
        <stp>SYK US Equity</stp>
        <stp>EFF_TAX_RATE</stp>
        <stp>FPT</stp>
        <stp>A</stp>
        <stp>FPO</stp>
        <stp>-4A</stp>
        <stp>STD</stp>
        <stp>Mixed</stp>
        <stp>CONSOL</stp>
        <stp>Yes</stp>
        <stp>CURRENCY</stp>
        <stp>USD</stp>
        <tr r="J80" s="2"/>
      </tp>
      <tp t="s">
        <v>#N/A</v>
        <stp/>
        <stp>##V3_BQLV12</stp>
        <stp>[Fundamental &amp; Technical Model (1).xlsm]Income Statement!R80C14</stp>
        <stp>SYK US Equity</stp>
        <stp>EFF_TAX_RATE</stp>
        <stp>FPT</stp>
        <stp>A</stp>
        <stp>FPO</stp>
        <stp>-0A</stp>
        <stp>STD</stp>
        <stp>Mixed</stp>
        <stp>CONSOL</stp>
        <stp>Yes</stp>
        <stp>CURRENCY</stp>
        <stp>USD</stp>
        <tr r="N80" s="2"/>
      </tp>
      <tp>
        <v>17.060518731988473</v>
        <stp/>
        <stp>##V3_BQLV12</stp>
        <stp>[Fundamental &amp; Technical Model (1).xlsm]Income Statement!R80C11</stp>
        <stp>SYK US Equity</stp>
        <stp>EFF_TAX_RATE</stp>
        <stp>FPT</stp>
        <stp>A</stp>
        <stp>FPO</stp>
        <stp>-3A</stp>
        <stp>STD</stp>
        <stp>Mixed</stp>
        <stp>CONSOL</stp>
        <stp>Yes</stp>
        <stp>CURRENCY</stp>
        <stp>USD</stp>
        <tr r="K80" s="2"/>
      </tp>
      <tp>
        <v>50.557440620455644</v>
        <stp/>
        <stp>##V3_BQLV12</stp>
        <stp>[Fundamental &amp; Technical Model (1).xlsm]Income Statement!R80C13</stp>
        <stp>SYK US Equity</stp>
        <stp>EFF_TAX_RATE</stp>
        <stp>FPT</stp>
        <stp>A</stp>
        <stp>FPO</stp>
        <stp>-1A</stp>
        <stp>STD</stp>
        <stp>Mixed</stp>
        <stp>CONSOL</stp>
        <stp>Yes</stp>
        <stp>CURRENCY</stp>
        <stp>USD</stp>
        <tr r="M80" s="2"/>
      </tp>
      <tp>
        <v>14.263404476834982</v>
        <stp/>
        <stp>##V3_BQLV12</stp>
        <stp>[Fundamental &amp; Technical Model (1).xlsm]Income Statement!R80C12</stp>
        <stp>SYK US Equity</stp>
        <stp>EFF_TAX_RATE</stp>
        <stp>FPT</stp>
        <stp>A</stp>
        <stp>FPO</stp>
        <stp>-2A</stp>
        <stp>STD</stp>
        <stp>Mixed</stp>
        <stp>CONSOL</stp>
        <stp>Yes</stp>
        <stp>CURRENCY</stp>
        <stp>USD</stp>
        <tr r="L80" s="2"/>
      </tp>
      <tp>
        <v>15.729108186444359</v>
        <stp/>
        <stp>##V3_BQLV12</stp>
        <stp>[Fundamental &amp; Technical Model (1).xlsm]Key Stats!R61C7</stp>
        <stp>SYK US Equity</stp>
        <stp>EV_TO_EBITDA</stp>
        <stp>FPT=A</stp>
        <stp>FPO=2</stp>
        <stp>STD</stp>
        <stp>Mixed</stp>
        <stp>CONSOL</stp>
        <stp>Yes</stp>
        <stp>CURRENCY</stp>
        <stp>USD</stp>
        <tr r="G61" s="23"/>
      </tp>
      <tp>
        <v>15.729108186444359</v>
        <stp/>
        <stp>##V3_BQLV12</stp>
        <stp>[Fundamental &amp; Technical Model (1).xlsm]Key Stats!R54C7</stp>
        <stp>SYK US Equity</stp>
        <stp>EV_TO_EBITDA</stp>
        <stp>FPT=A</stp>
        <stp>FPO=2</stp>
        <stp>STD</stp>
        <stp>Mixed</stp>
        <stp>CONSOL</stp>
        <stp>Yes</stp>
        <stp>CURRENCY</stp>
        <stp>USD</stp>
        <tr r="G54" s="23"/>
      </tp>
      <tp t="s">
        <v>2014 Y</v>
        <stp/>
        <stp>##V3_BDPV12</stp>
        <stp>SYK US Equity</stp>
        <stp>FISCAL_YEAR_PERIOD</stp>
        <stp>[Fundamental &amp; Technical Model (1).xlsm]Segments!R86C10</stp>
        <stp>EQY_FUND_RELATIVE_PERIOD</stp>
        <stp>-4FY</stp>
        <tr r="J86" s="17"/>
      </tp>
      <tp t="s">
        <v>2018 Y</v>
        <stp/>
        <stp>##V3_BDPV12</stp>
        <stp>SYK US Equity</stp>
        <stp>FISCAL_YEAR_PERIOD</stp>
        <stp>[Fundamental &amp; Technical Model (1).xlsm]Segments!R86C14</stp>
        <stp>EQY_FUND_RELATIVE_PERIOD</stp>
        <stp>-0FY</stp>
        <tr r="N86" s="17"/>
      </tp>
      <tp>
        <v>60.182626776019404</v>
        <stp/>
        <stp>##V3_BQLV12</stp>
        <stp>[Fundamental &amp; Technical Model (1).xlsm]Ratios!R40C8</stp>
        <stp>SYK US Equity</stp>
        <stp>ACCT_RCV_DAYS</stp>
        <stp>FPT</stp>
        <stp>A</stp>
        <stp>FPO</stp>
        <stp>-6A</stp>
        <stp>STD</stp>
        <stp>Mixed</stp>
        <stp>CONSOL</stp>
        <stp>Yes</stp>
        <tr r="H40" s="8"/>
      </tp>
      <tp>
        <v>37.113277958348377</v>
        <stp/>
        <stp>##V3_BQLV12</stp>
        <stp>[Fundamental &amp; Technical Model (1).xlsm]Ratios!R22C7</stp>
        <stp>SYK US Equity</stp>
        <stp>ADJ_SG_AND_A_TO_SALES</stp>
        <stp>FPT</stp>
        <stp>A</stp>
        <stp>FPO</stp>
        <stp>-7A</stp>
        <stp>STD</stp>
        <stp>Mixed</stp>
        <stp>CONSOL</stp>
        <stp>Yes</stp>
        <tr r="G22" s="8"/>
      </tp>
      <tp>
        <v>1804</v>
        <stp/>
        <stp>##V3_BDSV12</stp>
        <stp>SYK US Equity</stp>
        <stp>PG_OPERATING_INCOME</stp>
        <stp>[Fundamental &amp; Technical Model (1).xlsm]Segments!R75C14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75" s="17"/>
        <tr r="N75" s="17"/>
      </tp>
      <tp>
        <v>2.7289719626168223</v>
        <stp/>
        <stp>##V3_BQLV12</stp>
        <stp>[Fundamental &amp; Technical Model (1).xlsm]Ratios!R39C6</stp>
        <stp>SYK US Equity</stp>
        <stp>CASH_RATIO</stp>
        <stp>FPT</stp>
        <stp>A</stp>
        <stp>FPO</stp>
        <stp>-8A</stp>
        <stp>STD</stp>
        <stp>Mixed</stp>
        <stp>CONSOL</stp>
        <stp>Yes</stp>
        <tr r="F39" s="8"/>
      </tp>
      <tp>
        <v>1602</v>
        <stp/>
        <stp>##V3_BDSV12</stp>
        <stp>SYK US Equity</stp>
        <stp>PG_OPERATING_INCOME</stp>
        <stp>[Fundamental &amp; Technical Model (1).xlsm]Segments!R75C12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75" s="17"/>
        <tr r="L75" s="17"/>
      </tp>
      <tp>
        <v>1681</v>
        <stp/>
        <stp>##V3_BDSV12</stp>
        <stp>SYK US Equity</stp>
        <stp>PG_OPERATING_INCOME</stp>
        <stp>[Fundamental &amp; Technical Model (1).xlsm]Segments!R75C13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75" s="17"/>
        <tr r="M75" s="17"/>
      </tp>
      <tp>
        <v>1410</v>
        <stp/>
        <stp>##V3_BDSV12</stp>
        <stp>SYK US Equity</stp>
        <stp>PG_OPERATING_INCOME</stp>
        <stp>[Fundamental &amp; Technical Model (1).xlsm]Segments!R75C10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75" s="17"/>
        <tr r="J75" s="17"/>
      </tp>
      <tp>
        <v>0.87314172447968286</v>
        <stp/>
        <stp>##V3_BQLV12</stp>
        <stp>[Fundamental &amp; Technical Model (1).xlsm]Ratios!R55C8</stp>
        <stp>SYK US Equity</stp>
        <stp>TOT_DEBT_TO_EBITDA</stp>
        <stp>FPT</stp>
        <stp>A</stp>
        <stp>FPO</stp>
        <stp>-6A</stp>
        <stp>STD</stp>
        <stp>Mixed</stp>
        <stp>CONSOL</stp>
        <stp>Yes</stp>
        <tr r="H55" s="8"/>
      </tp>
      <tp>
        <v>-0.77799104286628284</v>
        <stp/>
        <stp>##V3_BQLV12</stp>
        <stp>[Fundamental &amp; Technical Model (1).xlsm]Ratios!R56C9</stp>
        <stp>SYK US Equity</stp>
        <stp>NET_DEBT_TO_EBITDA</stp>
        <stp>FPT</stp>
        <stp>A</stp>
        <stp>FPO</stp>
        <stp>-5A</stp>
        <stp>STD</stp>
        <stp>Mixed</stp>
        <stp>CONSOL</stp>
        <stp>Yes</stp>
        <tr r="I56" s="8"/>
      </tp>
      <tp>
        <v>1487</v>
        <stp/>
        <stp>##V3_BDSV12</stp>
        <stp>SYK US Equity</stp>
        <stp>PG_OPERATING_INCOME</stp>
        <stp>[Fundamental &amp; Technical Model (1).xlsm]Segments!R75C11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75" s="17"/>
        <tr r="K75" s="17"/>
      </tp>
      <tp t="s">
        <v>#N/A N/A</v>
        <stp/>
        <stp>##V3_BDSV12</stp>
        <stp>SYK US Equity</stp>
        <stp>PG_ASSETS</stp>
        <stp>[Fundamental &amp; Technical Model (1).xlsm]Segments!R126C4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126" s="17"/>
      </tp>
      <tp t="s">
        <v>#N/A N/A</v>
        <stp/>
        <stp>##V3_BDSV12</stp>
        <stp>SYK US Equity</stp>
        <stp>PG_ASSETS</stp>
        <stp>[Fundamental &amp; Technical Model (1).xlsm]Segments!R112C4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112" s="17"/>
      </tp>
      <tp t="s">
        <v>#N/A N/A</v>
        <stp/>
        <stp>##V3_BDSV12</stp>
        <stp>SYK US Equity</stp>
        <stp>PG_ASSETS</stp>
        <stp>[Fundamental &amp; Technical Model (1).xlsm]Segments!R125C4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125" s="17"/>
      </tp>
      <tp t="s">
        <v>#N/A N/A</v>
        <stp/>
        <stp>##V3_BDSV12</stp>
        <stp>SYK US Equity</stp>
        <stp>PG_ASSETS</stp>
        <stp>[Fundamental &amp; Technical Model (1).xlsm]Segments!R111C4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111" s="17"/>
      </tp>
      <tp>
        <v>18.719560094265514</v>
        <stp/>
        <stp>##V3_BQLV12</stp>
        <stp>[Fundamental &amp; Technical Model (1).xlsm]Income Statement!R74C6</stp>
        <stp>SYK US Equity</stp>
        <stp>DVD_PAYOUT_RATIO</stp>
        <stp>FPT</stp>
        <stp>A</stp>
        <stp>FPO</stp>
        <stp>-8A</stp>
        <stp>STD</stp>
        <stp>Mixed</stp>
        <stp>CONSOL</stp>
        <stp>Yes</stp>
        <stp>CURRENCY</stp>
        <stp>USD</stp>
        <tr r="F74" s="2"/>
      </tp>
      <tp>
        <v>24.961479198767336</v>
        <stp/>
        <stp>##V3_BQLV12</stp>
        <stp>[Fundamental &amp; Technical Model (1).xlsm]Income Statement!R74C8</stp>
        <stp>SYK US Equity</stp>
        <stp>DVD_PAYOUT_RATIO</stp>
        <stp>FPT</stp>
        <stp>A</stp>
        <stp>FPO</stp>
        <stp>-6A</stp>
        <stp>STD</stp>
        <stp>Mixed</stp>
        <stp>CONSOL</stp>
        <stp>Yes</stp>
        <stp>CURRENCY</stp>
        <stp>USD</stp>
        <tr r="H74" s="2"/>
      </tp>
      <tp>
        <v>8.9430894308943092</v>
        <stp/>
        <stp>##V3_BQLV12</stp>
        <stp>[Fundamental &amp; Technical Model (1).xlsm]Income Statement!R74C5</stp>
        <stp>SYK US Equity</stp>
        <stp>DVD_PAYOUT_RATIO</stp>
        <stp>FPT</stp>
        <stp>A</stp>
        <stp>FPO</stp>
        <stp>-9A</stp>
        <stp>STD</stp>
        <stp>Mixed</stp>
        <stp>CONSOL</stp>
        <stp>Yes</stp>
        <stp>CURRENCY</stp>
        <stp>USD</stp>
        <tr r="E74" s="2"/>
      </tp>
      <tp>
        <v>39.860834990059644</v>
        <stp/>
        <stp>##V3_BQLV12</stp>
        <stp>[Fundamental &amp; Technical Model (1).xlsm]Income Statement!R74C9</stp>
        <stp>SYK US Equity</stp>
        <stp>DVD_PAYOUT_RATIO</stp>
        <stp>FPT</stp>
        <stp>A</stp>
        <stp>FPO</stp>
        <stp>-5A</stp>
        <stp>STD</stp>
        <stp>Mixed</stp>
        <stp>CONSOL</stp>
        <stp>Yes</stp>
        <stp>CURRENCY</stp>
        <stp>USD</stp>
        <tr r="I74" s="2"/>
      </tp>
      <tp>
        <v>20.743494423791823</v>
        <stp/>
        <stp>##V3_BQLV12</stp>
        <stp>[Fundamental &amp; Technical Model (1).xlsm]Income Statement!R74C7</stp>
        <stp>SYK US Equity</stp>
        <stp>DVD_PAYOUT_RATIO</stp>
        <stp>FPT</stp>
        <stp>A</stp>
        <stp>FPO</stp>
        <stp>-7A</stp>
        <stp>STD</stp>
        <stp>Mixed</stp>
        <stp>CONSOL</stp>
        <stp>Yes</stp>
        <stp>CURRENCY</stp>
        <stp>USD</stp>
        <tr r="G74" s="2"/>
      </tp>
      <tp t="s">
        <v>#N/A N/A</v>
        <stp/>
        <stp>##V3_BDSV12</stp>
        <stp>SYK US Equity</stp>
        <stp>PG_ASSETS</stp>
        <stp>[Fundamental &amp; Technical Model (1).xlsm]Segments!R122C4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122" s="17"/>
      </tp>
      <tp>
        <v>2590.1999999999998</v>
        <stp/>
        <stp>##V3_BDSV12</stp>
        <stp>SYK US Equity</stp>
        <stp>PG_ASSETS</stp>
        <stp>[Fundamental &amp; Technical Model (1).xlsm]Segments!R108C4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108" s="17"/>
        <tr r="D108" s="17"/>
      </tp>
      <tp t="s">
        <v>#N/A N/A</v>
        <stp/>
        <stp>##V3_BDSV12</stp>
        <stp>SYK US Equity</stp>
        <stp>PG_ASSETS</stp>
        <stp>[Fundamental &amp; Technical Model (1).xlsm]Segments!R121C4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121" s="17"/>
      </tp>
      <tp t="s">
        <v>#N/A N/A</v>
        <stp/>
        <stp>##V3_BDSV12</stp>
        <stp>SYK US Equity</stp>
        <stp>PG_ASSETS</stp>
        <stp>[Fundamental &amp; Technical Model (1).xlsm]Segments!R107C4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107" s="17"/>
      </tp>
      <tp t="s">
        <v>#N/A N/A</v>
        <stp/>
        <stp>##V3_BDSV12</stp>
        <stp>SYK US Equity</stp>
        <stp>PG_ASSETS</stp>
        <stp>[Fundamental &amp; Technical Model (1).xlsm]Segments!R124C4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124" s="17"/>
      </tp>
      <tp t="s">
        <v>#N/A N/A</v>
        <stp/>
        <stp>##V3_BDSV12</stp>
        <stp>SYK US Equity</stp>
        <stp>PG_ASSETS</stp>
        <stp>[Fundamental &amp; Technical Model (1).xlsm]Segments!R110C4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110" s="17"/>
      </tp>
      <tp t="s">
        <v>#N/A N/A</v>
        <stp/>
        <stp>##V3_BDSV12</stp>
        <stp>SYK US Equity</stp>
        <stp>PG_ASSETS</stp>
        <stp>[Fundamental &amp; Technical Model (1).xlsm]Segments!R123C4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123" s="17"/>
      </tp>
      <tp>
        <v>3693.5</v>
        <stp/>
        <stp>##V3_BDSV12</stp>
        <stp>SYK US Equity</stp>
        <stp>PG_ASSETS</stp>
        <stp>[Fundamental &amp; Technical Model (1).xlsm]Segments!R109C4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109" s="17"/>
        <tr r="D109" s="17"/>
      </tp>
      <tp t="s">
        <v>#N/A N/A</v>
        <stp/>
        <stp>##V3_BDSV12</stp>
        <stp>SYK US Equity</stp>
        <stp>PG_ASSETS</stp>
        <stp>[Fundamental &amp; Technical Model (1).xlsm]Segments!R118C4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118" s="17"/>
      </tp>
      <tp>
        <v>1319.6</v>
        <stp/>
        <stp>##V3_BDSV12</stp>
        <stp>SYK US Equity</stp>
        <stp>PG_ASSETS</stp>
        <stp>[Fundamental &amp; Technical Model (1).xlsm]Segments!R104C4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104" s="17"/>
        <tr r="D104" s="17"/>
      </tp>
      <tp t="s">
        <v>#N/A N/A</v>
        <stp/>
        <stp>##V3_BDSV12</stp>
        <stp>SYK US Equity</stp>
        <stp>PG_ASSETS</stp>
        <stp>[Fundamental &amp; Technical Model (1).xlsm]Segments!R120C4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120" s="17"/>
      </tp>
      <tp t="s">
        <v>#N/A N/A</v>
        <stp/>
        <stp>##V3_BDSV12</stp>
        <stp>SYK US Equity</stp>
        <stp>PG_ASSETS</stp>
        <stp>[Fundamental &amp; Technical Model (1).xlsm]Segments!R106C4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106" s="17"/>
      </tp>
      <tp t="s">
        <v>#N/A N/A</v>
        <stp/>
        <stp>##V3_BDSV12</stp>
        <stp>SYK US Equity</stp>
        <stp>PG_ASSETS</stp>
        <stp>[Fundamental &amp; Technical Model (1).xlsm]Segments!R119C4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119" s="17"/>
      </tp>
      <tp t="s">
        <v>#N/A N/A</v>
        <stp/>
        <stp>##V3_BDSV12</stp>
        <stp>SYK US Equity</stp>
        <stp>PG_ASSETS</stp>
        <stp>[Fundamental &amp; Technical Model (1).xlsm]Segments!R105C4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105" s="17"/>
      </tp>
      <tp>
        <v>0</v>
        <stp/>
        <stp>##V3_BDPV12</stp>
        <stp>SYK US Equity</stp>
        <stp>ARD_RENTAL_EXP_COST_OF_REVENUE</stp>
        <stp>[Fundamental &amp; Technical Model (1).xlsm]Income Statement!R86C4</stp>
        <stp>EQY FUND RELATIVE PERIOD</stp>
        <stp>-10FY</stp>
        <stp>EQY_FUND_CRNCY</stp>
        <stp>USD</stp>
        <stp>EQY_CONSOLIDATED</stp>
        <stp>Yes</stp>
        <stp>ACCOUNTING_STANDARD_OVERRIDE</stp>
        <stp>Mixed</stp>
        <stp>Fill=0</stp>
        <tr r="D86" s="2"/>
      </tp>
      <tp t="s">
        <v>#N/A</v>
        <stp/>
        <stp>##V3_BQLV12</stp>
        <stp>[Fundamental &amp; Technical Model (1).xlsm]Income Statement!R42C4</stp>
        <stp>SYK US Equity</stp>
        <stp>IS_LEGAL_LITIG_SETTLE_AFTER_TAX/10^6</stp>
        <stp>FPT</stp>
        <stp>A</stp>
        <stp>FPO</stp>
        <stp>-10A</stp>
        <stp>STD</stp>
        <stp>Mixed</stp>
        <stp>CONSOL</stp>
        <stp>Yes</stp>
        <stp>CURRENCY</stp>
        <stp>USD</stp>
        <tr r="D42" s="2"/>
      </tp>
      <tp t="s">
        <v>#N/A N/A</v>
        <stp/>
        <stp>##V3_BDSV12</stp>
        <stp>SYK US Equity</stp>
        <stp>PG_GROSS_PROFIT</stp>
        <stp>[Fundamental &amp; Technical Model (1).xlsm]Segments!R67C6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67" s="17"/>
      </tp>
      <tp t="s">
        <v>#N/A N/A</v>
        <stp/>
        <stp>##V3_BDSV12</stp>
        <stp>SYK US Equity</stp>
        <stp>PG_GROSS_PROFIT</stp>
        <stp>[Fundamental &amp; Technical Model (1).xlsm]Segments!R53C6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53" s="17"/>
      </tp>
      <tp t="s">
        <v>#N/A N/A</v>
        <stp/>
        <stp>##V3_BDSV12</stp>
        <stp>SYK US Equity</stp>
        <stp>PG_GROSS_PROFIT</stp>
        <stp>[Fundamental &amp; Technical Model (1).xlsm]Segments!R68C6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68" s="17"/>
      </tp>
      <tp t="s">
        <v>#N/A N/A</v>
        <stp/>
        <stp>##V3_BDSV12</stp>
        <stp>SYK US Equity</stp>
        <stp>PG_GROSS_PROFIT</stp>
        <stp>[Fundamental &amp; Technical Model (1).xlsm]Segments!R54C6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54" s="17"/>
      </tp>
      <tp>
        <v>0</v>
        <stp/>
        <stp>##V3_BQLV12</stp>
        <stp>[Fundamental &amp; Technical Model (1).xlsm]Balance Sheet!R49C12</stp>
        <stp>SYK US Equity</stp>
        <stp>BS_PFD_EQY/10^6</stp>
        <stp>FPT</stp>
        <stp>A</stp>
        <stp>FPO</stp>
        <stp>-2A</stp>
        <stp>STD</stp>
        <stp>Mixed</stp>
        <stp>CONSOL</stp>
        <stp>Yes</stp>
        <stp>CURRENCY</stp>
        <stp>USD</stp>
        <tr r="L49" s="3"/>
      </tp>
      <tp>
        <v>1358</v>
        <stp/>
        <stp>##V3_BQLV12</stp>
        <stp>[Fundamental &amp; Technical Model (1).xlsm]Balance Sheet!R54C11</stp>
        <stp>SYK US Equity</stp>
        <stp>BS_SH_CAP_AND_APIC/10^6</stp>
        <stp>FPT</stp>
        <stp>A</stp>
        <stp>FPO</stp>
        <stp>-3A</stp>
        <stp>STD</stp>
        <stp>Mixed</stp>
        <stp>CONSOL</stp>
        <stp>Yes</stp>
        <stp>CURRENCY</stp>
        <stp>USD</stp>
        <tr r="K54" s="3"/>
      </tp>
      <tp>
        <v>480</v>
        <stp/>
        <stp>##V3_BQLV12</stp>
        <stp>[Fundamental &amp; Technical Model (1).xlsm]Balance Sheet!R26C12</stp>
        <stp>SYK US Equity</stp>
        <stp>BS_OTHER_CUR_ASSET/10^6</stp>
        <stp>FPT</stp>
        <stp>A</stp>
        <stp>FPO</stp>
        <stp>-2A</stp>
        <stp>STD</stp>
        <stp>Mixed</stp>
        <stp>CONSOL</stp>
        <stp>Yes</stp>
        <stp>CURRENCY</stp>
        <stp>USD</stp>
        <tr r="L26" s="3"/>
      </tp>
      <tp t="s">
        <v>#N/A N/A</v>
        <stp/>
        <stp>##V3_BDSV12</stp>
        <stp>SYK US Equity</stp>
        <stp>PG_GROSS_PROFIT</stp>
        <stp>[Fundamental &amp; Technical Model (1).xlsm]Segments!R61C6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61" s="17"/>
      </tp>
      <tp t="s">
        <v>#N/A N/A</v>
        <stp/>
        <stp>##V3_BDSV12</stp>
        <stp>SYK US Equity</stp>
        <stp>PG_GROSS_PROFIT</stp>
        <stp>[Fundamental &amp; Technical Model (1).xlsm]Segments!R47C6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47" s="17"/>
      </tp>
      <tp t="s">
        <v>#N/A N/A</v>
        <stp/>
        <stp>##V3_BDSV12</stp>
        <stp>SYK US Equity</stp>
        <stp>PG_GROSS_PROFIT</stp>
        <stp>[Fundamental &amp; Technical Model (1).xlsm]Segments!R62C6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62" s="17"/>
      </tp>
      <tp t="s">
        <v>#N/A N/A</v>
        <stp/>
        <stp>##V3_BDSV12</stp>
        <stp>SYK US Equity</stp>
        <stp>PG_GROSS_PROFIT</stp>
        <stp>[Fundamental &amp; Technical Model (1).xlsm]Segments!R48C6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48" s="17"/>
      </tp>
      <tp t="s">
        <v>#N/A N/A</v>
        <stp/>
        <stp>##V3_BDSV12</stp>
        <stp>SYK US Equity</stp>
        <stp>PG_GROSS_PROFIT</stp>
        <stp>[Fundamental &amp; Technical Model (1).xlsm]Segments!R60C6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60" s="17"/>
      </tp>
      <tp t="s">
        <v>#N/A N/A</v>
        <stp/>
        <stp>##V3_BDSV12</stp>
        <stp>SYK US Equity</stp>
        <stp>PG_GROSS_PROFIT</stp>
        <stp>[Fundamental &amp; Technical Model (1).xlsm]Segments!R46C6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46" s="17"/>
      </tp>
      <tp t="s">
        <v>#N/A N/A</v>
        <stp/>
        <stp>##V3_BDSV12</stp>
        <stp>SYK US Equity</stp>
        <stp>PG_GROSS_PROFIT</stp>
        <stp>[Fundamental &amp; Technical Model (1).xlsm]Segments!R65C6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65" s="17"/>
      </tp>
      <tp t="s">
        <v>#N/A N/A</v>
        <stp/>
        <stp>##V3_BDSV12</stp>
        <stp>SYK US Equity</stp>
        <stp>PG_GROSS_PROFIT</stp>
        <stp>[Fundamental &amp; Technical Model (1).xlsm]Segments!R51C6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51" s="17"/>
      </tp>
      <tp t="s">
        <v>#N/A N/A</v>
        <stp/>
        <stp>##V3_BDSV12</stp>
        <stp>SYK US Equity</stp>
        <stp>PG_GROSS_PROFIT</stp>
        <stp>[Fundamental &amp; Technical Model (1).xlsm]Segments!R66C6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66" s="17"/>
      </tp>
      <tp t="s">
        <v>#N/A N/A</v>
        <stp/>
        <stp>##V3_BDSV12</stp>
        <stp>SYK US Equity</stp>
        <stp>PG_GROSS_PROFIT</stp>
        <stp>[Fundamental &amp; Technical Model (1).xlsm]Segments!R52C6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52" s="17"/>
      </tp>
      <tp>
        <v>1051</v>
        <stp/>
        <stp>##V3_BQLV12</stp>
        <stp>[Fundamental &amp; Technical Model (1).xlsm]Balance Sheet!R46C12</stp>
        <stp>SYK US Equity</stp>
        <stp>BS_OTHER_LT_LIABILITIES/10^6</stp>
        <stp>FPT</stp>
        <stp>A</stp>
        <stp>FPO</stp>
        <stp>-2A</stp>
        <stp>STD</stp>
        <stp>Mixed</stp>
        <stp>CONSOL</stp>
        <stp>Yes</stp>
        <stp>CURRENCY</stp>
        <stp>USD</stp>
        <tr r="L46" s="3"/>
      </tp>
      <tp>
        <v>980</v>
        <stp/>
        <stp>##V3_BQLV12</stp>
        <stp>[Fundamental &amp; Technical Model (1).xlsm]Balance Sheet!R46C11</stp>
        <stp>SYK US Equity</stp>
        <stp>BS_OTHER_LT_LIABILITIES/10^6</stp>
        <stp>FPT</stp>
        <stp>A</stp>
        <stp>FPO</stp>
        <stp>-3A</stp>
        <stp>STD</stp>
        <stp>Mixed</stp>
        <stp>CONSOL</stp>
        <stp>Yes</stp>
        <stp>CURRENCY</stp>
        <stp>USD</stp>
        <tr r="K46" s="3"/>
      </tp>
      <tp>
        <v>2142</v>
        <stp/>
        <stp>##V3_BQLV12</stp>
        <stp>[Fundamental &amp; Technical Model (1).xlsm]Balance Sheet!R46C13</stp>
        <stp>SYK US Equity</stp>
        <stp>BS_OTHER_LT_LIABILITIES/10^6</stp>
        <stp>FPT</stp>
        <stp>A</stp>
        <stp>FPO</stp>
        <stp>-1A</stp>
        <stp>STD</stp>
        <stp>Mixed</stp>
        <stp>CONSOL</stp>
        <stp>Yes</stp>
        <stp>CURRENCY</stp>
        <stp>USD</stp>
        <tr r="M46" s="3"/>
      </tp>
      <tp>
        <v>977</v>
        <stp/>
        <stp>##V3_BQLV12</stp>
        <stp>[Fundamental &amp; Technical Model (1).xlsm]Balance Sheet!R46C10</stp>
        <stp>SYK US Equity</stp>
        <stp>BS_OTHER_LT_LIABILITIES/10^6</stp>
        <stp>FPT</stp>
        <stp>A</stp>
        <stp>FPO</stp>
        <stp>-4A</stp>
        <stp>STD</stp>
        <stp>Mixed</stp>
        <stp>CONSOL</stp>
        <stp>Yes</stp>
        <stp>CURRENCY</stp>
        <stp>USD</stp>
        <tr r="J46" s="3"/>
      </tp>
      <tp>
        <v>2206</v>
        <stp/>
        <stp>##V3_BQLV12</stp>
        <stp>[Fundamental &amp; Technical Model (1).xlsm]Balance Sheet!R46C14</stp>
        <stp>SYK US Equity</stp>
        <stp>BS_OTHER_LT_LIABILITIES/10^6</stp>
        <stp>FPT</stp>
        <stp>A</stp>
        <stp>FPO</stp>
        <stp>-0A</stp>
        <stp>STD</stp>
        <stp>Mixed</stp>
        <stp>CONSOL</stp>
        <stp>Yes</stp>
        <stp>CURRENCY</stp>
        <stp>USD</stp>
        <tr r="N46" s="3"/>
      </tp>
      <tp t="s">
        <v>#N/A N/A</v>
        <stp/>
        <stp>##V3_BDSV12</stp>
        <stp>SYK US Equity</stp>
        <stp>PG_GROSS_PROFIT</stp>
        <stp>[Fundamental &amp; Technical Model (1).xlsm]Segments!R63C6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63" s="17"/>
      </tp>
      <tp t="s">
        <v>#N/A N/A</v>
        <stp/>
        <stp>##V3_BDSV12</stp>
        <stp>SYK US Equity</stp>
        <stp>PG_GROSS_PROFIT</stp>
        <stp>[Fundamental &amp; Technical Model (1).xlsm]Segments!R49C6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49" s="17"/>
      </tp>
      <tp t="s">
        <v>#N/A N/A</v>
        <stp/>
        <stp>##V3_BDSV12</stp>
        <stp>SYK US Equity</stp>
        <stp>PG_GROSS_PROFIT</stp>
        <stp>[Fundamental &amp; Technical Model (1).xlsm]Segments!R64C6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64" s="17"/>
      </tp>
      <tp t="s">
        <v>#N/A N/A</v>
        <stp/>
        <stp>##V3_BDSV12</stp>
        <stp>SYK US Equity</stp>
        <stp>PG_GROSS_PROFIT</stp>
        <stp>[Fundamental &amp; Technical Model (1).xlsm]Segments!R50C6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50" s="17"/>
      </tp>
      <tp>
        <v>22.432715799303999</v>
        <stp/>
        <stp>##V3_BQLV12</stp>
        <stp>[Fundamental &amp; Technical Model (1).xlsm]Ratios!R58C4</stp>
        <stp>SYK US Equity</stp>
        <stp>ALTMAN_Z_SCORE</stp>
        <stp>FPT</stp>
        <stp>A</stp>
        <stp>FPO</stp>
        <stp>-10A</stp>
        <stp>STD</stp>
        <stp>Mixed</stp>
        <stp>CONSOL</stp>
        <stp>Yes</stp>
        <tr r="D58" s="8"/>
      </tp>
      <tp>
        <v>42735</v>
        <stp/>
        <stp>##V3_BQLV12</stp>
        <stp>[Fundamental &amp; Technical Model (1).xlsm]Income Statement!R15C12</stp>
        <stp>SYK US Equity</stp>
        <stp>IS_EPS().PERIOD_END_DATE</stp>
        <stp>FPT</stp>
        <stp>A</stp>
        <stp>FPO</stp>
        <stp>-2A</stp>
        <stp>STD</stp>
        <stp>Mixed</stp>
        <stp>CONSOL</stp>
        <stp>Yes</stp>
        <tr r="L15" s="2"/>
      </tp>
      <tp>
        <v>113</v>
        <stp/>
        <stp>##V3_BQLV12</stp>
        <stp>[Fundamental &amp; Technical Model (1).xlsm]Income Statement!R31C10</stp>
        <stp>SYK US Equity</stp>
        <stp>IS_INT_EXPENSE/10^6</stp>
        <stp>FPT</stp>
        <stp>A</stp>
        <stp>FPO</stp>
        <stp>-4A</stp>
        <stp>STD</stp>
        <stp>Mixed</stp>
        <stp>CONSOL</stp>
        <stp>Yes</stp>
        <stp>CURRENCY</stp>
        <stp>USD</stp>
        <tr r="J31" s="2"/>
      </tp>
      <tp>
        <v>9.0023566378633152E-2</v>
        <stp/>
        <stp>##V3_BQLV12</stp>
        <stp>[Fundamental &amp; Technical Model (1).xlsm]Key Stats!R16C11</stp>
        <stp>SYK US Equity</stp>
        <stp>SALES_GROWTH/100</stp>
        <stp>FPT=LTM</stp>
        <stp>FPO</stp>
        <stp>-0</stp>
        <stp>STD</stp>
        <stp>Mixed</stp>
        <stp>CONSOL</stp>
        <stp>Yes</stp>
        <stp>CURRENCY</stp>
        <stp>USD</stp>
        <tr r="K16" s="23"/>
      </tp>
      <tp>
        <v>39813</v>
        <stp/>
        <stp>##V3_BQLV12</stp>
        <stp>[Fundamental &amp; Technical Model (1).xlsm]Balance Sheet!R15C4</stp>
        <stp>SYK US Equity</stp>
        <stp>IS_EPS().PERIOD_END_DATE</stp>
        <stp>FPT</stp>
        <stp>A</stp>
        <stp>FPO</stp>
        <stp>-10A</stp>
        <stp>STD</stp>
        <stp>Mixed</stp>
        <stp>CONSOL</stp>
        <stp>Yes</stp>
        <tr r="D15" s="3"/>
      </tp>
      <tp>
        <v>14.138317579097581</v>
        <stp/>
        <stp>##V3_BQLV12</stp>
        <stp>[Fundamental &amp; Technical Model (1).xlsm]Key Stats!R54C8</stp>
        <stp>SYK US Equity</stp>
        <stp>EV_TO_EBITDA</stp>
        <stp>FPT=A</stp>
        <stp>FPO=3</stp>
        <stp>STD</stp>
        <stp>Mixed</stp>
        <stp>CONSOL</stp>
        <stp>Yes</stp>
        <stp>CURRENCY</stp>
        <stp>USD</stp>
        <tr r="H54" s="23"/>
      </tp>
      <tp t="s">
        <v>2009 Y</v>
        <stp/>
        <stp>##V3_BDPV12</stp>
        <stp>SYK US Equity</stp>
        <stp>FISCAL_YEAR_PERIOD</stp>
        <stp>[Fundamental &amp; Technical Model (1).xlsm]Segments!R130C5</stp>
        <stp>EQY_FUND_RELATIVE_PERIOD</stp>
        <stp>-9FY</stp>
        <tr r="E130" s="17"/>
      </tp>
      <tp t="s">
        <v>2013 Y</v>
        <stp/>
        <stp>##V3_BDPV12</stp>
        <stp>SYK US Equity</stp>
        <stp>FISCAL_YEAR_PERIOD</stp>
        <stp>[Fundamental &amp; Technical Model (1).xlsm]Segments!R130C9</stp>
        <stp>EQY_FUND_RELATIVE_PERIOD</stp>
        <stp>-5FY</stp>
        <tr r="I130" s="17"/>
      </tp>
      <tp t="s">
        <v>2009 Y</v>
        <stp/>
        <stp>##V3_BDPV12</stp>
        <stp>SYK US Equity</stp>
        <stp>FISCAL_YEAR_PERIOD</stp>
        <stp>[Fundamental &amp; Technical Model (1).xlsm]Segments!R115C5</stp>
        <stp>EQY_FUND_RELATIVE_PERIOD</stp>
        <stp>-9FY</stp>
        <tr r="E115" s="17"/>
      </tp>
      <tp t="s">
        <v>2013 Y</v>
        <stp/>
        <stp>##V3_BDPV12</stp>
        <stp>SYK US Equity</stp>
        <stp>FISCAL_YEAR_PERIOD</stp>
        <stp>[Fundamental &amp; Technical Model (1).xlsm]Segments!R115C9</stp>
        <stp>EQY_FUND_RELATIVE_PERIOD</stp>
        <stp>-5FY</stp>
        <tr r="I115" s="17"/>
      </tp>
      <tp t="s">
        <v>2009 Y</v>
        <stp/>
        <stp>##V3_BDPV12</stp>
        <stp>SYK US Equity</stp>
        <stp>FISCAL_YEAR_PERIOD</stp>
        <stp>[Fundamental &amp; Technical Model (1).xlsm]Segments!R101C5</stp>
        <stp>EQY_FUND_RELATIVE_PERIOD</stp>
        <stp>-9FY</stp>
        <tr r="E101" s="17"/>
      </tp>
      <tp t="s">
        <v>2013 Y</v>
        <stp/>
        <stp>##V3_BDPV12</stp>
        <stp>SYK US Equity</stp>
        <stp>FISCAL_YEAR_PERIOD</stp>
        <stp>[Fundamental &amp; Technical Model (1).xlsm]Segments!R101C9</stp>
        <stp>EQY_FUND_RELATIVE_PERIOD</stp>
        <stp>-5FY</stp>
        <tr r="I101" s="17"/>
      </tp>
      <tp t="s">
        <v>2009 Y</v>
        <stp/>
        <stp>##V3_BDPV12</stp>
        <stp>SYK US Equity</stp>
        <stp>FISCAL_YEAR_PERIOD</stp>
        <stp>[Fundamental &amp; Technical Model (1).xlsm]Segments!R173C5</stp>
        <stp>EQY_FUND_RELATIVE_PERIOD</stp>
        <stp>-9FY</stp>
        <tr r="E173" s="17"/>
      </tp>
      <tp t="s">
        <v>2013 Y</v>
        <stp/>
        <stp>##V3_BDPV12</stp>
        <stp>SYK US Equity</stp>
        <stp>FISCAL_YEAR_PERIOD</stp>
        <stp>[Fundamental &amp; Technical Model (1).xlsm]Segments!R173C9</stp>
        <stp>EQY_FUND_RELATIVE_PERIOD</stp>
        <stp>-5FY</stp>
        <tr r="I173" s="17"/>
      </tp>
      <tp t="s">
        <v>2009 Y</v>
        <stp/>
        <stp>##V3_BDPV12</stp>
        <stp>SYK US Equity</stp>
        <stp>FISCAL_YEAR_PERIOD</stp>
        <stp>[Fundamental &amp; Technical Model (1).xlsm]Segments!R159C5</stp>
        <stp>EQY_FUND_RELATIVE_PERIOD</stp>
        <stp>-9FY</stp>
        <tr r="E159" s="17"/>
      </tp>
      <tp t="s">
        <v>2013 Y</v>
        <stp/>
        <stp>##V3_BDPV12</stp>
        <stp>SYK US Equity</stp>
        <stp>FISCAL_YEAR_PERIOD</stp>
        <stp>[Fundamental &amp; Technical Model (1).xlsm]Segments!R159C9</stp>
        <stp>EQY_FUND_RELATIVE_PERIOD</stp>
        <stp>-5FY</stp>
        <tr r="I159" s="17"/>
      </tp>
      <tp t="s">
        <v>2009 Y</v>
        <stp/>
        <stp>##V3_BDPV12</stp>
        <stp>SYK US Equity</stp>
        <stp>FISCAL_YEAR_PERIOD</stp>
        <stp>[Fundamental &amp; Technical Model (1).xlsm]Segments!R144C5</stp>
        <stp>EQY_FUND_RELATIVE_PERIOD</stp>
        <stp>-9FY</stp>
        <tr r="E144" s="17"/>
      </tp>
      <tp t="s">
        <v>2013 Y</v>
        <stp/>
        <stp>##V3_BDPV12</stp>
        <stp>SYK US Equity</stp>
        <stp>FISCAL_YEAR_PERIOD</stp>
        <stp>[Fundamental &amp; Technical Model (1).xlsm]Segments!R144C9</stp>
        <stp>EQY_FUND_RELATIVE_PERIOD</stp>
        <stp>-5FY</stp>
        <tr r="I144" s="17"/>
      </tp>
      <tp t="s">
        <v>#N/A N/A</v>
        <stp/>
        <stp>##V3_BDSV12</stp>
        <stp>SYK US Equity</stp>
        <stp>PG_OPERATING_INCOME</stp>
        <stp>[Fundamental &amp; Technical Model (1).xlsm]Segments!R80C3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80" s="17"/>
      </tp>
      <tp t="s">
        <v>#N/A N/A</v>
        <stp/>
        <stp>##V3_BDSV12</stp>
        <stp>SYK US Equity</stp>
        <stp>PG_OPERATING_INCOME</stp>
        <stp>[Fundamental &amp; Technical Model (1).xlsm]Segments!R81C3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81" s="17"/>
      </tp>
      <tp>
        <v>58.636390995545923</v>
        <stp/>
        <stp>##V3_BQLV12</stp>
        <stp>[Fundamental &amp; Technical Model (1).xlsm]Ratios!R40C7</stp>
        <stp>SYK US Equity</stp>
        <stp>ACCT_RCV_DAYS</stp>
        <stp>FPT</stp>
        <stp>A</stp>
        <stp>FPO</stp>
        <stp>-7A</stp>
        <stp>STD</stp>
        <stp>Mixed</stp>
        <stp>CONSOL</stp>
        <stp>Yes</stp>
        <tr r="G40" s="8"/>
      </tp>
      <tp t="s">
        <v>#N/A N/A</v>
        <stp/>
        <stp>##V3_BDSV12</stp>
        <stp>SYK US Equity</stp>
        <stp>PG_OPERATING_INCOME</stp>
        <stp>[Fundamental &amp; Technical Model (1).xlsm]Segments!R82C8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82" s="17"/>
      </tp>
      <tp t="s">
        <v>#N/A N/A</v>
        <stp/>
        <stp>##V3_BDSV12</stp>
        <stp>SYK US Equity</stp>
        <stp>PG_OPERATING_INCOME</stp>
        <stp>[Fundamental &amp; Technical Model (1).xlsm]Segments!R83C8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83" s="17"/>
      </tp>
      <tp t="s">
        <v>#N/A N/A</v>
        <stp/>
        <stp>##V3_BDSV12</stp>
        <stp>SYK US Equity</stp>
        <stp>PG_OPERATING_INCOME</stp>
        <stp>[Fundamental &amp; Technical Model (1).xlsm]Segments!R83C9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83" s="17"/>
      </tp>
      <tp t="s">
        <v>#N/A N/A</v>
        <stp/>
        <stp>##V3_BDSV12</stp>
        <stp>SYK US Equity</stp>
        <stp>PG_OPERATING_INCOME</stp>
        <stp>[Fundamental &amp; Technical Model (1).xlsm]Segments!R82C9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82" s="17"/>
      </tp>
      <tp t="e">
        <v>#N/A</v>
        <stp/>
        <stp>##V3_BDHV12</stp>
        <stp>SYK US Equity</stp>
        <stp>LOW_CLOSING_PRICE_TO_BOOK_RATIO</stp>
        <stp>-10FY</stp>
        <stp>-10FY</stp>
        <stp>[Fundamental &amp; Technical Model (1).xlsm]Multiples!R42C3</stp>
        <stp>EQY_CONSOLIDATED</stp>
        <stp>Yes</stp>
        <stp>ACCOUNTING_STANDARD_OVERRIDE</stp>
        <stp>Mixed</stp>
        <stp>Per</stp>
        <stp>FY</stp>
        <stp>Days=A</stp>
        <tr r="C42" s="16"/>
        <tr r="C42" s="16"/>
      </tp>
      <tp>
        <v>36.352085017904585</v>
        <stp/>
        <stp>##V3_BQLV12</stp>
        <stp>[Fundamental &amp; Technical Model (1).xlsm]Ratios!R22C8</stp>
        <stp>SYK US Equity</stp>
        <stp>ADJ_SG_AND_A_TO_SALES</stp>
        <stp>FPT</stp>
        <stp>A</stp>
        <stp>FPO</stp>
        <stp>-6A</stp>
        <stp>STD</stp>
        <stp>Mixed</stp>
        <stp>CONSOL</stp>
        <stp>Yes</stp>
        <tr r="H22" s="8"/>
      </tp>
      <tp t="s">
        <v>#N/A N/A</v>
        <stp/>
        <stp>##V3_BDSV12</stp>
        <stp>SYK US Equity</stp>
        <stp>PG_OPERATING_INCOME</stp>
        <stp>[Fundamental &amp; Technical Model (1).xlsm]Segments!R80C8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80" s="17"/>
      </tp>
      <tp t="s">
        <v>#N/A N/A</v>
        <stp/>
        <stp>##V3_BDSV12</stp>
        <stp>SYK US Equity</stp>
        <stp>PG_OPERATING_INCOME</stp>
        <stp>[Fundamental &amp; Technical Model (1).xlsm]Segments!R81C8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81" s="17"/>
      </tp>
      <tp>
        <v>2.0505204718945178</v>
        <stp/>
        <stp>##V3_BQLV12</stp>
        <stp>[Fundamental &amp; Technical Model (1).xlsm]Ratios!R39C5</stp>
        <stp>SYK US Equity</stp>
        <stp>CASH_RATIO</stp>
        <stp>FPT</stp>
        <stp>A</stp>
        <stp>FPO</stp>
        <stp>-9A</stp>
        <stp>STD</stp>
        <stp>Mixed</stp>
        <stp>CONSOL</stp>
        <stp>Yes</stp>
        <tr r="E39" s="8"/>
      </tp>
      <tp t="s">
        <v>#N/A N/A</v>
        <stp/>
        <stp>##V3_BDSV12</stp>
        <stp>SYK US Equity</stp>
        <stp>PG_OPERATING_INCOME</stp>
        <stp>[Fundamental &amp; Technical Model (1).xlsm]Segments!R81C9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81" s="17"/>
      </tp>
      <tp t="s">
        <v>#N/A N/A</v>
        <stp/>
        <stp>##V3_BDSV12</stp>
        <stp>SYK US Equity</stp>
        <stp>PG_OPERATING_INCOME</stp>
        <stp>[Fundamental &amp; Technical Model (1).xlsm]Segments!R80C9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80" s="17"/>
      </tp>
      <tp t="s">
        <v>#N/A N/A</v>
        <stp/>
        <stp>##V3_BDSV12</stp>
        <stp>SYK US Equity</stp>
        <stp>PG_OPERATING_INCOME</stp>
        <stp>[Fundamental &amp; Technical Model (1).xlsm]Segments!R82C3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82" s="17"/>
      </tp>
      <tp t="s">
        <v>#N/A N/A</v>
        <stp/>
        <stp>##V3_BDSV12</stp>
        <stp>SYK US Equity</stp>
        <stp>PG_OPERATING_INCOME</stp>
        <stp>[Fundamental &amp; Technical Model (1).xlsm]Segments!R83C3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83" s="17"/>
      </tp>
      <tp>
        <v>0.89837398373983735</v>
        <stp/>
        <stp>##V3_BQLV12</stp>
        <stp>[Fundamental &amp; Technical Model (1).xlsm]Ratios!R55C7</stp>
        <stp>SYK US Equity</stp>
        <stp>TOT_DEBT_TO_EBITDA</stp>
        <stp>FPT</stp>
        <stp>A</stp>
        <stp>FPO</stp>
        <stp>-7A</stp>
        <stp>STD</stp>
        <stp>Mixed</stp>
        <stp>CONSOL</stp>
        <stp>Yes</stp>
        <tr r="G55" s="8"/>
      </tp>
      <tp>
        <v>17.326238776188891</v>
        <stp/>
        <stp>##V3_BQLV12</stp>
        <stp>[Fundamental &amp; Technical Model (1).xlsm]Ratios!R23C9</stp>
        <stp>SYK US Equity</stp>
        <stp>EBITDA_MARGIN</stp>
        <stp>FPT</stp>
        <stp>A</stp>
        <stp>FPO</stp>
        <stp>-5A</stp>
        <stp>STD</stp>
        <stp>Mixed</stp>
        <stp>CONSOL</stp>
        <stp>Yes</stp>
        <tr r="I23" s="8"/>
      </tp>
      <tp t="s">
        <v>#N/A N/A</v>
        <stp/>
        <stp>##V3_BDSV12</stp>
        <stp>SYK US Equity</stp>
        <stp>PG_ASSETS</stp>
        <stp>[Fundamental &amp; Technical Model (1).xlsm]Segments!R125C5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125" s="17"/>
      </tp>
      <tp t="s">
        <v>#N/A N/A</v>
        <stp/>
        <stp>##V3_BDSV12</stp>
        <stp>SYK US Equity</stp>
        <stp>PG_ASSETS</stp>
        <stp>[Fundamental &amp; Technical Model (1).xlsm]Segments!R111C5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111" s="17"/>
      </tp>
      <tp t="s">
        <v>#N/A N/A</v>
        <stp/>
        <stp>##V3_BDSV12</stp>
        <stp>SYK US Equity</stp>
        <stp>PG_ASSETS</stp>
        <stp>[Fundamental &amp; Technical Model (1).xlsm]Segments!R126C5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126" s="17"/>
      </tp>
      <tp t="s">
        <v>#N/A N/A</v>
        <stp/>
        <stp>##V3_BDSV12</stp>
        <stp>SYK US Equity</stp>
        <stp>PG_ASSETS</stp>
        <stp>[Fundamental &amp; Technical Model (1).xlsm]Segments!R112C5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112" s="17"/>
      </tp>
      <tp t="s">
        <v>#N/A</v>
        <stp/>
        <stp>##V3_BQLV12</stp>
        <stp>[Fundamental &amp; Technical Model (1).xlsm]Balance Sheet!R25C7</stp>
        <stp>SYK US Equity</stp>
        <stp>BS_RESTRICT_BOND_PROCEED/10^6</stp>
        <stp>FPT</stp>
        <stp>A</stp>
        <stp>FPO</stp>
        <stp>-7A</stp>
        <stp>STD</stp>
        <stp>Mixed</stp>
        <stp>CONSOL</stp>
        <stp>Yes</stp>
        <stp>CURRENCY</stp>
        <stp>USD</stp>
        <tr r="G25" s="3"/>
      </tp>
      <tp t="s">
        <v>#N/A</v>
        <stp/>
        <stp>##V3_BQLV12</stp>
        <stp>[Fundamental &amp; Technical Model (1).xlsm]Balance Sheet!R25C6</stp>
        <stp>SYK US Equity</stp>
        <stp>BS_RESTRICT_BOND_PROCEED/10^6</stp>
        <stp>FPT</stp>
        <stp>A</stp>
        <stp>FPO</stp>
        <stp>-8A</stp>
        <stp>STD</stp>
        <stp>Mixed</stp>
        <stp>CONSOL</stp>
        <stp>Yes</stp>
        <stp>CURRENCY</stp>
        <stp>USD</stp>
        <tr r="F25" s="3"/>
      </tp>
      <tp t="s">
        <v>#N/A</v>
        <stp/>
        <stp>##V3_BQLV12</stp>
        <stp>[Fundamental &amp; Technical Model (1).xlsm]Balance Sheet!R25C5</stp>
        <stp>SYK US Equity</stp>
        <stp>BS_RESTRICT_BOND_PROCEED/10^6</stp>
        <stp>FPT</stp>
        <stp>A</stp>
        <stp>FPO</stp>
        <stp>-9A</stp>
        <stp>STD</stp>
        <stp>Mixed</stp>
        <stp>CONSOL</stp>
        <stp>Yes</stp>
        <stp>CURRENCY</stp>
        <stp>USD</stp>
        <tr r="E25" s="3"/>
      </tp>
      <tp t="s">
        <v>#N/A</v>
        <stp/>
        <stp>##V3_BQLV12</stp>
        <stp>[Fundamental &amp; Technical Model (1).xlsm]Balance Sheet!R25C9</stp>
        <stp>SYK US Equity</stp>
        <stp>BS_RESTRICT_BOND_PROCEED/10^6</stp>
        <stp>FPT</stp>
        <stp>A</stp>
        <stp>FPO</stp>
        <stp>-5A</stp>
        <stp>STD</stp>
        <stp>Mixed</stp>
        <stp>CONSOL</stp>
        <stp>Yes</stp>
        <stp>CURRENCY</stp>
        <stp>USD</stp>
        <tr r="I25" s="3"/>
      </tp>
      <tp t="s">
        <v>#N/A</v>
        <stp/>
        <stp>##V3_BQLV12</stp>
        <stp>[Fundamental &amp; Technical Model (1).xlsm]Balance Sheet!R25C8</stp>
        <stp>SYK US Equity</stp>
        <stp>BS_RESTRICT_BOND_PROCEED/10^6</stp>
        <stp>FPT</stp>
        <stp>A</stp>
        <stp>FPO</stp>
        <stp>-6A</stp>
        <stp>STD</stp>
        <stp>Mixed</stp>
        <stp>CONSOL</stp>
        <stp>Yes</stp>
        <stp>CURRENCY</stp>
        <stp>USD</stp>
        <tr r="H25" s="3"/>
      </tp>
      <tp t="s">
        <v>#N/A N/A</v>
        <stp/>
        <stp>##V3_BDSV12</stp>
        <stp>SYK US Equity</stp>
        <stp>PG_ASSETS</stp>
        <stp>[Fundamental &amp; Technical Model (1).xlsm]Segments!R121C5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121" s="17"/>
      </tp>
      <tp t="s">
        <v>#N/A N/A</v>
        <stp/>
        <stp>##V3_BDSV12</stp>
        <stp>SYK US Equity</stp>
        <stp>PG_ASSETS</stp>
        <stp>[Fundamental &amp; Technical Model (1).xlsm]Segments!R107C5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107" s="17"/>
      </tp>
      <tp t="s">
        <v>#N/A N/A</v>
        <stp/>
        <stp>##V3_BDSV12</stp>
        <stp>SYK US Equity</stp>
        <stp>PG_ASSETS</stp>
        <stp>[Fundamental &amp; Technical Model (1).xlsm]Segments!R122C5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122" s="17"/>
      </tp>
      <tp>
        <v>3402</v>
        <stp/>
        <stp>##V3_BDSV12</stp>
        <stp>SYK US Equity</stp>
        <stp>PG_ASSETS</stp>
        <stp>[Fundamental &amp; Technical Model (1).xlsm]Segments!R108C5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108" s="17"/>
        <tr r="E108" s="17"/>
      </tp>
      <tp t="s">
        <v>#N/A N/A</v>
        <stp/>
        <stp>##V3_BDSV12</stp>
        <stp>SYK US Equity</stp>
        <stp>PG_ASSETS</stp>
        <stp>[Fundamental &amp; Technical Model (1).xlsm]Segments!R123C5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123" s="17"/>
      </tp>
      <tp t="s">
        <v>#N/A N/A</v>
        <stp/>
        <stp>##V3_BDSV12</stp>
        <stp>SYK US Equity</stp>
        <stp>PG_ASSETS</stp>
        <stp>[Fundamental &amp; Technical Model (1).xlsm]Segments!R109C5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109" s="17"/>
      </tp>
      <tp t="s">
        <v>#N/A N/A</v>
        <stp/>
        <stp>##V3_BDSV12</stp>
        <stp>SYK US Equity</stp>
        <stp>PG_ASSETS</stp>
        <stp>[Fundamental &amp; Technical Model (1).xlsm]Segments!R124C5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124" s="17"/>
      </tp>
      <tp>
        <v>3095</v>
        <stp/>
        <stp>##V3_BDSV12</stp>
        <stp>SYK US Equity</stp>
        <stp>PG_ASSETS</stp>
        <stp>[Fundamental &amp; Technical Model (1).xlsm]Segments!R110C5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110" s="17"/>
        <tr r="E110" s="17"/>
      </tp>
      <tp>
        <v>2296.1</v>
        <stp/>
        <stp>##V3_BQLV12</stp>
        <stp>[Fundamental &amp; Technical Model (1).xlsm]Balance Sheet!R18C5</stp>
        <stp>SYK US Equity</stp>
        <stp>BS_MKT_SEC_OTHER_ST_INVEST/10^6</stp>
        <stp>FPT</stp>
        <stp>A</stp>
        <stp>FPO</stp>
        <stp>-9A</stp>
        <stp>STD</stp>
        <stp>Mixed</stp>
        <stp>CONSOL</stp>
        <stp>Yes</stp>
        <stp>CURRENCY</stp>
        <stp>USD</stp>
        <tr r="E18" s="3"/>
      </tp>
      <tp t="s">
        <v>#N/A N/A</v>
        <stp/>
        <stp>##V3_BDSV12</stp>
        <stp>SYK US Equity</stp>
        <stp>PG_ASSETS</stp>
        <stp>[Fundamental &amp; Technical Model (1).xlsm]Segments!R118C5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118" s="17"/>
      </tp>
      <tp>
        <v>2011</v>
        <stp/>
        <stp>##V3_BDSV12</stp>
        <stp>SYK US Equity</stp>
        <stp>PG_ASSETS</stp>
        <stp>[Fundamental &amp; Technical Model (1).xlsm]Segments!R104C5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104" s="17"/>
        <tr r="E104" s="17"/>
      </tp>
      <tp t="s">
        <v>#N/A N/A</v>
        <stp/>
        <stp>##V3_BDSV12</stp>
        <stp>SYK US Equity</stp>
        <stp>PG_ASSETS</stp>
        <stp>[Fundamental &amp; Technical Model (1).xlsm]Segments!R119C5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119" s="17"/>
      </tp>
      <tp t="s">
        <v>#N/A N/A</v>
        <stp/>
        <stp>##V3_BDSV12</stp>
        <stp>SYK US Equity</stp>
        <stp>PG_ASSETS</stp>
        <stp>[Fundamental &amp; Technical Model (1).xlsm]Segments!R105C5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105" s="17"/>
      </tp>
      <tp t="s">
        <v>#N/A N/A</v>
        <stp/>
        <stp>##V3_BDSV12</stp>
        <stp>SYK US Equity</stp>
        <stp>PG_ASSETS</stp>
        <stp>[Fundamental &amp; Technical Model (1).xlsm]Segments!R120C5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120" s="17"/>
      </tp>
      <tp>
        <v>563</v>
        <stp/>
        <stp>##V3_BDSV12</stp>
        <stp>SYK US Equity</stp>
        <stp>PG_ASSETS</stp>
        <stp>[Fundamental &amp; Technical Model (1).xlsm]Segments!R106C5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106" s="17"/>
        <tr r="E106" s="17"/>
      </tp>
      <tp t="s">
        <v>12/31/2015</v>
        <stp/>
        <stp>##V3_BDPV12</stp>
        <stp>SYK US Equity</stp>
        <stp>LATEST_PERIOD_END_DT_FULL_RECORD</stp>
        <stp>[Fundamental &amp; Technical Model (1).xlsm]Segments!R58C11</stp>
        <stp>EQY_FUND_RELATIVE_PERIOD</stp>
        <stp>-3FY</stp>
        <stp>EQY_CONSOLIDATED</stp>
        <stp>Yes</stp>
        <tr r="K58" s="17"/>
        <tr r="K58" s="17"/>
      </tp>
      <tp t="s">
        <v>12/31/2017</v>
        <stp/>
        <stp>##V3_BDPV12</stp>
        <stp>SYK US Equity</stp>
        <stp>LATEST_PERIOD_END_DT_FULL_RECORD</stp>
        <stp>[Fundamental &amp; Technical Model (1).xlsm]Segments!R58C13</stp>
        <stp>EQY_FUND_RELATIVE_PERIOD</stp>
        <stp>-1FY</stp>
        <stp>EQY_CONSOLIDATED</stp>
        <stp>Yes</stp>
        <tr r="M58" s="17"/>
        <tr r="M58" s="17"/>
      </tp>
      <tp t="s">
        <v>12/31/2016</v>
        <stp/>
        <stp>##V3_BDPV12</stp>
        <stp>SYK US Equity</stp>
        <stp>LATEST_PERIOD_END_DT_FULL_RECORD</stp>
        <stp>[Fundamental &amp; Technical Model (1).xlsm]Segments!R58C12</stp>
        <stp>EQY_FUND_RELATIVE_PERIOD</stp>
        <stp>-2FY</stp>
        <stp>EQY_CONSOLIDATED</stp>
        <stp>Yes</stp>
        <tr r="L58" s="17"/>
        <tr r="L58" s="17"/>
      </tp>
      <tp t="s">
        <v>12/31/2014</v>
        <stp/>
        <stp>##V3_BDPV12</stp>
        <stp>SYK US Equity</stp>
        <stp>LATEST_PERIOD_END_DT_FULL_RECORD</stp>
        <stp>[Fundamental &amp; Technical Model (1).xlsm]Segments!R58C10</stp>
        <stp>EQY_FUND_RELATIVE_PERIOD</stp>
        <stp>-4FY</stp>
        <stp>EQY_CONSOLIDATED</stp>
        <stp>Yes</stp>
        <tr r="J58" s="17"/>
        <tr r="J58" s="17"/>
      </tp>
      <tp t="s">
        <v>12/31/2018</v>
        <stp/>
        <stp>##V3_BDPV12</stp>
        <stp>SYK US Equity</stp>
        <stp>LATEST_PERIOD_END_DT_FULL_RECORD</stp>
        <stp>[Fundamental &amp; Technical Model (1).xlsm]Segments!R58C14</stp>
        <stp>EQY_FUND_RELATIVE_PERIOD</stp>
        <stp>-0FY</stp>
        <stp>EQY_CONSOLIDATED</stp>
        <stp>Yes</stp>
        <tr r="N58" s="17"/>
        <tr r="N58" s="17"/>
      </tp>
      <tp t="e">
        <v>#N/A</v>
        <stp/>
        <stp>##V3_BDHV12</stp>
        <stp>SYK US Equity</stp>
        <stp>PX_ERN_RATIO_WITH_LOW_CLOS_PX</stp>
        <stp>-5FY</stp>
        <stp>-5FY</stp>
        <stp>[Fundamental &amp; Technical Model (1).xlsm]Multiples!R36C8</stp>
        <stp>EQY_CONSOLIDATED</stp>
        <stp>Yes</stp>
        <stp>ACCOUNTING_STANDARD_OVERRIDE</stp>
        <stp>Mixed</stp>
        <stp>Per</stp>
        <stp>FY</stp>
        <stp>Days=A</stp>
        <tr r="H36" s="16"/>
        <tr r="H36" s="16"/>
      </tp>
      <tp t="e">
        <v>#N/A</v>
        <stp/>
        <stp>##V3_BDHV12</stp>
        <stp>SYK US Equity</stp>
        <stp>AVERAGE_PRICE_TO_TANGIBLE_BPS</stp>
        <stp>-9FY</stp>
        <stp>-9FY</stp>
        <stp>[Fundamental &amp; Technical Model (1).xlsm]Multiples!R46C4</stp>
        <stp>EQY_CONSOLIDATED</stp>
        <stp>Yes</stp>
        <stp>ACCOUNTING_STANDARD_OVERRIDE</stp>
        <stp>Mixed</stp>
        <stp>Per</stp>
        <stp>FY</stp>
        <stp>Days=A</stp>
        <tr r="D46" s="16"/>
        <tr r="D46" s="16"/>
      </tp>
      <tp>
        <v>6718.2</v>
        <stp/>
        <stp>##V3_BDPV12</stp>
        <stp>SYK US Equity</stp>
        <stp>SALES_REV_TURN</stp>
        <stp>[Fundamental &amp; Technical Model (1).xlsm]Segments!R30C4</stp>
        <stp>EQY_FUND_RELATIVE_PERIOD</stp>
        <stp>-10FY</stp>
        <stp>ACCOUNTING_STANDARD_OVERRIDE</stp>
        <stp>Mixed</stp>
        <stp>EQY_CONSOLIDATED</stp>
        <stp>Yes</stp>
        <stp>EQY_FUND_CRNCY</stp>
        <stp>USD</stp>
        <stp>Fill=B</stp>
        <tr r="D30" s="17"/>
      </tp>
      <tp>
        <v>6718.2</v>
        <stp/>
        <stp>##V3_BDPV12</stp>
        <stp>SYK US Equity</stp>
        <stp>SALES_REV_TURN</stp>
        <stp>[Fundamental &amp; Technical Model (1).xlsm]Segments!R16C4</stp>
        <stp>EQY_FUND_RELATIVE_PERIOD</stp>
        <stp>-10FY</stp>
        <stp>ACCOUNTING_STANDARD_OVERRIDE</stp>
        <stp>Mixed</stp>
        <stp>EQY_CONSOLIDATED</stp>
        <stp>Yes</stp>
        <stp>EQY_FUND_CRNCY</stp>
        <stp>USD</stp>
        <stp>Fill=B</stp>
        <tr r="D16" s="17"/>
      </tp>
      <tp>
        <v>11.279515640766903</v>
        <stp/>
        <stp>##V3_BQLV12</stp>
        <stp>[Fundamental &amp; Technical Model (1).xlsm]Balance Sheet!R67C4</stp>
        <stp>SYK US Equity</stp>
        <stp>TANG_BOOK_VAL_PER_SH</stp>
        <stp>FPT</stp>
        <stp>A</stp>
        <stp>FPO</stp>
        <stp>-10A</stp>
        <stp>STD</stp>
        <stp>Mixed</stp>
        <stp>CONSOL</stp>
        <stp>Yes</stp>
        <stp>CURRENCY</stp>
        <stp>USD</stp>
        <tr r="D67" s="3"/>
      </tp>
      <tp t="s">
        <v>#N/A N/A</v>
        <stp/>
        <stp>##V3_BDSV12</stp>
        <stp>SYK US Equity</stp>
        <stp>PG_DEPR_AMORTIZATION</stp>
        <stp>[Fundamental &amp; Technical Model (1).xlsm]Segments!R150C14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150" s="17"/>
      </tp>
      <tp t="s">
        <v>#N/A N/A</v>
        <stp/>
        <stp>##V3_BDSV12</stp>
        <stp>SYK US Equity</stp>
        <stp>PG_DEPR_AMORTIZATION</stp>
        <stp>[Fundamental &amp; Technical Model (1).xlsm]Segments!R150C13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150" s="17"/>
      </tp>
      <tp t="s">
        <v>#N/A N/A</v>
        <stp/>
        <stp>##V3_BDSV12</stp>
        <stp>SYK US Equity</stp>
        <stp>PG_OPERATING_INCOME</stp>
        <stp>[Fundamental &amp; Technical Model (1).xlsm]Segments!R84C4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84" s="17"/>
      </tp>
      <tp t="s">
        <v>#N/A N/A</v>
        <stp/>
        <stp>##V3_BDSV12</stp>
        <stp>SYK US Equity</stp>
        <stp>PG_DEPR_AMORTIZATION</stp>
        <stp>[Fundamental &amp; Technical Model (1).xlsm]Segments!R150C12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150" s="17"/>
      </tp>
      <tp t="s">
        <v>#N/A N/A</v>
        <stp/>
        <stp>##V3_BDSV12</stp>
        <stp>SYK US Equity</stp>
        <stp>PG_DEPR_AMORTIZATION</stp>
        <stp>[Fundamental &amp; Technical Model (1).xlsm]Segments!R150C11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150" s="17"/>
      </tp>
      <tp t="s">
        <v>#N/A N/A</v>
        <stp/>
        <stp>##V3_BDSV12</stp>
        <stp>SYK US Equity</stp>
        <stp>PG_DEPR_AMORTIZATION</stp>
        <stp>[Fundamental &amp; Technical Model (1).xlsm]Segments!R150C10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150" s="17"/>
      </tp>
      <tp>
        <v>108</v>
        <stp/>
        <stp>##V3_BQLV12</stp>
        <stp>[Fundamental &amp; Technical Model (1).xlsm]Income Statement!R33C11</stp>
        <stp>SYK US Equity</stp>
        <stp>IS_NET_INTEREST_EXPENSE/10^6</stp>
        <stp>FPT</stp>
        <stp>A</stp>
        <stp>FPO</stp>
        <stp>-3A</stp>
        <stp>STD</stp>
        <stp>Mixed</stp>
        <stp>CONSOL</stp>
        <stp>Yes</stp>
        <stp>CURRENCY</stp>
        <stp>USD</stp>
        <tr r="K33" s="2"/>
      </tp>
      <tp>
        <v>247</v>
        <stp/>
        <stp>##V3_BQLV12</stp>
        <stp>[Fundamental &amp; Technical Model (1).xlsm]Income Statement!R33C13</stp>
        <stp>SYK US Equity</stp>
        <stp>IS_NET_INTEREST_EXPENSE/10^6</stp>
        <stp>FPT</stp>
        <stp>A</stp>
        <stp>FPO</stp>
        <stp>-1A</stp>
        <stp>STD</stp>
        <stp>Mixed</stp>
        <stp>CONSOL</stp>
        <stp>Yes</stp>
        <stp>CURRENCY</stp>
        <stp>USD</stp>
        <tr r="M33" s="2"/>
      </tp>
      <tp>
        <v>228</v>
        <stp/>
        <stp>##V3_BQLV12</stp>
        <stp>[Fundamental &amp; Technical Model (1).xlsm]Income Statement!R33C12</stp>
        <stp>SYK US Equity</stp>
        <stp>IS_NET_INTEREST_EXPENSE/10^6</stp>
        <stp>FPT</stp>
        <stp>A</stp>
        <stp>FPO</stp>
        <stp>-2A</stp>
        <stp>STD</stp>
        <stp>Mixed</stp>
        <stp>CONSOL</stp>
        <stp>Yes</stp>
        <stp>CURRENCY</stp>
        <stp>USD</stp>
        <tr r="L33" s="2"/>
      </tp>
      <tp>
        <v>113</v>
        <stp/>
        <stp>##V3_BQLV12</stp>
        <stp>[Fundamental &amp; Technical Model (1).xlsm]Income Statement!R33C10</stp>
        <stp>SYK US Equity</stp>
        <stp>IS_NET_INTEREST_EXPENSE/10^6</stp>
        <stp>FPT</stp>
        <stp>A</stp>
        <stp>FPO</stp>
        <stp>-4A</stp>
        <stp>STD</stp>
        <stp>Mixed</stp>
        <stp>CONSOL</stp>
        <stp>Yes</stp>
        <stp>CURRENCY</stp>
        <stp>USD</stp>
        <tr r="J33" s="2"/>
      </tp>
      <tp>
        <v>264</v>
        <stp/>
        <stp>##V3_BQLV12</stp>
        <stp>[Fundamental &amp; Technical Model (1).xlsm]Income Statement!R33C14</stp>
        <stp>SYK US Equity</stp>
        <stp>IS_NET_INTEREST_EXPENSE/10^6</stp>
        <stp>FPT</stp>
        <stp>A</stp>
        <stp>FPO</stp>
        <stp>-0A</stp>
        <stp>STD</stp>
        <stp>Mixed</stp>
        <stp>CONSOL</stp>
        <stp>Yes</stp>
        <stp>CURRENCY</stp>
        <stp>USD</stp>
        <tr r="N33" s="2"/>
      </tp>
      <tp>
        <v>1</v>
        <stp/>
        <stp>##V3_BDPV12</stp>
        <stp>SYK US Equity</stp>
        <stp>BS_STOCK_OPTION_VAL_MODEL</stp>
        <stp>[Fundamental &amp; Technical Model (1).xlsm]Supplemental!R24C10</stp>
        <stp>EQY_FUND_RELATIVE_PERIOD</stp>
        <stp>-3FY</stp>
        <stp>EQY_FUND_CRNCY</stp>
        <stp>USD</stp>
        <stp>EQY_CONSOLIDATED</stp>
        <stp>Yes</stp>
        <stp>ACCOUNTING_STANDARD_OVERRIDE</stp>
        <stp>Mixed</stp>
        <stp>Fill=--</stp>
        <tr r="J24" s="19"/>
      </tp>
      <tp>
        <v>1</v>
        <stp/>
        <stp>##V3_BDPV12</stp>
        <stp>SYK US Equity</stp>
        <stp>BS_STOCK_OPTION_VAL_MODEL</stp>
        <stp>[Fundamental &amp; Technical Model (1).xlsm]Supplemental!R24C11</stp>
        <stp>EQY_FUND_RELATIVE_PERIOD</stp>
        <stp>-2FY</stp>
        <stp>EQY_FUND_CRNCY</stp>
        <stp>USD</stp>
        <stp>EQY_CONSOLIDATED</stp>
        <stp>Yes</stp>
        <stp>ACCOUNTING_STANDARD_OVERRIDE</stp>
        <stp>Mixed</stp>
        <stp>Fill=--</stp>
        <tr r="K24" s="19"/>
      </tp>
      <tp>
        <v>1</v>
        <stp/>
        <stp>##V3_BDPV12</stp>
        <stp>SYK US Equity</stp>
        <stp>BS_STOCK_OPTION_VAL_MODEL</stp>
        <stp>[Fundamental &amp; Technical Model (1).xlsm]Supplemental!R24C12</stp>
        <stp>EQY_FUND_RELATIVE_PERIOD</stp>
        <stp>-1FY</stp>
        <stp>EQY_FUND_CRNCY</stp>
        <stp>USD</stp>
        <stp>EQY_CONSOLIDATED</stp>
        <stp>Yes</stp>
        <stp>ACCOUNTING_STANDARD_OVERRIDE</stp>
        <stp>Mixed</stp>
        <stp>Fill=--</stp>
        <tr r="L24" s="19"/>
      </tp>
      <tp>
        <v>1</v>
        <stp/>
        <stp>##V3_BDPV12</stp>
        <stp>SYK US Equity</stp>
        <stp>BS_STOCK_OPTION_VAL_MODEL</stp>
        <stp>[Fundamental &amp; Technical Model (1).xlsm]Supplemental!R24C13</stp>
        <stp>EQY_FUND_RELATIVE_PERIOD</stp>
        <stp>-0FY</stp>
        <stp>EQY_FUND_CRNCY</stp>
        <stp>USD</stp>
        <stp>EQY_CONSOLIDATED</stp>
        <stp>Yes</stp>
        <stp>ACCOUNTING_STANDARD_OVERRIDE</stp>
        <stp>Mixed</stp>
        <stp>Fill=--</stp>
        <tr r="M24" s="19"/>
      </tp>
      <tp>
        <v>1.36</v>
        <stp/>
        <stp>##V3_BQLV12</stp>
        <stp>[Fundamental &amp; Technical Model (1).xlsm]Income Statement!R63C10</stp>
        <stp>SYK US Equity</stp>
        <stp>IS_EARN_BEF_XO_ITEMS_PER_SH</stp>
        <stp>FPT</stp>
        <stp>A</stp>
        <stp>FPO</stp>
        <stp>-4A</stp>
        <stp>STD</stp>
        <stp>Mixed</stp>
        <stp>CONSOL</stp>
        <stp>Yes</stp>
        <stp>CURRENCY</stp>
        <stp>USD</stp>
        <tr r="J63" s="2"/>
      </tp>
      <tp t="e">
        <v>#N/A</v>
        <stp/>
        <stp>##V3_BDHV12</stp>
        <stp>SYK US Equity</stp>
        <stp>EV_TO_T12M_SALES</stp>
        <stp>-9FY</stp>
        <stp>-9FY</stp>
        <stp>[Fundamental &amp; Technical Model (1).xlsm]Multiples!R15C4</stp>
        <stp>EQY_CONSOLIDATED</stp>
        <stp>Yes</stp>
        <stp>ACCOUNTING_STANDARD_OVERRIDE</stp>
        <stp>Mixed</stp>
        <stp>Per</stp>
        <stp>FY</stp>
        <stp>Days=A</stp>
        <tr r="D15" s="16"/>
        <tr r="D15" s="16"/>
      </tp>
      <tp>
        <v>748.2</v>
        <stp/>
        <stp>##V3_BDPV12</stp>
        <stp>EW Equity</stp>
        <stp>EBIT</stp>
        <stp>[Fundamental &amp; Technical Model (1).xlsm]Public Comparables!R12C12</stp>
        <tr r="L12" s="24"/>
      </tp>
      <tp>
        <v>42004</v>
        <stp/>
        <stp>##V3_BQLV12</stp>
        <stp>[Fundamental &amp; Technical Model (1).xlsm]Cash Flow!R14C10</stp>
        <stp>SYK US Equity</stp>
        <stp>IS_EPS().PERIOD_END_DATE</stp>
        <stp>FPT</stp>
        <stp>A</stp>
        <stp>FPO</stp>
        <stp>-4A</stp>
        <stp>STD</stp>
        <stp>Mixed</stp>
        <stp>CONSOL</stp>
        <stp>Yes</stp>
        <tr r="J14" s="4"/>
      </tp>
      <tp>
        <v>43465</v>
        <stp/>
        <stp>##V3_BQLV12</stp>
        <stp>[Fundamental &amp; Technical Model (1).xlsm]Cash Flow!R14C14</stp>
        <stp>SYK US Equity</stp>
        <stp>IS_EPS().PERIOD_END_DATE</stp>
        <stp>FPT</stp>
        <stp>A</stp>
        <stp>FPO</stp>
        <stp>-0A</stp>
        <stp>STD</stp>
        <stp>Mixed</stp>
        <stp>CONSOL</stp>
        <stp>Yes</stp>
        <tr r="N14" s="4"/>
      </tp>
      <tp t="s">
        <v>2011 A</v>
        <stp/>
        <stp>##V3_BQLV12</stp>
        <stp>[Fundamental &amp; Technical Model (1).xlsm]Balance Sheet!R13C7</stp>
        <stp>SYK US Equity</stp>
        <stp>IS_EPS().PERIOD</stp>
        <stp>FPT</stp>
        <stp>A</stp>
        <stp>FPO</stp>
        <stp>-7A</stp>
        <stp>STD</stp>
        <stp>Mixed</stp>
        <stp>CONSOL</stp>
        <stp>Yes</stp>
        <tr r="G13" s="3"/>
      </tp>
      <tp>
        <v>8.8920650566781667</v>
        <stp/>
        <stp>##V3_BQLV12</stp>
        <stp>[Fundamental &amp; Technical Model (1).xlsm]Ratios!R32C9</stp>
        <stp>SYK US Equity</stp>
        <stp>SALES_REV_TURN(FPO=-5A, FPT=A)/((BS_NET_FIX_ASSET(FPO=-5A)+BS_NET_FIX_ASSET(FPO=-6A))/2)</stp>
        <stp>FPT</stp>
        <stp>A</stp>
        <stp>STD</stp>
        <stp>Mixed</stp>
        <stp>CONSOL</stp>
        <stp>Yes</stp>
        <tr r="I32" s="8"/>
      </tp>
      <tp t="e">
        <v>#N/A</v>
        <stp/>
        <stp>##V3_BDHV12</stp>
        <stp>SYK US Equity</stp>
        <stp>LOW_CLOSING_PRICE_TO_BOOK_RATIO</stp>
        <stp>-4FY</stp>
        <stp>-4FY</stp>
        <stp>[Fundamental &amp; Technical Model (1).xlsm]Multiples!R42C9</stp>
        <stp>EQY_CONSOLIDATED</stp>
        <stp>Yes</stp>
        <stp>ACCOUNTING_STANDARD_OVERRIDE</stp>
        <stp>Mixed</stp>
        <stp>Per</stp>
        <stp>FY</stp>
        <stp>Days=A</stp>
        <tr r="I42" s="16"/>
        <tr r="I42" s="16"/>
      </tp>
      <tp t="s">
        <v>--</v>
        <stp/>
        <stp>##V3_BDPV12</stp>
        <stp>SYK US Equity</stp>
        <stp>BS_SECURED_DEBT</stp>
        <stp>[Fundamental &amp; Technical Model (1).xlsm]Capital Structure Summary!R53C3</stp>
        <stp>EQY_FUND_RELATIVE_PERIOD</stp>
        <stp>-4FY</stp>
        <stp>EQY_FUND_CRNCY</stp>
        <stp>USD</stp>
        <stp>EQY_CONSOLIDATED</stp>
        <stp>Yes</stp>
        <stp>ACCOUNTING_STANDARD_OVERRIDE</stp>
        <stp>Mixed</stp>
        <stp>Fill=--</stp>
        <tr r="C53" s="21"/>
      </tp>
      <tp t="s">
        <v>--</v>
        <stp/>
        <stp>##V3_BDPV12</stp>
        <stp>SYK US Equity</stp>
        <stp>BS_SECURED_DEBT</stp>
        <stp>[Fundamental &amp; Technical Model (1).xlsm]Capital Structure Summary!R53C5</stp>
        <stp>EQY_FUND_RELATIVE_PERIOD</stp>
        <stp>-3FY</stp>
        <stp>EQY_FUND_CRNCY</stp>
        <stp>USD</stp>
        <stp>EQY_CONSOLIDATED</stp>
        <stp>Yes</stp>
        <stp>ACCOUNTING_STANDARD_OVERRIDE</stp>
        <stp>Mixed</stp>
        <stp>Fill=--</stp>
        <tr r="E53" s="21"/>
      </tp>
      <tp t="s">
        <v>--</v>
        <stp/>
        <stp>##V3_BDPV12</stp>
        <stp>SYK US Equity</stp>
        <stp>BS_SECURED_DEBT</stp>
        <stp>[Fundamental &amp; Technical Model (1).xlsm]Capital Structure Summary!R53C7</stp>
        <stp>EQY_FUND_RELATIVE_PERIOD</stp>
        <stp>-2FY</stp>
        <stp>EQY_FUND_CRNCY</stp>
        <stp>USD</stp>
        <stp>EQY_CONSOLIDATED</stp>
        <stp>Yes</stp>
        <stp>ACCOUNTING_STANDARD_OVERRIDE</stp>
        <stp>Mixed</stp>
        <stp>Fill=--</stp>
        <tr r="G53" s="21"/>
      </tp>
      <tp>
        <v>0</v>
        <stp/>
        <stp>##V3_BDPV12</stp>
        <stp>SYK US Equity</stp>
        <stp>BS_TOT_COM_PAPER_ISSUED</stp>
        <stp>[Fundamental &amp; Technical Model (1).xlsm]Capital Structure Summary!R39C9</stp>
        <stp>EQY_FUND_RELATIVE_PERIOD</stp>
        <stp>-1FY</stp>
        <stp>EQY_FUND_CRNCY</stp>
        <stp>USD</stp>
        <stp>EQY_CONSOLIDATED</stp>
        <stp>Yes</stp>
        <stp>ACCOUNTING_STANDARD_OVERRIDE</stp>
        <stp>Mixed</stp>
        <stp>Fill=--</stp>
        <tr r="I39" s="21"/>
      </tp>
      <tp t="s">
        <v>12/31/2014</v>
        <stp/>
        <stp>##V3_BDPV12</stp>
        <stp>SYK US Equity</stp>
        <stp>LATEST_PERIOD_END_DT_FULL_RECORD</stp>
        <stp>[Fundamental &amp; Technical Model (1).xlsm]Segments!R29C10</stp>
        <stp>EQY_FUND_RELATIVE_PERIOD</stp>
        <stp>-4FY</stp>
        <stp>EQY_CONSOLIDATED</stp>
        <stp>Yes</stp>
        <tr r="J29" s="17"/>
        <tr r="J29" s="17"/>
      </tp>
      <tp t="s">
        <v>12/31/2018</v>
        <stp/>
        <stp>##V3_BDPV12</stp>
        <stp>SYK US Equity</stp>
        <stp>LATEST_PERIOD_END_DT_FULL_RECORD</stp>
        <stp>[Fundamental &amp; Technical Model (1).xlsm]Segments!R29C14</stp>
        <stp>EQY_FUND_RELATIVE_PERIOD</stp>
        <stp>-0FY</stp>
        <stp>EQY_CONSOLIDATED</stp>
        <stp>Yes</stp>
        <tr r="N29" s="17"/>
        <tr r="N29" s="17"/>
      </tp>
      <tp t="s">
        <v>12/31/2016</v>
        <stp/>
        <stp>##V3_BDPV12</stp>
        <stp>SYK US Equity</stp>
        <stp>LATEST_PERIOD_END_DT_FULL_RECORD</stp>
        <stp>[Fundamental &amp; Technical Model (1).xlsm]Segments!R29C12</stp>
        <stp>EQY_FUND_RELATIVE_PERIOD</stp>
        <stp>-2FY</stp>
        <stp>EQY_CONSOLIDATED</stp>
        <stp>Yes</stp>
        <tr r="L29" s="17"/>
        <tr r="L29" s="17"/>
      </tp>
      <tp t="s">
        <v>12/31/2015</v>
        <stp/>
        <stp>##V3_BDPV12</stp>
        <stp>SYK US Equity</stp>
        <stp>LATEST_PERIOD_END_DT_FULL_RECORD</stp>
        <stp>[Fundamental &amp; Technical Model (1).xlsm]Segments!R29C11</stp>
        <stp>EQY_FUND_RELATIVE_PERIOD</stp>
        <stp>-3FY</stp>
        <stp>EQY_CONSOLIDATED</stp>
        <stp>Yes</stp>
        <tr r="K29" s="17"/>
        <tr r="K29" s="17"/>
      </tp>
      <tp t="s">
        <v>12/31/2017</v>
        <stp/>
        <stp>##V3_BDPV12</stp>
        <stp>SYK US Equity</stp>
        <stp>LATEST_PERIOD_END_DT_FULL_RECORD</stp>
        <stp>[Fundamental &amp; Technical Model (1).xlsm]Segments!R29C13</stp>
        <stp>EQY_FUND_RELATIVE_PERIOD</stp>
        <stp>-1FY</stp>
        <stp>EQY_CONSOLIDATED</stp>
        <stp>Yes</stp>
        <tr r="M29" s="17"/>
        <tr r="M29" s="17"/>
      </tp>
      <tp>
        <v>36680.0719732</v>
        <stp/>
        <stp>##V3_BDPV12</stp>
        <stp>EW Equity</stp>
        <stp>curr_entp_val</stp>
        <stp>[Fundamental &amp; Technical Model (1).xlsm]Public Comparables!R12C9</stp>
        <tr r="I12" s="24"/>
      </tp>
      <tp t="e">
        <v>#N/A</v>
        <stp/>
        <stp>##V3_BDHV12</stp>
        <stp>SYK US Equity</stp>
        <stp>PX_ERN_RATIO_WITH_LOW_CLOS_PX</stp>
        <stp>-4FY</stp>
        <stp>-4FY</stp>
        <stp>[Fundamental &amp; Technical Model (1).xlsm]Multiples!R36C9</stp>
        <stp>EQY_CONSOLIDATED</stp>
        <stp>Yes</stp>
        <stp>ACCOUNTING_STANDARD_OVERRIDE</stp>
        <stp>Mixed</stp>
        <stp>Per</stp>
        <stp>FY</stp>
        <stp>Days=A</stp>
        <tr r="I36" s="16"/>
        <tr r="I36" s="16"/>
      </tp>
      <tp>
        <v>563</v>
        <stp/>
        <stp>##V3_BQLV12</stp>
        <stp>[Fundamental &amp; Technical Model (1).xlsm]Income Statement!R57C14</stp>
        <stp>SYK US Equity</stp>
        <stp>IS_ABNORMAL_ITEM/10^6</stp>
        <stp>FPT</stp>
        <stp>A</stp>
        <stp>FPO</stp>
        <stp>-0A</stp>
        <stp>STD</stp>
        <stp>Mixed</stp>
        <stp>CONSOL</stp>
        <stp>Yes</stp>
        <stp>CURRENCY</stp>
        <stp>USD</stp>
        <tr r="N57" s="2"/>
      </tp>
      <tp>
        <v>402</v>
        <stp/>
        <stp>##V3_BQLV12</stp>
        <stp>[Fundamental &amp; Technical Model (1).xlsm]Income Statement!R57C12</stp>
        <stp>SYK US Equity</stp>
        <stp>IS_ABNORMAL_ITEM/10^6</stp>
        <stp>FPT</stp>
        <stp>A</stp>
        <stp>FPO</stp>
        <stp>-2A</stp>
        <stp>STD</stp>
        <stp>Mixed</stp>
        <stp>CONSOL</stp>
        <stp>Yes</stp>
        <stp>CURRENCY</stp>
        <stp>USD</stp>
        <tr r="L57" s="2"/>
      </tp>
      <tp>
        <v>470</v>
        <stp/>
        <stp>##V3_BQLV12</stp>
        <stp>[Fundamental &amp; Technical Model (1).xlsm]Income Statement!R57C13</stp>
        <stp>SYK US Equity</stp>
        <stp>IS_ABNORMAL_ITEM/10^6</stp>
        <stp>FPT</stp>
        <stp>A</stp>
        <stp>FPO</stp>
        <stp>-1A</stp>
        <stp>STD</stp>
        <stp>Mixed</stp>
        <stp>CONSOL</stp>
        <stp>Yes</stp>
        <stp>CURRENCY</stp>
        <stp>USD</stp>
        <tr r="M57" s="2"/>
      </tp>
      <tp>
        <v>980</v>
        <stp/>
        <stp>##V3_BQLV12</stp>
        <stp>[Fundamental &amp; Technical Model (1).xlsm]Income Statement!R57C10</stp>
        <stp>SYK US Equity</stp>
        <stp>IS_ABNORMAL_ITEM/10^6</stp>
        <stp>FPT</stp>
        <stp>A</stp>
        <stp>FPO</stp>
        <stp>-4A</stp>
        <stp>STD</stp>
        <stp>Mixed</stp>
        <stp>CONSOL</stp>
        <stp>Yes</stp>
        <stp>CURRENCY</stp>
        <stp>USD</stp>
        <tr r="J57" s="2"/>
      </tp>
      <tp>
        <v>410</v>
        <stp/>
        <stp>##V3_BQLV12</stp>
        <stp>[Fundamental &amp; Technical Model (1).xlsm]Income Statement!R57C11</stp>
        <stp>SYK US Equity</stp>
        <stp>IS_ABNORMAL_ITEM/10^6</stp>
        <stp>FPT</stp>
        <stp>A</stp>
        <stp>FPO</stp>
        <stp>-3A</stp>
        <stp>STD</stp>
        <stp>Mixed</stp>
        <stp>CONSOL</stp>
        <stp>Yes</stp>
        <stp>CURRENCY</stp>
        <stp>USD</stp>
        <tr r="K57" s="2"/>
      </tp>
      <tp>
        <v>8.8802202845341895</v>
        <stp/>
        <stp>##V3_BQLV12</stp>
        <stp>[Fundamental &amp; Technical Model (1).xlsm]Ratios!R33C10</stp>
        <stp>SYK US Equity</stp>
        <stp>SALES_TO_NET_FIX_ASSET</stp>
        <stp>FPT</stp>
        <stp>A</stp>
        <stp>FPO</stp>
        <stp>-4A</stp>
        <stp>STD</stp>
        <stp>Mixed</stp>
        <stp>CONSOL</stp>
        <stp>Yes</stp>
        <tr r="J33" s="8"/>
      </tp>
      <tp>
        <v>200</v>
        <stp/>
        <stp>##V3_BDPV12</stp>
        <stp>SYK US Equity</stp>
        <stp>BS_TOT_COM_PAPER_ISSUED</stp>
        <stp>[Fundamental &amp; Technical Model (1).xlsm]Capital Structure Summary!R39C3</stp>
        <stp>EQY_FUND_RELATIVE_PERIOD</stp>
        <stp>-4FY</stp>
        <stp>EQY_FUND_CRNCY</stp>
        <stp>USD</stp>
        <stp>EQY_CONSOLIDATED</stp>
        <stp>Yes</stp>
        <stp>ACCOUNTING_STANDARD_OVERRIDE</stp>
        <stp>Mixed</stp>
        <stp>Fill=--</stp>
        <tr r="C39" s="21"/>
      </tp>
      <tp>
        <v>0</v>
        <stp/>
        <stp>##V3_BDPV12</stp>
        <stp>SYK US Equity</stp>
        <stp>BS_TOT_COM_PAPER_ISSUED</stp>
        <stp>[Fundamental &amp; Technical Model (1).xlsm]Capital Structure Summary!R39C5</stp>
        <stp>EQY_FUND_RELATIVE_PERIOD</stp>
        <stp>-3FY</stp>
        <stp>EQY_FUND_CRNCY</stp>
        <stp>USD</stp>
        <stp>EQY_CONSOLIDATED</stp>
        <stp>Yes</stp>
        <stp>ACCOUNTING_STANDARD_OVERRIDE</stp>
        <stp>Mixed</stp>
        <stp>Fill=--</stp>
        <tr r="E39" s="21"/>
      </tp>
      <tp>
        <v>200</v>
        <stp/>
        <stp>##V3_BDPV12</stp>
        <stp>SYK US Equity</stp>
        <stp>BS_TOT_COM_PAPER_ISSUED</stp>
        <stp>[Fundamental &amp; Technical Model (1).xlsm]Capital Structure Summary!R39C7</stp>
        <stp>EQY_FUND_RELATIVE_PERIOD</stp>
        <stp>-2FY</stp>
        <stp>EQY_FUND_CRNCY</stp>
        <stp>USD</stp>
        <stp>EQY_CONSOLIDATED</stp>
        <stp>Yes</stp>
        <stp>ACCOUNTING_STANDARD_OVERRIDE</stp>
        <stp>Mixed</stp>
        <stp>Fill=--</stp>
        <tr r="G39" s="21"/>
      </tp>
      <tp t="s">
        <v>--</v>
        <stp/>
        <stp>##V3_BDPV12</stp>
        <stp>SYK US Equity</stp>
        <stp>BS_SECURED_DEBT</stp>
        <stp>[Fundamental &amp; Technical Model (1).xlsm]Capital Structure Summary!R53C9</stp>
        <stp>EQY_FUND_RELATIVE_PERIOD</stp>
        <stp>-1FY</stp>
        <stp>EQY_FUND_CRNCY</stp>
        <stp>USD</stp>
        <stp>EQY_CONSOLIDATED</stp>
        <stp>Yes</stp>
        <stp>ACCOUNTING_STANDARD_OVERRIDE</stp>
        <stp>Mixed</stp>
        <stp>Fill=--</stp>
        <tr r="I53" s="21"/>
      </tp>
      <tp t="e">
        <v>#N/A</v>
        <stp/>
        <stp>##V3_BDHV12</stp>
        <stp>SYK US Equity</stp>
        <stp>AVERAGE_PRICE_TO_TANGIBLE_BPS</stp>
        <stp>-8FY</stp>
        <stp>-8FY</stp>
        <stp>[Fundamental &amp; Technical Model (1).xlsm]Multiples!R46C5</stp>
        <stp>EQY_CONSOLIDATED</stp>
        <stp>Yes</stp>
        <stp>ACCOUNTING_STANDARD_OVERRIDE</stp>
        <stp>Mixed</stp>
        <stp>Per</stp>
        <stp>FY</stp>
        <stp>Days=A</stp>
        <tr r="E46" s="16"/>
        <tr r="E46" s="16"/>
      </tp>
      <tp t="s">
        <v>USD</v>
        <stp/>
        <stp>##V3_BQLV12</stp>
        <stp>[Fundamental &amp; Technical Model (1).xlsm]Key Stats!R7C12</stp>
        <stp>SYK US Equity</stp>
        <stp>PX_LAST().CURRENCY</stp>
        <tr r="L7" s="23"/>
      </tp>
      <tp t="s">
        <v>#N/A N/A</v>
        <stp/>
        <stp>##V3_BDSV12</stp>
        <stp>SYK US Equity</stp>
        <stp>PG_DEPR_AMORTIZATION</stp>
        <stp>[Fundamental &amp; Technical Model (1).xlsm]Segments!R151C14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151" s="17"/>
      </tp>
      <tp t="s">
        <v>#N/A N/A</v>
        <stp/>
        <stp>##V3_BDSV12</stp>
        <stp>SYK US Equity</stp>
        <stp>PG_DEPR_AMORTIZATION</stp>
        <stp>[Fundamental &amp; Technical Model (1).xlsm]Segments!R151C12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151" s="17"/>
      </tp>
      <tp t="s">
        <v>#N/A N/A</v>
        <stp/>
        <stp>##V3_BDSV12</stp>
        <stp>SYK US Equity</stp>
        <stp>PG_OPERATING_INCOME</stp>
        <stp>[Fundamental &amp; Technical Model (1).xlsm]Segments!R84C5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84" s="17"/>
      </tp>
      <tp t="s">
        <v>#N/A N/A</v>
        <stp/>
        <stp>##V3_BDSV12</stp>
        <stp>SYK US Equity</stp>
        <stp>PG_DEPR_AMORTIZATION</stp>
        <stp>[Fundamental &amp; Technical Model (1).xlsm]Segments!R151C13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151" s="17"/>
      </tp>
      <tp t="s">
        <v>#N/A N/A</v>
        <stp/>
        <stp>##V3_BDSV12</stp>
        <stp>SYK US Equity</stp>
        <stp>PG_DEPR_AMORTIZATION</stp>
        <stp>[Fundamental &amp; Technical Model (1).xlsm]Segments!R151C10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151" s="17"/>
      </tp>
      <tp t="s">
        <v>#N/A N/A</v>
        <stp/>
        <stp>##V3_BDSV12</stp>
        <stp>SYK US Equity</stp>
        <stp>PG_DEPR_AMORTIZATION</stp>
        <stp>[Fundamental &amp; Technical Model (1).xlsm]Segments!R151C11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151" s="17"/>
      </tp>
      <tp t="e">
        <v>#N/A</v>
        <stp/>
        <stp>##V3_BDHV12</stp>
        <stp>SYK US Equity</stp>
        <stp>WACC_COST_DEBT</stp>
        <stp>-0FY</stp>
        <stp>-0FY</stp>
        <stp>[Fundamental &amp; Technical Model (1).xlsm]Capital Structure Summary!R18C11</stp>
        <stp>Per</stp>
        <stp>FY</stp>
        <tr r="K18" s="21"/>
      </tp>
      <tp>
        <v>3.82</v>
        <stp/>
        <stp>##V3_BQLV12</stp>
        <stp>[Fundamental &amp; Technical Model (1).xlsm]Income Statement!R63C11</stp>
        <stp>SYK US Equity</stp>
        <stp>IS_EARN_BEF_XO_ITEMS_PER_SH</stp>
        <stp>FPT</stp>
        <stp>A</stp>
        <stp>FPO</stp>
        <stp>-3A</stp>
        <stp>STD</stp>
        <stp>Mixed</stp>
        <stp>CONSOL</stp>
        <stp>Yes</stp>
        <stp>CURRENCY</stp>
        <stp>USD</stp>
        <tr r="K63" s="2"/>
      </tp>
      <tp t="e">
        <v>#N/A</v>
        <stp/>
        <stp>##V3_BDHV12</stp>
        <stp>SYK US Equity</stp>
        <stp>EV_TO_T12M_SALES</stp>
        <stp>-8FY</stp>
        <stp>-8FY</stp>
        <stp>[Fundamental &amp; Technical Model (1).xlsm]Multiples!R15C5</stp>
        <stp>EQY_CONSOLIDATED</stp>
        <stp>Yes</stp>
        <stp>ACCOUNTING_STANDARD_OVERRIDE</stp>
        <stp>Mixed</stp>
        <stp>Per</stp>
        <stp>FY</stp>
        <stp>Days=A</stp>
        <tr r="E15" s="16"/>
        <tr r="E15" s="16"/>
      </tp>
      <tp t="e">
        <v>#N/A</v>
        <stp/>
        <stp>##V3_BDHV12</stp>
        <stp>SYK US Equity</stp>
        <stp>LOW_CLOSING_PRICE_TO_BOOK_RATIO</stp>
        <stp>-5FY</stp>
        <stp>-5FY</stp>
        <stp>[Fundamental &amp; Technical Model (1).xlsm]Multiples!R42C8</stp>
        <stp>EQY_CONSOLIDATED</stp>
        <stp>Yes</stp>
        <stp>ACCOUNTING_STANDARD_OVERRIDE</stp>
        <stp>Mixed</stp>
        <stp>Per</stp>
        <stp>FY</stp>
        <stp>Days=A</stp>
        <tr r="H42" s="16"/>
        <tr r="H42" s="16"/>
      </tp>
      <tp t="s">
        <v>2012 A</v>
        <stp/>
        <stp>##V3_BQLV12</stp>
        <stp>[Fundamental &amp; Technical Model (1).xlsm]Balance Sheet!R13C8</stp>
        <stp>SYK US Equity</stp>
        <stp>IS_EPS().PERIOD</stp>
        <stp>FPT</stp>
        <stp>A</stp>
        <stp>FPO</stp>
        <stp>-6A</stp>
        <stp>STD</stp>
        <stp>Mixed</stp>
        <stp>CONSOL</stp>
        <stp>Yes</stp>
        <tr r="H13" s="3"/>
      </tp>
      <tp t="e">
        <v>#N/A</v>
        <stp/>
        <stp>##V3_BDHV12</stp>
        <stp>SYK US Equity</stp>
        <stp>AVERAGE_PRICE_TO_TANGIBLE_BPS</stp>
        <stp>-7FY</stp>
        <stp>-7FY</stp>
        <stp>[Fundamental &amp; Technical Model (1).xlsm]Multiples!R46C6</stp>
        <stp>EQY_CONSOLIDATED</stp>
        <stp>Yes</stp>
        <stp>ACCOUNTING_STANDARD_OVERRIDE</stp>
        <stp>Mixed</stp>
        <stp>Per</stp>
        <stp>FY</stp>
        <stp>Days=A</stp>
        <tr r="F46" s="16"/>
        <tr r="F46" s="16"/>
      </tp>
      <tp t="s">
        <v>#N/A N/A</v>
        <stp/>
        <stp>##V3_BDSV12</stp>
        <stp>SYK US Equity</stp>
        <stp>PG_DEPR_AMORTIZATION</stp>
        <stp>[Fundamental &amp; Technical Model (1).xlsm]Segments!R152C14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152" s="17"/>
      </tp>
      <tp t="s">
        <v>#N/A N/A</v>
        <stp/>
        <stp>##V3_BDSV12</stp>
        <stp>SYK US Equity</stp>
        <stp>PG_DEPR_AMORTIZATION</stp>
        <stp>[Fundamental &amp; Technical Model (1).xlsm]Segments!R152C11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152" s="17"/>
      </tp>
      <tp t="s">
        <v>#N/A N/A</v>
        <stp/>
        <stp>##V3_BDSV12</stp>
        <stp>SYK US Equity</stp>
        <stp>PG_OPERATING_INCOME</stp>
        <stp>[Fundamental &amp; Technical Model (1).xlsm]Segments!R84C6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84" s="17"/>
      </tp>
      <tp t="s">
        <v>#N/A N/A</v>
        <stp/>
        <stp>##V3_BDSV12</stp>
        <stp>SYK US Equity</stp>
        <stp>PG_DEPR_AMORTIZATION</stp>
        <stp>[Fundamental &amp; Technical Model (1).xlsm]Segments!R152C10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152" s="17"/>
      </tp>
      <tp t="s">
        <v>#N/A N/A</v>
        <stp/>
        <stp>##V3_BDSV12</stp>
        <stp>SYK US Equity</stp>
        <stp>PG_DEPR_AMORTIZATION</stp>
        <stp>[Fundamental &amp; Technical Model (1).xlsm]Segments!R152C13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152" s="17"/>
      </tp>
      <tp t="s">
        <v>#N/A N/A</v>
        <stp/>
        <stp>##V3_BDSV12</stp>
        <stp>SYK US Equity</stp>
        <stp>PG_DEPR_AMORTIZATION</stp>
        <stp>[Fundamental &amp; Technical Model (1).xlsm]Segments!R152C12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152" s="17"/>
      </tp>
      <tp>
        <v>2.63</v>
        <stp/>
        <stp>##V3_BQLV12</stp>
        <stp>[Fundamental &amp; Technical Model (1).xlsm]Income Statement!R66C9</stp>
        <stp>SYK US Equity</stp>
        <stp>IS_DILUTED_EPS</stp>
        <stp>FPT</stp>
        <stp>A</stp>
        <stp>FPO</stp>
        <stp>-5A</stp>
        <stp>STD</stp>
        <stp>Mixed</stp>
        <stp>CONSOL</stp>
        <stp>Yes</stp>
        <stp>CURRENCY</stp>
        <stp>USD</stp>
        <tr r="I66" s="2"/>
      </tp>
      <tp>
        <v>3.39</v>
        <stp/>
        <stp>##V3_BQLV12</stp>
        <stp>[Fundamental &amp; Technical Model (1).xlsm]Income Statement!R66C8</stp>
        <stp>SYK US Equity</stp>
        <stp>IS_DILUTED_EPS</stp>
        <stp>FPT</stp>
        <stp>A</stp>
        <stp>FPO</stp>
        <stp>-6A</stp>
        <stp>STD</stp>
        <stp>Mixed</stp>
        <stp>CONSOL</stp>
        <stp>Yes</stp>
        <stp>CURRENCY</stp>
        <stp>USD</stp>
        <tr r="H66" s="2"/>
      </tp>
      <tp>
        <v>4.4000000000000004</v>
        <stp/>
        <stp>##V3_BQLV12</stp>
        <stp>[Fundamental &amp; Technical Model (1).xlsm]Income Statement!R63C12</stp>
        <stp>SYK US Equity</stp>
        <stp>IS_EARN_BEF_XO_ITEMS_PER_SH</stp>
        <stp>FPT</stp>
        <stp>A</stp>
        <stp>FPO</stp>
        <stp>-2A</stp>
        <stp>STD</stp>
        <stp>Mixed</stp>
        <stp>CONSOL</stp>
        <stp>Yes</stp>
        <stp>CURRENCY</stp>
        <stp>USD</stp>
        <tr r="L63" s="2"/>
      </tp>
      <tp>
        <v>2.77</v>
        <stp/>
        <stp>##V3_BQLV12</stp>
        <stp>[Fundamental &amp; Technical Model (1).xlsm]Income Statement!R66C5</stp>
        <stp>SYK US Equity</stp>
        <stp>IS_DILUTED_EPS</stp>
        <stp>FPT</stp>
        <stp>A</stp>
        <stp>FPO</stp>
        <stp>-9A</stp>
        <stp>STD</stp>
        <stp>Mixed</stp>
        <stp>CONSOL</stp>
        <stp>Yes</stp>
        <stp>CURRENCY</stp>
        <stp>USD</stp>
        <tr r="E66" s="2"/>
      </tp>
      <tp>
        <v>3.45</v>
        <stp/>
        <stp>##V3_BQLV12</stp>
        <stp>[Fundamental &amp; Technical Model (1).xlsm]Income Statement!R66C7</stp>
        <stp>SYK US Equity</stp>
        <stp>IS_DILUTED_EPS</stp>
        <stp>FPT</stp>
        <stp>A</stp>
        <stp>FPO</stp>
        <stp>-7A</stp>
        <stp>STD</stp>
        <stp>Mixed</stp>
        <stp>CONSOL</stp>
        <stp>Yes</stp>
        <stp>CURRENCY</stp>
        <stp>USD</stp>
        <tr r="G66" s="2"/>
      </tp>
      <tp>
        <v>3.19</v>
        <stp/>
        <stp>##V3_BQLV12</stp>
        <stp>[Fundamental &amp; Technical Model (1).xlsm]Income Statement!R66C6</stp>
        <stp>SYK US Equity</stp>
        <stp>IS_DILUTED_EPS</stp>
        <stp>FPT</stp>
        <stp>A</stp>
        <stp>FPO</stp>
        <stp>-8A</stp>
        <stp>STD</stp>
        <stp>Mixed</stp>
        <stp>CONSOL</stp>
        <stp>Yes</stp>
        <stp>CURRENCY</stp>
        <stp>USD</stp>
        <tr r="F66" s="2"/>
      </tp>
      <tp>
        <v>1208</v>
        <stp/>
        <stp>##V3_BQLV12</stp>
        <stp>[Fundamental &amp; Technical Model (1).xlsm]Cash Flow!R51C7</stp>
        <stp>SYK US Equity</stp>
        <stp>CF_FREE_CASH_FLOW/10^6</stp>
        <stp>FPT</stp>
        <stp>A</stp>
        <stp>FPO</stp>
        <stp>-7A</stp>
        <stp>STD</stp>
        <stp>Mixed</stp>
        <stp>CONSOL</stp>
        <stp>Yes</stp>
        <stp>CURRENCY</stp>
        <stp>USD</stp>
        <tr r="G51" s="4"/>
      </tp>
      <tp>
        <v>1365</v>
        <stp/>
        <stp>##V3_BQLV12</stp>
        <stp>[Fundamental &amp; Technical Model (1).xlsm]Cash Flow!R51C6</stp>
        <stp>SYK US Equity</stp>
        <stp>CF_FREE_CASH_FLOW/10^6</stp>
        <stp>FPT</stp>
        <stp>A</stp>
        <stp>FPO</stp>
        <stp>-8A</stp>
        <stp>STD</stp>
        <stp>Mixed</stp>
        <stp>CONSOL</stp>
        <stp>Yes</stp>
        <stp>CURRENCY</stp>
        <stp>USD</stp>
        <tr r="F51" s="4"/>
      </tp>
      <tp>
        <v>1330</v>
        <stp/>
        <stp>##V3_BQLV12</stp>
        <stp>[Fundamental &amp; Technical Model (1).xlsm]Cash Flow!R51C5</stp>
        <stp>SYK US Equity</stp>
        <stp>CF_FREE_CASH_FLOW/10^6</stp>
        <stp>FPT</stp>
        <stp>A</stp>
        <stp>FPO</stp>
        <stp>-9A</stp>
        <stp>STD</stp>
        <stp>Mixed</stp>
        <stp>CONSOL</stp>
        <stp>Yes</stp>
        <stp>CURRENCY</stp>
        <stp>USD</stp>
        <tr r="E51" s="4"/>
      </tp>
      <tp t="e">
        <v>#N/A</v>
        <stp/>
        <stp>##V3_BDHV12</stp>
        <stp>SYK US Equity</stp>
        <stp>EV_TO_T12M_SALES</stp>
        <stp>-7FY</stp>
        <stp>-7FY</stp>
        <stp>[Fundamental &amp; Technical Model (1).xlsm]Multiples!R15C6</stp>
        <stp>EQY_CONSOLIDATED</stp>
        <stp>Yes</stp>
        <stp>ACCOUNTING_STANDARD_OVERRIDE</stp>
        <stp>Mixed</stp>
        <stp>Per</stp>
        <stp>FY</stp>
        <stp>Days=A</stp>
        <tr r="F15" s="16"/>
        <tr r="F15" s="16"/>
      </tp>
      <tp>
        <v>1691</v>
        <stp/>
        <stp>##V3_BQLV12</stp>
        <stp>[Fundamental &amp; Technical Model (1).xlsm]Cash Flow!R51C9</stp>
        <stp>SYK US Equity</stp>
        <stp>CF_FREE_CASH_FLOW/10^6</stp>
        <stp>FPT</stp>
        <stp>A</stp>
        <stp>FPO</stp>
        <stp>-5A</stp>
        <stp>STD</stp>
        <stp>Mixed</stp>
        <stp>CONSOL</stp>
        <stp>Yes</stp>
        <stp>CURRENCY</stp>
        <stp>USD</stp>
        <tr r="I51" s="4"/>
      </tp>
      <tp>
        <v>1447</v>
        <stp/>
        <stp>##V3_BQLV12</stp>
        <stp>[Fundamental &amp; Technical Model (1).xlsm]Cash Flow!R51C8</stp>
        <stp>SYK US Equity</stp>
        <stp>CF_FREE_CASH_FLOW/10^6</stp>
        <stp>FPT</stp>
        <stp>A</stp>
        <stp>FPO</stp>
        <stp>-6A</stp>
        <stp>STD</stp>
        <stp>Mixed</stp>
        <stp>CONSOL</stp>
        <stp>Yes</stp>
        <stp>CURRENCY</stp>
        <stp>USD</stp>
        <tr r="H51" s="4"/>
      </tp>
      <tp>
        <v>39</v>
        <stp/>
        <stp>##V3_BQLV12</stp>
        <stp>[Fundamental &amp; Technical Model (1).xlsm]Balance Sheet!R53C6</stp>
        <stp>SYK US Equity</stp>
        <stp>BS_COMMON_STOCK/10^6</stp>
        <stp>FPT</stp>
        <stp>A</stp>
        <stp>FPO</stp>
        <stp>-8A</stp>
        <stp>STD</stp>
        <stp>Mixed</stp>
        <stp>CONSOL</stp>
        <stp>Yes</stp>
        <stp>CURRENCY</stp>
        <stp>USD</stp>
        <tr r="F53" s="3"/>
      </tp>
      <tp>
        <v>38</v>
        <stp/>
        <stp>##V3_BQLV12</stp>
        <stp>[Fundamental &amp; Technical Model (1).xlsm]Balance Sheet!R53C8</stp>
        <stp>SYK US Equity</stp>
        <stp>BS_COMMON_STOCK/10^6</stp>
        <stp>FPT</stp>
        <stp>A</stp>
        <stp>FPO</stp>
        <stp>-6A</stp>
        <stp>STD</stp>
        <stp>Mixed</stp>
        <stp>CONSOL</stp>
        <stp>Yes</stp>
        <stp>CURRENCY</stp>
        <stp>USD</stp>
        <tr r="H53" s="3"/>
      </tp>
      <tp>
        <v>39.799999999999997</v>
        <stp/>
        <stp>##V3_BQLV12</stp>
        <stp>[Fundamental &amp; Technical Model (1).xlsm]Balance Sheet!R53C5</stp>
        <stp>SYK US Equity</stp>
        <stp>BS_COMMON_STOCK/10^6</stp>
        <stp>FPT</stp>
        <stp>A</stp>
        <stp>FPO</stp>
        <stp>-9A</stp>
        <stp>STD</stp>
        <stp>Mixed</stp>
        <stp>CONSOL</stp>
        <stp>Yes</stp>
        <stp>CURRENCY</stp>
        <stp>USD</stp>
        <tr r="E53" s="3"/>
      </tp>
      <tp>
        <v>38</v>
        <stp/>
        <stp>##V3_BQLV12</stp>
        <stp>[Fundamental &amp; Technical Model (1).xlsm]Balance Sheet!R53C9</stp>
        <stp>SYK US Equity</stp>
        <stp>BS_COMMON_STOCK/10^6</stp>
        <stp>FPT</stp>
        <stp>A</stp>
        <stp>FPO</stp>
        <stp>-5A</stp>
        <stp>STD</stp>
        <stp>Mixed</stp>
        <stp>CONSOL</stp>
        <stp>Yes</stp>
        <stp>CURRENCY</stp>
        <stp>USD</stp>
        <tr r="I53" s="3"/>
      </tp>
      <tp>
        <v>38</v>
        <stp/>
        <stp>##V3_BQLV12</stp>
        <stp>[Fundamental &amp; Technical Model (1).xlsm]Balance Sheet!R53C7</stp>
        <stp>SYK US Equity</stp>
        <stp>BS_COMMON_STOCK/10^6</stp>
        <stp>FPT</stp>
        <stp>A</stp>
        <stp>FPO</stp>
        <stp>-7A</stp>
        <stp>STD</stp>
        <stp>Mixed</stp>
        <stp>CONSOL</stp>
        <stp>Yes</stp>
        <stp>CURRENCY</stp>
        <stp>USD</stp>
        <tr r="G53" s="3"/>
      </tp>
      <tp t="s">
        <v>2011 Y</v>
        <stp/>
        <stp>##V3_BDPV12</stp>
        <stp>SYK US Equity</stp>
        <stp>FISCAL_YEAR_PERIOD</stp>
        <stp>[Fundamental &amp; Technical Model (1).xlsm]Multiples!R12C6</stp>
        <stp>EQY_FUND_RELATIVE_PERIOD</stp>
        <stp>-7FY</stp>
        <tr r="F12" s="16"/>
      </tp>
      <tp t="s">
        <v>2012 Y</v>
        <stp/>
        <stp>##V3_BDPV12</stp>
        <stp>SYK US Equity</stp>
        <stp>FISCAL_YEAR_PERIOD</stp>
        <stp>[Fundamental &amp; Technical Model (1).xlsm]Multiples!R12C7</stp>
        <stp>EQY_FUND_RELATIVE_PERIOD</stp>
        <stp>-6FY</stp>
        <tr r="G12" s="16"/>
      </tp>
      <tp>
        <v>9.4302832244008723</v>
        <stp/>
        <stp>##V3_BQLV12</stp>
        <stp>[Fundamental &amp; Technical Model (1).xlsm]Ratios!R32C8</stp>
        <stp>SYK US Equity</stp>
        <stp>SALES_REV_TURN(FPO=-6A, FPT=A)/((BS_NET_FIX_ASSET(FPO=-6A)+BS_NET_FIX_ASSET(FPO=-7A))/2)</stp>
        <stp>FPT</stp>
        <stp>A</stp>
        <stp>STD</stp>
        <stp>Mixed</stp>
        <stp>CONSOL</stp>
        <stp>Yes</stp>
        <tr r="H32" s="8"/>
      </tp>
      <tp t="s">
        <v>2013 A</v>
        <stp/>
        <stp>##V3_BQLV12</stp>
        <stp>[Fundamental &amp; Technical Model (1).xlsm]Balance Sheet!R13C9</stp>
        <stp>SYK US Equity</stp>
        <stp>IS_EPS().PERIOD</stp>
        <stp>FPT</stp>
        <stp>A</stp>
        <stp>FPO</stp>
        <stp>-5A</stp>
        <stp>STD</stp>
        <stp>Mixed</stp>
        <stp>CONSOL</stp>
        <stp>Yes</stp>
        <tr r="I13" s="3"/>
      </tp>
      <tp>
        <v>8.3868010999083413</v>
        <stp/>
        <stp>##V3_BQLV12</stp>
        <stp>[Fundamental &amp; Technical Model (1).xlsm]Ratios!R32C6</stp>
        <stp>SYK US Equity</stp>
        <stp>SALES_REV_TURN(FPO=-8A, FPT=A)/((BS_NET_FIX_ASSET(FPO=-8A)+BS_NET_FIX_ASSET(FPO=-9A))/2)</stp>
        <stp>FPT</stp>
        <stp>A</stp>
        <stp>STD</stp>
        <stp>Mixed</stp>
        <stp>CONSOL</stp>
        <stp>Yes</stp>
        <tr r="F32" s="8"/>
      </tp>
      <tp t="e">
        <v>#N/A</v>
        <stp/>
        <stp>##V3_BDHV12</stp>
        <stp>SYK US Equity</stp>
        <stp>AVERAGE_PRICE_TO_FREE_CASH_FLOW</stp>
        <stp>-5FY</stp>
        <stp>-5FY</stp>
        <stp>[Fundamental &amp; Technical Model (1).xlsm]Multiples!R58C8</stp>
        <stp>EQY_CONSOLIDATED</stp>
        <stp>Yes</stp>
        <stp>ACCOUNTING_STANDARD_OVERRIDE</stp>
        <stp>Mixed</stp>
        <stp>Per</stp>
        <stp>FY</stp>
        <stp>Days=A</stp>
        <tr r="H58" s="16"/>
        <tr r="H58" s="16"/>
      </tp>
      <tp>
        <v>22.623684210526321</v>
        <stp/>
        <stp>##V3_BQLV12</stp>
        <stp>[Fundamental &amp; Technical Model (1).xlsm]Balance Sheet!R65C8</stp>
        <stp>SYK US Equity</stp>
        <stp>BOOK_VAL_PER_SH</stp>
        <stp>FPT</stp>
        <stp>A</stp>
        <stp>FPO</stp>
        <stp>-6A</stp>
        <stp>STD</stp>
        <stp>Mixed</stp>
        <stp>CONSOL</stp>
        <stp>Yes</stp>
        <stp>CURRENCY</stp>
        <stp>USD</stp>
        <tr r="H65" s="3"/>
      </tp>
      <tp>
        <v>1594</v>
        <stp/>
        <stp>##V3_BDPV12</stp>
        <stp>SYK US Equity</stp>
        <stp>BS_DEBT_SCHEDULE_YR_2_3</stp>
        <stp>[Fundamental &amp; Technical Model (1).xlsm]Capital Structure Summary!R76C11</stp>
        <stp>EQY_FUND_RELATIVE_PERIOD</stp>
        <stp>-0FY</stp>
        <stp>EQY_FUND_CRNCY</stp>
        <stp>USD</stp>
        <stp>EQY_CONSOLIDATED</stp>
        <stp>Yes</stp>
        <stp>ACCOUNTING_STANDARD_OVERRIDE</stp>
        <stp>Mixed</stp>
        <stp>Fill=--</stp>
        <tr r="K76" s="21"/>
      </tp>
      <tp t="e">
        <v>#N/A</v>
        <stp/>
        <stp>##V3_BDHV12</stp>
        <stp>SYK US Equity</stp>
        <stp>AVERAGE_PRICE_TO_TANGIBLE_BPS</stp>
        <stp>-6FY</stp>
        <stp>-6FY</stp>
        <stp>[Fundamental &amp; Technical Model (1).xlsm]Multiples!R46C7</stp>
        <stp>EQY_CONSOLIDATED</stp>
        <stp>Yes</stp>
        <stp>ACCOUNTING_STANDARD_OVERRIDE</stp>
        <stp>Mixed</stp>
        <stp>Per</stp>
        <stp>FY</stp>
        <stp>Days=A</stp>
        <tr r="G46" s="16"/>
        <tr r="G46" s="16"/>
      </tp>
      <tp>
        <v>31.476021245010219</v>
        <stp/>
        <stp>##V3_BQLV12</stp>
        <stp>[Fundamental &amp; Technical Model (1).xlsm]Balance Sheet!R65C14</stp>
        <stp>SYK US Equity</stp>
        <stp>BOOK_VAL_PER_SH</stp>
        <stp>FPT</stp>
        <stp>A</stp>
        <stp>FPO</stp>
        <stp>-0A</stp>
        <stp>STD</stp>
        <stp>Mixed</stp>
        <stp>CONSOL</stp>
        <stp>Yes</stp>
        <stp>CURRENCY</stp>
        <stp>USD</stp>
        <tr r="N65" s="3"/>
      </tp>
      <tp t="s">
        <v>#N/A N/A</v>
        <stp/>
        <stp>##V3_BDSV12</stp>
        <stp>SYK US Equity</stp>
        <stp>PG_DEPR_AMORTIZATION</stp>
        <stp>[Fundamental &amp; Technical Model (1).xlsm]Segments!R153C14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153" s="17"/>
      </tp>
      <tp t="s">
        <v>#N/A N/A</v>
        <stp/>
        <stp>##V3_BDSV12</stp>
        <stp>SYK US Equity</stp>
        <stp>PG_DEPR_AMORTIZATION</stp>
        <stp>[Fundamental &amp; Technical Model (1).xlsm]Segments!R153C10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153" s="17"/>
      </tp>
      <tp t="s">
        <v>#N/A N/A</v>
        <stp/>
        <stp>##V3_BDSV12</stp>
        <stp>SYK US Equity</stp>
        <stp>PG_OPERATING_INCOME</stp>
        <stp>[Fundamental &amp; Technical Model (1).xlsm]Segments!R84C7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84" s="17"/>
      </tp>
      <tp t="s">
        <v>#N/A N/A</v>
        <stp/>
        <stp>##V3_BDSV12</stp>
        <stp>SYK US Equity</stp>
        <stp>PG_DEPR_AMORTIZATION</stp>
        <stp>[Fundamental &amp; Technical Model (1).xlsm]Segments!R153C11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153" s="17"/>
      </tp>
      <tp t="s">
        <v>#N/A N/A</v>
        <stp/>
        <stp>##V3_BDSV12</stp>
        <stp>SYK US Equity</stp>
        <stp>PG_DEPR_AMORTIZATION</stp>
        <stp>[Fundamental &amp; Technical Model (1).xlsm]Segments!R153C12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153" s="17"/>
      </tp>
      <tp t="s">
        <v>#N/A N/A</v>
        <stp/>
        <stp>##V3_BDSV12</stp>
        <stp>SYK US Equity</stp>
        <stp>PG_DEPR_AMORTIZATION</stp>
        <stp>[Fundamental &amp; Technical Model (1).xlsm]Segments!R153C13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153" s="17"/>
      </tp>
      <tp>
        <v>2.73</v>
        <stp/>
        <stp>##V3_BQLV12</stp>
        <stp>[Fundamental &amp; Technical Model (1).xlsm]Income Statement!R63C13</stp>
        <stp>SYK US Equity</stp>
        <stp>IS_EARN_BEF_XO_ITEMS_PER_SH</stp>
        <stp>FPT</stp>
        <stp>A</stp>
        <stp>FPO</stp>
        <stp>-1A</stp>
        <stp>STD</stp>
        <stp>Mixed</stp>
        <stp>CONSOL</stp>
        <stp>Yes</stp>
        <stp>CURRENCY</stp>
        <stp>USD</stp>
        <tr r="M63" s="2"/>
      </tp>
      <tp t="e">
        <v>#N/A</v>
        <stp/>
        <stp>##V3_BDHV12</stp>
        <stp>SYK US Equity</stp>
        <stp>EV_TO_T12M_SALES</stp>
        <stp>-6FY</stp>
        <stp>-6FY</stp>
        <stp>[Fundamental &amp; Technical Model (1).xlsm]Multiples!R15C7</stp>
        <stp>EQY_CONSOLIDATED</stp>
        <stp>Yes</stp>
        <stp>ACCOUNTING_STANDARD_OVERRIDE</stp>
        <stp>Mixed</stp>
        <stp>Per</stp>
        <stp>FY</stp>
        <stp>Days=A</stp>
        <tr r="G15" s="16"/>
        <tr r="G15" s="16"/>
      </tp>
      <tp>
        <v>-19.3</v>
        <stp/>
        <stp>##V3_BQLV12</stp>
        <stp>[Fundamental &amp; Technical Model (1).xlsm]Cash Flow!R32C4</stp>
        <stp>SYK US Equity</stp>
        <stp>CF_REIMB_LT_BORROW/10^6</stp>
        <stp>FPT</stp>
        <stp>A</stp>
        <stp>FPO</stp>
        <stp>-10A</stp>
        <stp>STD</stp>
        <stp>Mixed</stp>
        <stp>CONSOL</stp>
        <stp>Yes</stp>
        <stp>CURRENCY</stp>
        <stp>USD</stp>
        <tr r="D32" s="4"/>
      </tp>
      <tp t="e">
        <v>#N/A</v>
        <stp/>
        <stp>##V3_BDHV12</stp>
        <stp>SYK US Equity</stp>
        <stp>AVERAGE_PRICE_TO_FREE_CASH_FLOW</stp>
        <stp>-4FY</stp>
        <stp>-4FY</stp>
        <stp>[Fundamental &amp; Technical Model (1).xlsm]Multiples!R58C9</stp>
        <stp>EQY_CONSOLIDATED</stp>
        <stp>Yes</stp>
        <stp>ACCOUNTING_STANDARD_OVERRIDE</stp>
        <stp>Mixed</stp>
        <stp>Per</stp>
        <stp>FY</stp>
        <stp>Days=A</stp>
        <tr r="I58" s="16"/>
        <tr r="I58" s="16"/>
      </tp>
      <tp>
        <v>23.93386243386243</v>
        <stp/>
        <stp>##V3_BQLV12</stp>
        <stp>[Fundamental &amp; Technical Model (1).xlsm]Balance Sheet!R65C9</stp>
        <stp>SYK US Equity</stp>
        <stp>BOOK_VAL_PER_SH</stp>
        <stp>FPT</stp>
        <stp>A</stp>
        <stp>FPO</stp>
        <stp>-5A</stp>
        <stp>STD</stp>
        <stp>Mixed</stp>
        <stp>CONSOL</stp>
        <stp>Yes</stp>
        <stp>CURRENCY</stp>
        <stp>USD</stp>
        <tr r="I65" s="3"/>
      </tp>
      <tp t="s">
        <v>#N/A N/A</v>
        <stp/>
        <stp>##V3_BDSV12</stp>
        <stp>SYK US Equity</stp>
        <stp>PG_DEPR_AMORTIZATION</stp>
        <stp>[Fundamental &amp; Technical Model (1).xlsm]Segments!R148C3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148" s="17"/>
      </tp>
      <tp t="s">
        <v>#N/A N/A</v>
        <stp/>
        <stp>##V3_BDSV12</stp>
        <stp>SYK US Equity</stp>
        <stp>PG_DEPR_AMORTIZATION</stp>
        <stp>[Fundamental &amp; Technical Model (1).xlsm]Segments!R149C3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149" s="17"/>
      </tp>
      <tp t="s">
        <v>#N/A N/A</v>
        <stp/>
        <stp>##V3_BDSV12</stp>
        <stp>SYK US Equity</stp>
        <stp>PG_DEPR_AMORTIZATION</stp>
        <stp>[Fundamental &amp; Technical Model (1).xlsm]Segments!R147C9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147" s="17"/>
      </tp>
      <tp t="s">
        <v>#N/A N/A</v>
        <stp/>
        <stp>##V3_BDSV12</stp>
        <stp>SYK US Equity</stp>
        <stp>PG_DEPR_AMORTIZATION</stp>
        <stp>[Fundamental &amp; Technical Model (1).xlsm]Segments!R147C8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147" s="17"/>
      </tp>
      <tp t="s">
        <v>#N/A N/A</v>
        <stp/>
        <stp>##V3_BDSV12</stp>
        <stp>SYK US Equity</stp>
        <stp>PG_DEPR_AMORTIZATION</stp>
        <stp>[Fundamental &amp; Technical Model (1).xlsm]Segments!R149C9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149" s="17"/>
      </tp>
      <tp t="s">
        <v>#N/A N/A</v>
        <stp/>
        <stp>##V3_BDSV12</stp>
        <stp>SYK US Equity</stp>
        <stp>PG_DEPR_AMORTIZATION</stp>
        <stp>[Fundamental &amp; Technical Model (1).xlsm]Segments!R148C9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148" s="17"/>
      </tp>
      <tp>
        <v>7.0225733634311513</v>
        <stp/>
        <stp>##V3_BQLV12</stp>
        <stp>[Fundamental &amp; Technical Model (1).xlsm]Ratios!R33C13</stp>
        <stp>SYK US Equity</stp>
        <stp>SALES_TO_NET_FIX_ASSET</stp>
        <stp>FPT</stp>
        <stp>A</stp>
        <stp>FPO</stp>
        <stp>-1A</stp>
        <stp>STD</stp>
        <stp>Mixed</stp>
        <stp>CONSOL</stp>
        <stp>Yes</stp>
        <tr r="M33" s="8"/>
      </tp>
      <tp t="s">
        <v>#N/A N/A</v>
        <stp/>
        <stp>##V3_BDSV12</stp>
        <stp>SYK US Equity</stp>
        <stp>PG_DEPR_AMORTIZATION</stp>
        <stp>[Fundamental &amp; Technical Model (1).xlsm]Segments!R148C8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148" s="17"/>
      </tp>
      <tp t="s">
        <v>#N/A N/A</v>
        <stp/>
        <stp>##V3_BDSV12</stp>
        <stp>SYK US Equity</stp>
        <stp>PG_DEPR_AMORTIZATION</stp>
        <stp>[Fundamental &amp; Technical Model (1).xlsm]Segments!R149C8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149" s="17"/>
      </tp>
      <tp t="s">
        <v>#N/A N/A</v>
        <stp/>
        <stp>##V3_BDSV12</stp>
        <stp>SYK US Equity</stp>
        <stp>PG_DEPR_AMORTIZATION</stp>
        <stp>[Fundamental &amp; Technical Model (1).xlsm]Segments!R147C3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147" s="17"/>
      </tp>
      <tp t="s">
        <v>#N/A N/A</v>
        <stp/>
        <stp>##V3_BDSV12</stp>
        <stp>SYK US Equity</stp>
        <stp>PG_REVENUE</stp>
        <stp>[Fundamental &amp; Technical Model (1).xlsm]Segments!R38C14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38" s="17"/>
      </tp>
      <tp t="s">
        <v>#N/A N/A</v>
        <stp/>
        <stp>##V3_BDSV12</stp>
        <stp>SYK US Equity</stp>
        <stp>PG_DEPR_AMORTIZATION</stp>
        <stp>[Fundamental &amp; Technical Model (1).xlsm]Segments!R154C13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154" s="17"/>
      </tp>
      <tp t="s">
        <v>#N/A N/A</v>
        <stp/>
        <stp>##V3_BDSV12</stp>
        <stp>SYK US Equity</stp>
        <stp>PG_DEPR_AMORTIZATION</stp>
        <stp>[Fundamental &amp; Technical Model (1).xlsm]Segments!R154C12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154" s="17"/>
      </tp>
      <tp>
        <v>26.601391205248021</v>
        <stp/>
        <stp>##V3_BQLV12</stp>
        <stp>[Fundamental &amp; Technical Model (1).xlsm]Balance Sheet!R65C13</stp>
        <stp>SYK US Equity</stp>
        <stp>BOOK_VAL_PER_SH</stp>
        <stp>FPT</stp>
        <stp>A</stp>
        <stp>FPO</stp>
        <stp>-1A</stp>
        <stp>STD</stp>
        <stp>Mixed</stp>
        <stp>CONSOL</stp>
        <stp>Yes</stp>
        <stp>CURRENCY</stp>
        <stp>USD</stp>
        <tr r="M65" s="3"/>
      </tp>
      <tp t="s">
        <v>#N/A N/A</v>
        <stp/>
        <stp>##V3_BDSV12</stp>
        <stp>SYK US Equity</stp>
        <stp>PG_DEPR_AMORTIZATION</stp>
        <stp>[Fundamental &amp; Technical Model (1).xlsm]Segments!R154C11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154" s="17"/>
      </tp>
      <tp t="s">
        <v>#N/A N/A</v>
        <stp/>
        <stp>##V3_BDSV12</stp>
        <stp>SYK US Equity</stp>
        <stp>PG_DEPR_AMORTIZATION</stp>
        <stp>[Fundamental &amp; Technical Model (1).xlsm]Segments!R154C10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154" s="17"/>
      </tp>
      <tp t="s">
        <v>#N/A N/A</v>
        <stp/>
        <stp>##V3_BDSV12</stp>
        <stp>SYK US Equity</stp>
        <stp>PG_REVENUE</stp>
        <stp>[Fundamental &amp; Technical Model (1).xlsm]Segments!R38C10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38" s="17"/>
      </tp>
      <tp t="s">
        <v>#N/A N/A</v>
        <stp/>
        <stp>##V3_BDSV12</stp>
        <stp>SYK US Equity</stp>
        <stp>PG_REVENUE</stp>
        <stp>[Fundamental &amp; Technical Model (1).xlsm]Segments!R38C11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38" s="17"/>
      </tp>
      <tp t="s">
        <v>#N/A N/A</v>
        <stp/>
        <stp>##V3_BDSV12</stp>
        <stp>SYK US Equity</stp>
        <stp>PG_REVENUE</stp>
        <stp>[Fundamental &amp; Technical Model (1).xlsm]Segments!R38C12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38" s="17"/>
      </tp>
      <tp t="s">
        <v>#N/A N/A</v>
        <stp/>
        <stp>##V3_BDSV12</stp>
        <stp>SYK US Equity</stp>
        <stp>PG_REVENUE</stp>
        <stp>[Fundamental &amp; Technical Model (1).xlsm]Segments!R38C13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38" s="17"/>
      </tp>
      <tp t="s">
        <v>#N/A N/A</v>
        <stp/>
        <stp>##V3_BDSV12</stp>
        <stp>SYK US Equity</stp>
        <stp>PG_DEPR_AMORTIZATION</stp>
        <stp>[Fundamental &amp; Technical Model (1).xlsm]Segments!R154C14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154" s="17"/>
      </tp>
      <tp>
        <v>2788</v>
        <stp/>
        <stp>##V3_BDPV12</stp>
        <stp>SYK US Equity</stp>
        <stp>BS_OTHER_ST_LIAB</stp>
        <stp>[Fundamental &amp; Technical Model (1).xlsm]Balance Sheet!R41C7</stp>
        <stp>EQY_FUND_RELATIVE_PERIOD</stp>
        <stp>-7A</stp>
        <stp>EQY_FUND_CRNCY</stp>
        <stp>USD</stp>
        <stp>EQY_CONSOLIDATED</stp>
        <stp>Yes</stp>
        <stp>ACCOUNTING_STANDARD_OVERRIDE</stp>
        <stp>Mixed</stp>
        <stp>Fill=0</stp>
        <tr r="G41" s="3"/>
      </tp>
      <tp>
        <v>2788</v>
        <stp/>
        <stp>##V3_BDPV12</stp>
        <stp>SYK US Equity</stp>
        <stp>BS_OTHER_ST_LIAB</stp>
        <stp>[Fundamental &amp; Technical Model (1).xlsm]Balance Sheet!R41C6</stp>
        <stp>EQY_FUND_RELATIVE_PERIOD</stp>
        <stp>-8A</stp>
        <stp>EQY_FUND_CRNCY</stp>
        <stp>USD</stp>
        <stp>EQY_CONSOLIDATED</stp>
        <stp>Yes</stp>
        <stp>ACCOUNTING_STANDARD_OVERRIDE</stp>
        <stp>Mixed</stp>
        <stp>Fill=0</stp>
        <tr r="F41" s="3"/>
      </tp>
      <tp>
        <v>2788</v>
        <stp/>
        <stp>##V3_BDPV12</stp>
        <stp>SYK US Equity</stp>
        <stp>BS_OTHER_ST_LIAB</stp>
        <stp>[Fundamental &amp; Technical Model (1).xlsm]Balance Sheet!R41C8</stp>
        <stp>EQY_FUND_RELATIVE_PERIOD</stp>
        <stp>-6A</stp>
        <stp>EQY_FUND_CRNCY</stp>
        <stp>USD</stp>
        <stp>EQY_CONSOLIDATED</stp>
        <stp>Yes</stp>
        <stp>ACCOUNTING_STANDARD_OVERRIDE</stp>
        <stp>Mixed</stp>
        <stp>Fill=0</stp>
        <tr r="H41" s="3"/>
      </tp>
      <tp>
        <v>2788</v>
        <stp/>
        <stp>##V3_BDPV12</stp>
        <stp>SYK US Equity</stp>
        <stp>BS_OTHER_ST_LIAB</stp>
        <stp>[Fundamental &amp; Technical Model (1).xlsm]Balance Sheet!R41C5</stp>
        <stp>EQY_FUND_RELATIVE_PERIOD</stp>
        <stp>-9A</stp>
        <stp>EQY_FUND_CRNCY</stp>
        <stp>USD</stp>
        <stp>EQY_CONSOLIDATED</stp>
        <stp>Yes</stp>
        <stp>ACCOUNTING_STANDARD_OVERRIDE</stp>
        <stp>Mixed</stp>
        <stp>Fill=0</stp>
        <tr r="E41" s="3"/>
      </tp>
      <tp>
        <v>2788</v>
        <stp/>
        <stp>##V3_BDPV12</stp>
        <stp>SYK US Equity</stp>
        <stp>BS_OTHER_ST_LIAB</stp>
        <stp>[Fundamental &amp; Technical Model (1).xlsm]Balance Sheet!R41C9</stp>
        <stp>EQY_FUND_RELATIVE_PERIOD</stp>
        <stp>-5A</stp>
        <stp>EQY_FUND_CRNCY</stp>
        <stp>USD</stp>
        <stp>EQY_CONSOLIDATED</stp>
        <stp>Yes</stp>
        <stp>ACCOUNTING_STANDARD_OVERRIDE</stp>
        <stp>Mixed</stp>
        <stp>Fill=0</stp>
        <tr r="I41" s="3"/>
      </tp>
      <tp t="s">
        <v>#N/A</v>
        <stp/>
        <stp>##V3_BQLV12</stp>
        <stp>[Fundamental &amp; Technical Model (1).xlsm]Balance Sheet!R53C4</stp>
        <stp>SYK US Equity</stp>
        <stp>BS_COMMON_STOCK/10^6</stp>
        <stp>FPT</stp>
        <stp>A</stp>
        <stp>FPO</stp>
        <stp>-10A</stp>
        <stp>STD</stp>
        <stp>Mixed</stp>
        <stp>CONSOL</stp>
        <stp>Yes</stp>
        <stp>CURRENCY</stp>
        <stp>USD</stp>
        <tr r="D53" s="3"/>
      </tp>
      <tp>
        <v>7932.9</v>
        <stp/>
        <stp>##V3_BDPV12</stp>
        <stp>ZBH Equity</stp>
        <stp>sales_rev_turn</stp>
        <stp>[Fundamental &amp; Technical Model (1).xlsm]Public Comparables!R13C10</stp>
        <tr r="J13" s="24"/>
      </tp>
      <tp>
        <v>9.5</v>
        <stp/>
        <stp>##V3_BQLV12</stp>
        <stp>[Fundamental &amp; Technical Model (1).xlsm]Income Statement!R63C14</stp>
        <stp>SYK US Equity</stp>
        <stp>IS_EARN_BEF_XO_ITEMS_PER_SH</stp>
        <stp>FPT</stp>
        <stp>A</stp>
        <stp>FPO</stp>
        <stp>-0A</stp>
        <stp>STD</stp>
        <stp>Mixed</stp>
        <stp>CONSOL</stp>
        <stp>Yes</stp>
        <stp>CURRENCY</stp>
        <stp>USD</stp>
        <tr r="N63" s="2"/>
      </tp>
      <tp>
        <v>9675</v>
        <stp/>
        <stp>##V3_BDPV12</stp>
        <stp>SYK US Equity</stp>
        <stp>ARD_TOTAL_REVENUES</stp>
        <stp>[Fundamental &amp; Technical Model (1).xlsm]Income Statement!R79C10</stp>
        <stp>EQY FUND RELATIVE PERIOD</stp>
        <stp>-4FY</stp>
        <stp>EQY_FUND_CRNCY</stp>
        <stp>USD</stp>
        <stp>EQY_CONSOLIDATED</stp>
        <stp>Yes</stp>
        <stp>ACCOUNTING_STANDARD_OVERRIDE</stp>
        <stp>Mixed</stp>
        <stp>Fill=0</stp>
        <tr r="J79" s="2"/>
      </tp>
      <tp>
        <v>13601</v>
        <stp/>
        <stp>##V3_BDPV12</stp>
        <stp>SYK US Equity</stp>
        <stp>ARD_TOTAL_REVENUES</stp>
        <stp>[Fundamental &amp; Technical Model (1).xlsm]Income Statement!R79C14</stp>
        <stp>EQY FUND RELATIVE PERIOD</stp>
        <stp>-0FY</stp>
        <stp>EQY_FUND_CRNCY</stp>
        <stp>USD</stp>
        <stp>EQY_CONSOLIDATED</stp>
        <stp>Yes</stp>
        <stp>ACCOUNTING_STANDARD_OVERRIDE</stp>
        <stp>Mixed</stp>
        <stp>Fill=0</stp>
        <tr r="N79" s="2"/>
      </tp>
      <tp>
        <v>9946</v>
        <stp/>
        <stp>##V3_BDPV12</stp>
        <stp>SYK US Equity</stp>
        <stp>ARD_TOTAL_REVENUES</stp>
        <stp>[Fundamental &amp; Technical Model (1).xlsm]Income Statement!R79C11</stp>
        <stp>EQY FUND RELATIVE PERIOD</stp>
        <stp>-3FY</stp>
        <stp>EQY_FUND_CRNCY</stp>
        <stp>USD</stp>
        <stp>EQY_CONSOLIDATED</stp>
        <stp>Yes</stp>
        <stp>ACCOUNTING_STANDARD_OVERRIDE</stp>
        <stp>Mixed</stp>
        <stp>Fill=0</stp>
        <tr r="K79" s="2"/>
      </tp>
      <tp>
        <v>12444</v>
        <stp/>
        <stp>##V3_BDPV12</stp>
        <stp>SYK US Equity</stp>
        <stp>ARD_TOTAL_REVENUES</stp>
        <stp>[Fundamental &amp; Technical Model (1).xlsm]Income Statement!R79C13</stp>
        <stp>EQY FUND RELATIVE PERIOD</stp>
        <stp>-1FY</stp>
        <stp>EQY_FUND_CRNCY</stp>
        <stp>USD</stp>
        <stp>EQY_CONSOLIDATED</stp>
        <stp>Yes</stp>
        <stp>ACCOUNTING_STANDARD_OVERRIDE</stp>
        <stp>Mixed</stp>
        <stp>Fill=0</stp>
        <tr r="M79" s="2"/>
      </tp>
      <tp>
        <v>11325</v>
        <stp/>
        <stp>##V3_BDPV12</stp>
        <stp>SYK US Equity</stp>
        <stp>ARD_TOTAL_REVENUES</stp>
        <stp>[Fundamental &amp; Technical Model (1).xlsm]Income Statement!R79C12</stp>
        <stp>EQY FUND RELATIVE PERIOD</stp>
        <stp>-2FY</stp>
        <stp>EQY_FUND_CRNCY</stp>
        <stp>USD</stp>
        <stp>EQY_CONSOLIDATED</stp>
        <stp>Yes</stp>
        <stp>ACCOUNTING_STANDARD_OVERRIDE</stp>
        <stp>Mixed</stp>
        <stp>Fill=0</stp>
        <tr r="L79" s="2"/>
      </tp>
      <tp>
        <v>2781</v>
        <stp/>
        <stp>##V3_BQLV12</stp>
        <stp>[Fundamental &amp; Technical Model (1).xlsm]Income Statement!R20C8</stp>
        <stp>SYK US Equity</stp>
        <stp>IS_COGS_TO_FE_AND_PP_AND_G/10^6</stp>
        <stp>FPT</stp>
        <stp>A</stp>
        <stp>FPO</stp>
        <stp>-6A</stp>
        <stp>STD</stp>
        <stp>Mixed</stp>
        <stp>CONSOL</stp>
        <stp>Yes</stp>
        <stp>CURRENCY</stp>
        <stp>USD</stp>
        <tr r="H20" s="2"/>
      </tp>
      <tp t="s">
        <v>--</v>
        <stp/>
        <stp>##V3_BDPV12</stp>
        <stp>SYK US Equity</stp>
        <stp>BS_FIX_RT_DEBT</stp>
        <stp>[Fundamental &amp; Technical Model (1).xlsm]Capital Structure Summary!R54C9</stp>
        <stp>EQY_FUND_RELATIVE_PERIOD</stp>
        <stp>-1FY</stp>
        <stp>EQY_FUND_CRNCY</stp>
        <stp>USD</stp>
        <stp>EQY_CONSOLIDATED</stp>
        <stp>Yes</stp>
        <stp>ACCOUNTING_STANDARD_OVERRIDE</stp>
        <stp>Mixed</stp>
        <stp>Fill=--</stp>
        <tr r="I54" s="21"/>
      </tp>
      <tp t="s">
        <v>2012 A</v>
        <stp/>
        <stp>##V3_BQLV12</stp>
        <stp>[Fundamental &amp; Technical Model (1).xlsm]Ratios!R12C8</stp>
        <stp>SYK US Equity</stp>
        <stp>IS_EPS().PERIOD</stp>
        <stp>FPT</stp>
        <stp>A</stp>
        <stp>FPO</stp>
        <stp>-6A</stp>
        <stp>STD</stp>
        <stp>Mixed</stp>
        <stp>CONSOL</stp>
        <stp>Yes</stp>
        <tr r="H12" s="8"/>
      </tp>
      <tp t="s">
        <v>--</v>
        <stp/>
        <stp>##V3_BDPV12</stp>
        <stp>SYK US Equity</stp>
        <stp>BS_FIX_RT_DEBT</stp>
        <stp>[Fundamental &amp; Technical Model (1).xlsm]Capital Structure Summary!R54C5</stp>
        <stp>EQY_FUND_RELATIVE_PERIOD</stp>
        <stp>-3FY</stp>
        <stp>EQY_FUND_CRNCY</stp>
        <stp>USD</stp>
        <stp>EQY_CONSOLIDATED</stp>
        <stp>Yes</stp>
        <stp>ACCOUNTING_STANDARD_OVERRIDE</stp>
        <stp>Mixed</stp>
        <stp>Fill=--</stp>
        <tr r="E54" s="21"/>
      </tp>
      <tp t="s">
        <v>--</v>
        <stp/>
        <stp>##V3_BDPV12</stp>
        <stp>SYK US Equity</stp>
        <stp>BS_FIX_RT_DEBT</stp>
        <stp>[Fundamental &amp; Technical Model (1).xlsm]Capital Structure Summary!R54C3</stp>
        <stp>EQY_FUND_RELATIVE_PERIOD</stp>
        <stp>-4FY</stp>
        <stp>EQY_FUND_CRNCY</stp>
        <stp>USD</stp>
        <stp>EQY_CONSOLIDATED</stp>
        <stp>Yes</stp>
        <stp>ACCOUNTING_STANDARD_OVERRIDE</stp>
        <stp>Mixed</stp>
        <stp>Fill=--</stp>
        <tr r="C54" s="21"/>
      </tp>
      <tp>
        <v>2537</v>
        <stp/>
        <stp>##V3_BQLV12</stp>
        <stp>[Fundamental &amp; Technical Model (1).xlsm]Key Stats!R24C10</stp>
        <stp>SYK US Equity</stp>
        <stp>EBIT/10^6</stp>
        <stp>FPT</stp>
        <stp>A</stp>
        <stp>FPO</stp>
        <stp>-0A</stp>
        <stp>STD</stp>
        <stp>Mixed</stp>
        <stp>CONSOL</stp>
        <stp>Yes</stp>
        <stp>CURRENCY</stp>
        <stp>USD</stp>
        <tr r="J24" s="23"/>
      </tp>
      <tp t="s">
        <v>--</v>
        <stp/>
        <stp>##V3_BDPV12</stp>
        <stp>SYK US Equity</stp>
        <stp>BS_FIX_RT_DEBT</stp>
        <stp>[Fundamental &amp; Technical Model (1).xlsm]Capital Structure Summary!R54C7</stp>
        <stp>EQY_FUND_RELATIVE_PERIOD</stp>
        <stp>-2FY</stp>
        <stp>EQY_FUND_CRNCY</stp>
        <stp>USD</stp>
        <stp>EQY_CONSOLIDATED</stp>
        <stp>Yes</stp>
        <stp>ACCOUNTING_STANDARD_OVERRIDE</stp>
        <stp>Mixed</stp>
        <stp>Fill=--</stp>
        <tr r="G54" s="21"/>
      </tp>
      <tp>
        <v>197.86</v>
        <stp/>
        <stp>##V3_BDPV12</stp>
        <stp>EW Equity</stp>
        <stp>high_52week</stp>
        <stp>[Fundamental &amp; Technical Model (1).xlsm]Public Comparables!R12C6</stp>
        <tr r="F12" s="24"/>
      </tp>
      <tp>
        <v>42735</v>
        <stp/>
        <stp>##V3_BQLV12</stp>
        <stp>[Fundamental &amp; Technical Model (1).xlsm]Cash Flow!R14C12</stp>
        <stp>SYK US Equity</stp>
        <stp>IS_EPS().PERIOD_END_DATE</stp>
        <stp>FPT</stp>
        <stp>A</stp>
        <stp>FPO</stp>
        <stp>-2A</stp>
        <stp>STD</stp>
        <stp>Mixed</stp>
        <stp>CONSOL</stp>
        <stp>Yes</stp>
        <tr r="L14" s="4"/>
      </tp>
      <tp>
        <v>1751</v>
        <stp/>
        <stp>##V3_BQLV12</stp>
        <stp>[Fundamental &amp; Technical Model (1).xlsm]Income Statement!R29C6</stp>
        <stp>SYK US Equity</stp>
        <stp>IS_OPER_INC/10^6</stp>
        <stp>FPT</stp>
        <stp>A</stp>
        <stp>FPO</stp>
        <stp>-8A</stp>
        <stp>STD</stp>
        <stp>Mixed</stp>
        <stp>CONSOL</stp>
        <stp>Yes</stp>
        <stp>CURRENCY</stp>
        <stp>USD</stp>
        <tr r="F29" s="2"/>
      </tp>
      <tp>
        <v>1741</v>
        <stp/>
        <stp>##V3_BQLV12</stp>
        <stp>[Fundamental &amp; Technical Model (1).xlsm]Income Statement!R29C8</stp>
        <stp>SYK US Equity</stp>
        <stp>IS_OPER_INC/10^6</stp>
        <stp>FPT</stp>
        <stp>A</stp>
        <stp>FPO</stp>
        <stp>-6A</stp>
        <stp>STD</stp>
        <stp>Mixed</stp>
        <stp>CONSOL</stp>
        <stp>Yes</stp>
        <stp>CURRENCY</stp>
        <stp>USD</stp>
        <tr r="H29" s="2"/>
      </tp>
      <tp>
        <v>1594</v>
        <stp/>
        <stp>##V3_BQLV12</stp>
        <stp>[Fundamental &amp; Technical Model (1).xlsm]Income Statement!R29C5</stp>
        <stp>SYK US Equity</stp>
        <stp>IS_OPER_INC/10^6</stp>
        <stp>FPT</stp>
        <stp>A</stp>
        <stp>FPO</stp>
        <stp>-9A</stp>
        <stp>STD</stp>
        <stp>Mixed</stp>
        <stp>CONSOL</stp>
        <stp>Yes</stp>
        <stp>CURRENCY</stp>
        <stp>USD</stp>
        <tr r="E29" s="2"/>
      </tp>
      <tp>
        <v>1256</v>
        <stp/>
        <stp>##V3_BQLV12</stp>
        <stp>[Fundamental &amp; Technical Model (1).xlsm]Income Statement!R29C9</stp>
        <stp>SYK US Equity</stp>
        <stp>IS_OPER_INC/10^6</stp>
        <stp>FPT</stp>
        <stp>A</stp>
        <stp>FPO</stp>
        <stp>-5A</stp>
        <stp>STD</stp>
        <stp>Mixed</stp>
        <stp>CONSOL</stp>
        <stp>Yes</stp>
        <stp>CURRENCY</stp>
        <stp>USD</stp>
        <tr r="I29" s="2"/>
      </tp>
      <tp>
        <v>1686</v>
        <stp/>
        <stp>##V3_BQLV12</stp>
        <stp>[Fundamental &amp; Technical Model (1).xlsm]Income Statement!R29C7</stp>
        <stp>SYK US Equity</stp>
        <stp>IS_OPER_INC/10^6</stp>
        <stp>FPT</stp>
        <stp>A</stp>
        <stp>FPO</stp>
        <stp>-7A</stp>
        <stp>STD</stp>
        <stp>Mixed</stp>
        <stp>CONSOL</stp>
        <stp>Yes</stp>
        <stp>CURRENCY</stp>
        <stp>USD</stp>
        <tr r="G29" s="2"/>
      </tp>
      <tp>
        <v>1751</v>
        <stp/>
        <stp>##V3_BQLV12</stp>
        <stp>[Fundamental &amp; Technical Model (1).xlsm]Income Statement!R26C6</stp>
        <stp>SYK US Equity</stp>
        <stp>IS_OPER_INC/10^6</stp>
        <stp>FPT</stp>
        <stp>A</stp>
        <stp>FPO</stp>
        <stp>-8A</stp>
        <stp>STD</stp>
        <stp>Mixed</stp>
        <stp>CONSOL</stp>
        <stp>Yes</stp>
        <stp>CURRENCY</stp>
        <stp>USD</stp>
        <tr r="F26" s="2"/>
      </tp>
      <tp>
        <v>1741</v>
        <stp/>
        <stp>##V3_BQLV12</stp>
        <stp>[Fundamental &amp; Technical Model (1).xlsm]Income Statement!R26C8</stp>
        <stp>SYK US Equity</stp>
        <stp>IS_OPER_INC/10^6</stp>
        <stp>FPT</stp>
        <stp>A</stp>
        <stp>FPO</stp>
        <stp>-6A</stp>
        <stp>STD</stp>
        <stp>Mixed</stp>
        <stp>CONSOL</stp>
        <stp>Yes</stp>
        <stp>CURRENCY</stp>
        <stp>USD</stp>
        <tr r="H26" s="2"/>
      </tp>
      <tp>
        <v>1594</v>
        <stp/>
        <stp>##V3_BQLV12</stp>
        <stp>[Fundamental &amp; Technical Model (1).xlsm]Income Statement!R26C5</stp>
        <stp>SYK US Equity</stp>
        <stp>IS_OPER_INC/10^6</stp>
        <stp>FPT</stp>
        <stp>A</stp>
        <stp>FPO</stp>
        <stp>-9A</stp>
        <stp>STD</stp>
        <stp>Mixed</stp>
        <stp>CONSOL</stp>
        <stp>Yes</stp>
        <stp>CURRENCY</stp>
        <stp>USD</stp>
        <tr r="E26" s="2"/>
      </tp>
      <tp>
        <v>1256</v>
        <stp/>
        <stp>##V3_BQLV12</stp>
        <stp>[Fundamental &amp; Technical Model (1).xlsm]Income Statement!R26C9</stp>
        <stp>SYK US Equity</stp>
        <stp>IS_OPER_INC/10^6</stp>
        <stp>FPT</stp>
        <stp>A</stp>
        <stp>FPO</stp>
        <stp>-5A</stp>
        <stp>STD</stp>
        <stp>Mixed</stp>
        <stp>CONSOL</stp>
        <stp>Yes</stp>
        <stp>CURRENCY</stp>
        <stp>USD</stp>
        <tr r="I26" s="2"/>
      </tp>
      <tp>
        <v>1686</v>
        <stp/>
        <stp>##V3_BQLV12</stp>
        <stp>[Fundamental &amp; Technical Model (1).xlsm]Income Statement!R26C7</stp>
        <stp>SYK US Equity</stp>
        <stp>IS_OPER_INC/10^6</stp>
        <stp>FPT</stp>
        <stp>A</stp>
        <stp>FPO</stp>
        <stp>-7A</stp>
        <stp>STD</stp>
        <stp>Mixed</stp>
        <stp>CONSOL</stp>
        <stp>Yes</stp>
        <stp>CURRENCY</stp>
        <stp>USD</stp>
        <tr r="G26" s="2"/>
      </tp>
      <tp>
        <v>2707</v>
        <stp/>
        <stp>##V3_BQLV12</stp>
        <stp>[Fundamental &amp; Technical Model (1).xlsm]Income Statement!R23C6</stp>
        <stp>SYK US Equity</stp>
        <stp>IS_SG_AND_A_EXPENSE/10^6</stp>
        <stp>FPT</stp>
        <stp>A</stp>
        <stp>FPO</stp>
        <stp>-8A</stp>
        <stp>STD</stp>
        <stp>Mixed</stp>
        <stp>CONSOL</stp>
        <stp>Yes</stp>
        <stp>CURRENCY</stp>
        <stp>USD</stp>
        <tr r="F23" s="2"/>
      </tp>
      <tp>
        <v>3367</v>
        <stp/>
        <stp>##V3_BQLV12</stp>
        <stp>[Fundamental &amp; Technical Model (1).xlsm]Income Statement!R23C8</stp>
        <stp>SYK US Equity</stp>
        <stp>IS_SG_AND_A_EXPENSE/10^6</stp>
        <stp>FPT</stp>
        <stp>A</stp>
        <stp>FPO</stp>
        <stp>-6A</stp>
        <stp>STD</stp>
        <stp>Mixed</stp>
        <stp>CONSOL</stp>
        <stp>Yes</stp>
        <stp>CURRENCY</stp>
        <stp>USD</stp>
        <tr r="H23" s="2"/>
      </tp>
      <tp>
        <v>2506</v>
        <stp/>
        <stp>##V3_BQLV12</stp>
        <stp>[Fundamental &amp; Technical Model (1).xlsm]Income Statement!R23C5</stp>
        <stp>SYK US Equity</stp>
        <stp>IS_SG_AND_A_EXPENSE/10^6</stp>
        <stp>FPT</stp>
        <stp>A</stp>
        <stp>FPO</stp>
        <stp>-9A</stp>
        <stp>STD</stp>
        <stp>Mixed</stp>
        <stp>CONSOL</stp>
        <stp>Yes</stp>
        <stp>CURRENCY</stp>
        <stp>USD</stp>
        <tr r="E23" s="2"/>
      </tp>
      <tp>
        <v>3467</v>
        <stp/>
        <stp>##V3_BQLV12</stp>
        <stp>[Fundamental &amp; Technical Model (1).xlsm]Income Statement!R23C9</stp>
        <stp>SYK US Equity</stp>
        <stp>IS_SG_AND_A_EXPENSE/10^6</stp>
        <stp>FPT</stp>
        <stp>A</stp>
        <stp>FPO</stp>
        <stp>-5A</stp>
        <stp>STD</stp>
        <stp>Mixed</stp>
        <stp>CONSOL</stp>
        <stp>Yes</stp>
        <stp>CURRENCY</stp>
        <stp>USD</stp>
        <tr r="I23" s="2"/>
      </tp>
      <tp>
        <v>3150</v>
        <stp/>
        <stp>##V3_BQLV12</stp>
        <stp>[Fundamental &amp; Technical Model (1).xlsm]Income Statement!R23C7</stp>
        <stp>SYK US Equity</stp>
        <stp>IS_SG_AND_A_EXPENSE/10^6</stp>
        <stp>FPT</stp>
        <stp>A</stp>
        <stp>FPO</stp>
        <stp>-7A</stp>
        <stp>STD</stp>
        <stp>Mixed</stp>
        <stp>CONSOL</stp>
        <stp>Yes</stp>
        <stp>CURRENCY</stp>
        <stp>USD</stp>
        <tr r="G23" s="2"/>
      </tp>
      <tp>
        <v>2224</v>
        <stp/>
        <stp>##V3_BDPV12</stp>
        <stp>SYK US Equity</stp>
        <stp>BS_DEBT_SCHEDULE_YR_2_5</stp>
        <stp>[Fundamental &amp; Technical Model (1).xlsm]Capital Structure Summary!R78C11</stp>
        <stp>EQY_FUND_RELATIVE_PERIOD</stp>
        <stp>-0FY</stp>
        <stp>EQY_FUND_CRNCY</stp>
        <stp>USD</stp>
        <stp>EQY_CONSOLIDATED</stp>
        <stp>Yes</stp>
        <stp>ACCOUNTING_STANDARD_OVERRIDE</stp>
        <stp>Mixed</stp>
        <stp>Fill=--</stp>
        <tr r="K78" s="21"/>
      </tp>
      <tp>
        <v>630</v>
        <stp/>
        <stp>##V3_BDPV12</stp>
        <stp>SYK US Equity</stp>
        <stp>BS_DEBT_SCHEDULE_YR_4_5</stp>
        <stp>[Fundamental &amp; Technical Model (1).xlsm]Capital Structure Summary!R77C11</stp>
        <stp>EQY_FUND_RELATIVE_PERIOD</stp>
        <stp>-0FY</stp>
        <stp>EQY_FUND_CRNCY</stp>
        <stp>USD</stp>
        <stp>EQY_CONSOLIDATED</stp>
        <stp>Yes</stp>
        <stp>ACCOUNTING_STANDARD_OVERRIDE</stp>
        <stp>Mixed</stp>
        <stp>Fill=--</stp>
        <tr r="K77" s="21"/>
      </tp>
      <tp>
        <v>-0.83733333333333337</v>
        <stp/>
        <stp>##V3_BQLV12</stp>
        <stp>[Fundamental &amp; Technical Model (1).xlsm]Balance Sheet!R67C12</stp>
        <stp>SYK US Equity</stp>
        <stp>TANG_BOOK_VAL_PER_SH</stp>
        <stp>FPT</stp>
        <stp>A</stp>
        <stp>FPO</stp>
        <stp>-2A</stp>
        <stp>STD</stp>
        <stp>Mixed</stp>
        <stp>CONSOL</stp>
        <stp>Yes</stp>
        <stp>CURRENCY</stp>
        <stp>USD</stp>
        <tr r="L67" s="3"/>
      </tp>
      <tp>
        <v>6.9195710455764079</v>
        <stp/>
        <stp>##V3_BQLV12</stp>
        <stp>[Fundamental &amp; Technical Model (1).xlsm]Balance Sheet!R67C11</stp>
        <stp>SYK US Equity</stp>
        <stp>TANG_BOOK_VAL_PER_SH</stp>
        <stp>FPT</stp>
        <stp>A</stp>
        <stp>FPO</stp>
        <stp>-3A</stp>
        <stp>STD</stp>
        <stp>Mixed</stp>
        <stp>CONSOL</stp>
        <stp>Yes</stp>
        <stp>CURRENCY</stp>
        <stp>USD</stp>
        <tr r="K67" s="3"/>
      </tp>
      <tp>
        <v>-1.8123966113148107</v>
        <stp/>
        <stp>##V3_BQLV12</stp>
        <stp>[Fundamental &amp; Technical Model (1).xlsm]Balance Sheet!R67C13</stp>
        <stp>SYK US Equity</stp>
        <stp>TANG_BOOK_VAL_PER_SH</stp>
        <stp>FPT</stp>
        <stp>A</stp>
        <stp>FPO</stp>
        <stp>-1A</stp>
        <stp>STD</stp>
        <stp>Mixed</stp>
        <stp>CONSOL</stp>
        <stp>Yes</stp>
        <stp>CURRENCY</stp>
        <stp>USD</stp>
        <tr r="M67" s="3"/>
      </tp>
      <tp>
        <v>6.3253968253968251</v>
        <stp/>
        <stp>##V3_BQLV12</stp>
        <stp>[Fundamental &amp; Technical Model (1).xlsm]Balance Sheet!R67C10</stp>
        <stp>SYK US Equity</stp>
        <stp>TANG_BOOK_VAL_PER_SH</stp>
        <stp>FPT</stp>
        <stp>A</stp>
        <stp>FPO</stp>
        <stp>-4A</stp>
        <stp>STD</stp>
        <stp>Mixed</stp>
        <stp>CONSOL</stp>
        <stp>Yes</stp>
        <stp>CURRENCY</stp>
        <stp>USD</stp>
        <tr r="J67" s="3"/>
      </tp>
      <tp>
        <v>-2.6726442591671082</v>
        <stp/>
        <stp>##V3_BQLV12</stp>
        <stp>[Fundamental &amp; Technical Model (1).xlsm]Balance Sheet!R67C14</stp>
        <stp>SYK US Equity</stp>
        <stp>TANG_BOOK_VAL_PER_SH</stp>
        <stp>FPT</stp>
        <stp>A</stp>
        <stp>FPO</stp>
        <stp>-0A</stp>
        <stp>STD</stp>
        <stp>Mixed</stp>
        <stp>CONSOL</stp>
        <stp>Yes</stp>
        <stp>CURRENCY</stp>
        <stp>USD</stp>
        <tr r="N67" s="3"/>
      </tp>
      <tp t="s">
        <v>#N/A N/A</v>
        <stp/>
        <stp>##V3_BDSV12</stp>
        <stp>SYK US Equity</stp>
        <stp>PG_DEPR_AMORTIZATION</stp>
        <stp>[Fundamental &amp; Technical Model (1).xlsm]Segments!R153C9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153" s="17"/>
      </tp>
      <tp t="s">
        <v>#N/A N/A</v>
        <stp/>
        <stp>##V3_BDSV12</stp>
        <stp>SYK US Equity</stp>
        <stp>PG_DEPR_AMORTIZATION</stp>
        <stp>[Fundamental &amp; Technical Model (1).xlsm]Segments!R152C9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152" s="17"/>
      </tp>
      <tp t="s">
        <v>#N/A N/A</v>
        <stp/>
        <stp>##V3_BDSV12</stp>
        <stp>SYK US Equity</stp>
        <stp>PG_DEPR_AMORTIZATION</stp>
        <stp>[Fundamental &amp; Technical Model (1).xlsm]Segments!R151C9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151" s="17"/>
      </tp>
      <tp t="s">
        <v>#N/A N/A</v>
        <stp/>
        <stp>##V3_BDSV12</stp>
        <stp>SYK US Equity</stp>
        <stp>PG_DEPR_AMORTIZATION</stp>
        <stp>[Fundamental &amp; Technical Model (1).xlsm]Segments!R150C9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150" s="17"/>
      </tp>
      <tp t="s">
        <v>#N/A N/A</v>
        <stp/>
        <stp>##V3_BDSV12</stp>
        <stp>SYK US Equity</stp>
        <stp>PG_DEPR_AMORTIZATION</stp>
        <stp>[Fundamental &amp; Technical Model (1).xlsm]Segments!R154C3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154" s="17"/>
      </tp>
      <tp t="s">
        <v>#N/A N/A</v>
        <stp/>
        <stp>##V3_BDSV12</stp>
        <stp>SYK US Equity</stp>
        <stp>PG_DEPR_AMORTIZATION</stp>
        <stp>[Fundamental &amp; Technical Model (1).xlsm]Segments!R155C3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155" s="17"/>
      </tp>
      <tp t="s">
        <v>#N/A N/A</v>
        <stp/>
        <stp>##V3_BDSV12</stp>
        <stp>SYK US Equity</stp>
        <stp>PG_DEPR_AMORTIZATION</stp>
        <stp>[Fundamental &amp; Technical Model (1).xlsm]Segments!R152C8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152" s="17"/>
      </tp>
      <tp t="s">
        <v>#N/A N/A</v>
        <stp/>
        <stp>##V3_BDSV12</stp>
        <stp>SYK US Equity</stp>
        <stp>PG_DEPR_AMORTIZATION</stp>
        <stp>[Fundamental &amp; Technical Model (1).xlsm]Segments!R153C8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153" s="17"/>
      </tp>
      <tp t="s">
        <v>#N/A N/A</v>
        <stp/>
        <stp>##V3_BDSV12</stp>
        <stp>SYK US Equity</stp>
        <stp>PG_DEPR_AMORTIZATION</stp>
        <stp>[Fundamental &amp; Technical Model (1).xlsm]Segments!R150C8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150" s="17"/>
      </tp>
      <tp t="s">
        <v>#N/A N/A</v>
        <stp/>
        <stp>##V3_BDSV12</stp>
        <stp>SYK US Equity</stp>
        <stp>PG_DEPR_AMORTIZATION</stp>
        <stp>[Fundamental &amp; Technical Model (1).xlsm]Segments!R151C8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151" s="17"/>
      </tp>
      <tp>
        <v>6.376465072667604</v>
        <stp/>
        <stp>##V3_BQLV12</stp>
        <stp>[Fundamental &amp; Technical Model (1).xlsm]Ratios!R33C14</stp>
        <stp>SYK US Equity</stp>
        <stp>SALES_TO_NET_FIX_ASSET</stp>
        <stp>FPT</stp>
        <stp>A</stp>
        <stp>FPO</stp>
        <stp>-0A</stp>
        <stp>STD</stp>
        <stp>Mixed</stp>
        <stp>CONSOL</stp>
        <stp>Yes</stp>
        <tr r="N33" s="8"/>
      </tp>
      <tp t="s">
        <v>#N/A N/A</v>
        <stp/>
        <stp>##V3_BDSV12</stp>
        <stp>SYK US Equity</stp>
        <stp>PG_DEPR_AMORTIZATION</stp>
        <stp>[Fundamental &amp; Technical Model (1).xlsm]Segments!R155C9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155" s="17"/>
      </tp>
      <tp t="s">
        <v>#N/A N/A</v>
        <stp/>
        <stp>##V3_BDSV12</stp>
        <stp>SYK US Equity</stp>
        <stp>PG_DEPR_AMORTIZATION</stp>
        <stp>[Fundamental &amp; Technical Model (1).xlsm]Segments!R154C9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154" s="17"/>
      </tp>
      <tp t="s">
        <v>#N/A N/A</v>
        <stp/>
        <stp>##V3_BDSV12</stp>
        <stp>SYK US Equity</stp>
        <stp>PG_DEPR_AMORTIZATION</stp>
        <stp>[Fundamental &amp; Technical Model (1).xlsm]Segments!R154C8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154" s="17"/>
      </tp>
      <tp t="s">
        <v>#N/A N/A</v>
        <stp/>
        <stp>##V3_BDSV12</stp>
        <stp>SYK US Equity</stp>
        <stp>PG_DEPR_AMORTIZATION</stp>
        <stp>[Fundamental &amp; Technical Model (1).xlsm]Segments!R155C8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155" s="17"/>
      </tp>
      <tp t="s">
        <v>#N/A N/A</v>
        <stp/>
        <stp>##V3_BDSV12</stp>
        <stp>SYK US Equity</stp>
        <stp>PG_DEPR_AMORTIZATION</stp>
        <stp>[Fundamental &amp; Technical Model (1).xlsm]Segments!R152C3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152" s="17"/>
      </tp>
      <tp t="s">
        <v>#N/A N/A</v>
        <stp/>
        <stp>##V3_BDSV12</stp>
        <stp>SYK US Equity</stp>
        <stp>PG_DEPR_AMORTIZATION</stp>
        <stp>[Fundamental &amp; Technical Model (1).xlsm]Segments!R153C3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153" s="17"/>
      </tp>
      <tp t="s">
        <v>#N/A N/A</v>
        <stp/>
        <stp>##V3_BDSV12</stp>
        <stp>SYK US Equity</stp>
        <stp>PG_DEPR_AMORTIZATION</stp>
        <stp>[Fundamental &amp; Technical Model (1).xlsm]Segments!R150C3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150" s="17"/>
      </tp>
      <tp t="s">
        <v>#N/A N/A</v>
        <stp/>
        <stp>##V3_BDSV12</stp>
        <stp>SYK US Equity</stp>
        <stp>PG_DEPR_AMORTIZATION</stp>
        <stp>[Fundamental &amp; Technical Model (1).xlsm]Segments!R151C3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151" s="17"/>
      </tp>
      <tp t="s">
        <v>#N/A N/A</v>
        <stp/>
        <stp>##V3_BDSV12</stp>
        <stp>SYK US Equity</stp>
        <stp>PG_DEPR_AMORTIZATION</stp>
        <stp>[Fundamental &amp; Technical Model (1).xlsm]Segments!R155C12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155" s="17"/>
      </tp>
      <tp t="s">
        <v>#N/A N/A</v>
        <stp/>
        <stp>##V3_BDSV12</stp>
        <stp>SYK US Equity</stp>
        <stp>PG_REVENUE</stp>
        <stp>[Fundamental &amp; Technical Model (1).xlsm]Segments!R39C14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39" s="17"/>
      </tp>
      <tp t="s">
        <v>#N/A N/A</v>
        <stp/>
        <stp>##V3_BDSV12</stp>
        <stp>SYK US Equity</stp>
        <stp>PG_DEPR_AMORTIZATION</stp>
        <stp>[Fundamental &amp; Technical Model (1).xlsm]Segments!R155C13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155" s="17"/>
      </tp>
      <tp>
        <v>25.466666666666669</v>
        <stp/>
        <stp>##V3_BQLV12</stp>
        <stp>[Fundamental &amp; Technical Model (1).xlsm]Balance Sheet!R65C12</stp>
        <stp>SYK US Equity</stp>
        <stp>BOOK_VAL_PER_SH</stp>
        <stp>FPT</stp>
        <stp>A</stp>
        <stp>FPO</stp>
        <stp>-2A</stp>
        <stp>STD</stp>
        <stp>Mixed</stp>
        <stp>CONSOL</stp>
        <stp>Yes</stp>
        <stp>CURRENCY</stp>
        <stp>USD</stp>
        <tr r="L65" s="3"/>
      </tp>
      <tp t="s">
        <v>#N/A N/A</v>
        <stp/>
        <stp>##V3_BDSV12</stp>
        <stp>SYK US Equity</stp>
        <stp>PG_DEPR_AMORTIZATION</stp>
        <stp>[Fundamental &amp; Technical Model (1).xlsm]Segments!R155C10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155" s="17"/>
      </tp>
      <tp t="s">
        <v>#N/A N/A</v>
        <stp/>
        <stp>##V3_BDSV12</stp>
        <stp>SYK US Equity</stp>
        <stp>PG_DEPR_AMORTIZATION</stp>
        <stp>[Fundamental &amp; Technical Model (1).xlsm]Segments!R155C11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155" s="17"/>
      </tp>
      <tp t="s">
        <v>#N/A N/A</v>
        <stp/>
        <stp>##V3_BDSV12</stp>
        <stp>SYK US Equity</stp>
        <stp>PG_REVENUE</stp>
        <stp>[Fundamental &amp; Technical Model (1).xlsm]Segments!R39C11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39" s="17"/>
      </tp>
      <tp t="s">
        <v>#N/A N/A</v>
        <stp/>
        <stp>##V3_BDSV12</stp>
        <stp>SYK US Equity</stp>
        <stp>PG_REVENUE</stp>
        <stp>[Fundamental &amp; Technical Model (1).xlsm]Segments!R39C10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39" s="17"/>
      </tp>
      <tp t="s">
        <v>#N/A N/A</v>
        <stp/>
        <stp>##V3_BDSV12</stp>
        <stp>SYK US Equity</stp>
        <stp>PG_REVENUE</stp>
        <stp>[Fundamental &amp; Technical Model (1).xlsm]Segments!R39C13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39" s="17"/>
      </tp>
      <tp t="s">
        <v>#N/A N/A</v>
        <stp/>
        <stp>##V3_BDSV12</stp>
        <stp>SYK US Equity</stp>
        <stp>PG_DEPR_AMORTIZATION</stp>
        <stp>[Fundamental &amp; Technical Model (1).xlsm]Segments!R155C14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155" s="17"/>
      </tp>
      <tp t="s">
        <v>#N/A N/A</v>
        <stp/>
        <stp>##V3_BDSV12</stp>
        <stp>SYK US Equity</stp>
        <stp>PG_REVENUE</stp>
        <stp>[Fundamental &amp; Technical Model (1).xlsm]Segments!R39C12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39" s="17"/>
      </tp>
      <tp>
        <v>1624</v>
        <stp/>
        <stp>##V3_BQLV12</stp>
        <stp>[Fundamental &amp; Technical Model (1).xlsm]Income Statement!R44C5</stp>
        <stp>SYK US Equity</stp>
        <stp>PRETAX_INC/10^6</stp>
        <stp>FPT</stp>
        <stp>A</stp>
        <stp>FPO</stp>
        <stp>-9A</stp>
        <stp>STD</stp>
        <stp>Mixed</stp>
        <stp>CONSOL</stp>
        <stp>Yes</stp>
        <stp>CURRENCY</stp>
        <stp>USD</stp>
        <tr r="E44" s="2"/>
      </tp>
      <tp>
        <v>3002</v>
        <stp/>
        <stp>##V3_BQLV12</stp>
        <stp>[Fundamental &amp; Technical Model (1).xlsm]Income Statement!R20C9</stp>
        <stp>SYK US Equity</stp>
        <stp>IS_COGS_TO_FE_AND_PP_AND_G/10^6</stp>
        <stp>FPT</stp>
        <stp>A</stp>
        <stp>FPO</stp>
        <stp>-5A</stp>
        <stp>STD</stp>
        <stp>Mixed</stp>
        <stp>CONSOL</stp>
        <stp>Yes</stp>
        <stp>CURRENCY</stp>
        <stp>USD</stp>
        <tr r="I20" s="2"/>
      </tp>
      <tp>
        <v>15</v>
        <stp/>
        <stp>##V3_BQLV12</stp>
        <stp>[Fundamental &amp; Technical Model (1).xlsm]Income Statement!R57C5</stp>
        <stp>SYK US Equity</stp>
        <stp>IS_ABNORMAL_ITEM/10^6</stp>
        <stp>FPT</stp>
        <stp>A</stp>
        <stp>FPO</stp>
        <stp>-9A</stp>
        <stp>STD</stp>
        <stp>Mixed</stp>
        <stp>CONSOL</stp>
        <stp>Yes</stp>
        <stp>CURRENCY</stp>
        <stp>USD</stp>
        <tr r="E57" s="2"/>
      </tp>
      <tp>
        <v>117</v>
        <stp/>
        <stp>##V3_BQLV12</stp>
        <stp>[Fundamental &amp; Technical Model (1).xlsm]Income Statement!R57C6</stp>
        <stp>SYK US Equity</stp>
        <stp>IS_ABNORMAL_ITEM/10^6</stp>
        <stp>FPT</stp>
        <stp>A</stp>
        <stp>FPO</stp>
        <stp>-8A</stp>
        <stp>STD</stp>
        <stp>Mixed</stp>
        <stp>CONSOL</stp>
        <stp>Yes</stp>
        <stp>CURRENCY</stp>
        <stp>USD</stp>
        <tr r="F57" s="2"/>
      </tp>
      <tp>
        <v>286</v>
        <stp/>
        <stp>##V3_BQLV12</stp>
        <stp>[Fundamental &amp; Technical Model (1).xlsm]Income Statement!R57C7</stp>
        <stp>SYK US Equity</stp>
        <stp>IS_ABNORMAL_ITEM/10^6</stp>
        <stp>FPT</stp>
        <stp>A</stp>
        <stp>FPO</stp>
        <stp>-7A</stp>
        <stp>STD</stp>
        <stp>Mixed</stp>
        <stp>CONSOL</stp>
        <stp>Yes</stp>
        <stp>CURRENCY</stp>
        <stp>USD</stp>
        <tr r="G57" s="2"/>
      </tp>
      <tp>
        <v>385</v>
        <stp/>
        <stp>##V3_BQLV12</stp>
        <stp>[Fundamental &amp; Technical Model (1).xlsm]Income Statement!R57C8</stp>
        <stp>SYK US Equity</stp>
        <stp>IS_ABNORMAL_ITEM/10^6</stp>
        <stp>FPT</stp>
        <stp>A</stp>
        <stp>FPO</stp>
        <stp>-6A</stp>
        <stp>STD</stp>
        <stp>Mixed</stp>
        <stp>CONSOL</stp>
        <stp>Yes</stp>
        <stp>CURRENCY</stp>
        <stp>USD</stp>
        <tr r="H57" s="2"/>
      </tp>
      <tp>
        <v>850</v>
        <stp/>
        <stp>##V3_BQLV12</stp>
        <stp>[Fundamental &amp; Technical Model (1).xlsm]Income Statement!R57C9</stp>
        <stp>SYK US Equity</stp>
        <stp>IS_ABNORMAL_ITEM/10^6</stp>
        <stp>FPT</stp>
        <stp>A</stp>
        <stp>FPO</stp>
        <stp>-5A</stp>
        <stp>STD</stp>
        <stp>Mixed</stp>
        <stp>CONSOL</stp>
        <stp>Yes</stp>
        <stp>CURRENCY</stp>
        <stp>USD</stp>
        <tr r="I57" s="2"/>
      </tp>
      <tp t="s">
        <v>2011 A</v>
        <stp/>
        <stp>##V3_BQLV12</stp>
        <stp>[Fundamental &amp; Technical Model (1).xlsm]Ratios!R12C7</stp>
        <stp>SYK US Equity</stp>
        <stp>IS_EPS().PERIOD</stp>
        <stp>FPT</stp>
        <stp>A</stp>
        <stp>FPO</stp>
        <stp>-7A</stp>
        <stp>STD</stp>
        <stp>Mixed</stp>
        <stp>CONSOL</stp>
        <stp>Yes</stp>
        <tr r="G12" s="8"/>
      </tp>
      <tp>
        <v>-20</v>
        <stp/>
        <stp>##V3_BQLV12</stp>
        <stp>[Fundamental &amp; Technical Model (1).xlsm]Cash Flow!R32C5</stp>
        <stp>SYK US Equity</stp>
        <stp>CF_REIMB_LT_BORROW/10^6</stp>
        <stp>FPT</stp>
        <stp>A</stp>
        <stp>FPO</stp>
        <stp>-9A</stp>
        <stp>STD</stp>
        <stp>Mixed</stp>
        <stp>CONSOL</stp>
        <stp>Yes</stp>
        <stp>CURRENCY</stp>
        <stp>USD</stp>
        <tr r="E32" s="4"/>
      </tp>
      <tp t="s">
        <v>#N/A</v>
        <stp/>
        <stp>##V3_BQLV12</stp>
        <stp>[Fundamental &amp; Technical Model (1).xlsm]Income Statement!R39C7</stp>
        <stp>SYK US Equity</stp>
        <stp>IS_IMPAIRMENT_GOODWILL_INTANGIBL/10^6</stp>
        <stp>FPT</stp>
        <stp>A</stp>
        <stp>FPO</stp>
        <stp>-7A</stp>
        <stp>STD</stp>
        <stp>Mixed</stp>
        <stp>CONSOL</stp>
        <stp>Yes</stp>
        <stp>CURRENCY</stp>
        <stp>USD</stp>
        <tr r="G39" s="2"/>
      </tp>
      <tp t="s">
        <v>#N/A</v>
        <stp/>
        <stp>##V3_BQLV12</stp>
        <stp>[Fundamental &amp; Technical Model (1).xlsm]Income Statement!R39C6</stp>
        <stp>SYK US Equity</stp>
        <stp>IS_IMPAIRMENT_GOODWILL_INTANGIBL/10^6</stp>
        <stp>FPT</stp>
        <stp>A</stp>
        <stp>FPO</stp>
        <stp>-8A</stp>
        <stp>STD</stp>
        <stp>Mixed</stp>
        <stp>CONSOL</stp>
        <stp>Yes</stp>
        <stp>CURRENCY</stp>
        <stp>USD</stp>
        <tr r="F39" s="2"/>
      </tp>
      <tp t="s">
        <v>#N/A</v>
        <stp/>
        <stp>##V3_BQLV12</stp>
        <stp>[Fundamental &amp; Technical Model (1).xlsm]Income Statement!R39C5</stp>
        <stp>SYK US Equity</stp>
        <stp>IS_IMPAIRMENT_GOODWILL_INTANGIBL/10^6</stp>
        <stp>FPT</stp>
        <stp>A</stp>
        <stp>FPO</stp>
        <stp>-9A</stp>
        <stp>STD</stp>
        <stp>Mixed</stp>
        <stp>CONSOL</stp>
        <stp>Yes</stp>
        <stp>CURRENCY</stp>
        <stp>USD</stp>
        <tr r="E39" s="2"/>
      </tp>
      <tp t="s">
        <v>#N/A</v>
        <stp/>
        <stp>##V3_BQLV12</stp>
        <stp>[Fundamental &amp; Technical Model (1).xlsm]Income Statement!R39C9</stp>
        <stp>SYK US Equity</stp>
        <stp>IS_IMPAIRMENT_GOODWILL_INTANGIBL/10^6</stp>
        <stp>FPT</stp>
        <stp>A</stp>
        <stp>FPO</stp>
        <stp>-5A</stp>
        <stp>STD</stp>
        <stp>Mixed</stp>
        <stp>CONSOL</stp>
        <stp>Yes</stp>
        <stp>CURRENCY</stp>
        <stp>USD</stp>
        <tr r="I39" s="2"/>
      </tp>
      <tp t="s">
        <v>#N/A</v>
        <stp/>
        <stp>##V3_BQLV12</stp>
        <stp>[Fundamental &amp; Technical Model (1).xlsm]Income Statement!R39C8</stp>
        <stp>SYK US Equity</stp>
        <stp>IS_IMPAIRMENT_GOODWILL_INTANGIBL/10^6</stp>
        <stp>FPT</stp>
        <stp>A</stp>
        <stp>FPO</stp>
        <stp>-6A</stp>
        <stp>STD</stp>
        <stp>Mixed</stp>
        <stp>CONSOL</stp>
        <stp>Yes</stp>
        <stp>CURRENCY</stp>
        <stp>USD</stp>
        <tr r="H39" s="2"/>
      </tp>
      <tp>
        <v>40908</v>
        <stp/>
        <stp>##V3_BQLV12</stp>
        <stp>[Fundamental &amp; Technical Model (1).xlsm]Ratios!R14C7</stp>
        <stp>SYK US Equity</stp>
        <stp>IS_EPS().PERIOD_END_DATE</stp>
        <stp>FPT</stp>
        <stp>A</stp>
        <stp>FPO</stp>
        <stp>-7A</stp>
        <stp>STD</stp>
        <stp>Mixed</stp>
        <stp>CONSOL</stp>
        <stp>Yes</stp>
        <tr r="G14" s="8"/>
      </tp>
      <tp>
        <v>8.659991292990858</v>
        <stp/>
        <stp>##V3_BQLV12</stp>
        <stp>[Fundamental &amp; Technical Model (1).xlsm]Ratios!R33C11</stp>
        <stp>SYK US Equity</stp>
        <stp>SALES_TO_NET_FIX_ASSET</stp>
        <stp>FPT</stp>
        <stp>A</stp>
        <stp>FPO</stp>
        <stp>-3A</stp>
        <stp>STD</stp>
        <stp>Mixed</stp>
        <stp>CONSOL</stp>
        <stp>Yes</stp>
        <tr r="K33" s="8"/>
      </tp>
      <tp>
        <v>22.817694369973189</v>
        <stp/>
        <stp>##V3_BQLV12</stp>
        <stp>[Fundamental &amp; Technical Model (1).xlsm]Balance Sheet!R65C11</stp>
        <stp>SYK US Equity</stp>
        <stp>BOOK_VAL_PER_SH</stp>
        <stp>FPT</stp>
        <stp>A</stp>
        <stp>FPO</stp>
        <stp>-3A</stp>
        <stp>STD</stp>
        <stp>Mixed</stp>
        <stp>CONSOL</stp>
        <stp>Yes</stp>
        <stp>CURRENCY</stp>
        <stp>USD</stp>
        <tr r="K65" s="3"/>
      </tp>
      <tp t="e">
        <v>#N/A</v>
        <stp/>
        <stp>##V3_BDHV12</stp>
        <stp>SYK US Equity</stp>
        <stp>LOW_PRICE_TO_TANGIBLE_BPS</stp>
        <stp>-0FY</stp>
        <stp>-0FY</stp>
        <stp>[Fundamental &amp; Technical Model (1).xlsm]Multiples!R48C13</stp>
        <stp>EQY_CONSOLIDATED</stp>
        <stp>Yes</stp>
        <stp>ACCOUNTING_STANDARD_OVERRIDE</stp>
        <stp>Mixed</stp>
        <stp>Per</stp>
        <stp>FY</stp>
        <stp>Days=A</stp>
        <tr r="M48" s="16"/>
      </tp>
      <tp t="e">
        <v>#N/A</v>
        <stp/>
        <stp>##V3_BDHV12</stp>
        <stp>SYK US Equity</stp>
        <stp>LOW_PRICE_TO_TANGIBLE_BPS</stp>
        <stp>-1FY</stp>
        <stp>-1FY</stp>
        <stp>[Fundamental &amp; Technical Model (1).xlsm]Multiples!R48C12</stp>
        <stp>EQY_CONSOLIDATED</stp>
        <stp>Yes</stp>
        <stp>ACCOUNTING_STANDARD_OVERRIDE</stp>
        <stp>Mixed</stp>
        <stp>Per</stp>
        <stp>FY</stp>
        <stp>Days=A</stp>
        <tr r="L48" s="16"/>
      </tp>
      <tp t="e">
        <v>#N/A</v>
        <stp/>
        <stp>##V3_BDHV12</stp>
        <stp>SYK US Equity</stp>
        <stp>LOW_PRICE_TO_TANGIBLE_BPS</stp>
        <stp>-2FY</stp>
        <stp>-2FY</stp>
        <stp>[Fundamental &amp; Technical Model (1).xlsm]Multiples!R48C11</stp>
        <stp>EQY_CONSOLIDATED</stp>
        <stp>Yes</stp>
        <stp>ACCOUNTING_STANDARD_OVERRIDE</stp>
        <stp>Mixed</stp>
        <stp>Per</stp>
        <stp>FY</stp>
        <stp>Days=A</stp>
        <tr r="K48" s="16"/>
        <tr r="K48" s="16"/>
      </tp>
      <tp t="e">
        <v>#N/A</v>
        <stp/>
        <stp>##V3_BDHV12</stp>
        <stp>SYK US Equity</stp>
        <stp>LOW_PRICE_TO_TANGIBLE_BPS</stp>
        <stp>-3FY</stp>
        <stp>-3FY</stp>
        <stp>[Fundamental &amp; Technical Model (1).xlsm]Multiples!R48C10</stp>
        <stp>EQY_CONSOLIDATED</stp>
        <stp>Yes</stp>
        <stp>ACCOUNTING_STANDARD_OVERRIDE</stp>
        <stp>Mixed</stp>
        <stp>Per</stp>
        <stp>FY</stp>
        <stp>Days=A</stp>
        <tr r="J48" s="16"/>
        <tr r="J48" s="16"/>
      </tp>
      <tp t="s">
        <v>#N/A N/A</v>
        <stp/>
        <stp>##V3_BDSV12</stp>
        <stp>SYK US Equity</stp>
        <stp>PG_CAPITAL_EXPENDITURES</stp>
        <stp>[Fundamental &amp; Technical Model (1).xlsm]Segments!R185C9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185" s="17"/>
      </tp>
      <tp t="s">
        <v>#N/A N/A</v>
        <stp/>
        <stp>##V3_BDSV12</stp>
        <stp>SYK US Equity</stp>
        <stp>PG_CAPITAL_EXPENDITURES</stp>
        <stp>[Fundamental &amp; Technical Model (1).xlsm]Segments!R171C9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171" s="17"/>
      </tp>
      <tp>
        <v>1729</v>
        <stp/>
        <stp>##V3_BQLV12</stp>
        <stp>[Fundamental &amp; Technical Model (1).xlsm]Income Statement!R44C6</stp>
        <stp>SYK US Equity</stp>
        <stp>PRETAX_INC/10^6</stp>
        <stp>FPT</stp>
        <stp>A</stp>
        <stp>FPO</stp>
        <stp>-8A</stp>
        <stp>STD</stp>
        <stp>Mixed</stp>
        <stp>CONSOL</stp>
        <stp>Yes</stp>
        <stp>CURRENCY</stp>
        <stp>USD</stp>
        <tr r="F44" s="2"/>
      </tp>
      <tp t="s">
        <v>#N/A N/A</v>
        <stp/>
        <stp>##V3_BDSV12</stp>
        <stp>SYK US Equity</stp>
        <stp>PG_ASSETS</stp>
        <stp>[Fundamental &amp; Technical Model (1).xlsm]Segments!R119C11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119" s="17"/>
      </tp>
      <tp t="s">
        <v>#N/A N/A</v>
        <stp/>
        <stp>##V3_BDSV12</stp>
        <stp>SYK US Equity</stp>
        <stp>PG_ASSETS</stp>
        <stp>[Fundamental &amp; Technical Model (1).xlsm]Segments!R119C10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119" s="17"/>
      </tp>
      <tp t="s">
        <v>#N/A N/A</v>
        <stp/>
        <stp>##V3_BDSV12</stp>
        <stp>SYK US Equity</stp>
        <stp>PG_ASSETS</stp>
        <stp>[Fundamental &amp; Technical Model (1).xlsm]Segments!R119C13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119" s="17"/>
      </tp>
      <tp t="s">
        <v>#N/A N/A</v>
        <stp/>
        <stp>##V3_BDSV12</stp>
        <stp>SYK US Equity</stp>
        <stp>PG_ASSETS</stp>
        <stp>[Fundamental &amp; Technical Model (1).xlsm]Segments!R119C12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119" s="17"/>
      </tp>
      <tp t="s">
        <v>12/31/2009</v>
        <stp/>
        <stp>##V3_BDPV12</stp>
        <stp>SYK US Equity</stp>
        <stp>LATEST_PERIOD_END_DT_FULL_RECORD</stp>
        <stp>[Fundamental &amp; Technical Model (1).xlsm]Multiples!R13C4</stp>
        <stp>EQY_FUND_RELATIVE_PERIOD</stp>
        <stp>-9FY</stp>
        <stp>EQY_CONSOLIDATED</stp>
        <stp>Yes</stp>
        <tr r="D13" s="16"/>
        <tr r="D13" s="16"/>
      </tp>
      <tp t="s">
        <v>12/31/2010</v>
        <stp/>
        <stp>##V3_BDPV12</stp>
        <stp>SYK US Equity</stp>
        <stp>LATEST_PERIOD_END_DT_FULL_RECORD</stp>
        <stp>[Fundamental &amp; Technical Model (1).xlsm]Multiples!R13C5</stp>
        <stp>EQY_FUND_RELATIVE_PERIOD</stp>
        <stp>-8FY</stp>
        <stp>EQY_CONSOLIDATED</stp>
        <stp>Yes</stp>
        <tr r="E13" s="16"/>
        <tr r="E13" s="16"/>
      </tp>
      <tp t="s">
        <v>12/31/2013</v>
        <stp/>
        <stp>##V3_BDPV12</stp>
        <stp>SYK US Equity</stp>
        <stp>LATEST_PERIOD_END_DT_FULL_RECORD</stp>
        <stp>[Fundamental &amp; Technical Model (1).xlsm]Multiples!R13C8</stp>
        <stp>EQY_FUND_RELATIVE_PERIOD</stp>
        <stp>-5FY</stp>
        <stp>EQY_CONSOLIDATED</stp>
        <stp>Yes</stp>
        <tr r="H13" s="16"/>
        <tr r="H13" s="16"/>
      </tp>
      <tp t="s">
        <v>12/31/2014</v>
        <stp/>
        <stp>##V3_BDPV12</stp>
        <stp>SYK US Equity</stp>
        <stp>LATEST_PERIOD_END_DT_FULL_RECORD</stp>
        <stp>[Fundamental &amp; Technical Model (1).xlsm]Multiples!R13C9</stp>
        <stp>EQY_FUND_RELATIVE_PERIOD</stp>
        <stp>-4FY</stp>
        <stp>EQY_CONSOLIDATED</stp>
        <stp>Yes</stp>
        <tr r="I13" s="16"/>
        <tr r="I13" s="16"/>
      </tp>
      <tp t="s">
        <v>12/31/2011</v>
        <stp/>
        <stp>##V3_BDPV12</stp>
        <stp>SYK US Equity</stp>
        <stp>LATEST_PERIOD_END_DT_FULL_RECORD</stp>
        <stp>[Fundamental &amp; Technical Model (1).xlsm]Multiples!R13C6</stp>
        <stp>EQY_FUND_RELATIVE_PERIOD</stp>
        <stp>-7FY</stp>
        <stp>EQY_CONSOLIDATED</stp>
        <stp>Yes</stp>
        <tr r="F13" s="16"/>
        <tr r="F13" s="16"/>
      </tp>
      <tp t="s">
        <v>12/31/2012</v>
        <stp/>
        <stp>##V3_BDPV12</stp>
        <stp>SYK US Equity</stp>
        <stp>LATEST_PERIOD_END_DT_FULL_RECORD</stp>
        <stp>[Fundamental &amp; Technical Model (1).xlsm]Multiples!R13C7</stp>
        <stp>EQY_FUND_RELATIVE_PERIOD</stp>
        <stp>-6FY</stp>
        <stp>EQY_CONSOLIDATED</stp>
        <stp>Yes</stp>
        <tr r="G13" s="16"/>
        <tr r="G13" s="16"/>
      </tp>
      <tp t="s">
        <v>#N/A N/A</v>
        <stp/>
        <stp>##V3_BDSV12</stp>
        <stp>SYK US Equity</stp>
        <stp>PG_ASSETS</stp>
        <stp>[Fundamental &amp; Technical Model (1).xlsm]Segments!R119C14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119" s="17"/>
      </tp>
      <tp>
        <v>-81</v>
        <stp/>
        <stp>##V3_BQLV12</stp>
        <stp>[Fundamental &amp; Technical Model (1).xlsm]Cash Flow!R32C6</stp>
        <stp>SYK US Equity</stp>
        <stp>CF_REIMB_LT_BORROW/10^6</stp>
        <stp>FPT</stp>
        <stp>A</stp>
        <stp>FPO</stp>
        <stp>-8A</stp>
        <stp>STD</stp>
        <stp>Mixed</stp>
        <stp>CONSOL</stp>
        <stp>Yes</stp>
        <stp>CURRENCY</stp>
        <stp>USD</stp>
        <tr r="F32" s="4"/>
      </tp>
      <tp>
        <v>42369</v>
        <stp/>
        <stp>##V3_BQLV12</stp>
        <stp>[Fundamental &amp; Technical Model (1).xlsm]Cash Flow!R14C11</stp>
        <stp>SYK US Equity</stp>
        <stp>IS_EPS().PERIOD_END_DATE</stp>
        <stp>FPT</stp>
        <stp>A</stp>
        <stp>FPO</stp>
        <stp>-3A</stp>
        <stp>STD</stp>
        <stp>Mixed</stp>
        <stp>CONSOL</stp>
        <stp>Yes</stp>
        <tr r="K14" s="4"/>
      </tp>
      <tp>
        <v>43100</v>
        <stp/>
        <stp>##V3_BQLV12</stp>
        <stp>[Fundamental &amp; Technical Model (1).xlsm]Cash Flow!R14C13</stp>
        <stp>SYK US Equity</stp>
        <stp>IS_EPS().PERIOD_END_DATE</stp>
        <stp>FPT</stp>
        <stp>A</stp>
        <stp>FPO</stp>
        <stp>-1A</stp>
        <stp>STD</stp>
        <stp>Mixed</stp>
        <stp>CONSOL</stp>
        <stp>Yes</stp>
        <tr r="M14" s="4"/>
      </tp>
      <tp t="e">
        <v>#N/A</v>
        <stp/>
        <stp>##V3_BDHV12</stp>
        <stp>SYK US Equity</stp>
        <stp>LOW_EV_TO_T12M_EBITDA</stp>
        <stp>-4FY</stp>
        <stp>-4FY</stp>
        <stp>[Fundamental &amp; Technical Model (1).xlsm]Multiples!R24C9</stp>
        <stp>EQY_CONSOLIDATED</stp>
        <stp>Yes</stp>
        <stp>ACCOUNTING_STANDARD_OVERRIDE</stp>
        <stp>Mixed</stp>
        <stp>Per</stp>
        <stp>FY</stp>
        <stp>Days=A</stp>
        <tr r="I24" s="16"/>
        <tr r="I24" s="16"/>
      </tp>
      <tp>
        <v>8.1828034682080926</v>
        <stp/>
        <stp>##V3_BQLV12</stp>
        <stp>[Fundamental &amp; Technical Model (1).xlsm]Ratios!R33C12</stp>
        <stp>SYK US Equity</stp>
        <stp>SALES_TO_NET_FIX_ASSET</stp>
        <stp>FPT</stp>
        <stp>A</stp>
        <stp>FPO</stp>
        <stp>-2A</stp>
        <stp>STD</stp>
        <stp>Mixed</stp>
        <stp>CONSOL</stp>
        <stp>Yes</stp>
        <tr r="L33" s="8"/>
      </tp>
      <tp>
        <v>730.4</v>
        <stp/>
        <stp>##V3_BQLV12</stp>
        <stp>[Fundamental &amp; Technical Model (1).xlsm]Balance Sheet!R74C5</stp>
        <stp>SYK US Equity</stp>
        <stp>INVTRY_FINISHED_GOODS/10^6</stp>
        <stp>FPT</stp>
        <stp>A</stp>
        <stp>FPO</stp>
        <stp>-9A</stp>
        <stp>STD</stp>
        <stp>Mixed</stp>
        <stp>CONSOL</stp>
        <stp>Yes</stp>
        <stp>CURRENCY</stp>
        <stp>USD</stp>
        <tr r="E74" s="3"/>
      </tp>
      <tp>
        <v>22.738095238095241</v>
        <stp/>
        <stp>##V3_BQLV12</stp>
        <stp>[Fundamental &amp; Technical Model (1).xlsm]Balance Sheet!R65C10</stp>
        <stp>SYK US Equity</stp>
        <stp>BOOK_VAL_PER_SH</stp>
        <stp>FPT</stp>
        <stp>A</stp>
        <stp>FPO</stp>
        <stp>-4A</stp>
        <stp>STD</stp>
        <stp>Mixed</stp>
        <stp>CONSOL</stp>
        <stp>Yes</stp>
        <stp>CURRENCY</stp>
        <stp>USD</stp>
        <tr r="J65" s="3"/>
      </tp>
      <tp>
        <v>834</v>
        <stp/>
        <stp>##V3_BQLV12</stp>
        <stp>[Fundamental &amp; Technical Model (1).xlsm]Balance Sheet!R74C6</stp>
        <stp>SYK US Equity</stp>
        <stp>INVTRY_FINISHED_GOODS/10^6</stp>
        <stp>FPT</stp>
        <stp>A</stp>
        <stp>FPO</stp>
        <stp>-8A</stp>
        <stp>STD</stp>
        <stp>Mixed</stp>
        <stp>CONSOL</stp>
        <stp>Yes</stp>
        <stp>CURRENCY</stp>
        <stp>USD</stp>
        <tr r="F74" s="3"/>
      </tp>
      <tp>
        <v>1052</v>
        <stp/>
        <stp>##V3_BQLV12</stp>
        <stp>[Fundamental &amp; Technical Model (1).xlsm]Balance Sheet!R74C7</stp>
        <stp>SYK US Equity</stp>
        <stp>INVTRY_FINISHED_GOODS/10^6</stp>
        <stp>FPT</stp>
        <stp>A</stp>
        <stp>FPO</stp>
        <stp>-7A</stp>
        <stp>STD</stp>
        <stp>Mixed</stp>
        <stp>CONSOL</stp>
        <stp>Yes</stp>
        <stp>CURRENCY</stp>
        <stp>USD</stp>
        <tr r="G74" s="3"/>
      </tp>
      <tp>
        <v>0</v>
        <stp/>
        <stp>##V3_BQLV12</stp>
        <stp>[Fundamental &amp; Technical Model (1).xlsm]Income Statement!R49C14</stp>
        <stp>SYK US Equity</stp>
        <stp>XO_GL_NET_OF_TAX/10^6</stp>
        <stp>FPT</stp>
        <stp>A</stp>
        <stp>FPO</stp>
        <stp>-0A</stp>
        <stp>STD</stp>
        <stp>Mixed</stp>
        <stp>CONSOL</stp>
        <stp>Yes</stp>
        <stp>CURRENCY</stp>
        <stp>USD</stp>
        <tr r="N49" s="2"/>
      </tp>
      <tp>
        <v>0</v>
        <stp/>
        <stp>##V3_BQLV12</stp>
        <stp>[Fundamental &amp; Technical Model (1).xlsm]Income Statement!R49C13</stp>
        <stp>SYK US Equity</stp>
        <stp>XO_GL_NET_OF_TAX/10^6</stp>
        <stp>FPT</stp>
        <stp>A</stp>
        <stp>FPO</stp>
        <stp>-1A</stp>
        <stp>STD</stp>
        <stp>Mixed</stp>
        <stp>CONSOL</stp>
        <stp>Yes</stp>
        <stp>CURRENCY</stp>
        <stp>USD</stp>
        <tr r="M49" s="2"/>
      </tp>
      <tp>
        <v>0</v>
        <stp/>
        <stp>##V3_BQLV12</stp>
        <stp>[Fundamental &amp; Technical Model (1).xlsm]Income Statement!R49C12</stp>
        <stp>SYK US Equity</stp>
        <stp>XO_GL_NET_OF_TAX/10^6</stp>
        <stp>FPT</stp>
        <stp>A</stp>
        <stp>FPO</stp>
        <stp>-2A</stp>
        <stp>STD</stp>
        <stp>Mixed</stp>
        <stp>CONSOL</stp>
        <stp>Yes</stp>
        <stp>CURRENCY</stp>
        <stp>USD</stp>
        <tr r="L49" s="2"/>
      </tp>
      <tp>
        <v>0</v>
        <stp/>
        <stp>##V3_BQLV12</stp>
        <stp>[Fundamental &amp; Technical Model (1).xlsm]Income Statement!R49C11</stp>
        <stp>SYK US Equity</stp>
        <stp>XO_GL_NET_OF_TAX/10^6</stp>
        <stp>FPT</stp>
        <stp>A</stp>
        <stp>FPO</stp>
        <stp>-3A</stp>
        <stp>STD</stp>
        <stp>Mixed</stp>
        <stp>CONSOL</stp>
        <stp>Yes</stp>
        <stp>CURRENCY</stp>
        <stp>USD</stp>
        <tr r="K49" s="2"/>
      </tp>
      <tp>
        <v>0</v>
        <stp/>
        <stp>##V3_BQLV12</stp>
        <stp>[Fundamental &amp; Technical Model (1).xlsm]Income Statement!R49C10</stp>
        <stp>SYK US Equity</stp>
        <stp>XO_GL_NET_OF_TAX/10^6</stp>
        <stp>FPT</stp>
        <stp>A</stp>
        <stp>FPO</stp>
        <stp>-4A</stp>
        <stp>STD</stp>
        <stp>Mixed</stp>
        <stp>CONSOL</stp>
        <stp>Yes</stp>
        <stp>CURRENCY</stp>
        <stp>USD</stp>
        <tr r="J49" s="2"/>
      </tp>
      <tp t="s">
        <v>#N/A N/A</v>
        <stp/>
        <stp>##V3_BDSV12</stp>
        <stp>SYK US Equity</stp>
        <stp>PG_DEPR_AMORTIZATION</stp>
        <stp>[Fundamental &amp; Technical Model (1).xlsm]Segments!R147C12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147" s="17"/>
      </tp>
      <tp t="s">
        <v>#N/A N/A</v>
        <stp/>
        <stp>##V3_BDSV12</stp>
        <stp>SYK US Equity</stp>
        <stp>PG_DEPR_AMORTIZATION</stp>
        <stp>[Fundamental &amp; Technical Model (1).xlsm]Segments!R147C13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147" s="17"/>
      </tp>
      <tp t="s">
        <v>#N/A N/A</v>
        <stp/>
        <stp>##V3_BDSV12</stp>
        <stp>SYK US Equity</stp>
        <stp>PG_DEPR_AMORTIZATION</stp>
        <stp>[Fundamental &amp; Technical Model (1).xlsm]Segments!R147C10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147" s="17"/>
      </tp>
      <tp t="s">
        <v>#N/A N/A</v>
        <stp/>
        <stp>##V3_BDSV12</stp>
        <stp>SYK US Equity</stp>
        <stp>PG_DEPR_AMORTIZATION</stp>
        <stp>[Fundamental &amp; Technical Model (1).xlsm]Segments!R147C11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147" s="17"/>
      </tp>
      <tp>
        <v>992</v>
        <stp/>
        <stp>##V3_BQLV12</stp>
        <stp>[Fundamental &amp; Technical Model (1).xlsm]Balance Sheet!R74C8</stp>
        <stp>SYK US Equity</stp>
        <stp>INVTRY_FINISHED_GOODS/10^6</stp>
        <stp>FPT</stp>
        <stp>A</stp>
        <stp>FPO</stp>
        <stp>-6A</stp>
        <stp>STD</stp>
        <stp>Mixed</stp>
        <stp>CONSOL</stp>
        <stp>Yes</stp>
        <stp>CURRENCY</stp>
        <stp>USD</stp>
        <tr r="H74" s="3"/>
      </tp>
      <tp>
        <v>1110</v>
        <stp/>
        <stp>##V3_BQLV12</stp>
        <stp>[Fundamental &amp; Technical Model (1).xlsm]Balance Sheet!R74C9</stp>
        <stp>SYK US Equity</stp>
        <stp>INVTRY_FINISHED_GOODS/10^6</stp>
        <stp>FPT</stp>
        <stp>A</stp>
        <stp>FPO</stp>
        <stp>-5A</stp>
        <stp>STD</stp>
        <stp>Mixed</stp>
        <stp>CONSOL</stp>
        <stp>Yes</stp>
        <stp>CURRENCY</stp>
        <stp>USD</stp>
        <tr r="I74" s="3"/>
      </tp>
      <tp t="s">
        <v>#N/A N/A</v>
        <stp/>
        <stp>##V3_BDSV12</stp>
        <stp>SYK US Equity</stp>
        <stp>PG_DEPR_AMORTIZATION</stp>
        <stp>[Fundamental &amp; Technical Model (1).xlsm]Segments!R147C14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147" s="17"/>
      </tp>
      <tp>
        <v>597</v>
        <stp/>
        <stp>##V3_BDPV12</stp>
        <stp>SYK US Equity</stp>
        <stp>ARD_ACC_COMP_POSTRETIRE_OBLIG</stp>
        <stp>[Fundamental &amp; Technical Model (1).xlsm]Balance Sheet!R37C10</stp>
        <stp>EQY_FUND_RELATIVE_PERIOD</stp>
        <stp>-4FY</stp>
        <stp>EQY_FUND_CRNCY</stp>
        <stp>USD</stp>
        <stp>EQY_CONSOLIDATED</stp>
        <stp>Yes</stp>
        <stp>ACCOUNTING_STANDARD_OVERRIDE</stp>
        <stp>Mixed</stp>
        <stp>Fill=0</stp>
        <tr r="J37" s="3"/>
      </tp>
      <tp>
        <v>917</v>
        <stp/>
        <stp>##V3_BDPV12</stp>
        <stp>SYK US Equity</stp>
        <stp>ARD_ACC_COMP_POSTRETIRE_OBLIG</stp>
        <stp>[Fundamental &amp; Technical Model (1).xlsm]Balance Sheet!R37C14</stp>
        <stp>EQY_FUND_RELATIVE_PERIOD</stp>
        <stp>-0FY</stp>
        <stp>EQY_FUND_CRNCY</stp>
        <stp>USD</stp>
        <stp>EQY_CONSOLIDATED</stp>
        <stp>Yes</stp>
        <stp>ACCOUNTING_STANDARD_OVERRIDE</stp>
        <stp>Mixed</stp>
        <stp>Fill=0</stp>
        <tr r="N37" s="3"/>
      </tp>
      <tp>
        <v>637</v>
        <stp/>
        <stp>##V3_BDPV12</stp>
        <stp>SYK US Equity</stp>
        <stp>ARD_ACC_COMP_POSTRETIRE_OBLIG</stp>
        <stp>[Fundamental &amp; Technical Model (1).xlsm]Balance Sheet!R37C11</stp>
        <stp>EQY_FUND_RELATIVE_PERIOD</stp>
        <stp>-3FY</stp>
        <stp>EQY_FUND_CRNCY</stp>
        <stp>USD</stp>
        <stp>EQY_CONSOLIDATED</stp>
        <stp>Yes</stp>
        <stp>ACCOUNTING_STANDARD_OVERRIDE</stp>
        <stp>Mixed</stp>
        <stp>Fill=0</stp>
        <tr r="K37" s="3"/>
      </tp>
      <tp>
        <v>838</v>
        <stp/>
        <stp>##V3_BDPV12</stp>
        <stp>SYK US Equity</stp>
        <stp>ARD_ACC_COMP_POSTRETIRE_OBLIG</stp>
        <stp>[Fundamental &amp; Technical Model (1).xlsm]Balance Sheet!R37C13</stp>
        <stp>EQY_FUND_RELATIVE_PERIOD</stp>
        <stp>-1FY</stp>
        <stp>EQY_FUND_CRNCY</stp>
        <stp>USD</stp>
        <stp>EQY_CONSOLIDATED</stp>
        <stp>Yes</stp>
        <stp>ACCOUNTING_STANDARD_OVERRIDE</stp>
        <stp>Mixed</stp>
        <stp>Fill=0</stp>
        <tr r="M37" s="3"/>
      </tp>
      <tp>
        <v>767</v>
        <stp/>
        <stp>##V3_BDPV12</stp>
        <stp>SYK US Equity</stp>
        <stp>ARD_ACC_COMP_POSTRETIRE_OBLIG</stp>
        <stp>[Fundamental &amp; Technical Model (1).xlsm]Balance Sheet!R37C12</stp>
        <stp>EQY_FUND_RELATIVE_PERIOD</stp>
        <stp>-2FY</stp>
        <stp>EQY_FUND_CRNCY</stp>
        <stp>USD</stp>
        <stp>EQY_CONSOLIDATED</stp>
        <stp>Yes</stp>
        <stp>ACCOUNTING_STANDARD_OVERRIDE</stp>
        <stp>Mixed</stp>
        <stp>Fill=0</stp>
        <tr r="L37" s="3"/>
      </tp>
      <tp>
        <v>0</v>
        <stp/>
        <stp>##V3_BQLV12</stp>
        <stp>[Fundamental &amp; Technical Model (1).xlsm]Cash Flow!R30C9</stp>
        <stp>SYK US Equity</stp>
        <stp>CF_INCR_ST_BORROW/10^6</stp>
        <stp>FPT</stp>
        <stp>A</stp>
        <stp>FPO</stp>
        <stp>-5A</stp>
        <stp>STD</stp>
        <stp>Mixed</stp>
        <stp>CONSOL</stp>
        <stp>Yes</stp>
        <stp>CURRENCY</stp>
        <stp>USD</stp>
        <tr r="I30" s="4"/>
      </tp>
      <tp>
        <v>0</v>
        <stp/>
        <stp>##V3_BQLV12</stp>
        <stp>[Fundamental &amp; Technical Model (1).xlsm]Cash Flow!R30C8</stp>
        <stp>SYK US Equity</stp>
        <stp>CF_INCR_ST_BORROW/10^6</stp>
        <stp>FPT</stp>
        <stp>A</stp>
        <stp>FPO</stp>
        <stp>-6A</stp>
        <stp>STD</stp>
        <stp>Mixed</stp>
        <stp>CONSOL</stp>
        <stp>Yes</stp>
        <stp>CURRENCY</stp>
        <stp>USD</stp>
        <tr r="H30" s="4"/>
      </tp>
      <tp>
        <v>0</v>
        <stp/>
        <stp>##V3_BQLV12</stp>
        <stp>[Fundamental &amp; Technical Model (1).xlsm]Cash Flow!R30C7</stp>
        <stp>SYK US Equity</stp>
        <stp>CF_INCR_ST_BORROW/10^6</stp>
        <stp>FPT</stp>
        <stp>A</stp>
        <stp>FPO</stp>
        <stp>-7A</stp>
        <stp>STD</stp>
        <stp>Mixed</stp>
        <stp>CONSOL</stp>
        <stp>Yes</stp>
        <stp>CURRENCY</stp>
        <stp>USD</stp>
        <tr r="G30" s="4"/>
      </tp>
      <tp>
        <v>0</v>
        <stp/>
        <stp>##V3_BQLV12</stp>
        <stp>[Fundamental &amp; Technical Model (1).xlsm]Cash Flow!R30C6</stp>
        <stp>SYK US Equity</stp>
        <stp>CF_INCR_ST_BORROW/10^6</stp>
        <stp>FPT</stp>
        <stp>A</stp>
        <stp>FPO</stp>
        <stp>-8A</stp>
        <stp>STD</stp>
        <stp>Mixed</stp>
        <stp>CONSOL</stp>
        <stp>Yes</stp>
        <stp>CURRENCY</stp>
        <stp>USD</stp>
        <tr r="F30" s="4"/>
      </tp>
      <tp>
        <v>0</v>
        <stp/>
        <stp>##V3_BQLV12</stp>
        <stp>[Fundamental &amp; Technical Model (1).xlsm]Cash Flow!R30C5</stp>
        <stp>SYK US Equity</stp>
        <stp>CF_INCR_ST_BORROW/10^6</stp>
        <stp>FPT</stp>
        <stp>A</stp>
        <stp>FPO</stp>
        <stp>-9A</stp>
        <stp>STD</stp>
        <stp>Mixed</stp>
        <stp>CONSOL</stp>
        <stp>Yes</stp>
        <stp>CURRENCY</stp>
        <stp>USD</stp>
        <tr r="E30" s="4"/>
      </tp>
      <tp t="s">
        <v>#N/A N/A</v>
        <stp/>
        <stp>##V3_BDSV12</stp>
        <stp>SYK US Equity</stp>
        <stp>PG_CAPITAL_EXPENDITURES</stp>
        <stp>[Fundamental &amp; Technical Model (1).xlsm]Segments!R185C8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185" s="17"/>
      </tp>
      <tp t="s">
        <v>#N/A N/A</v>
        <stp/>
        <stp>##V3_BDSV12</stp>
        <stp>SYK US Equity</stp>
        <stp>PG_CAPITAL_EXPENDITURES</stp>
        <stp>[Fundamental &amp; Technical Model (1).xlsm]Segments!R171C8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171" s="17"/>
      </tp>
      <tp>
        <v>1686</v>
        <stp/>
        <stp>##V3_BQLV12</stp>
        <stp>[Fundamental &amp; Technical Model (1).xlsm]Income Statement!R44C7</stp>
        <stp>SYK US Equity</stp>
        <stp>PRETAX_INC/10^6</stp>
        <stp>FPT</stp>
        <stp>A</stp>
        <stp>FPO</stp>
        <stp>-7A</stp>
        <stp>STD</stp>
        <stp>Mixed</stp>
        <stp>CONSOL</stp>
        <stp>Yes</stp>
        <stp>CURRENCY</stp>
        <stp>USD</stp>
        <tr r="G44" s="2"/>
      </tp>
      <tp t="s">
        <v>#N/A N/A</v>
        <stp/>
        <stp>##V3_BDSV12</stp>
        <stp>SYK US Equity</stp>
        <stp>PG_ASSETS</stp>
        <stp>[Fundamental &amp; Technical Model (1).xlsm]Segments!R118C12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118" s="17"/>
      </tp>
      <tp t="s">
        <v>#N/A N/A</v>
        <stp/>
        <stp>##V3_BDSV12</stp>
        <stp>SYK US Equity</stp>
        <stp>PG_ASSETS</stp>
        <stp>[Fundamental &amp; Technical Model (1).xlsm]Segments!R118C13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118" s="17"/>
      </tp>
      <tp t="s">
        <v>#N/A N/A</v>
        <stp/>
        <stp>##V3_BDSV12</stp>
        <stp>SYK US Equity</stp>
        <stp>PG_ASSETS</stp>
        <stp>[Fundamental &amp; Technical Model (1).xlsm]Segments!R118C10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118" s="17"/>
      </tp>
      <tp t="s">
        <v>#N/A N/A</v>
        <stp/>
        <stp>##V3_BDSV12</stp>
        <stp>SYK US Equity</stp>
        <stp>PG_ASSETS</stp>
        <stp>[Fundamental &amp; Technical Model (1).xlsm]Segments!R118C11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118" s="17"/>
      </tp>
      <tp>
        <v>17</v>
        <stp/>
        <stp>##V3_BQLV12</stp>
        <stp>[Fundamental &amp; Technical Model (1).xlsm]Cash Flow!R31C5</stp>
        <stp>SYK US Equity</stp>
        <stp>CF_INCR_LT_BORROW/10^6</stp>
        <stp>FPT</stp>
        <stp>A</stp>
        <stp>FPO</stp>
        <stp>-9A</stp>
        <stp>STD</stp>
        <stp>Mixed</stp>
        <stp>CONSOL</stp>
        <stp>Yes</stp>
        <stp>CURRENCY</stp>
        <stp>USD</stp>
        <tr r="E31" s="4"/>
      </tp>
      <tp>
        <v>1096</v>
        <stp/>
        <stp>##V3_BQLV12</stp>
        <stp>[Fundamental &amp; Technical Model (1).xlsm]Cash Flow!R31C6</stp>
        <stp>SYK US Equity</stp>
        <stp>CF_INCR_LT_BORROW/10^6</stp>
        <stp>FPT</stp>
        <stp>A</stp>
        <stp>FPO</stp>
        <stp>-8A</stp>
        <stp>STD</stp>
        <stp>Mixed</stp>
        <stp>CONSOL</stp>
        <stp>Yes</stp>
        <stp>CURRENCY</stp>
        <stp>USD</stp>
        <tr r="F31" s="4"/>
      </tp>
      <tp t="s">
        <v>#N/A N/A</v>
        <stp/>
        <stp>##V3_BDSV12</stp>
        <stp>SYK US Equity</stp>
        <stp>PG_ASSETS</stp>
        <stp>[Fundamental &amp; Technical Model (1).xlsm]Segments!R118C14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118" s="17"/>
      </tp>
      <tp>
        <v>927</v>
        <stp/>
        <stp>##V3_BQLV12</stp>
        <stp>[Fundamental &amp; Technical Model (1).xlsm]Cash Flow!R31C7</stp>
        <stp>SYK US Equity</stp>
        <stp>CF_INCR_LT_BORROW/10^6</stp>
        <stp>FPT</stp>
        <stp>A</stp>
        <stp>FPO</stp>
        <stp>-7A</stp>
        <stp>STD</stp>
        <stp>Mixed</stp>
        <stp>CONSOL</stp>
        <stp>Yes</stp>
        <stp>CURRENCY</stp>
        <stp>USD</stp>
        <tr r="G31" s="4"/>
      </tp>
      <tp>
        <v>178</v>
        <stp/>
        <stp>##V3_BQLV12</stp>
        <stp>[Fundamental &amp; Technical Model (1).xlsm]Cash Flow!R31C8</stp>
        <stp>SYK US Equity</stp>
        <stp>CF_INCR_LT_BORROW/10^6</stp>
        <stp>FPT</stp>
        <stp>A</stp>
        <stp>FPO</stp>
        <stp>-6A</stp>
        <stp>STD</stp>
        <stp>Mixed</stp>
        <stp>CONSOL</stp>
        <stp>Yes</stp>
        <stp>CURRENCY</stp>
        <stp>USD</stp>
        <tr r="H31" s="4"/>
      </tp>
      <tp>
        <v>1360</v>
        <stp/>
        <stp>##V3_BQLV12</stp>
        <stp>[Fundamental &amp; Technical Model (1).xlsm]Cash Flow!R31C9</stp>
        <stp>SYK US Equity</stp>
        <stp>CF_INCR_LT_BORROW/10^6</stp>
        <stp>FPT</stp>
        <stp>A</stp>
        <stp>FPO</stp>
        <stp>-5A</stp>
        <stp>STD</stp>
        <stp>Mixed</stp>
        <stp>CONSOL</stp>
        <stp>Yes</stp>
        <stp>CURRENCY</stp>
        <stp>USD</stp>
        <tr r="I31" s="4"/>
      </tp>
      <tp t="s">
        <v>2013 A</v>
        <stp/>
        <stp>##V3_BQLV12</stp>
        <stp>[Fundamental &amp; Technical Model (1).xlsm]Ratios!R12C9</stp>
        <stp>SYK US Equity</stp>
        <stp>IS_EPS().PERIOD</stp>
        <stp>FPT</stp>
        <stp>A</stp>
        <stp>FPO</stp>
        <stp>-5A</stp>
        <stp>STD</stp>
        <stp>Mixed</stp>
        <stp>CONSOL</stp>
        <stp>Yes</stp>
        <tr r="I12" s="8"/>
      </tp>
      <tp>
        <v>-190</v>
        <stp/>
        <stp>##V3_BQLV12</stp>
        <stp>[Fundamental &amp; Technical Model (1).xlsm]Cash Flow!R32C7</stp>
        <stp>SYK US Equity</stp>
        <stp>CF_REIMB_LT_BORROW/10^6</stp>
        <stp>FPT</stp>
        <stp>A</stp>
        <stp>FPO</stp>
        <stp>-7A</stp>
        <stp>STD</stp>
        <stp>Mixed</stp>
        <stp>CONSOL</stp>
        <stp>Yes</stp>
        <stp>CURRENCY</stp>
        <stp>USD</stp>
        <tr r="G32" s="4"/>
      </tp>
      <tp t="e">
        <v>#N/A</v>
        <stp/>
        <stp>##V3_BDHV12</stp>
        <stp>SYK US Equity</stp>
        <stp>LOW_EV_TO_T12M_EBITDA</stp>
        <stp>-5FY</stp>
        <stp>-5FY</stp>
        <stp>[Fundamental &amp; Technical Model (1).xlsm]Multiples!R24C8</stp>
        <stp>EQY_CONSOLIDATED</stp>
        <stp>Yes</stp>
        <stp>ACCOUNTING_STANDARD_OVERRIDE</stp>
        <stp>Mixed</stp>
        <stp>Per</stp>
        <stp>FY</stp>
        <stp>Days=A</stp>
        <tr r="H24" s="16"/>
        <tr r="H24" s="16"/>
      </tp>
      <tp>
        <v>13876</v>
        <stp/>
        <stp>##V3_BQLV12</stp>
        <stp>[Fundamental &amp; Technical Model (1).xlsm]Key Stats!R15C11</stp>
        <stp>SYK US Equity</stp>
        <stp>SALES_REV_TURN/10^6</stp>
        <stp>FPT=LTM</stp>
        <stp>FPO</stp>
        <stp>-0</stp>
        <stp>STD</stp>
        <stp>Mixed</stp>
        <stp>CONSOL</stp>
        <stp>Yes</stp>
        <stp>CURRENCY</stp>
        <stp>USD</stp>
        <tr r="K15" s="23"/>
      </tp>
      <tp>
        <v>160</v>
        <stp/>
        <stp>##V3_BQLV12</stp>
        <stp>[Fundamental &amp; Technical Model (1).xlsm]Income Statement!R25C7</stp>
        <stp>SYK US Equity</stp>
        <stp>IS_DEPR_EXP/10^6</stp>
        <stp>FPT</stp>
        <stp>A</stp>
        <stp>FPO</stp>
        <stp>-7A</stp>
        <stp>STD</stp>
        <stp>Mixed</stp>
        <stp>CONSOL</stp>
        <stp>Yes</stp>
        <stp>CURRENCY</stp>
        <stp>USD</stp>
        <tr r="G25" s="2"/>
      </tp>
      <tp>
        <v>165</v>
        <stp/>
        <stp>##V3_BQLV12</stp>
        <stp>[Fundamental &amp; Technical Model (1).xlsm]Income Statement!R25C6</stp>
        <stp>SYK US Equity</stp>
        <stp>IS_DEPR_EXP/10^6</stp>
        <stp>FPT</stp>
        <stp>A</stp>
        <stp>FPO</stp>
        <stp>-8A</stp>
        <stp>STD</stp>
        <stp>Mixed</stp>
        <stp>CONSOL</stp>
        <stp>Yes</stp>
        <stp>CURRENCY</stp>
        <stp>USD</stp>
        <tr r="F25" s="2"/>
      </tp>
      <tp>
        <v>154</v>
        <stp/>
        <stp>##V3_BQLV12</stp>
        <stp>[Fundamental &amp; Technical Model (1).xlsm]Income Statement!R25C8</stp>
        <stp>SYK US Equity</stp>
        <stp>IS_DEPR_EXP/10^6</stp>
        <stp>FPT</stp>
        <stp>A</stp>
        <stp>FPO</stp>
        <stp>-6A</stp>
        <stp>STD</stp>
        <stp>Mixed</stp>
        <stp>CONSOL</stp>
        <stp>Yes</stp>
        <stp>CURRENCY</stp>
        <stp>USD</stp>
        <tr r="H25" s="2"/>
      </tp>
      <tp>
        <v>165</v>
        <stp/>
        <stp>##V3_BQLV12</stp>
        <stp>[Fundamental &amp; Technical Model (1).xlsm]Income Statement!R25C5</stp>
        <stp>SYK US Equity</stp>
        <stp>IS_DEPR_EXP/10^6</stp>
        <stp>FPT</stp>
        <stp>A</stp>
        <stp>FPO</stp>
        <stp>-9A</stp>
        <stp>STD</stp>
        <stp>Mixed</stp>
        <stp>CONSOL</stp>
        <stp>Yes</stp>
        <stp>CURRENCY</stp>
        <stp>USD</stp>
        <tr r="E25" s="2"/>
      </tp>
      <tp>
        <v>169</v>
        <stp/>
        <stp>##V3_BQLV12</stp>
        <stp>[Fundamental &amp; Technical Model (1).xlsm]Income Statement!R25C9</stp>
        <stp>SYK US Equity</stp>
        <stp>IS_DEPR_EXP/10^6</stp>
        <stp>FPT</stp>
        <stp>A</stp>
        <stp>FPO</stp>
        <stp>-5A</stp>
        <stp>STD</stp>
        <stp>Mixed</stp>
        <stp>CONSOL</stp>
        <stp>Yes</stp>
        <stp>CURRENCY</stp>
        <stp>USD</stp>
        <tr r="I25" s="2"/>
      </tp>
      <tp>
        <v>0.61746905839376265</v>
        <stp/>
        <stp>##V3_BQLV12</stp>
        <stp>[Fundamental &amp; Technical Model (1).xlsm]Ratios!R31C12</stp>
        <stp>SYK US Equity</stp>
        <stp>ASSET_TURNOVER</stp>
        <stp>FPT</stp>
        <stp>A</stp>
        <stp>FPO</stp>
        <stp>-2A</stp>
        <stp>STD</stp>
        <stp>Mixed</stp>
        <stp>CONSOL</stp>
        <stp>Yes</stp>
        <tr r="L31" s="8"/>
      </tp>
      <tp>
        <v>0.21586818055940182</v>
        <stp/>
        <stp>##V3_BDPV12</stp>
        <stp>SYK US Equity</stp>
        <stp>CFO_TO_TOT_DEBT</stp>
        <stp>[Fundamental &amp; Technical Model (1).xlsm]Capital Structure Summary!R62C9</stp>
        <stp>EQY_FUND_RELATIVE_PERIOD</stp>
        <stp>-1FY</stp>
        <stp>EQY_FUND_CRNCY</stp>
        <stp>USD</stp>
        <stp>EQY_CONSOLIDATED</stp>
        <stp>Yes</stp>
        <stp>ACCOUNTING_STANDARD_OVERRIDE</stp>
        <stp>Mixed</stp>
        <stp>Fill=--</stp>
        <tr r="I62" s="21"/>
      </tp>
      <tp>
        <v>19.205298013245034</v>
        <stp/>
        <stp>##V3_BQLV12</stp>
        <stp>[Fundamental &amp; Technical Model (1).xlsm]Ratios!R24C12</stp>
        <stp>SYK US Equity</stp>
        <stp>EBIT_MARGIN</stp>
        <stp>FPT</stp>
        <stp>A</stp>
        <stp>FPO</stp>
        <stp>-2A</stp>
        <stp>STD</stp>
        <stp>Mixed</stp>
        <stp>CONSOL</stp>
        <stp>Yes</stp>
        <tr r="L24" s="8"/>
      </tp>
      <tp>
        <v>378</v>
        <stp/>
        <stp>##V3_BDSV12</stp>
        <stp>SYK US Equity</stp>
        <stp>PG_REVENUE</stp>
        <stp>[Fundamental &amp; Technical Model (1).xlsm]Segments!R34C10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34" s="17"/>
        <tr r="J34" s="17"/>
      </tp>
      <tp>
        <v>0.27697425513450968</v>
        <stp/>
        <stp>##V3_BDPV12</stp>
        <stp>SYK US Equity</stp>
        <stp>CFO_TO_TOT_DEBT</stp>
        <stp>[Fundamental &amp; Technical Model (1).xlsm]Capital Structure Summary!R62C7</stp>
        <stp>EQY_FUND_RELATIVE_PERIOD</stp>
        <stp>-2FY</stp>
        <stp>EQY_FUND_CRNCY</stp>
        <stp>USD</stp>
        <stp>EQY_CONSOLIDATED</stp>
        <stp>Yes</stp>
        <stp>ACCOUNTING_STANDARD_OVERRIDE</stp>
        <stp>Mixed</stp>
        <stp>Fill=--</stp>
        <tr r="G62" s="21"/>
      </tp>
      <tp t="s">
        <v>#N/A N/A</v>
        <stp/>
        <stp>##V3_BDSV12</stp>
        <stp>SYK US Equity</stp>
        <stp>PG_DEPR_AMORTIZATION</stp>
        <stp>[Fundamental &amp; Technical Model (1).xlsm]Segments!R148C11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148" s="17"/>
      </tp>
      <tp>
        <v>312</v>
        <stp/>
        <stp>##V3_BDSV12</stp>
        <stp>SYK US Equity</stp>
        <stp>PG_REVENUE</stp>
        <stp>[Fundamental &amp; Technical Model (1).xlsm]Segments!R34C11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34" s="17"/>
        <tr r="K34" s="17"/>
      </tp>
      <tp t="s">
        <v>#N/A N/A</v>
        <stp/>
        <stp>##V3_BDSV12</stp>
        <stp>SYK US Equity</stp>
        <stp>PG_DEPR_AMORTIZATION</stp>
        <stp>[Fundamental &amp; Technical Model (1).xlsm]Segments!R148C10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148" s="17"/>
      </tp>
      <tp>
        <v>333</v>
        <stp/>
        <stp>##V3_BDSV12</stp>
        <stp>SYK US Equity</stp>
        <stp>PG_REVENUE</stp>
        <stp>[Fundamental &amp; Technical Model (1).xlsm]Segments!R34C12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34" s="17"/>
        <tr r="L34" s="17"/>
      </tp>
      <tp>
        <v>0.44852756103699976</v>
        <stp/>
        <stp>##V3_BDPV12</stp>
        <stp>SYK US Equity</stp>
        <stp>CFO_TO_TOT_DEBT</stp>
        <stp>[Fundamental &amp; Technical Model (1).xlsm]Capital Structure Summary!R62C3</stp>
        <stp>EQY_FUND_RELATIVE_PERIOD</stp>
        <stp>-4FY</stp>
        <stp>EQY_FUND_CRNCY</stp>
        <stp>USD</stp>
        <stp>EQY_CONSOLIDATED</stp>
        <stp>Yes</stp>
        <stp>ACCOUNTING_STANDARD_OVERRIDE</stp>
        <stp>Mixed</stp>
        <stp>Fill=--</stp>
        <tr r="C62" s="21"/>
      </tp>
      <tp t="s">
        <v>#N/A N/A</v>
        <stp/>
        <stp>##V3_BDSV12</stp>
        <stp>SYK US Equity</stp>
        <stp>PG_DEPR_AMORTIZATION</stp>
        <stp>[Fundamental &amp; Technical Model (1).xlsm]Segments!R148C13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148" s="17"/>
      </tp>
      <tp>
        <v>405</v>
        <stp/>
        <stp>##V3_BDSV12</stp>
        <stp>SYK US Equity</stp>
        <stp>PG_REVENUE</stp>
        <stp>[Fundamental &amp; Technical Model (1).xlsm]Segments!R34C13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34" s="17"/>
        <tr r="M34" s="17"/>
      </tp>
      <tp>
        <v>0.22486243121560781</v>
        <stp/>
        <stp>##V3_BDPV12</stp>
        <stp>SYK US Equity</stp>
        <stp>CFO_TO_TOT_DEBT</stp>
        <stp>[Fundamental &amp; Technical Model (1).xlsm]Capital Structure Summary!R62C5</stp>
        <stp>EQY_FUND_RELATIVE_PERIOD</stp>
        <stp>-3FY</stp>
        <stp>EQY_FUND_CRNCY</stp>
        <stp>USD</stp>
        <stp>EQY_CONSOLIDATED</stp>
        <stp>Yes</stp>
        <stp>ACCOUNTING_STANDARD_OVERRIDE</stp>
        <stp>Mixed</stp>
        <stp>Fill=--</stp>
        <tr r="E62" s="21"/>
      </tp>
      <tp t="s">
        <v>#N/A N/A</v>
        <stp/>
        <stp>##V3_BDSV12</stp>
        <stp>SYK US Equity</stp>
        <stp>PG_DEPR_AMORTIZATION</stp>
        <stp>[Fundamental &amp; Technical Model (1).xlsm]Segments!R148C12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148" s="17"/>
      </tp>
      <tp>
        <v>428</v>
        <stp/>
        <stp>##V3_BDSV12</stp>
        <stp>SYK US Equity</stp>
        <stp>PG_REVENUE</stp>
        <stp>[Fundamental &amp; Technical Model (1).xlsm]Segments!R34C14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34" s="17"/>
        <tr r="N34" s="17"/>
      </tp>
      <tp t="s">
        <v>#N/A N/A</v>
        <stp/>
        <stp>##V3_BDSV12</stp>
        <stp>SYK US Equity</stp>
        <stp>PG_DEPR_AMORTIZATION</stp>
        <stp>[Fundamental &amp; Technical Model (1).xlsm]Segments!R148C14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148" s="17"/>
      </tp>
      <tp>
        <v>7.311024435730479</v>
        <stp/>
        <stp>##V3_BQLV12</stp>
        <stp>[Fundamental &amp; Technical Model (1).xlsm]Ratios!R58C12</stp>
        <stp>SYK US Equity</stp>
        <stp>ALTMAN_Z_SCORE</stp>
        <stp>FPT</stp>
        <stp>A</stp>
        <stp>FPO</stp>
        <stp>-2A</stp>
        <stp>STD</stp>
        <stp>Mixed</stp>
        <stp>CONSOL</stp>
        <stp>Yes</stp>
        <tr r="L58" s="8"/>
      </tp>
      <tp>
        <v>1705</v>
        <stp/>
        <stp>##V3_BQLV12</stp>
        <stp>[Fundamental &amp; Technical Model (1).xlsm]Income Statement!R44C8</stp>
        <stp>SYK US Equity</stp>
        <stp>PRETAX_INC/10^6</stp>
        <stp>FPT</stp>
        <stp>A</stp>
        <stp>FPO</stp>
        <stp>-6A</stp>
        <stp>STD</stp>
        <stp>Mixed</stp>
        <stp>CONSOL</stp>
        <stp>Yes</stp>
        <stp>CURRENCY</stp>
        <stp>USD</stp>
        <tr r="H44" s="2"/>
      </tp>
      <tp t="s">
        <v>#N/A N/A</v>
        <stp/>
        <stp>##V3_BDSV12</stp>
        <stp>SYK US Equity</stp>
        <stp>PG_ASSETS</stp>
        <stp>[Fundamental &amp; Technical Model (1).xlsm]Segments!R113C10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113" s="17"/>
      </tp>
      <tp>
        <v>134.55000000000001</v>
        <stp/>
        <stp>##V3_BDPV12</stp>
        <stp>ZBH Equity</stp>
        <stp>high_52week</stp>
        <stp>[Fundamental &amp; Technical Model (1).xlsm]Public Comparables!R13C6</stp>
        <tr r="F13" s="24"/>
      </tp>
      <tp t="s">
        <v>#N/A N/A</v>
        <stp/>
        <stp>##V3_BDSV12</stp>
        <stp>SYK US Equity</stp>
        <stp>PG_ASSETS</stp>
        <stp>[Fundamental &amp; Technical Model (1).xlsm]Segments!R127C10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127" s="17"/>
      </tp>
      <tp>
        <v>-182</v>
        <stp/>
        <stp>##V3_BQLV12</stp>
        <stp>[Fundamental &amp; Technical Model (1).xlsm]Cash Flow!R32C8</stp>
        <stp>SYK US Equity</stp>
        <stp>CF_REIMB_LT_BORROW/10^6</stp>
        <stp>FPT</stp>
        <stp>A</stp>
        <stp>FPO</stp>
        <stp>-6A</stp>
        <stp>STD</stp>
        <stp>Mixed</stp>
        <stp>CONSOL</stp>
        <stp>Yes</stp>
        <stp>CURRENCY</stp>
        <stp>USD</stp>
        <tr r="H32" s="4"/>
      </tp>
      <tp t="s">
        <v>--</v>
        <stp/>
        <stp>##V3_BDPV12</stp>
        <stp>SYK US Equity</stp>
        <stp>IS_STOCK_OPT_EXPENSE_AFTER_TAX</stp>
        <stp>[Fundamental &amp; Technical Model (1).xlsm]Supplemental!R34C4</stp>
        <stp>EQY_FUND_RELATIVE_PERIOD</stp>
        <stp>-9FY</stp>
        <stp>EQY_FUND_CRNCY</stp>
        <stp>USD</stp>
        <stp>EQY_CONSOLIDATED</stp>
        <stp>Yes</stp>
        <stp>ACCOUNTING_STANDARD_OVERRIDE</stp>
        <stp>Mixed</stp>
        <stp>Fill=--</stp>
        <tr r="D34" s="19"/>
      </tp>
      <tp t="s">
        <v>--</v>
        <stp/>
        <stp>##V3_BDPV12</stp>
        <stp>SYK US Equity</stp>
        <stp>IS_STOCK_OPT_EXPENSE_AFTER_TAX</stp>
        <stp>[Fundamental &amp; Technical Model (1).xlsm]Supplemental!R34C5</stp>
        <stp>EQY_FUND_RELATIVE_PERIOD</stp>
        <stp>-8FY</stp>
        <stp>EQY_FUND_CRNCY</stp>
        <stp>USD</stp>
        <stp>EQY_CONSOLIDATED</stp>
        <stp>Yes</stp>
        <stp>ACCOUNTING_STANDARD_OVERRIDE</stp>
        <stp>Mixed</stp>
        <stp>Fill=--</stp>
        <tr r="E34" s="19"/>
      </tp>
      <tp t="s">
        <v>--</v>
        <stp/>
        <stp>##V3_BDPV12</stp>
        <stp>SYK US Equity</stp>
        <stp>IS_STOCK_OPT_EXPENSE_AFTER_TAX</stp>
        <stp>[Fundamental &amp; Technical Model (1).xlsm]Supplemental!R34C8</stp>
        <stp>EQY_FUND_RELATIVE_PERIOD</stp>
        <stp>-5FY</stp>
        <stp>EQY_FUND_CRNCY</stp>
        <stp>USD</stp>
        <stp>EQY_CONSOLIDATED</stp>
        <stp>Yes</stp>
        <stp>ACCOUNTING_STANDARD_OVERRIDE</stp>
        <stp>Mixed</stp>
        <stp>Fill=--</stp>
        <tr r="H34" s="19"/>
      </tp>
      <tp t="s">
        <v>--</v>
        <stp/>
        <stp>##V3_BDPV12</stp>
        <stp>SYK US Equity</stp>
        <stp>IS_STOCK_OPT_EXPENSE_AFTER_TAX</stp>
        <stp>[Fundamental &amp; Technical Model (1).xlsm]Supplemental!R34C9</stp>
        <stp>EQY_FUND_RELATIVE_PERIOD</stp>
        <stp>-4FY</stp>
        <stp>EQY_FUND_CRNCY</stp>
        <stp>USD</stp>
        <stp>EQY_CONSOLIDATED</stp>
        <stp>Yes</stp>
        <stp>ACCOUNTING_STANDARD_OVERRIDE</stp>
        <stp>Mixed</stp>
        <stp>Fill=--</stp>
        <tr r="I34" s="19"/>
      </tp>
      <tp t="s">
        <v>--</v>
        <stp/>
        <stp>##V3_BDPV12</stp>
        <stp>SYK US Equity</stp>
        <stp>IS_STOCK_OPT_EXPENSE_AFTER_TAX</stp>
        <stp>[Fundamental &amp; Technical Model (1).xlsm]Supplemental!R34C6</stp>
        <stp>EQY_FUND_RELATIVE_PERIOD</stp>
        <stp>-7FY</stp>
        <stp>EQY_FUND_CRNCY</stp>
        <stp>USD</stp>
        <stp>EQY_CONSOLIDATED</stp>
        <stp>Yes</stp>
        <stp>ACCOUNTING_STANDARD_OVERRIDE</stp>
        <stp>Mixed</stp>
        <stp>Fill=--</stp>
        <tr r="F34" s="19"/>
      </tp>
      <tp t="s">
        <v>--</v>
        <stp/>
        <stp>##V3_BDPV12</stp>
        <stp>SYK US Equity</stp>
        <stp>IS_STOCK_OPT_EXPENSE_AFTER_TAX</stp>
        <stp>[Fundamental &amp; Technical Model (1).xlsm]Supplemental!R34C7</stp>
        <stp>EQY_FUND_RELATIVE_PERIOD</stp>
        <stp>-6FY</stp>
        <stp>EQY_FUND_CRNCY</stp>
        <stp>USD</stp>
        <stp>EQY_CONSOLIDATED</stp>
        <stp>Yes</stp>
        <stp>ACCOUNTING_STANDARD_OVERRIDE</stp>
        <stp>Mixed</stp>
        <stp>Fill=--</stp>
        <tr r="G34" s="19"/>
      </tp>
      <tp t="s">
        <v>12/31/2008</v>
        <stp/>
        <stp>##V3_BDPV12</stp>
        <stp>SYK US Equity</stp>
        <stp>LATEST_PERIOD_END_DT_FULL_RECORD</stp>
        <stp>[Fundamental &amp; Technical Model (1).xlsm]Segments!R131C4</stp>
        <stp>EQY_FUND_RELATIVE_PERIOD</stp>
        <stp>-10FY</stp>
        <stp>EQY_CONSOLIDATED</stp>
        <stp>Yes</stp>
        <tr r="D131" s="17"/>
        <tr r="D131" s="17"/>
      </tp>
      <tp>
        <v>44561</v>
        <stp/>
        <stp>##V3_BQLV12</stp>
        <stp>[Fundamental &amp; Technical Model (1).xlsm]Key Stats!R13C14</stp>
        <stp>SYK US Equity</stp>
        <stp>IS_EPS().PERIOD_END_DATE</stp>
        <stp>FPT</stp>
        <stp>A</stp>
        <stp>FPO</stp>
        <stp>3A</stp>
        <stp>STD</stp>
        <stp>Mixed</stp>
        <stp>CONSOL</stp>
        <stp>Yes</stp>
        <stp>CURRENCY</stp>
        <stp>USD</stp>
        <tr r="N13" s="23"/>
      </tp>
      <tp t="e">
        <v>#N/A</v>
        <stp/>
        <stp>##V3_BDHV12</stp>
        <stp>SYK US Equity</stp>
        <stp>LOW_EV_TO_T12M_EBITDA</stp>
        <stp>-6FY</stp>
        <stp>-6FY</stp>
        <stp>[Fundamental &amp; Technical Model (1).xlsm]Multiples!R24C7</stp>
        <stp>EQY_CONSOLIDATED</stp>
        <stp>Yes</stp>
        <stp>ACCOUNTING_STANDARD_OVERRIDE</stp>
        <stp>Mixed</stp>
        <stp>Per</stp>
        <stp>FY</stp>
        <stp>Days=A</stp>
        <tr r="G24" s="16"/>
        <tr r="G24" s="16"/>
      </tp>
      <tp t="s">
        <v>12/31/2010</v>
        <stp/>
        <stp>##V3_BDPV12</stp>
        <stp>SYK US Equity</stp>
        <stp>LATEST_PERIOD_END_DT_FULL_RECORD</stp>
        <stp>[Fundamental &amp; Technical Model (1).xlsm]Segments!R102C6</stp>
        <stp>EQY_FUND_RELATIVE_PERIOD</stp>
        <stp>-8FY</stp>
        <stp>EQY_CONSOLIDATED</stp>
        <stp>Yes</stp>
        <tr r="F102" s="17"/>
        <tr r="F102" s="17"/>
      </tp>
      <tp t="s">
        <v>12/31/2012</v>
        <stp/>
        <stp>##V3_BDPV12</stp>
        <stp>SYK US Equity</stp>
        <stp>LATEST_PERIOD_END_DT_FULL_RECORD</stp>
        <stp>[Fundamental &amp; Technical Model (1).xlsm]Segments!R102C8</stp>
        <stp>EQY_FUND_RELATIVE_PERIOD</stp>
        <stp>-6FY</stp>
        <stp>EQY_CONSOLIDATED</stp>
        <stp>Yes</stp>
        <tr r="H102" s="17"/>
        <tr r="H102" s="17"/>
      </tp>
      <tp t="s">
        <v>12/31/2009</v>
        <stp/>
        <stp>##V3_BDPV12</stp>
        <stp>SYK US Equity</stp>
        <stp>LATEST_PERIOD_END_DT_FULL_RECORD</stp>
        <stp>[Fundamental &amp; Technical Model (1).xlsm]Segments!R102C5</stp>
        <stp>EQY_FUND_RELATIVE_PERIOD</stp>
        <stp>-9FY</stp>
        <stp>EQY_CONSOLIDATED</stp>
        <stp>Yes</stp>
        <tr r="E102" s="17"/>
        <tr r="E102" s="17"/>
      </tp>
      <tp t="s">
        <v>12/31/2013</v>
        <stp/>
        <stp>##V3_BDPV12</stp>
        <stp>SYK US Equity</stp>
        <stp>LATEST_PERIOD_END_DT_FULL_RECORD</stp>
        <stp>[Fundamental &amp; Technical Model (1).xlsm]Segments!R102C9</stp>
        <stp>EQY_FUND_RELATIVE_PERIOD</stp>
        <stp>-5FY</stp>
        <stp>EQY_CONSOLIDATED</stp>
        <stp>Yes</stp>
        <tr r="I102" s="17"/>
        <tr r="I102" s="17"/>
      </tp>
      <tp t="s">
        <v>12/31/2011</v>
        <stp/>
        <stp>##V3_BDPV12</stp>
        <stp>SYK US Equity</stp>
        <stp>LATEST_PERIOD_END_DT_FULL_RECORD</stp>
        <stp>[Fundamental &amp; Technical Model (1).xlsm]Segments!R102C7</stp>
        <stp>EQY_FUND_RELATIVE_PERIOD</stp>
        <stp>-7FY</stp>
        <stp>EQY_CONSOLIDATED</stp>
        <stp>Yes</stp>
        <tr r="G102" s="17"/>
        <tr r="G102" s="17"/>
      </tp>
      <tp>
        <v>0.59333054942432739</v>
        <stp/>
        <stp>##V3_BQLV12</stp>
        <stp>[Fundamental &amp; Technical Model (1).xlsm]Ratios!R31C11</stp>
        <stp>SYK US Equity</stp>
        <stp>ASSET_TURNOVER</stp>
        <stp>FPT</stp>
        <stp>A</stp>
        <stp>FPO</stp>
        <stp>-3A</stp>
        <stp>STD</stp>
        <stp>Mixed</stp>
        <stp>CONSOL</stp>
        <stp>Yes</stp>
        <tr r="K31" s="8"/>
      </tp>
      <tp>
        <v>165.50918951491414</v>
        <stp/>
        <stp>##V3_BQLV12</stp>
        <stp>[Fundamental &amp; Technical Model (1).xlsm]Ratios!R41C10</stp>
        <stp>SYK US Equity</stp>
        <stp>INVENT_DAYS</stp>
        <stp>FPT</stp>
        <stp>A</stp>
        <stp>FPO</stp>
        <stp>-4A</stp>
        <stp>STD</stp>
        <stp>Mixed</stp>
        <stp>CONSOL</stp>
        <stp>Yes</stp>
        <tr r="J41" s="8"/>
      </tp>
      <tp>
        <v>18.71103961391514</v>
        <stp/>
        <stp>##V3_BQLV12</stp>
        <stp>[Fundamental &amp; Technical Model (1).xlsm]Ratios!R24C11</stp>
        <stp>SYK US Equity</stp>
        <stp>EBIT_MARGIN</stp>
        <stp>FPT</stp>
        <stp>A</stp>
        <stp>FPO</stp>
        <stp>-3A</stp>
        <stp>STD</stp>
        <stp>Mixed</stp>
        <stp>CONSOL</stp>
        <stp>Yes</stp>
        <tr r="K24" s="8"/>
      </tp>
      <tp t="s">
        <v>#N/A N/A</v>
        <stp/>
        <stp>##V3_BDSV12</stp>
        <stp>SYK US Equity</stp>
        <stp>PG_REVENUE</stp>
        <stp>[Fundamental &amp; Technical Model (1).xlsm]Segments!R35C11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35" s="17"/>
      </tp>
      <tp t="s">
        <v>#N/A N/A</v>
        <stp/>
        <stp>##V3_BDSV12</stp>
        <stp>SYK US Equity</stp>
        <stp>PG_DEPR_AMORTIZATION</stp>
        <stp>[Fundamental &amp; Technical Model (1).xlsm]Segments!R149C10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149" s="17"/>
      </tp>
      <tp t="s">
        <v>#N/A N/A</v>
        <stp/>
        <stp>##V3_BDSV12</stp>
        <stp>SYK US Equity</stp>
        <stp>PG_REVENUE</stp>
        <stp>[Fundamental &amp; Technical Model (1).xlsm]Segments!R35C10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35" s="17"/>
      </tp>
      <tp t="s">
        <v>#N/A N/A</v>
        <stp/>
        <stp>##V3_BDSV12</stp>
        <stp>SYK US Equity</stp>
        <stp>PG_DEPR_AMORTIZATION</stp>
        <stp>[Fundamental &amp; Technical Model (1).xlsm]Segments!R149C11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149" s="17"/>
      </tp>
      <tp t="s">
        <v>#N/A N/A</v>
        <stp/>
        <stp>##V3_BDSV12</stp>
        <stp>SYK US Equity</stp>
        <stp>PG_REVENUE</stp>
        <stp>[Fundamental &amp; Technical Model (1).xlsm]Segments!R35C13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35" s="17"/>
      </tp>
      <tp t="s">
        <v>#N/A N/A</v>
        <stp/>
        <stp>##V3_BDSV12</stp>
        <stp>SYK US Equity</stp>
        <stp>PG_DEPR_AMORTIZATION</stp>
        <stp>[Fundamental &amp; Technical Model (1).xlsm]Segments!R149C12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149" s="17"/>
      </tp>
      <tp t="s">
        <v>#N/A N/A</v>
        <stp/>
        <stp>##V3_BDSV12</stp>
        <stp>SYK US Equity</stp>
        <stp>PG_REVENUE</stp>
        <stp>[Fundamental &amp; Technical Model (1).xlsm]Segments!R35C12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35" s="17"/>
      </tp>
      <tp t="s">
        <v>#N/A N/A</v>
        <stp/>
        <stp>##V3_BDSV12</stp>
        <stp>SYK US Equity</stp>
        <stp>PG_DEPR_AMORTIZATION</stp>
        <stp>[Fundamental &amp; Technical Model (1).xlsm]Segments!R149C13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149" s="17"/>
      </tp>
      <tp t="s">
        <v>#N/A N/A</v>
        <stp/>
        <stp>##V3_BDSV12</stp>
        <stp>SYK US Equity</stp>
        <stp>PG_DEPR_AMORTIZATION</stp>
        <stp>[Fundamental &amp; Technical Model (1).xlsm]Segments!R149C14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149" s="17"/>
      </tp>
      <tp t="s">
        <v>#N/A N/A</v>
        <stp/>
        <stp>##V3_BDSV12</stp>
        <stp>SYK US Equity</stp>
        <stp>PG_REVENUE</stp>
        <stp>[Fundamental &amp; Technical Model (1).xlsm]Segments!R35C14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35" s="17"/>
      </tp>
      <tp>
        <v>8.5569808936834022</v>
        <stp/>
        <stp>##V3_BQLV12</stp>
        <stp>[Fundamental &amp; Technical Model (1).xlsm]Ratios!R58C11</stp>
        <stp>SYK US Equity</stp>
        <stp>ALTMAN_Z_SCORE</stp>
        <stp>FPT</stp>
        <stp>A</stp>
        <stp>FPO</stp>
        <stp>-3A</stp>
        <stp>STD</stp>
        <stp>Mixed</stp>
        <stp>CONSOL</stp>
        <stp>Yes</stp>
        <tr r="K58" s="8"/>
      </tp>
      <tp>
        <v>1373</v>
        <stp/>
        <stp>##V3_BDPV12</stp>
        <stp>SYK US Equity</stp>
        <stp>BS_ST_PORTION_OF_LT_DEBT</stp>
        <stp>[Fundamental &amp; Technical Model (1).xlsm]Capital Structure Summary!R51C11</stp>
        <stp>EQY_FUND_RELATIVE_PERIOD</stp>
        <stp>-0FY</stp>
        <stp>EQY_FUND_CRNCY</stp>
        <stp>USD</stp>
        <stp>EQY_CONSOLIDATED</stp>
        <stp>Yes</stp>
        <stp>ACCOUNTING_STANDARD_OVERRIDE</stp>
        <stp>Mixed</stp>
        <stp>Fill=--</stp>
        <tr r="K51" s="21"/>
      </tp>
      <tp>
        <v>768</v>
        <stp/>
        <stp>##V3_BDPV12</stp>
        <stp>SYK US Equity</stp>
        <stp>BS_ST_BORROW</stp>
        <stp>[Fundamental &amp; Technical Model (1).xlsm]Capital Structure Summary!R50C5</stp>
        <stp>EQY_FUND_RELATIVE_PERIOD</stp>
        <stp>-3FY</stp>
        <stp>EQY_FUND_CRNCY</stp>
        <stp>USD</stp>
        <stp>EQY_CONSOLIDATED</stp>
        <stp>Yes</stp>
        <stp>ACCOUNTING_STANDARD_OVERRIDE</stp>
        <stp>Mixed</stp>
        <stp>Fill=--</stp>
        <tr r="E50" s="21"/>
      </tp>
      <tp>
        <v>768</v>
        <stp/>
        <stp>##V3_BDPV12</stp>
        <stp>SYK US Equity</stp>
        <stp>BS_ST_BORROW</stp>
        <stp>[Fundamental &amp; Technical Model (1).xlsm]Capital Structure Summary!R30C5</stp>
        <stp>EQY_FUND_RELATIVE_PERIOD</stp>
        <stp>-3FY</stp>
        <stp>EQY_FUND_CRNCY</stp>
        <stp>USD</stp>
        <stp>EQY_CONSOLIDATED</stp>
        <stp>Yes</stp>
        <stp>ACCOUNTING_STANDARD_OVERRIDE</stp>
        <stp>Mixed</stp>
        <stp>Fill=--</stp>
        <tr r="E30" s="21"/>
      </tp>
      <tp>
        <v>727</v>
        <stp/>
        <stp>##V3_BDPV12</stp>
        <stp>SYK US Equity</stp>
        <stp>BS_ST_BORROW</stp>
        <stp>[Fundamental &amp; Technical Model (1).xlsm]Capital Structure Summary!R50C3</stp>
        <stp>EQY_FUND_RELATIVE_PERIOD</stp>
        <stp>-4FY</stp>
        <stp>EQY_FUND_CRNCY</stp>
        <stp>USD</stp>
        <stp>EQY_CONSOLIDATED</stp>
        <stp>Yes</stp>
        <stp>ACCOUNTING_STANDARD_OVERRIDE</stp>
        <stp>Mixed</stp>
        <stp>Fill=--</stp>
        <tr r="C50" s="21"/>
      </tp>
      <tp>
        <v>727</v>
        <stp/>
        <stp>##V3_BDPV12</stp>
        <stp>SYK US Equity</stp>
        <stp>BS_ST_BORROW</stp>
        <stp>[Fundamental &amp; Technical Model (1).xlsm]Capital Structure Summary!R30C3</stp>
        <stp>EQY_FUND_RELATIVE_PERIOD</stp>
        <stp>-4FY</stp>
        <stp>EQY_FUND_CRNCY</stp>
        <stp>USD</stp>
        <stp>EQY_CONSOLIDATED</stp>
        <stp>Yes</stp>
        <stp>ACCOUNTING_STANDARD_OVERRIDE</stp>
        <stp>Mixed</stp>
        <stp>Fill=--</stp>
        <tr r="C30" s="21"/>
      </tp>
      <tp>
        <v>228</v>
        <stp/>
        <stp>##V3_BDPV12</stp>
        <stp>SYK US Equity</stp>
        <stp>BS_ST_BORROW</stp>
        <stp>[Fundamental &amp; Technical Model (1).xlsm]Capital Structure Summary!R50C7</stp>
        <stp>EQY_FUND_RELATIVE_PERIOD</stp>
        <stp>-2FY</stp>
        <stp>EQY_FUND_CRNCY</stp>
        <stp>USD</stp>
        <stp>EQY_CONSOLIDATED</stp>
        <stp>Yes</stp>
        <stp>ACCOUNTING_STANDARD_OVERRIDE</stp>
        <stp>Mixed</stp>
        <stp>Fill=--</stp>
        <tr r="G50" s="21"/>
      </tp>
      <tp>
        <v>228</v>
        <stp/>
        <stp>##V3_BDPV12</stp>
        <stp>SYK US Equity</stp>
        <stp>BS_ST_BORROW</stp>
        <stp>[Fundamental &amp; Technical Model (1).xlsm]Capital Structure Summary!R30C7</stp>
        <stp>EQY_FUND_RELATIVE_PERIOD</stp>
        <stp>-2FY</stp>
        <stp>EQY_FUND_CRNCY</stp>
        <stp>USD</stp>
        <stp>EQY_CONSOLIDATED</stp>
        <stp>Yes</stp>
        <stp>ACCOUNTING_STANDARD_OVERRIDE</stp>
        <stp>Mixed</stp>
        <stp>Fill=--</stp>
        <tr r="G30" s="21"/>
      </tp>
      <tp>
        <v>632</v>
        <stp/>
        <stp>##V3_BDPV12</stp>
        <stp>SYK US Equity</stp>
        <stp>BS_ST_BORROW</stp>
        <stp>[Fundamental &amp; Technical Model (1).xlsm]Capital Structure Summary!R50C9</stp>
        <stp>EQY_FUND_RELATIVE_PERIOD</stp>
        <stp>-1FY</stp>
        <stp>EQY_FUND_CRNCY</stp>
        <stp>USD</stp>
        <stp>EQY_CONSOLIDATED</stp>
        <stp>Yes</stp>
        <stp>ACCOUNTING_STANDARD_OVERRIDE</stp>
        <stp>Mixed</stp>
        <stp>Fill=--</stp>
        <tr r="I50" s="21"/>
      </tp>
      <tp>
        <v>632</v>
        <stp/>
        <stp>##V3_BDPV12</stp>
        <stp>SYK US Equity</stp>
        <stp>BS_ST_BORROW</stp>
        <stp>[Fundamental &amp; Technical Model (1).xlsm]Capital Structure Summary!R30C9</stp>
        <stp>EQY_FUND_RELATIVE_PERIOD</stp>
        <stp>-1FY</stp>
        <stp>EQY_FUND_CRNCY</stp>
        <stp>USD</stp>
        <stp>EQY_CONSOLIDATED</stp>
        <stp>Yes</stp>
        <stp>ACCOUNTING_STANDARD_OVERRIDE</stp>
        <stp>Mixed</stp>
        <stp>Fill=--</stp>
        <tr r="I30" s="21"/>
      </tp>
      <tp>
        <v>1212</v>
        <stp/>
        <stp>##V3_BQLV12</stp>
        <stp>[Fundamental &amp; Technical Model (1).xlsm]Income Statement!R44C9</stp>
        <stp>SYK US Equity</stp>
        <stp>PRETAX_INC/10^6</stp>
        <stp>FPT</stp>
        <stp>A</stp>
        <stp>FPO</stp>
        <stp>-5A</stp>
        <stp>STD</stp>
        <stp>Mixed</stp>
        <stp>CONSOL</stp>
        <stp>Yes</stp>
        <stp>CURRENCY</stp>
        <stp>USD</stp>
        <tr r="I44" s="2"/>
      </tp>
      <tp>
        <v>3722.8</v>
        <stp/>
        <stp>##V3_BDPV12</stp>
        <stp>EW Equity</stp>
        <stp>sales_rev_turn</stp>
        <stp>[Fundamental &amp; Technical Model (1).xlsm]Public Comparables!R12C10</stp>
        <tr r="J12" s="24"/>
      </tp>
      <tp>
        <v>0.31457911483945616</v>
        <stp/>
        <stp>##V3_BDPV12</stp>
        <stp>SYK US Equity</stp>
        <stp>OPER_INC_TO_TOT_DEBT</stp>
        <stp>[Fundamental &amp; Technical Model (1).xlsm]Capital Structure Summary!R60C7</stp>
        <stp>EQY_FUND_RELATIVE_PERIOD</stp>
        <stp>-2FY</stp>
        <stp>EQY_FUND_CRNCY</stp>
        <stp>USD</stp>
        <stp>EQY_CONSOLIDATED</stp>
        <stp>Yes</stp>
        <stp>ACCOUNTING_STANDARD_OVERRIDE</stp>
        <stp>Mixed</stp>
        <stp>Fill=--</stp>
        <tr r="G60" s="21"/>
      </tp>
      <tp>
        <v>0.46548274137068535</v>
        <stp/>
        <stp>##V3_BDPV12</stp>
        <stp>SYK US Equity</stp>
        <stp>OPER_INC_TO_TOT_DEBT</stp>
        <stp>[Fundamental &amp; Technical Model (1).xlsm]Capital Structure Summary!R60C5</stp>
        <stp>EQY_FUND_RELATIVE_PERIOD</stp>
        <stp>-3FY</stp>
        <stp>EQY_FUND_CRNCY</stp>
        <stp>USD</stp>
        <stp>EQY_CONSOLIDATED</stp>
        <stp>Yes</stp>
        <stp>ACCOUNTING_STANDARD_OVERRIDE</stp>
        <stp>Mixed</stp>
        <stp>Fill=--</stp>
        <tr r="E60" s="21"/>
      </tp>
      <tp>
        <v>0.31361691417065191</v>
        <stp/>
        <stp>##V3_BDPV12</stp>
        <stp>SYK US Equity</stp>
        <stp>OPER_INC_TO_TOT_DEBT</stp>
        <stp>[Fundamental &amp; Technical Model (1).xlsm]Capital Structure Summary!R60C3</stp>
        <stp>EQY_FUND_RELATIVE_PERIOD</stp>
        <stp>-4FY</stp>
        <stp>EQY_FUND_CRNCY</stp>
        <stp>USD</stp>
        <stp>EQY_CONSOLIDATED</stp>
        <stp>Yes</stp>
        <stp>ACCOUNTING_STANDARD_OVERRIDE</stp>
        <stp>Mixed</stp>
        <stp>Fill=--</stp>
        <tr r="C60" s="21"/>
      </tp>
      <tp>
        <v>6590</v>
        <stp/>
        <stp>##V3_BDPV12</stp>
        <stp>SYK US Equity</stp>
        <stp>BS_LT_BORROW</stp>
        <stp>[Fundamental &amp; Technical Model (1).xlsm]Capital Structure Summary!R52C9</stp>
        <stp>EQY_FUND_RELATIVE_PERIOD</stp>
        <stp>-1FY</stp>
        <stp>EQY_FUND_CRNCY</stp>
        <stp>USD</stp>
        <stp>EQY_CONSOLIDATED</stp>
        <stp>Yes</stp>
        <stp>ACCOUNTING_STANDARD_OVERRIDE</stp>
        <stp>Mixed</stp>
        <stp>Fill=--</stp>
        <tr r="I52" s="21"/>
      </tp>
      <tp>
        <v>6590</v>
        <stp/>
        <stp>##V3_BDPV12</stp>
        <stp>SYK US Equity</stp>
        <stp>BS_LT_BORROW</stp>
        <stp>[Fundamental &amp; Technical Model (1).xlsm]Capital Structure Summary!R31C9</stp>
        <stp>EQY_FUND_RELATIVE_PERIOD</stp>
        <stp>-1FY</stp>
        <stp>EQY_FUND_CRNCY</stp>
        <stp>USD</stp>
        <stp>EQY_CONSOLIDATED</stp>
        <stp>Yes</stp>
        <stp>ACCOUNTING_STANDARD_OVERRIDE</stp>
        <stp>Mixed</stp>
        <stp>Fill=--</stp>
        <tr r="I31" s="21"/>
      </tp>
      <tp t="s">
        <v>#N/A N/A</v>
        <stp/>
        <stp>##V3_BDSV12</stp>
        <stp>SYK US Equity</stp>
        <stp>PG_ASSETS</stp>
        <stp>[Fundamental &amp; Technical Model (1).xlsm]Segments!R126C12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126" s="17"/>
      </tp>
      <tp>
        <v>6686</v>
        <stp/>
        <stp>##V3_BDPV12</stp>
        <stp>SYK US Equity</stp>
        <stp>BS_LT_BORROW</stp>
        <stp>[Fundamental &amp; Technical Model (1).xlsm]Capital Structure Summary!R52C7</stp>
        <stp>EQY_FUND_RELATIVE_PERIOD</stp>
        <stp>-2FY</stp>
        <stp>EQY_FUND_CRNCY</stp>
        <stp>USD</stp>
        <stp>EQY_CONSOLIDATED</stp>
        <stp>Yes</stp>
        <stp>ACCOUNTING_STANDARD_OVERRIDE</stp>
        <stp>Mixed</stp>
        <stp>Fill=--</stp>
        <tr r="G52" s="21"/>
      </tp>
      <tp>
        <v>6686</v>
        <stp/>
        <stp>##V3_BDPV12</stp>
        <stp>SYK US Equity</stp>
        <stp>BS_LT_BORROW</stp>
        <stp>[Fundamental &amp; Technical Model (1).xlsm]Capital Structure Summary!R31C7</stp>
        <stp>EQY_FUND_RELATIVE_PERIOD</stp>
        <stp>-2FY</stp>
        <stp>EQY_FUND_CRNCY</stp>
        <stp>USD</stp>
        <stp>EQY_CONSOLIDATED</stp>
        <stp>Yes</stp>
        <stp>ACCOUNTING_STANDARD_OVERRIDE</stp>
        <stp>Mixed</stp>
        <stp>Fill=--</stp>
        <tr r="G31" s="21"/>
      </tp>
      <tp t="s">
        <v>#N/A N/A</v>
        <stp/>
        <stp>##V3_BDSV12</stp>
        <stp>SYK US Equity</stp>
        <stp>PG_ASSETS</stp>
        <stp>[Fundamental &amp; Technical Model (1).xlsm]Segments!R126C13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126" s="17"/>
      </tp>
      <tp>
        <v>3246</v>
        <stp/>
        <stp>##V3_BDPV12</stp>
        <stp>SYK US Equity</stp>
        <stp>BS_LT_BORROW</stp>
        <stp>[Fundamental &amp; Technical Model (1).xlsm]Capital Structure Summary!R52C3</stp>
        <stp>EQY_FUND_RELATIVE_PERIOD</stp>
        <stp>-4FY</stp>
        <stp>EQY_FUND_CRNCY</stp>
        <stp>USD</stp>
        <stp>EQY_CONSOLIDATED</stp>
        <stp>Yes</stp>
        <stp>ACCOUNTING_STANDARD_OVERRIDE</stp>
        <stp>Mixed</stp>
        <stp>Fill=--</stp>
        <tr r="C52" s="21"/>
      </tp>
      <tp t="s">
        <v>#N/A N/A</v>
        <stp/>
        <stp>##V3_BDSV12</stp>
        <stp>SYK US Equity</stp>
        <stp>PG_ASSETS</stp>
        <stp>[Fundamental &amp; Technical Model (1).xlsm]Segments!R126C10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126" s="17"/>
      </tp>
      <tp>
        <v>3246</v>
        <stp/>
        <stp>##V3_BDPV12</stp>
        <stp>SYK US Equity</stp>
        <stp>BS_LT_BORROW</stp>
        <stp>[Fundamental &amp; Technical Model (1).xlsm]Capital Structure Summary!R31C3</stp>
        <stp>EQY_FUND_RELATIVE_PERIOD</stp>
        <stp>-4FY</stp>
        <stp>EQY_FUND_CRNCY</stp>
        <stp>USD</stp>
        <stp>EQY_CONSOLIDATED</stp>
        <stp>Yes</stp>
        <stp>ACCOUNTING_STANDARD_OVERRIDE</stp>
        <stp>Mixed</stp>
        <stp>Fill=--</stp>
        <tr r="C31" s="21"/>
      </tp>
      <tp>
        <v>3230</v>
        <stp/>
        <stp>##V3_BDPV12</stp>
        <stp>SYK US Equity</stp>
        <stp>BS_LT_BORROW</stp>
        <stp>[Fundamental &amp; Technical Model (1).xlsm]Capital Structure Summary!R52C5</stp>
        <stp>EQY_FUND_RELATIVE_PERIOD</stp>
        <stp>-3FY</stp>
        <stp>EQY_FUND_CRNCY</stp>
        <stp>USD</stp>
        <stp>EQY_CONSOLIDATED</stp>
        <stp>Yes</stp>
        <stp>ACCOUNTING_STANDARD_OVERRIDE</stp>
        <stp>Mixed</stp>
        <stp>Fill=--</stp>
        <tr r="E52" s="21"/>
      </tp>
      <tp t="s">
        <v>#N/A N/A</v>
        <stp/>
        <stp>##V3_BDSV12</stp>
        <stp>SYK US Equity</stp>
        <stp>PG_ASSETS</stp>
        <stp>[Fundamental &amp; Technical Model (1).xlsm]Segments!R126C11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126" s="17"/>
      </tp>
      <tp>
        <v>3230</v>
        <stp/>
        <stp>##V3_BDPV12</stp>
        <stp>SYK US Equity</stp>
        <stp>BS_LT_BORROW</stp>
        <stp>[Fundamental &amp; Technical Model (1).xlsm]Capital Structure Summary!R31C5</stp>
        <stp>EQY_FUND_RELATIVE_PERIOD</stp>
        <stp>-3FY</stp>
        <stp>EQY_FUND_CRNCY</stp>
        <stp>USD</stp>
        <stp>EQY_CONSOLIDATED</stp>
        <stp>Yes</stp>
        <stp>ACCOUNTING_STANDARD_OVERRIDE</stp>
        <stp>Mixed</stp>
        <stp>Fill=--</stp>
        <tr r="E31" s="21"/>
      </tp>
      <tp>
        <v>2184</v>
        <stp/>
        <stp>##V3_BQLV12</stp>
        <stp>[Fundamental &amp; Technical Model (1).xlsm]Income Statement!R20C5</stp>
        <stp>SYK US Equity</stp>
        <stp>IS_COGS_TO_FE_AND_PP_AND_G/10^6</stp>
        <stp>FPT</stp>
        <stp>A</stp>
        <stp>FPO</stp>
        <stp>-9A</stp>
        <stp>STD</stp>
        <stp>Mixed</stp>
        <stp>CONSOL</stp>
        <stp>Yes</stp>
        <stp>CURRENCY</stp>
        <stp>USD</stp>
        <tr r="E20" s="2"/>
      </tp>
      <tp>
        <v>0.31805594018277483</v>
        <stp/>
        <stp>##V3_BDPV12</stp>
        <stp>SYK US Equity</stp>
        <stp>OPER_INC_TO_TOT_DEBT</stp>
        <stp>[Fundamental &amp; Technical Model (1).xlsm]Capital Structure Summary!R60C9</stp>
        <stp>EQY_FUND_RELATIVE_PERIOD</stp>
        <stp>-1FY</stp>
        <stp>EQY_FUND_CRNCY</stp>
        <stp>USD</stp>
        <stp>EQY_CONSOLIDATED</stp>
        <stp>Yes</stp>
        <stp>ACCOUNTING_STANDARD_OVERRIDE</stp>
        <stp>Mixed</stp>
        <stp>Fill=--</stp>
        <tr r="I60" s="21"/>
      </tp>
      <tp t="s">
        <v>#N/A N/A</v>
        <stp/>
        <stp>##V3_BDSV12</stp>
        <stp>SYK US Equity</stp>
        <stp>PG_ASSETS</stp>
        <stp>[Fundamental &amp; Technical Model (1).xlsm]Segments!R126C14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126" s="17"/>
      </tp>
      <tp t="s">
        <v>#N/A N/A</v>
        <stp/>
        <stp>##V3_BDSV12</stp>
        <stp>SYK US Equity</stp>
        <stp>PG_ASSETS</stp>
        <stp>[Fundamental &amp; Technical Model (1).xlsm]Segments!R113C11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113" s="17"/>
      </tp>
      <tp t="s">
        <v>#N/A N/A</v>
        <stp/>
        <stp>##V3_BDSV12</stp>
        <stp>SYK US Equity</stp>
        <stp>PG_ASSETS</stp>
        <stp>[Fundamental &amp; Technical Model (1).xlsm]Segments!R127C11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127" s="17"/>
      </tp>
      <tp>
        <v>-355</v>
        <stp/>
        <stp>##V3_BQLV12</stp>
        <stp>[Fundamental &amp; Technical Model (1).xlsm]Cash Flow!R32C9</stp>
        <stp>SYK US Equity</stp>
        <stp>CF_REIMB_LT_BORROW/10^6</stp>
        <stp>FPT</stp>
        <stp>A</stp>
        <stp>FPO</stp>
        <stp>-5A</stp>
        <stp>STD</stp>
        <stp>Mixed</stp>
        <stp>CONSOL</stp>
        <stp>Yes</stp>
        <stp>CURRENCY</stp>
        <stp>USD</stp>
        <tr r="I32" s="4"/>
      </tp>
      <tp t="s">
        <v>12/31/2008</v>
        <stp/>
        <stp>##V3_BDPV12</stp>
        <stp>SYK US Equity</stp>
        <stp>LATEST_PERIOD_END_DT_FULL_RECORD</stp>
        <stp>[Fundamental &amp; Technical Model (1).xlsm]Segments!R160C4</stp>
        <stp>EQY_FUND_RELATIVE_PERIOD</stp>
        <stp>-10FY</stp>
        <stp>EQY_CONSOLIDATED</stp>
        <stp>Yes</stp>
        <tr r="D160" s="17"/>
        <tr r="D160" s="17"/>
      </tp>
      <tp t="e">
        <v>#N/A</v>
        <stp/>
        <stp>##V3_BDHV12</stp>
        <stp>SYK US Equity</stp>
        <stp>LOW_EV_TO_T12M_EBITDA</stp>
        <stp>-7FY</stp>
        <stp>-7FY</stp>
        <stp>[Fundamental &amp; Technical Model (1).xlsm]Multiples!R24C6</stp>
        <stp>EQY_CONSOLIDATED</stp>
        <stp>Yes</stp>
        <stp>ACCOUNTING_STANDARD_OVERRIDE</stp>
        <stp>Mixed</stp>
        <stp>Per</stp>
        <stp>FY</stp>
        <stp>Days=A</stp>
        <tr r="F24" s="16"/>
        <tr r="F24" s="16"/>
      </tp>
      <tp t="s">
        <v>12/31/2010</v>
        <stp/>
        <stp>##V3_BDPV12</stp>
        <stp>SYK US Equity</stp>
        <stp>LATEST_PERIOD_END_DT_FULL_RECORD</stp>
        <stp>[Fundamental &amp; Technical Model (1).xlsm]Segments!R116C6</stp>
        <stp>EQY_FUND_RELATIVE_PERIOD</stp>
        <stp>-8FY</stp>
        <stp>EQY_CONSOLIDATED</stp>
        <stp>Yes</stp>
        <tr r="F116" s="17"/>
        <tr r="F116" s="17"/>
      </tp>
      <tp t="s">
        <v>12/31/2012</v>
        <stp/>
        <stp>##V3_BDPV12</stp>
        <stp>SYK US Equity</stp>
        <stp>LATEST_PERIOD_END_DT_FULL_RECORD</stp>
        <stp>[Fundamental &amp; Technical Model (1).xlsm]Segments!R116C8</stp>
        <stp>EQY_FUND_RELATIVE_PERIOD</stp>
        <stp>-6FY</stp>
        <stp>EQY_CONSOLIDATED</stp>
        <stp>Yes</stp>
        <tr r="H116" s="17"/>
        <tr r="H116" s="17"/>
      </tp>
      <tp t="s">
        <v>12/31/2009</v>
        <stp/>
        <stp>##V3_BDPV12</stp>
        <stp>SYK US Equity</stp>
        <stp>LATEST_PERIOD_END_DT_FULL_RECORD</stp>
        <stp>[Fundamental &amp; Technical Model (1).xlsm]Segments!R116C5</stp>
        <stp>EQY_FUND_RELATIVE_PERIOD</stp>
        <stp>-9FY</stp>
        <stp>EQY_CONSOLIDATED</stp>
        <stp>Yes</stp>
        <tr r="E116" s="17"/>
        <tr r="E116" s="17"/>
      </tp>
      <tp t="s">
        <v>12/31/2013</v>
        <stp/>
        <stp>##V3_BDPV12</stp>
        <stp>SYK US Equity</stp>
        <stp>LATEST_PERIOD_END_DT_FULL_RECORD</stp>
        <stp>[Fundamental &amp; Technical Model (1).xlsm]Segments!R116C9</stp>
        <stp>EQY_FUND_RELATIVE_PERIOD</stp>
        <stp>-5FY</stp>
        <stp>EQY_CONSOLIDATED</stp>
        <stp>Yes</stp>
        <tr r="I116" s="17"/>
        <tr r="I116" s="17"/>
      </tp>
      <tp t="s">
        <v>12/31/2011</v>
        <stp/>
        <stp>##V3_BDPV12</stp>
        <stp>SYK US Equity</stp>
        <stp>LATEST_PERIOD_END_DT_FULL_RECORD</stp>
        <stp>[Fundamental &amp; Technical Model (1).xlsm]Segments!R116C7</stp>
        <stp>EQY_FUND_RELATIVE_PERIOD</stp>
        <stp>-7FY</stp>
        <stp>EQY_CONSOLIDATED</stp>
        <stp>Yes</stp>
        <tr r="G116" s="17"/>
        <tr r="G116" s="17"/>
      </tp>
      <tp>
        <v>40178</v>
        <stp/>
        <stp>##V3_BQLV12</stp>
        <stp>[Fundamental &amp; Technical Model (1).xlsm]Ratios!R14C5</stp>
        <stp>SYK US Equity</stp>
        <stp>IS_EPS().PERIOD_END_DATE</stp>
        <stp>FPT</stp>
        <stp>A</stp>
        <stp>FPO</stp>
        <stp>-9A</stp>
        <stp>STD</stp>
        <stp>Mixed</stp>
        <stp>CONSOL</stp>
        <stp>Yes</stp>
        <tr r="E14" s="8"/>
      </tp>
      <tp>
        <v>41639</v>
        <stp/>
        <stp>##V3_BQLV12</stp>
        <stp>[Fundamental &amp; Technical Model (1).xlsm]Ratios!R14C9</stp>
        <stp>SYK US Equity</stp>
        <stp>IS_EPS().PERIOD_END_DATE</stp>
        <stp>FPT</stp>
        <stp>A</stp>
        <stp>FPO</stp>
        <stp>-5A</stp>
        <stp>STD</stp>
        <stp>Mixed</stp>
        <stp>CONSOL</stp>
        <stp>Yes</stp>
        <tr r="I14" s="8"/>
      </tp>
      <tp>
        <v>5000</v>
        <stp/>
        <stp>##V3_BDPV12</stp>
        <stp>SYK US Equity</stp>
        <stp>CASH_AND_ST_INVESTMENTS</stp>
        <stp>[Fundamental &amp; Technical Model (1).xlsm]Capital Structure Summary!R48C3</stp>
        <stp>EQY_FUND_RELATIVE_PERIOD</stp>
        <stp>-4FY</stp>
        <stp>EQY_FUND_CRNCY</stp>
        <stp>USD</stp>
        <stp>EQY_CONSOLIDATED</stp>
        <stp>Yes</stp>
        <stp>ACCOUNTING_STANDARD_OVERRIDE</stp>
        <stp>Mixed</stp>
        <stp>Fill=--</stp>
        <tr r="C48" s="21"/>
      </tp>
      <tp>
        <v>0.55035811111560717</v>
        <stp/>
        <stp>##V3_BQLV12</stp>
        <stp>[Fundamental &amp; Technical Model (1).xlsm]Ratios!R31C14</stp>
        <stp>SYK US Equity</stp>
        <stp>ASSET_TURNOVER</stp>
        <stp>FPT</stp>
        <stp>A</stp>
        <stp>FPO</stp>
        <stp>-0A</stp>
        <stp>STD</stp>
        <stp>Mixed</stp>
        <stp>CONSOL</stp>
        <stp>Yes</stp>
        <tr r="N31" s="8"/>
      </tp>
      <tp>
        <v>4079</v>
        <stp/>
        <stp>##V3_BDPV12</stp>
        <stp>SYK US Equity</stp>
        <stp>CASH_AND_ST_INVESTMENTS</stp>
        <stp>[Fundamental &amp; Technical Model (1).xlsm]Capital Structure Summary!R48C5</stp>
        <stp>EQY_FUND_RELATIVE_PERIOD</stp>
        <stp>-3FY</stp>
        <stp>EQY_FUND_CRNCY</stp>
        <stp>USD</stp>
        <stp>EQY_CONSOLIDATED</stp>
        <stp>Yes</stp>
        <stp>ACCOUNTING_STANDARD_OVERRIDE</stp>
        <stp>Mixed</stp>
        <stp>Fill=--</stp>
        <tr r="E48" s="21"/>
      </tp>
      <tp>
        <v>3384</v>
        <stp/>
        <stp>##V3_BDPV12</stp>
        <stp>SYK US Equity</stp>
        <stp>CASH_AND_ST_INVESTMENTS</stp>
        <stp>[Fundamental &amp; Technical Model (1).xlsm]Capital Structure Summary!R48C7</stp>
        <stp>EQY_FUND_RELATIVE_PERIOD</stp>
        <stp>-2FY</stp>
        <stp>EQY_FUND_CRNCY</stp>
        <stp>USD</stp>
        <stp>EQY_CONSOLIDATED</stp>
        <stp>Yes</stp>
        <stp>ACCOUNTING_STANDARD_OVERRIDE</stp>
        <stp>Mixed</stp>
        <stp>Fill=--</stp>
        <tr r="G48" s="21"/>
      </tp>
      <tp>
        <v>1.4732122842412014</v>
        <stp/>
        <stp>##V3_BQLV12</stp>
        <stp>[Fundamental &amp; Technical Model (1).xlsm]Ratios!R38C10</stp>
        <stp>SYK US Equity</stp>
        <stp>QUICK_RATIO</stp>
        <stp>FPT</stp>
        <stp>A</stp>
        <stp>FPO</stp>
        <stp>-4A</stp>
        <stp>STD</stp>
        <stp>Mixed</stp>
        <stp>CONSOL</stp>
        <stp>Yes</stp>
        <tr r="J38" s="8"/>
      </tp>
      <tp>
        <v>2793</v>
        <stp/>
        <stp>##V3_BDPV12</stp>
        <stp>SYK US Equity</stp>
        <stp>CASH_AND_ST_INVESTMENTS</stp>
        <stp>[Fundamental &amp; Technical Model (1).xlsm]Capital Structure Summary!R48C9</stp>
        <stp>EQY_FUND_RELATIVE_PERIOD</stp>
        <stp>-1FY</stp>
        <stp>EQY_FUND_CRNCY</stp>
        <stp>USD</stp>
        <stp>EQY_CONSOLIDATED</stp>
        <stp>Yes</stp>
        <stp>ACCOUNTING_STANDARD_OVERRIDE</stp>
        <stp>Mixed</stp>
        <stp>Fill=--</stp>
        <tr r="I48" s="21"/>
      </tp>
      <tp>
        <v>18.653040217631055</v>
        <stp/>
        <stp>##V3_BQLV12</stp>
        <stp>[Fundamental &amp; Technical Model (1).xlsm]Ratios!R24C14</stp>
        <stp>SYK US Equity</stp>
        <stp>EBIT_MARGIN</stp>
        <stp>FPT</stp>
        <stp>A</stp>
        <stp>FPO</stp>
        <stp>-0A</stp>
        <stp>STD</stp>
        <stp>Mixed</stp>
        <stp>CONSOL</stp>
        <stp>Yes</stp>
        <tr r="N24" s="8"/>
      </tp>
      <tp t="s">
        <v>#N/A N/A</v>
        <stp/>
        <stp>##V3_BDSV12</stp>
        <stp>SYK US Equity</stp>
        <stp>PG_REVENUE</stp>
        <stp>[Fundamental &amp; Technical Model (1).xlsm]Segments!R36C12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36" s="17"/>
      </tp>
      <tp t="s">
        <v>#N/A N/A</v>
        <stp/>
        <stp>##V3_BDSV12</stp>
        <stp>SYK US Equity</stp>
        <stp>PG_REVENUE</stp>
        <stp>[Fundamental &amp; Technical Model (1).xlsm]Segments!R36C13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36" s="17"/>
      </tp>
      <tp t="s">
        <v>#N/A N/A</v>
        <stp/>
        <stp>##V3_BDSV12</stp>
        <stp>SYK US Equity</stp>
        <stp>PG_REVENUE</stp>
        <stp>[Fundamental &amp; Technical Model (1).xlsm]Segments!R36C10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36" s="17"/>
      </tp>
      <tp t="s">
        <v>#N/A N/A</v>
        <stp/>
        <stp>##V3_BDSV12</stp>
        <stp>SYK US Equity</stp>
        <stp>PG_REVENUE</stp>
        <stp>[Fundamental &amp; Technical Model (1).xlsm]Segments!R36C11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36" s="17"/>
      </tp>
      <tp t="s">
        <v>#N/A N/A</v>
        <stp/>
        <stp>##V3_BDSV12</stp>
        <stp>SYK US Equity</stp>
        <stp>PG_REVENUE</stp>
        <stp>[Fundamental &amp; Technical Model (1).xlsm]Segments!R36C14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36" s="17"/>
      </tp>
      <tp>
        <v>5.6689842384446578</v>
        <stp/>
        <stp>##V3_BQLV12</stp>
        <stp>[Fundamental &amp; Technical Model (1).xlsm]Ratios!R58C14</stp>
        <stp>SYK US Equity</stp>
        <stp>ALTMAN_Z_SCORE</stp>
        <stp>FPT</stp>
        <stp>A</stp>
        <stp>FPO</stp>
        <stp>-0A</stp>
        <stp>STD</stp>
        <stp>Mixed</stp>
        <stp>CONSOL</stp>
        <stp>Yes</stp>
        <tr r="N58" s="8"/>
      </tp>
      <tp t="s">
        <v>#N/A N/A</v>
        <stp/>
        <stp>##V3_BDSV12</stp>
        <stp>SYK US Equity</stp>
        <stp>PG_ASSETS</stp>
        <stp>[Fundamental &amp; Technical Model (1).xlsm]Segments!R125C13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125" s="17"/>
      </tp>
      <tp t="s">
        <v>#N/A N/A</v>
        <stp/>
        <stp>##V3_BDSV12</stp>
        <stp>SYK US Equity</stp>
        <stp>PG_ASSETS</stp>
        <stp>[Fundamental &amp; Technical Model (1).xlsm]Segments!R125C12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125" s="17"/>
      </tp>
      <tp t="s">
        <v>#N/A N/A</v>
        <stp/>
        <stp>##V3_BDSV12</stp>
        <stp>SYK US Equity</stp>
        <stp>PG_ASSETS</stp>
        <stp>[Fundamental &amp; Technical Model (1).xlsm]Segments!R125C11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125" s="17"/>
      </tp>
      <tp t="s">
        <v>#N/A N/A</v>
        <stp/>
        <stp>##V3_BDSV12</stp>
        <stp>SYK US Equity</stp>
        <stp>PG_ASSETS</stp>
        <stp>[Fundamental &amp; Technical Model (1).xlsm]Segments!R125C10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125" s="17"/>
      </tp>
      <tp>
        <v>2286</v>
        <stp/>
        <stp>##V3_BQLV12</stp>
        <stp>[Fundamental &amp; Technical Model (1).xlsm]Income Statement!R20C6</stp>
        <stp>SYK US Equity</stp>
        <stp>IS_COGS_TO_FE_AND_PP_AND_G/10^6</stp>
        <stp>FPT</stp>
        <stp>A</stp>
        <stp>FPO</stp>
        <stp>-8A</stp>
        <stp>STD</stp>
        <stp>Mixed</stp>
        <stp>CONSOL</stp>
        <stp>Yes</stp>
        <stp>CURRENCY</stp>
        <stp>USD</stp>
        <tr r="F20" s="2"/>
      </tp>
      <tp t="s">
        <v>#N/A N/A</v>
        <stp/>
        <stp>##V3_BDSV12</stp>
        <stp>SYK US Equity</stp>
        <stp>PG_ASSETS</stp>
        <stp>[Fundamental &amp; Technical Model (1).xlsm]Segments!R125C14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125" s="17"/>
      </tp>
      <tp t="s">
        <v>#N/A N/A</v>
        <stp/>
        <stp>##V3_BDSV12</stp>
        <stp>SYK US Equity</stp>
        <stp>PG_ASSETS</stp>
        <stp>[Fundamental &amp; Technical Model (1).xlsm]Segments!R127C12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127" s="17"/>
      </tp>
      <tp t="s">
        <v>#N/A N/A</v>
        <stp/>
        <stp>##V3_BDSV12</stp>
        <stp>SYK US Equity</stp>
        <stp>PG_ASSETS</stp>
        <stp>[Fundamental &amp; Technical Model (1).xlsm]Segments!R113C12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113" s="17"/>
      </tp>
      <tp t="s">
        <v>2010 A</v>
        <stp/>
        <stp>##V3_BQLV12</stp>
        <stp>[Fundamental &amp; Technical Model (1).xlsm]Ratios!R12C6</stp>
        <stp>SYK US Equity</stp>
        <stp>IS_EPS().PERIOD</stp>
        <stp>FPT</stp>
        <stp>A</stp>
        <stp>FPO</stp>
        <stp>-8A</stp>
        <stp>STD</stp>
        <stp>Mixed</stp>
        <stp>CONSOL</stp>
        <stp>Yes</stp>
        <tr r="F12" s="8"/>
      </tp>
      <tp t="e">
        <v>#N/A</v>
        <stp/>
        <stp>##V3_BDHV12</stp>
        <stp>SYK US Equity</stp>
        <stp>LOW_EV_TO_T12M_EBITDA</stp>
        <stp>-8FY</stp>
        <stp>-8FY</stp>
        <stp>[Fundamental &amp; Technical Model (1).xlsm]Multiples!R24C5</stp>
        <stp>EQY_CONSOLIDATED</stp>
        <stp>Yes</stp>
        <stp>ACCOUNTING_STANDARD_OVERRIDE</stp>
        <stp>Mixed</stp>
        <stp>Per</stp>
        <stp>FY</stp>
        <stp>Days=A</stp>
        <tr r="E24" s="16"/>
        <tr r="E24" s="16"/>
      </tp>
      <tp>
        <v>0.58378682679677241</v>
        <stp/>
        <stp>##V3_BQLV12</stp>
        <stp>[Fundamental &amp; Technical Model (1).xlsm]Ratios!R31C13</stp>
        <stp>SYK US Equity</stp>
        <stp>ASSET_TURNOVER</stp>
        <stp>FPT</stp>
        <stp>A</stp>
        <stp>FPO</stp>
        <stp>-1A</stp>
        <stp>STD</stp>
        <stp>Mixed</stp>
        <stp>CONSOL</stp>
        <stp>Yes</stp>
        <tr r="M31" s="8"/>
      </tp>
      <tp t="s">
        <v>12/31/2016</v>
        <stp/>
        <stp>##V3_BDPV12</stp>
        <stp>SYK US Equity</stp>
        <stp>LATEST_PERIOD_END_DT_FULL_RECORD</stp>
        <stp>[Fundamental &amp; Technical Model (1).xlsm]Segments!R73C12</stp>
        <stp>EQY_FUND_RELATIVE_PERIOD</stp>
        <stp>-2FY</stp>
        <stp>EQY_CONSOLIDATED</stp>
        <stp>Yes</stp>
        <tr r="L73" s="17"/>
        <tr r="L73" s="17"/>
      </tp>
      <tp t="s">
        <v>12/31/2015</v>
        <stp/>
        <stp>##V3_BDPV12</stp>
        <stp>SYK US Equity</stp>
        <stp>LATEST_PERIOD_END_DT_FULL_RECORD</stp>
        <stp>[Fundamental &amp; Technical Model (1).xlsm]Segments!R73C11</stp>
        <stp>EQY_FUND_RELATIVE_PERIOD</stp>
        <stp>-3FY</stp>
        <stp>EQY_CONSOLIDATED</stp>
        <stp>Yes</stp>
        <tr r="K73" s="17"/>
        <tr r="K73" s="17"/>
      </tp>
      <tp t="s">
        <v>12/31/2017</v>
        <stp/>
        <stp>##V3_BDPV12</stp>
        <stp>SYK US Equity</stp>
        <stp>LATEST_PERIOD_END_DT_FULL_RECORD</stp>
        <stp>[Fundamental &amp; Technical Model (1).xlsm]Segments!R73C13</stp>
        <stp>EQY_FUND_RELATIVE_PERIOD</stp>
        <stp>-1FY</stp>
        <stp>EQY_CONSOLIDATED</stp>
        <stp>Yes</stp>
        <tr r="M73" s="17"/>
        <tr r="M73" s="17"/>
      </tp>
      <tp t="s">
        <v>12/31/2014</v>
        <stp/>
        <stp>##V3_BDPV12</stp>
        <stp>SYK US Equity</stp>
        <stp>LATEST_PERIOD_END_DT_FULL_RECORD</stp>
        <stp>[Fundamental &amp; Technical Model (1).xlsm]Segments!R73C10</stp>
        <stp>EQY_FUND_RELATIVE_PERIOD</stp>
        <stp>-4FY</stp>
        <stp>EQY_CONSOLIDATED</stp>
        <stp>Yes</stp>
        <tr r="J73" s="17"/>
        <tr r="J73" s="17"/>
      </tp>
      <tp t="s">
        <v>12/31/2018</v>
        <stp/>
        <stp>##V3_BDPV12</stp>
        <stp>SYK US Equity</stp>
        <stp>LATEST_PERIOD_END_DT_FULL_RECORD</stp>
        <stp>[Fundamental &amp; Technical Model (1).xlsm]Segments!R73C14</stp>
        <stp>EQY_FUND_RELATIVE_PERIOD</stp>
        <stp>-0FY</stp>
        <stp>EQY_CONSOLIDATED</stp>
        <stp>Yes</stp>
        <tr r="N73" s="17"/>
        <tr r="N73" s="17"/>
      </tp>
      <tp t="e">
        <v>#N/A</v>
        <stp/>
        <stp>##V3_BDHV12</stp>
        <stp>SYK US Equity</stp>
        <stp>RETURN_COM_EQY</stp>
        <stp>FY 2015</stp>
        <stp>FY 2018</stp>
        <stp>[Fundamental &amp; Technical Model (1).xlsm]Multi-Stage GGM!R8C5</stp>
        <stp>Dir=H</stp>
        <stp>Per=Y</stp>
        <stp>Days=A</stp>
        <stp>Dts=H</stp>
        <stp>cols=4;rows=1</stp>
        <tr r="E8" s="29"/>
      </tp>
      <tp>
        <v>18.458694953391191</v>
        <stp/>
        <stp>##V3_BQLV12</stp>
        <stp>[Fundamental &amp; Technical Model (1).xlsm]Ratios!R24C13</stp>
        <stp>SYK US Equity</stp>
        <stp>EBIT_MARGIN</stp>
        <stp>FPT</stp>
        <stp>A</stp>
        <stp>FPO</stp>
        <stp>-1A</stp>
        <stp>STD</stp>
        <stp>Mixed</stp>
        <stp>CONSOL</stp>
        <stp>Yes</stp>
        <tr r="M24" s="8"/>
      </tp>
      <tp t="s">
        <v>#N/A N/A</v>
        <stp/>
        <stp>##V3_BDSV12</stp>
        <stp>SYK US Equity</stp>
        <stp>PG_REVENUE</stp>
        <stp>[Fundamental &amp; Technical Model (1).xlsm]Segments!R37C13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37" s="17"/>
      </tp>
      <tp t="s">
        <v>#N/A N/A</v>
        <stp/>
        <stp>##V3_BDSV12</stp>
        <stp>SYK US Equity</stp>
        <stp>PG_REVENUE</stp>
        <stp>[Fundamental &amp; Technical Model (1).xlsm]Segments!R37C12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37" s="17"/>
      </tp>
      <tp t="s">
        <v>#N/A N/A</v>
        <stp/>
        <stp>##V3_BDSV12</stp>
        <stp>SYK US Equity</stp>
        <stp>PG_REVENUE</stp>
        <stp>[Fundamental &amp; Technical Model (1).xlsm]Segments!R37C11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37" s="17"/>
      </tp>
      <tp t="s">
        <v>#N/A N/A</v>
        <stp/>
        <stp>##V3_BDSV12</stp>
        <stp>SYK US Equity</stp>
        <stp>PG_REVENUE</stp>
        <stp>[Fundamental &amp; Technical Model (1).xlsm]Segments!R37C10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37" s="17"/>
      </tp>
      <tp>
        <v>6.7251145112539801</v>
        <stp/>
        <stp>##V3_BQLV12</stp>
        <stp>[Fundamental &amp; Technical Model (1).xlsm]Ratios!R58C13</stp>
        <stp>SYK US Equity</stp>
        <stp>ALTMAN_Z_SCORE</stp>
        <stp>FPT</stp>
        <stp>A</stp>
        <stp>FPO</stp>
        <stp>-1A</stp>
        <stp>STD</stp>
        <stp>Mixed</stp>
        <stp>CONSOL</stp>
        <stp>Yes</stp>
        <tr r="M58" s="8"/>
      </tp>
      <tp t="s">
        <v>#N/A N/A</v>
        <stp/>
        <stp>##V3_BDSV12</stp>
        <stp>SYK US Equity</stp>
        <stp>PG_REVENUE</stp>
        <stp>[Fundamental &amp; Technical Model (1).xlsm]Segments!R37C14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37" s="17"/>
      </tp>
      <tp t="s">
        <v>#N/A</v>
        <stp/>
        <stp>##V3_BQLV12</stp>
        <stp>[Fundamental &amp; Technical Model (1).xlsm]Cash Flow!R41C9</stp>
        <stp>SYK US Equity</stp>
        <stp>CF_INCR_DECR_DPST/10^6</stp>
        <stp>FPT</stp>
        <stp>A</stp>
        <stp>FPO</stp>
        <stp>-5A</stp>
        <stp>STD</stp>
        <stp>Mixed</stp>
        <stp>CONSOL</stp>
        <stp>Yes</stp>
        <stp>CURRENCY</stp>
        <stp>USD</stp>
        <tr r="I41" s="4"/>
      </tp>
      <tp t="s">
        <v>#N/A</v>
        <stp/>
        <stp>##V3_BQLV12</stp>
        <stp>[Fundamental &amp; Technical Model (1).xlsm]Cash Flow!R41C8</stp>
        <stp>SYK US Equity</stp>
        <stp>CF_INCR_DECR_DPST/10^6</stp>
        <stp>FPT</stp>
        <stp>A</stp>
        <stp>FPO</stp>
        <stp>-6A</stp>
        <stp>STD</stp>
        <stp>Mixed</stp>
        <stp>CONSOL</stp>
        <stp>Yes</stp>
        <stp>CURRENCY</stp>
        <stp>USD</stp>
        <tr r="H41" s="4"/>
      </tp>
      <tp t="s">
        <v>#N/A</v>
        <stp/>
        <stp>##V3_BQLV12</stp>
        <stp>[Fundamental &amp; Technical Model (1).xlsm]Cash Flow!R41C7</stp>
        <stp>SYK US Equity</stp>
        <stp>CF_INCR_DECR_DPST/10^6</stp>
        <stp>FPT</stp>
        <stp>A</stp>
        <stp>FPO</stp>
        <stp>-7A</stp>
        <stp>STD</stp>
        <stp>Mixed</stp>
        <stp>CONSOL</stp>
        <stp>Yes</stp>
        <stp>CURRENCY</stp>
        <stp>USD</stp>
        <tr r="G41" s="4"/>
      </tp>
      <tp t="s">
        <v>#N/A</v>
        <stp/>
        <stp>##V3_BQLV12</stp>
        <stp>[Fundamental &amp; Technical Model (1).xlsm]Cash Flow!R41C6</stp>
        <stp>SYK US Equity</stp>
        <stp>CF_INCR_DECR_DPST/10^6</stp>
        <stp>FPT</stp>
        <stp>A</stp>
        <stp>FPO</stp>
        <stp>-8A</stp>
        <stp>STD</stp>
        <stp>Mixed</stp>
        <stp>CONSOL</stp>
        <stp>Yes</stp>
        <stp>CURRENCY</stp>
        <stp>USD</stp>
        <tr r="F41" s="4"/>
      </tp>
      <tp t="s">
        <v>#N/A</v>
        <stp/>
        <stp>##V3_BQLV12</stp>
        <stp>[Fundamental &amp; Technical Model (1).xlsm]Cash Flow!R41C5</stp>
        <stp>SYK US Equity</stp>
        <stp>CF_INCR_DECR_DPST/10^6</stp>
        <stp>FPT</stp>
        <stp>A</stp>
        <stp>FPO</stp>
        <stp>-9A</stp>
        <stp>STD</stp>
        <stp>Mixed</stp>
        <stp>CONSOL</stp>
        <stp>Yes</stp>
        <stp>CURRENCY</stp>
        <stp>USD</stp>
        <tr r="E41" s="4"/>
      </tp>
      <tp t="s">
        <v>#N/A N/A</v>
        <stp/>
        <stp>##V3_BDSV12</stp>
        <stp>SYK US Equity</stp>
        <stp>PG_ASSETS</stp>
        <stp>[Fundamental &amp; Technical Model (1).xlsm]Segments!R124C14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124" s="17"/>
      </tp>
      <tp t="s">
        <v>#N/A N/A</v>
        <stp/>
        <stp>##V3_BDSV12</stp>
        <stp>SYK US Equity</stp>
        <stp>PG_ASSETS</stp>
        <stp>[Fundamental &amp; Technical Model (1).xlsm]Segments!R124C10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124" s="17"/>
      </tp>
      <tp t="s">
        <v>#N/A N/A</v>
        <stp/>
        <stp>##V3_BDSV12</stp>
        <stp>SYK US Equity</stp>
        <stp>PG_ASSETS</stp>
        <stp>[Fundamental &amp; Technical Model (1).xlsm]Segments!R124C11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124" s="17"/>
      </tp>
      <tp t="s">
        <v>#N/A N/A</v>
        <stp/>
        <stp>##V3_BDSV12</stp>
        <stp>SYK US Equity</stp>
        <stp>PG_ASSETS</stp>
        <stp>[Fundamental &amp; Technical Model (1).xlsm]Segments!R124C12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124" s="17"/>
      </tp>
      <tp t="s">
        <v>#N/A N/A</v>
        <stp/>
        <stp>##V3_BDSV12</stp>
        <stp>SYK US Equity</stp>
        <stp>PG_ASSETS</stp>
        <stp>[Fundamental &amp; Technical Model (1).xlsm]Segments!R124C13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124" s="17"/>
      </tp>
      <tp>
        <v>2811</v>
        <stp/>
        <stp>##V3_BQLV12</stp>
        <stp>[Fundamental &amp; Technical Model (1).xlsm]Income Statement!R20C7</stp>
        <stp>SYK US Equity</stp>
        <stp>IS_COGS_TO_FE_AND_PP_AND_G/10^6</stp>
        <stp>FPT</stp>
        <stp>A</stp>
        <stp>FPO</stp>
        <stp>-7A</stp>
        <stp>STD</stp>
        <stp>Mixed</stp>
        <stp>CONSOL</stp>
        <stp>Yes</stp>
        <stp>CURRENCY</stp>
        <stp>USD</stp>
        <tr r="G20" s="2"/>
      </tp>
      <tp t="s">
        <v>#N/A N/A</v>
        <stp/>
        <stp>##V3_BDSV12</stp>
        <stp>SYK US Equity</stp>
        <stp>PG_ASSETS</stp>
        <stp>[Fundamental &amp; Technical Model (1).xlsm]Segments!R127C13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127" s="17"/>
      </tp>
      <tp t="s">
        <v>#N/A N/A</v>
        <stp/>
        <stp>##V3_BDSV12</stp>
        <stp>SYK US Equity</stp>
        <stp>PG_ASSETS</stp>
        <stp>[Fundamental &amp; Technical Model (1).xlsm]Segments!R113C13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113" s="17"/>
      </tp>
      <tp t="s">
        <v>2009 A</v>
        <stp/>
        <stp>##V3_BQLV12</stp>
        <stp>[Fundamental &amp; Technical Model (1).xlsm]Ratios!R12C5</stp>
        <stp>SYK US Equity</stp>
        <stp>IS_EPS().PERIOD</stp>
        <stp>FPT</stp>
        <stp>A</stp>
        <stp>FPO</stp>
        <stp>-9A</stp>
        <stp>STD</stp>
        <stp>Mixed</stp>
        <stp>CONSOL</stp>
        <stp>Yes</stp>
        <tr r="E12" s="8"/>
      </tp>
      <tp>
        <v>26.299999999999997</v>
        <stp/>
        <stp>##V3_BDPV12</stp>
        <stp>SYK US Equity</stp>
        <stp>BS_OPTIONS_OUTSTANDING</stp>
        <stp>[Fundamental &amp; Technical Model (1).xlsm]Supplemental!R16C4</stp>
        <stp>EQY_FUND_RELATIVE_PERIOD</stp>
        <stp>-9FY</stp>
        <stp>EQY_FUND_CRNCY</stp>
        <stp>USD</stp>
        <stp>EQY_CONSOLIDATED</stp>
        <stp>Yes</stp>
        <stp>ACCOUNTING_STANDARD_OVERRIDE</stp>
        <stp>Mixed</stp>
        <stp>Fill=--</stp>
        <tr r="D16" s="19"/>
      </tp>
      <tp>
        <v>24.799999999999997</v>
        <stp/>
        <stp>##V3_BDPV12</stp>
        <stp>SYK US Equity</stp>
        <stp>BS_OPTIONS_OUTSTANDING</stp>
        <stp>[Fundamental &amp; Technical Model (1).xlsm]Supplemental!R16C5</stp>
        <stp>EQY_FUND_RELATIVE_PERIOD</stp>
        <stp>-8FY</stp>
        <stp>EQY_FUND_CRNCY</stp>
        <stp>USD</stp>
        <stp>EQY_CONSOLIDATED</stp>
        <stp>Yes</stp>
        <stp>ACCOUNTING_STANDARD_OVERRIDE</stp>
        <stp>Mixed</stp>
        <stp>Fill=--</stp>
        <tr r="E16" s="19"/>
      </tp>
      <tp>
        <v>17</v>
        <stp/>
        <stp>##V3_BDPV12</stp>
        <stp>SYK US Equity</stp>
        <stp>BS_OPTIONS_OUTSTANDING</stp>
        <stp>[Fundamental &amp; Technical Model (1).xlsm]Supplemental!R16C8</stp>
        <stp>EQY_FUND_RELATIVE_PERIOD</stp>
        <stp>-5FY</stp>
        <stp>EQY_FUND_CRNCY</stp>
        <stp>USD</stp>
        <stp>EQY_CONSOLIDATED</stp>
        <stp>Yes</stp>
        <stp>ACCOUNTING_STANDARD_OVERRIDE</stp>
        <stp>Mixed</stp>
        <stp>Fill=--</stp>
        <tr r="H16" s="19"/>
      </tp>
      <tp>
        <v>15.2</v>
        <stp/>
        <stp>##V3_BDPV12</stp>
        <stp>SYK US Equity</stp>
        <stp>BS_OPTIONS_OUTSTANDING</stp>
        <stp>[Fundamental &amp; Technical Model (1).xlsm]Supplemental!R16C9</stp>
        <stp>EQY_FUND_RELATIVE_PERIOD</stp>
        <stp>-4FY</stp>
        <stp>EQY_FUND_CRNCY</stp>
        <stp>USD</stp>
        <stp>EQY_CONSOLIDATED</stp>
        <stp>Yes</stp>
        <stp>ACCOUNTING_STANDARD_OVERRIDE</stp>
        <stp>Mixed</stp>
        <stp>Fill=--</stp>
        <tr r="I16" s="19"/>
      </tp>
      <tp t="s">
        <v>12/31/2008</v>
        <stp/>
        <stp>##V3_BDPV12</stp>
        <stp>SYK US Equity</stp>
        <stp>LATEST_PERIOD_END_DT_FULL_RECORD</stp>
        <stp>[Fundamental &amp; Technical Model (1).xlsm]Segments!R102C4</stp>
        <stp>EQY_FUND_RELATIVE_PERIOD</stp>
        <stp>-10FY</stp>
        <stp>EQY_CONSOLIDATED</stp>
        <stp>Yes</stp>
        <tr r="D102" s="17"/>
        <tr r="D102" s="17"/>
      </tp>
      <tp>
        <v>22.8</v>
        <stp/>
        <stp>##V3_BDPV12</stp>
        <stp>SYK US Equity</stp>
        <stp>BS_OPTIONS_OUTSTANDING</stp>
        <stp>[Fundamental &amp; Technical Model (1).xlsm]Supplemental!R16C6</stp>
        <stp>EQY_FUND_RELATIVE_PERIOD</stp>
        <stp>-7FY</stp>
        <stp>EQY_FUND_CRNCY</stp>
        <stp>USD</stp>
        <stp>EQY_CONSOLIDATED</stp>
        <stp>Yes</stp>
        <stp>ACCOUNTING_STANDARD_OVERRIDE</stp>
        <stp>Mixed</stp>
        <stp>Fill=--</stp>
        <tr r="F16" s="19"/>
      </tp>
      <tp>
        <v>19.7</v>
        <stp/>
        <stp>##V3_BDPV12</stp>
        <stp>SYK US Equity</stp>
        <stp>BS_OPTIONS_OUTSTANDING</stp>
        <stp>[Fundamental &amp; Technical Model (1).xlsm]Supplemental!R16C7</stp>
        <stp>EQY_FUND_RELATIVE_PERIOD</stp>
        <stp>-6FY</stp>
        <stp>EQY_FUND_CRNCY</stp>
        <stp>USD</stp>
        <stp>EQY_CONSOLIDATED</stp>
        <stp>Yes</stp>
        <stp>ACCOUNTING_STANDARD_OVERRIDE</stp>
        <stp>Mixed</stp>
        <stp>Fill=--</stp>
        <tr r="G16" s="19"/>
      </tp>
      <tp t="e">
        <v>#N/A</v>
        <stp/>
        <stp>##V3_BDHV12</stp>
        <stp>SYK US Equity</stp>
        <stp>LOW_EV_TO_T12M_EBITDA</stp>
        <stp>-9FY</stp>
        <stp>-9FY</stp>
        <stp>[Fundamental &amp; Technical Model (1).xlsm]Multiples!R24C4</stp>
        <stp>EQY_CONSOLIDATED</stp>
        <stp>Yes</stp>
        <stp>ACCOUNTING_STANDARD_OVERRIDE</stp>
        <stp>Mixed</stp>
        <stp>Per</stp>
        <stp>FY</stp>
        <stp>Days=A</stp>
        <tr r="D24" s="16"/>
        <tr r="D24" s="16"/>
      </tp>
      <tp>
        <v>1147.8</v>
        <stp/>
        <stp>##V3_BQLV12</stp>
        <stp>[Fundamental &amp; Technical Model (1).xlsm]Cash Flow!R15C4</stp>
        <stp>SYK US Equity</stp>
        <stp>CF_NET_INC/10^6</stp>
        <stp>FPT</stp>
        <stp>A</stp>
        <stp>FPO</stp>
        <stp>-10A</stp>
        <stp>STD</stp>
        <stp>Mixed</stp>
        <stp>CONSOL</stp>
        <stp>Yes</stp>
        <stp>CURRENCY</stp>
        <stp>USD</stp>
        <tr r="D15" s="4"/>
      </tp>
      <tp t="s">
        <v>12/31/2010</v>
        <stp/>
        <stp>##V3_BDPV12</stp>
        <stp>SYK US Equity</stp>
        <stp>LATEST_PERIOD_END_DT_FULL_RECORD</stp>
        <stp>[Fundamental &amp; Technical Model (1).xlsm]Segments!R131C6</stp>
        <stp>EQY_FUND_RELATIVE_PERIOD</stp>
        <stp>-8FY</stp>
        <stp>EQY_CONSOLIDATED</stp>
        <stp>Yes</stp>
        <tr r="F131" s="17"/>
        <tr r="F131" s="17"/>
      </tp>
      <tp t="s">
        <v>12/31/2012</v>
        <stp/>
        <stp>##V3_BDPV12</stp>
        <stp>SYK US Equity</stp>
        <stp>LATEST_PERIOD_END_DT_FULL_RECORD</stp>
        <stp>[Fundamental &amp; Technical Model (1).xlsm]Segments!R131C8</stp>
        <stp>EQY_FUND_RELATIVE_PERIOD</stp>
        <stp>-6FY</stp>
        <stp>EQY_CONSOLIDATED</stp>
        <stp>Yes</stp>
        <tr r="H131" s="17"/>
        <tr r="H131" s="17"/>
      </tp>
      <tp t="s">
        <v>12/31/2009</v>
        <stp/>
        <stp>##V3_BDPV12</stp>
        <stp>SYK US Equity</stp>
        <stp>LATEST_PERIOD_END_DT_FULL_RECORD</stp>
        <stp>[Fundamental &amp; Technical Model (1).xlsm]Segments!R131C5</stp>
        <stp>EQY_FUND_RELATIVE_PERIOD</stp>
        <stp>-9FY</stp>
        <stp>EQY_CONSOLIDATED</stp>
        <stp>Yes</stp>
        <tr r="E131" s="17"/>
        <tr r="E131" s="17"/>
      </tp>
      <tp t="s">
        <v>12/31/2013</v>
        <stp/>
        <stp>##V3_BDPV12</stp>
        <stp>SYK US Equity</stp>
        <stp>LATEST_PERIOD_END_DT_FULL_RECORD</stp>
        <stp>[Fundamental &amp; Technical Model (1).xlsm]Segments!R131C9</stp>
        <stp>EQY_FUND_RELATIVE_PERIOD</stp>
        <stp>-5FY</stp>
        <stp>EQY_CONSOLIDATED</stp>
        <stp>Yes</stp>
        <tr r="I131" s="17"/>
        <tr r="I131" s="17"/>
      </tp>
      <tp t="s">
        <v>12/31/2011</v>
        <stp/>
        <stp>##V3_BDPV12</stp>
        <stp>SYK US Equity</stp>
        <stp>LATEST_PERIOD_END_DT_FULL_RECORD</stp>
        <stp>[Fundamental &amp; Technical Model (1).xlsm]Segments!R131C7</stp>
        <stp>EQY_FUND_RELATIVE_PERIOD</stp>
        <stp>-7FY</stp>
        <stp>EQY_CONSOLIDATED</stp>
        <stp>Yes</stp>
        <tr r="G131" s="17"/>
        <tr r="G131" s="17"/>
      </tp>
      <tp>
        <v>40543</v>
        <stp/>
        <stp>##V3_BQLV12</stp>
        <stp>[Fundamental &amp; Technical Model (1).xlsm]Ratios!R14C6</stp>
        <stp>SYK US Equity</stp>
        <stp>IS_EPS().PERIOD_END_DATE</stp>
        <stp>FPT</stp>
        <stp>A</stp>
        <stp>FPO</stp>
        <stp>-8A</stp>
        <stp>STD</stp>
        <stp>Mixed</stp>
        <stp>CONSOL</stp>
        <stp>Yes</stp>
        <tr r="F14" s="8"/>
      </tp>
      <tp>
        <v>41274</v>
        <stp/>
        <stp>##V3_BQLV12</stp>
        <stp>[Fundamental &amp; Technical Model (1).xlsm]Ratios!R14C8</stp>
        <stp>SYK US Equity</stp>
        <stp>IS_EPS().PERIOD_END_DATE</stp>
        <stp>FPT</stp>
        <stp>A</stp>
        <stp>FPO</stp>
        <stp>-6A</stp>
        <stp>STD</stp>
        <stp>Mixed</stp>
        <stp>CONSOL</stp>
        <stp>Yes</stp>
        <tr r="H14" s="8"/>
      </tp>
      <tp t="e">
        <v>#N/A</v>
        <stp/>
        <stp>##V3_BDHV12</stp>
        <stp>SYK US Equity</stp>
        <stp>AVERAGE_PRICE_TO_TANGIBLE_BPS</stp>
        <stp>-5FY</stp>
        <stp>-5FY</stp>
        <stp>[Fundamental &amp; Technical Model (1).xlsm]Multiples!R46C8</stp>
        <stp>EQY_CONSOLIDATED</stp>
        <stp>Yes</stp>
        <stp>ACCOUNTING_STANDARD_OVERRIDE</stp>
        <stp>Mixed</stp>
        <stp>Per</stp>
        <stp>FY</stp>
        <stp>Days=A</stp>
        <tr r="H46" s="16"/>
        <tr r="H46" s="16"/>
      </tp>
      <tp t="s">
        <v>12/31/2015</v>
        <stp/>
        <stp>##V3_BDPV12</stp>
        <stp>SYK US Equity</stp>
        <stp>LATEST_PERIOD_END_DT_FULL_RECORD</stp>
        <stp>[Fundamental &amp; Technical Model (1).xlsm]Segments!R44C11</stp>
        <stp>EQY_FUND_RELATIVE_PERIOD</stp>
        <stp>-3FY</stp>
        <stp>EQY_CONSOLIDATED</stp>
        <stp>Yes</stp>
        <tr r="K44" s="17"/>
        <tr r="K44" s="17"/>
      </tp>
      <tp t="s">
        <v>12/31/2017</v>
        <stp/>
        <stp>##V3_BDPV12</stp>
        <stp>SYK US Equity</stp>
        <stp>LATEST_PERIOD_END_DT_FULL_RECORD</stp>
        <stp>[Fundamental &amp; Technical Model (1).xlsm]Segments!R44C13</stp>
        <stp>EQY_FUND_RELATIVE_PERIOD</stp>
        <stp>-1FY</stp>
        <stp>EQY_CONSOLIDATED</stp>
        <stp>Yes</stp>
        <tr r="M44" s="17"/>
        <tr r="M44" s="17"/>
      </tp>
      <tp t="s">
        <v>12/31/2016</v>
        <stp/>
        <stp>##V3_BDPV12</stp>
        <stp>SYK US Equity</stp>
        <stp>LATEST_PERIOD_END_DT_FULL_RECORD</stp>
        <stp>[Fundamental &amp; Technical Model (1).xlsm]Segments!R44C12</stp>
        <stp>EQY_FUND_RELATIVE_PERIOD</stp>
        <stp>-2FY</stp>
        <stp>EQY_CONSOLIDATED</stp>
        <stp>Yes</stp>
        <tr r="L44" s="17"/>
        <tr r="L44" s="17"/>
      </tp>
      <tp t="s">
        <v>12/31/2014</v>
        <stp/>
        <stp>##V3_BDPV12</stp>
        <stp>SYK US Equity</stp>
        <stp>LATEST_PERIOD_END_DT_FULL_RECORD</stp>
        <stp>[Fundamental &amp; Technical Model (1).xlsm]Segments!R44C10</stp>
        <stp>EQY_FUND_RELATIVE_PERIOD</stp>
        <stp>-4FY</stp>
        <stp>EQY_CONSOLIDATED</stp>
        <stp>Yes</stp>
        <tr r="J44" s="17"/>
        <tr r="J44" s="17"/>
      </tp>
      <tp t="s">
        <v>12/31/2018</v>
        <stp/>
        <stp>##V3_BDPV12</stp>
        <stp>SYK US Equity</stp>
        <stp>LATEST_PERIOD_END_DT_FULL_RECORD</stp>
        <stp>[Fundamental &amp; Technical Model (1).xlsm]Segments!R44C14</stp>
        <stp>EQY_FUND_RELATIVE_PERIOD</stp>
        <stp>-0FY</stp>
        <stp>EQY_CONSOLIDATED</stp>
        <stp>Yes</stp>
        <tr r="N44" s="17"/>
        <tr r="N44" s="17"/>
      </tp>
      <tp t="e">
        <v>#N/A</v>
        <stp/>
        <stp>##V3_BDHV12</stp>
        <stp>SYK US Equity</stp>
        <stp>PX_ERN_RATIO_WITH_LOW_CLOS_PX</stp>
        <stp>-9FY</stp>
        <stp>-9FY</stp>
        <stp>[Fundamental &amp; Technical Model (1).xlsm]Multiples!R36C4</stp>
        <stp>EQY_CONSOLIDATED</stp>
        <stp>Yes</stp>
        <stp>ACCOUNTING_STANDARD_OVERRIDE</stp>
        <stp>Mixed</stp>
        <stp>Per</stp>
        <stp>FY</stp>
        <stp>Days=A</stp>
        <tr r="D36" s="16"/>
        <tr r="D36" s="16"/>
      </tp>
      <tp>
        <v>6160</v>
        <stp/>
        <stp>##V3_BDPV12</stp>
        <stp>SYK US Equity</stp>
        <stp>NET_DEBT</stp>
        <stp>[Fundamental &amp; Technical Model (1).xlsm]Capital Structure Summary!R49C11</stp>
        <stp>EQY_FUND_RELATIVE_PERIOD</stp>
        <stp>-0FY</stp>
        <stp>EQY_FUND_CRNCY</stp>
        <stp>USD</stp>
        <stp>EQY_CONSOLIDATED</stp>
        <stp>Yes</stp>
        <stp>ACCOUNTING_STANDARD_OVERRIDE</stp>
        <stp>Mixed</stp>
        <stp>Fill=--</stp>
        <tr r="K49" s="21"/>
      </tp>
      <tp>
        <v>1.6998094027954256</v>
        <stp/>
        <stp>##V3_BQLV12</stp>
        <stp>[Fundamental &amp; Technical Model (1).xlsm]Ratios!R38C12</stp>
        <stp>SYK US Equity</stp>
        <stp>QUICK_RATIO</stp>
        <stp>FPT</stp>
        <stp>A</stp>
        <stp>FPO</stp>
        <stp>-2A</stp>
        <stp>STD</stp>
        <stp>Mixed</stp>
        <stp>CONSOL</stp>
        <stp>Yes</stp>
        <tr r="L38" s="8"/>
      </tp>
      <tp>
        <v>192.38684333958724</v>
        <stp/>
        <stp>##V3_BQLV12</stp>
        <stp>[Fundamental &amp; Technical Model (1).xlsm]Ratios!R41C13</stp>
        <stp>SYK US Equity</stp>
        <stp>INVENT_DAYS</stp>
        <stp>FPT</stp>
        <stp>A</stp>
        <stp>FPO</stp>
        <stp>-1A</stp>
        <stp>STD</stp>
        <stp>Mixed</stp>
        <stp>CONSOL</stp>
        <stp>Yes</stp>
        <tr r="M41" s="8"/>
      </tp>
      <tp>
        <v>396.4</v>
        <stp/>
        <stp>##V3_BQLV12</stp>
        <stp>[Fundamental &amp; Technical Model (1).xlsm]Balance Sheet!R64C4</stp>
        <stp>SYK US Equity</stp>
        <stp>BS_SH_OUT/10^6</stp>
        <stp>FPT</stp>
        <stp>A</stp>
        <stp>FPO</stp>
        <stp>-10A</stp>
        <stp>STD</stp>
        <stp>Mixed</stp>
        <stp>CONSOL</stp>
        <stp>Yes</stp>
        <stp>CURRENCY</stp>
        <stp>USD</stp>
        <tr r="D64" s="3"/>
      </tp>
      <tp>
        <v>396.4</v>
        <stp/>
        <stp>##V3_BQLV12</stp>
        <stp>[Fundamental &amp; Technical Model (1).xlsm]Balance Sheet!R63C4</stp>
        <stp>SYK US Equity</stp>
        <stp>BS_SH_OUT/10^6</stp>
        <stp>FPT</stp>
        <stp>A</stp>
        <stp>FPO</stp>
        <stp>-10A</stp>
        <stp>STD</stp>
        <stp>Mixed</stp>
        <stp>CONSOL</stp>
        <stp>Yes</stp>
        <stp>CURRENCY</stp>
        <stp>USD</stp>
        <tr r="D63" s="3"/>
      </tp>
      <tp>
        <v>368</v>
        <stp/>
        <stp>##V3_BQLV12</stp>
        <stp>[Fundamental &amp; Technical Model (1).xlsm]Cash Flow!R18C9</stp>
        <stp>SYK US Equity</stp>
        <stp>CF_CHNG_NON_CASH_WORK_CAP/10^6</stp>
        <stp>FPT</stp>
        <stp>A</stp>
        <stp>FPO</stp>
        <stp>-5A</stp>
        <stp>STD</stp>
        <stp>Mixed</stp>
        <stp>CONSOL</stp>
        <stp>Yes</stp>
        <stp>CURRENCY</stp>
        <stp>USD</stp>
        <tr r="I18" s="4"/>
      </tp>
      <tp>
        <v>368</v>
        <stp/>
        <stp>##V3_BQLV12</stp>
        <stp>[Fundamental &amp; Technical Model (1).xlsm]Cash Flow!R52C9</stp>
        <stp>SYK US Equity</stp>
        <stp>CF_CHNG_NON_CASH_WORK_CAP/10^6</stp>
        <stp>FPT</stp>
        <stp>A</stp>
        <stp>FPO</stp>
        <stp>-5A</stp>
        <stp>STD</stp>
        <stp>Mixed</stp>
        <stp>CONSOL</stp>
        <stp>Yes</stp>
        <stp>CURRENCY</stp>
        <stp>USD</stp>
        <tr r="I52" s="4"/>
      </tp>
      <tp>
        <v>-29</v>
        <stp/>
        <stp>##V3_BQLV12</stp>
        <stp>[Fundamental &amp; Technical Model (1).xlsm]Cash Flow!R18C8</stp>
        <stp>SYK US Equity</stp>
        <stp>CF_CHNG_NON_CASH_WORK_CAP/10^6</stp>
        <stp>FPT</stp>
        <stp>A</stp>
        <stp>FPO</stp>
        <stp>-6A</stp>
        <stp>STD</stp>
        <stp>Mixed</stp>
        <stp>CONSOL</stp>
        <stp>Yes</stp>
        <stp>CURRENCY</stp>
        <stp>USD</stp>
        <tr r="H18" s="4"/>
      </tp>
      <tp>
        <v>-29</v>
        <stp/>
        <stp>##V3_BQLV12</stp>
        <stp>[Fundamental &amp; Technical Model (1).xlsm]Cash Flow!R52C8</stp>
        <stp>SYK US Equity</stp>
        <stp>CF_CHNG_NON_CASH_WORK_CAP/10^6</stp>
        <stp>FPT</stp>
        <stp>A</stp>
        <stp>FPO</stp>
        <stp>-6A</stp>
        <stp>STD</stp>
        <stp>Mixed</stp>
        <stp>CONSOL</stp>
        <stp>Yes</stp>
        <stp>CURRENCY</stp>
        <stp>USD</stp>
        <tr r="H52" s="4"/>
      </tp>
      <tp>
        <v>0</v>
        <stp/>
        <stp>##V3_BDPV12</stp>
        <stp>SYK US Equity</stp>
        <stp>LT_CAPITAL_LEASE_OBLIGATIONS</stp>
        <stp>[Fundamental &amp; Technical Model (1).xlsm]Capital Structure Summary!R94C9</stp>
        <stp>EQY_FUND_RELATIVE_PERIOD</stp>
        <stp>-1FY</stp>
        <stp>EQY_FUND_CRNCY</stp>
        <stp>USD</stp>
        <stp>EQY_CONSOLIDATED</stp>
        <stp>Yes</stp>
        <stp>ACCOUNTING_STANDARD_OVERRIDE</stp>
        <stp>Mixed</stp>
        <stp>Fill=--</stp>
        <tr r="I94" s="21"/>
      </tp>
      <tp>
        <v>0</v>
        <stp/>
        <stp>##V3_BDPV12</stp>
        <stp>SYK US Equity</stp>
        <stp>ST_CAPITAL_LEASE_OBLIGATIONS</stp>
        <stp>[Fundamental &amp; Technical Model (1).xlsm]Capital Structure Summary!R93C9</stp>
        <stp>EQY_FUND_RELATIVE_PERIOD</stp>
        <stp>-1FY</stp>
        <stp>EQY_FUND_CRNCY</stp>
        <stp>USD</stp>
        <stp>EQY_CONSOLIDATED</stp>
        <stp>Yes</stp>
        <stp>ACCOUNTING_STANDARD_OVERRIDE</stp>
        <stp>Mixed</stp>
        <stp>Fill=--</stp>
        <tr r="I93" s="21"/>
      </tp>
      <tp>
        <v>0</v>
        <stp/>
        <stp>##V3_BDPV12</stp>
        <stp>SYK US Equity</stp>
        <stp>LT_CAPITAL_LEASE_OBLIGATIONS</stp>
        <stp>[Fundamental &amp; Technical Model (1).xlsm]Capital Structure Summary!R94C7</stp>
        <stp>EQY_FUND_RELATIVE_PERIOD</stp>
        <stp>-2FY</stp>
        <stp>EQY_FUND_CRNCY</stp>
        <stp>USD</stp>
        <stp>EQY_CONSOLIDATED</stp>
        <stp>Yes</stp>
        <stp>ACCOUNTING_STANDARD_OVERRIDE</stp>
        <stp>Mixed</stp>
        <stp>Fill=--</stp>
        <tr r="G94" s="21"/>
      </tp>
      <tp>
        <v>0</v>
        <stp/>
        <stp>##V3_BDPV12</stp>
        <stp>SYK US Equity</stp>
        <stp>ST_CAPITAL_LEASE_OBLIGATIONS</stp>
        <stp>[Fundamental &amp; Technical Model (1).xlsm]Capital Structure Summary!R93C7</stp>
        <stp>EQY_FUND_RELATIVE_PERIOD</stp>
        <stp>-2FY</stp>
        <stp>EQY_FUND_CRNCY</stp>
        <stp>USD</stp>
        <stp>EQY_CONSOLIDATED</stp>
        <stp>Yes</stp>
        <stp>ACCOUNTING_STANDARD_OVERRIDE</stp>
        <stp>Mixed</stp>
        <stp>Fill=--</stp>
        <tr r="G93" s="21"/>
      </tp>
      <tp>
        <v>0</v>
        <stp/>
        <stp>##V3_BDPV12</stp>
        <stp>SYK US Equity</stp>
        <stp>LT_CAPITAL_LEASE_OBLIGATIONS</stp>
        <stp>[Fundamental &amp; Technical Model (1).xlsm]Capital Structure Summary!R94C5</stp>
        <stp>EQY_FUND_RELATIVE_PERIOD</stp>
        <stp>-3FY</stp>
        <stp>EQY_FUND_CRNCY</stp>
        <stp>USD</stp>
        <stp>EQY_CONSOLIDATED</stp>
        <stp>Yes</stp>
        <stp>ACCOUNTING_STANDARD_OVERRIDE</stp>
        <stp>Mixed</stp>
        <stp>Fill=--</stp>
        <tr r="E94" s="21"/>
      </tp>
      <tp>
        <v>0</v>
        <stp/>
        <stp>##V3_BDPV12</stp>
        <stp>SYK US Equity</stp>
        <stp>ST_CAPITAL_LEASE_OBLIGATIONS</stp>
        <stp>[Fundamental &amp; Technical Model (1).xlsm]Capital Structure Summary!R93C5</stp>
        <stp>EQY_FUND_RELATIVE_PERIOD</stp>
        <stp>-3FY</stp>
        <stp>EQY_FUND_CRNCY</stp>
        <stp>USD</stp>
        <stp>EQY_CONSOLIDATED</stp>
        <stp>Yes</stp>
        <stp>ACCOUNTING_STANDARD_OVERRIDE</stp>
        <stp>Mixed</stp>
        <stp>Fill=--</stp>
        <tr r="E93" s="21"/>
      </tp>
      <tp>
        <v>0</v>
        <stp/>
        <stp>##V3_BDPV12</stp>
        <stp>SYK US Equity</stp>
        <stp>LT_CAPITAL_LEASE_OBLIGATIONS</stp>
        <stp>[Fundamental &amp; Technical Model (1).xlsm]Capital Structure Summary!R94C3</stp>
        <stp>EQY_FUND_RELATIVE_PERIOD</stp>
        <stp>-4FY</stp>
        <stp>EQY_FUND_CRNCY</stp>
        <stp>USD</stp>
        <stp>EQY_CONSOLIDATED</stp>
        <stp>Yes</stp>
        <stp>ACCOUNTING_STANDARD_OVERRIDE</stp>
        <stp>Mixed</stp>
        <stp>Fill=--</stp>
        <tr r="C94" s="21"/>
      </tp>
      <tp>
        <v>0</v>
        <stp/>
        <stp>##V3_BDPV12</stp>
        <stp>SYK US Equity</stp>
        <stp>ST_CAPITAL_LEASE_OBLIGATIONS</stp>
        <stp>[Fundamental &amp; Technical Model (1).xlsm]Capital Structure Summary!R93C3</stp>
        <stp>EQY_FUND_RELATIVE_PERIOD</stp>
        <stp>-4FY</stp>
        <stp>EQY_FUND_CRNCY</stp>
        <stp>USD</stp>
        <stp>EQY_CONSOLIDATED</stp>
        <stp>Yes</stp>
        <stp>ACCOUNTING_STANDARD_OVERRIDE</stp>
        <stp>Mixed</stp>
        <stp>Fill=--</stp>
        <tr r="C93" s="21"/>
      </tp>
      <tp>
        <v>-211</v>
        <stp/>
        <stp>##V3_BQLV12</stp>
        <stp>[Fundamental &amp; Technical Model (1).xlsm]Cash Flow!R18C7</stp>
        <stp>SYK US Equity</stp>
        <stp>CF_CHNG_NON_CASH_WORK_CAP/10^6</stp>
        <stp>FPT</stp>
        <stp>A</stp>
        <stp>FPO</stp>
        <stp>-7A</stp>
        <stp>STD</stp>
        <stp>Mixed</stp>
        <stp>CONSOL</stp>
        <stp>Yes</stp>
        <stp>CURRENCY</stp>
        <stp>USD</stp>
        <tr r="G18" s="4"/>
      </tp>
      <tp>
        <v>-211</v>
        <stp/>
        <stp>##V3_BQLV12</stp>
        <stp>[Fundamental &amp; Technical Model (1).xlsm]Cash Flow!R52C7</stp>
        <stp>SYK US Equity</stp>
        <stp>CF_CHNG_NON_CASH_WORK_CAP/10^6</stp>
        <stp>FPT</stp>
        <stp>A</stp>
        <stp>FPO</stp>
        <stp>-7A</stp>
        <stp>STD</stp>
        <stp>Mixed</stp>
        <stp>CONSOL</stp>
        <stp>Yes</stp>
        <stp>CURRENCY</stp>
        <stp>USD</stp>
        <tr r="G52" s="4"/>
      </tp>
      <tp>
        <v>-89</v>
        <stp/>
        <stp>##V3_BQLV12</stp>
        <stp>[Fundamental &amp; Technical Model (1).xlsm]Cash Flow!R18C6</stp>
        <stp>SYK US Equity</stp>
        <stp>CF_CHNG_NON_CASH_WORK_CAP/10^6</stp>
        <stp>FPT</stp>
        <stp>A</stp>
        <stp>FPO</stp>
        <stp>-8A</stp>
        <stp>STD</stp>
        <stp>Mixed</stp>
        <stp>CONSOL</stp>
        <stp>Yes</stp>
        <stp>CURRENCY</stp>
        <stp>USD</stp>
        <tr r="F18" s="4"/>
      </tp>
      <tp>
        <v>-89</v>
        <stp/>
        <stp>##V3_BQLV12</stp>
        <stp>[Fundamental &amp; Technical Model (1).xlsm]Cash Flow!R52C6</stp>
        <stp>SYK US Equity</stp>
        <stp>CF_CHNG_NON_CASH_WORK_CAP/10^6</stp>
        <stp>FPT</stp>
        <stp>A</stp>
        <stp>FPO</stp>
        <stp>-8A</stp>
        <stp>STD</stp>
        <stp>Mixed</stp>
        <stp>CONSOL</stp>
        <stp>Yes</stp>
        <stp>CURRENCY</stp>
        <stp>USD</stp>
        <tr r="F52" s="4"/>
      </tp>
      <tp>
        <v>202</v>
        <stp/>
        <stp>##V3_BQLV12</stp>
        <stp>[Fundamental &amp; Technical Model (1).xlsm]Cash Flow!R18C5</stp>
        <stp>SYK US Equity</stp>
        <stp>CF_CHNG_NON_CASH_WORK_CAP/10^6</stp>
        <stp>FPT</stp>
        <stp>A</stp>
        <stp>FPO</stp>
        <stp>-9A</stp>
        <stp>STD</stp>
        <stp>Mixed</stp>
        <stp>CONSOL</stp>
        <stp>Yes</stp>
        <stp>CURRENCY</stp>
        <stp>USD</stp>
        <tr r="E18" s="4"/>
      </tp>
      <tp>
        <v>202</v>
        <stp/>
        <stp>##V3_BQLV12</stp>
        <stp>[Fundamental &amp; Technical Model (1).xlsm]Cash Flow!R52C5</stp>
        <stp>SYK US Equity</stp>
        <stp>CF_CHNG_NON_CASH_WORK_CAP/10^6</stp>
        <stp>FPT</stp>
        <stp>A</stp>
        <stp>FPO</stp>
        <stp>-9A</stp>
        <stp>STD</stp>
        <stp>Mixed</stp>
        <stp>CONSOL</stp>
        <stp>Yes</stp>
        <stp>CURRENCY</stp>
        <stp>USD</stp>
        <tr r="E52" s="4"/>
      </tp>
      <tp t="s">
        <v>#N/A N/A</v>
        <stp/>
        <stp>##V3_BDSV12</stp>
        <stp>SYK US Equity</stp>
        <stp>PG_ASSETS</stp>
        <stp>[Fundamental &amp; Technical Model (1).xlsm]Segments!R123C14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123" s="17"/>
      </tp>
      <tp t="s">
        <v>#N/A N/A</v>
        <stp/>
        <stp>##V3_BDSV12</stp>
        <stp>SYK US Equity</stp>
        <stp>PG_ASSETS</stp>
        <stp>[Fundamental &amp; Technical Model (1).xlsm]Segments!R123C11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123" s="17"/>
      </tp>
      <tp t="s">
        <v>#N/A N/A</v>
        <stp/>
        <stp>##V3_BDSV12</stp>
        <stp>SYK US Equity</stp>
        <stp>PG_ASSETS</stp>
        <stp>[Fundamental &amp; Technical Model (1).xlsm]Segments!R123C10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123" s="17"/>
      </tp>
      <tp t="s">
        <v>#N/A N/A</v>
        <stp/>
        <stp>##V3_BDSV12</stp>
        <stp>SYK US Equity</stp>
        <stp>PG_ASSETS</stp>
        <stp>[Fundamental &amp; Technical Model (1).xlsm]Segments!R123C13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123" s="17"/>
      </tp>
      <tp t="s">
        <v>#N/A N/A</v>
        <stp/>
        <stp>##V3_BDSV12</stp>
        <stp>SYK US Equity</stp>
        <stp>PG_ASSETS</stp>
        <stp>[Fundamental &amp; Technical Model (1).xlsm]Segments!R123C12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123" s="17"/>
      </tp>
      <tp t="e">
        <v>#N/A</v>
        <stp/>
        <stp>##V3_BDHV12</stp>
        <stp>SYK US Equity</stp>
        <stp>EV_TO_T12M_SALES</stp>
        <stp>-5FY</stp>
        <stp>-5FY</stp>
        <stp>[Fundamental &amp; Technical Model (1).xlsm]Multiples!R15C8</stp>
        <stp>EQY_CONSOLIDATED</stp>
        <stp>Yes</stp>
        <stp>ACCOUNTING_STANDARD_OVERRIDE</stp>
        <stp>Mixed</stp>
        <stp>Per</stp>
        <stp>FY</stp>
        <stp>Days=A</stp>
        <tr r="H15" s="16"/>
        <tr r="H15" s="16"/>
      </tp>
      <tp t="s">
        <v>#N/A N/A</v>
        <stp/>
        <stp>##V3_BDSV12</stp>
        <stp>SYK US Equity</stp>
        <stp>PG_ASSETS</stp>
        <stp>[Fundamental &amp; Technical Model (1).xlsm]Segments!R113C14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113" s="17"/>
      </tp>
      <tp>
        <v>34.9</v>
        <stp/>
        <stp>##V3_BQLV12</stp>
        <stp>[Fundamental &amp; Technical Model (1).xlsm]Income Statement!R57C4</stp>
        <stp>SYK US Equity</stp>
        <stp>IS_ABNORMAL_ITEM/10^6</stp>
        <stp>FPT</stp>
        <stp>A</stp>
        <stp>FPO</stp>
        <stp>-10A</stp>
        <stp>STD</stp>
        <stp>Mixed</stp>
        <stp>CONSOL</stp>
        <stp>Yes</stp>
        <stp>CURRENCY</stp>
        <stp>USD</stp>
        <tr r="D57" s="2"/>
      </tp>
      <tp t="s">
        <v>#N/A N/A</v>
        <stp/>
        <stp>##V3_BDSV12</stp>
        <stp>SYK US Equity</stp>
        <stp>PG_ASSETS</stp>
        <stp>[Fundamental &amp; Technical Model (1).xlsm]Segments!R127C14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127" s="17"/>
      </tp>
      <tp t="s">
        <v>--</v>
        <stp/>
        <stp>##V3_BDPV12</stp>
        <stp>SYK US Equity</stp>
        <stp>BS_VAR_RT_DEBT</stp>
        <stp>[Fundamental &amp; Technical Model (1).xlsm]Capital Structure Summary!R55C7</stp>
        <stp>EQY_FUND_RELATIVE_PERIOD</stp>
        <stp>-2FY</stp>
        <stp>EQY_FUND_CRNCY</stp>
        <stp>USD</stp>
        <stp>EQY_CONSOLIDATED</stp>
        <stp>Yes</stp>
        <stp>ACCOUNTING_STANDARD_OVERRIDE</stp>
        <stp>Mixed</stp>
        <stp>Fill=--</stp>
        <tr r="G55" s="21"/>
      </tp>
      <tp t="s">
        <v>--</v>
        <stp/>
        <stp>##V3_BDPV12</stp>
        <stp>SYK US Equity</stp>
        <stp>BS_VAR_RT_DEBT</stp>
        <stp>[Fundamental &amp; Technical Model (1).xlsm]Capital Structure Summary!R55C5</stp>
        <stp>EQY_FUND_RELATIVE_PERIOD</stp>
        <stp>-3FY</stp>
        <stp>EQY_FUND_CRNCY</stp>
        <stp>USD</stp>
        <stp>EQY_CONSOLIDATED</stp>
        <stp>Yes</stp>
        <stp>ACCOUNTING_STANDARD_OVERRIDE</stp>
        <stp>Mixed</stp>
        <stp>Fill=--</stp>
        <tr r="E55" s="21"/>
      </tp>
      <tp t="s">
        <v>--</v>
        <stp/>
        <stp>##V3_BDPV12</stp>
        <stp>SYK US Equity</stp>
        <stp>BS_VAR_RT_DEBT</stp>
        <stp>[Fundamental &amp; Technical Model (1).xlsm]Capital Structure Summary!R55C3</stp>
        <stp>EQY_FUND_RELATIVE_PERIOD</stp>
        <stp>-4FY</stp>
        <stp>EQY_FUND_CRNCY</stp>
        <stp>USD</stp>
        <stp>EQY_CONSOLIDATED</stp>
        <stp>Yes</stp>
        <stp>ACCOUNTING_STANDARD_OVERRIDE</stp>
        <stp>Mixed</stp>
        <stp>Fill=--</stp>
        <tr r="C55" s="21"/>
      </tp>
      <tp t="s">
        <v>--</v>
        <stp/>
        <stp>##V3_BDPV12</stp>
        <stp>SYK US Equity</stp>
        <stp>BS_VAR_RT_DEBT</stp>
        <stp>[Fundamental &amp; Technical Model (1).xlsm]Capital Structure Summary!R55C9</stp>
        <stp>EQY_FUND_RELATIVE_PERIOD</stp>
        <stp>-1FY</stp>
        <stp>EQY_FUND_CRNCY</stp>
        <stp>USD</stp>
        <stp>EQY_CONSOLIDATED</stp>
        <stp>Yes</stp>
        <stp>ACCOUNTING_STANDARD_OVERRIDE</stp>
        <stp>Mixed</stp>
        <stp>Fill=--</stp>
        <tr r="I55" s="21"/>
      </tp>
      <tp>
        <v>155</v>
        <stp/>
        <stp>##V3_BQLV12</stp>
        <stp>[Fundamental &amp; Technical Model (1).xlsm]Balance Sheet!R40C7</stp>
        <stp>SYK US Equity</stp>
        <stp>BS_ACCRUED_INCOME_TAXES/10^6</stp>
        <stp>FPT</stp>
        <stp>A</stp>
        <stp>FPO</stp>
        <stp>-7A</stp>
        <stp>STD</stp>
        <stp>Mixed</stp>
        <stp>CONSOL</stp>
        <stp>Yes</stp>
        <stp>CURRENCY</stp>
        <stp>USD</stp>
        <tr r="G40" s="3"/>
      </tp>
      <tp>
        <v>134.69999999999999</v>
        <stp/>
        <stp>##V3_BQLV12</stp>
        <stp>[Fundamental &amp; Technical Model (1).xlsm]Balance Sheet!R40C5</stp>
        <stp>SYK US Equity</stp>
        <stp>BS_ACCRUED_INCOME_TAXES/10^6</stp>
        <stp>FPT</stp>
        <stp>A</stp>
        <stp>FPO</stp>
        <stp>-9A</stp>
        <stp>STD</stp>
        <stp>Mixed</stp>
        <stp>CONSOL</stp>
        <stp>Yes</stp>
        <stp>CURRENCY</stp>
        <stp>USD</stp>
        <tr r="E40" s="3"/>
      </tp>
      <tp>
        <v>131</v>
        <stp/>
        <stp>##V3_BQLV12</stp>
        <stp>[Fundamental &amp; Technical Model (1).xlsm]Balance Sheet!R40C9</stp>
        <stp>SYK US Equity</stp>
        <stp>BS_ACCRUED_INCOME_TAXES/10^6</stp>
        <stp>FPT</stp>
        <stp>A</stp>
        <stp>FPO</stp>
        <stp>-5A</stp>
        <stp>STD</stp>
        <stp>Mixed</stp>
        <stp>CONSOL</stp>
        <stp>Yes</stp>
        <stp>CURRENCY</stp>
        <stp>USD</stp>
        <tr r="I40" s="3"/>
      </tp>
      <tp>
        <v>47</v>
        <stp/>
        <stp>##V3_BQLV12</stp>
        <stp>[Fundamental &amp; Technical Model (1).xlsm]Balance Sheet!R40C6</stp>
        <stp>SYK US Equity</stp>
        <stp>BS_ACCRUED_INCOME_TAXES/10^6</stp>
        <stp>FPT</stp>
        <stp>A</stp>
        <stp>FPO</stp>
        <stp>-8A</stp>
        <stp>STD</stp>
        <stp>Mixed</stp>
        <stp>CONSOL</stp>
        <stp>Yes</stp>
        <stp>CURRENCY</stp>
        <stp>USD</stp>
        <tr r="F40" s="3"/>
      </tp>
      <tp>
        <v>70</v>
        <stp/>
        <stp>##V3_BQLV12</stp>
        <stp>[Fundamental &amp; Technical Model (1).xlsm]Balance Sheet!R40C8</stp>
        <stp>SYK US Equity</stp>
        <stp>BS_ACCRUED_INCOME_TAXES/10^6</stp>
        <stp>FPT</stp>
        <stp>A</stp>
        <stp>FPO</stp>
        <stp>-6A</stp>
        <stp>STD</stp>
        <stp>Mixed</stp>
        <stp>CONSOL</stp>
        <stp>Yes</stp>
        <stp>CURRENCY</stp>
        <stp>USD</stp>
        <tr r="H40" s="3"/>
      </tp>
      <tp t="s">
        <v>12/31/2008</v>
        <stp/>
        <stp>##V3_BDPV12</stp>
        <stp>SYK US Equity</stp>
        <stp>LATEST_PERIOD_END_DT_FULL_RECORD</stp>
        <stp>[Fundamental &amp; Technical Model (1).xlsm]Segments!R145C4</stp>
        <stp>EQY_FUND_RELATIVE_PERIOD</stp>
        <stp>-10FY</stp>
        <stp>EQY_CONSOLIDATED</stp>
        <stp>Yes</stp>
        <tr r="D145" s="17"/>
        <tr r="D145" s="17"/>
      </tp>
      <tp t="e">
        <v>#N/A</v>
        <stp/>
        <stp>##V3_BDHV12</stp>
        <stp>SYK US Equity</stp>
        <stp>LOW_CLOSING_PRICE_TO_BOOK_RATIO</stp>
        <stp>-8FY</stp>
        <stp>-8FY</stp>
        <stp>[Fundamental &amp; Technical Model (1).xlsm]Multiples!R42C5</stp>
        <stp>EQY_CONSOLIDATED</stp>
        <stp>Yes</stp>
        <stp>ACCOUNTING_STANDARD_OVERRIDE</stp>
        <stp>Mixed</stp>
        <stp>Per</stp>
        <stp>FY</stp>
        <stp>Days=A</stp>
        <tr r="E42" s="16"/>
        <tr r="E42" s="16"/>
      </tp>
      <tp>
        <v>9.8540925266903923</v>
        <stp/>
        <stp>##V3_BQLV12</stp>
        <stp>[Fundamental &amp; Technical Model (1).xlsm]Ratios!R32C7</stp>
        <stp>SYK US Equity</stp>
        <stp>SALES_REV_TURN(FPO=-7A, FPT=A)/((BS_NET_FIX_ASSET(FPO=-7A)+BS_NET_FIX_ASSET(FPO=-8A))/2)</stp>
        <stp>FPT</stp>
        <stp>A</stp>
        <stp>STD</stp>
        <stp>Mixed</stp>
        <stp>CONSOL</stp>
        <stp>Yes</stp>
        <tr r="G32" s="8"/>
      </tp>
      <tp>
        <v>1144</v>
        <stp/>
        <stp>##V3_BDPV12</stp>
        <stp>SYK US Equity</stp>
        <stp>BS_PURCHASE_OBLIGATIONS</stp>
        <stp>[Fundamental &amp; Technical Model (1).xlsm]Capital Structure Summary!R117C9</stp>
        <stp>EQY_FUND_RELATIVE_PERIOD</stp>
        <stp>-1FY</stp>
        <stp>EQY_FUND_CRNCY</stp>
        <stp>USD</stp>
        <stp>EQY_CONSOLIDATED</stp>
        <stp>Yes</stp>
        <stp>ACCOUNTING_STANDARD_OVERRIDE</stp>
        <stp>Mixed</stp>
        <stp>Fill=--</stp>
        <tr r="I117" s="21"/>
      </tp>
      <tp t="s">
        <v>12/31/2010</v>
        <stp/>
        <stp>##V3_BDPV12</stp>
        <stp>SYK US Equity</stp>
        <stp>LATEST_PERIOD_END_DT_FULL_RECORD</stp>
        <stp>[Fundamental &amp; Technical Model (1).xlsm]Segments!R145C6</stp>
        <stp>EQY_FUND_RELATIVE_PERIOD</stp>
        <stp>-8FY</stp>
        <stp>EQY_CONSOLIDATED</stp>
        <stp>Yes</stp>
        <tr r="F145" s="17"/>
        <tr r="F145" s="17"/>
      </tp>
      <tp t="s">
        <v>12/31/2012</v>
        <stp/>
        <stp>##V3_BDPV12</stp>
        <stp>SYK US Equity</stp>
        <stp>LATEST_PERIOD_END_DT_FULL_RECORD</stp>
        <stp>[Fundamental &amp; Technical Model (1).xlsm]Segments!R145C8</stp>
        <stp>EQY_FUND_RELATIVE_PERIOD</stp>
        <stp>-6FY</stp>
        <stp>EQY_CONSOLIDATED</stp>
        <stp>Yes</stp>
        <tr r="H145" s="17"/>
        <tr r="H145" s="17"/>
      </tp>
      <tp t="s">
        <v>12/31/2009</v>
        <stp/>
        <stp>##V3_BDPV12</stp>
        <stp>SYK US Equity</stp>
        <stp>LATEST_PERIOD_END_DT_FULL_RECORD</stp>
        <stp>[Fundamental &amp; Technical Model (1).xlsm]Segments!R145C5</stp>
        <stp>EQY_FUND_RELATIVE_PERIOD</stp>
        <stp>-9FY</stp>
        <stp>EQY_CONSOLIDATED</stp>
        <stp>Yes</stp>
        <tr r="E145" s="17"/>
        <tr r="E145" s="17"/>
      </tp>
      <tp t="s">
        <v>12/31/2013</v>
        <stp/>
        <stp>##V3_BDPV12</stp>
        <stp>SYK US Equity</stp>
        <stp>LATEST_PERIOD_END_DT_FULL_RECORD</stp>
        <stp>[Fundamental &amp; Technical Model (1).xlsm]Segments!R145C9</stp>
        <stp>EQY_FUND_RELATIVE_PERIOD</stp>
        <stp>-5FY</stp>
        <stp>EQY_CONSOLIDATED</stp>
        <stp>Yes</stp>
        <tr r="I145" s="17"/>
        <tr r="I145" s="17"/>
      </tp>
      <tp t="s">
        <v>12/31/2011</v>
        <stp/>
        <stp>##V3_BDPV12</stp>
        <stp>SYK US Equity</stp>
        <stp>LATEST_PERIOD_END_DT_FULL_RECORD</stp>
        <stp>[Fundamental &amp; Technical Model (1).xlsm]Segments!R145C7</stp>
        <stp>EQY_FUND_RELATIVE_PERIOD</stp>
        <stp>-7FY</stp>
        <stp>EQY_CONSOLIDATED</stp>
        <stp>Yes</stp>
        <tr r="G145" s="17"/>
        <tr r="G145" s="17"/>
      </tp>
      <tp>
        <v>43550</v>
        <stp/>
        <stp>##V3_BTH</stp>
        <stp>SYK US Equity</stp>
        <stp>TAS_K_x0002__x0003_TAS_D_x0002__x0003_TAS_DS_x0002__x0003_TAS_DSS</stp>
        <stp>3/26/2019</stp>
        <stp>4/25/2019</stp>
        <stp>[Fundamental &amp; Technical Model (1).xlsm]Technical Analysis Data!R37C7</stp>
        <stp>TAS</stp>
        <stp>PeriodK=20</stp>
        <stp>PeriodD=5</stp>
        <stp>PeriodDS=5</stp>
        <stp>PeriodDSS=3</stp>
        <stp>DSHigh=PX_HIGH</stp>
        <stp>DSLow=PX_LOW</stp>
        <stp>DSClose=PX_LAST</stp>
        <stp>Dir=H</stp>
        <stp>Dts=S</stp>
        <stp>cols=22;rows=5</stp>
        <tr r="G37" s="31"/>
      </tp>
      <tp t="e">
        <v>#N/A</v>
        <stp/>
        <stp>##V3_BDHV12</stp>
        <stp>SYK US Equity</stp>
        <stp>AVERAGE_PRICE_TO_FREE_CASH_FLOW</stp>
        <stp>-7FY</stp>
        <stp>-7FY</stp>
        <stp>[Fundamental &amp; Technical Model (1).xlsm]Multiples!R58C6</stp>
        <stp>EQY_CONSOLIDATED</stp>
        <stp>Yes</stp>
        <stp>ACCOUNTING_STANDARD_OVERRIDE</stp>
        <stp>Mixed</stp>
        <stp>Per</stp>
        <stp>FY</stp>
        <stp>Days=A</stp>
        <tr r="F58" s="16"/>
        <tr r="F58" s="16"/>
      </tp>
      <tp>
        <v>18.34782608695652</v>
        <stp/>
        <stp>##V3_BQLV12</stp>
        <stp>[Fundamental &amp; Technical Model (1).xlsm]Balance Sheet!R65C6</stp>
        <stp>SYK US Equity</stp>
        <stp>BOOK_VAL_PER_SH</stp>
        <stp>FPT</stp>
        <stp>A</stp>
        <stp>FPO</stp>
        <stp>-8A</stp>
        <stp>STD</stp>
        <stp>Mixed</stp>
        <stp>CONSOL</stp>
        <stp>Yes</stp>
        <stp>CURRENCY</stp>
        <stp>USD</stp>
        <tr r="F65" s="3"/>
      </tp>
      <tp>
        <v>1020</v>
        <stp/>
        <stp>##V3_BDPV12</stp>
        <stp>SYK US Equity</stp>
        <stp>BS_PURCHASE_OBLIGATIONS</stp>
        <stp>[Fundamental &amp; Technical Model (1).xlsm]Capital Structure Summary!R117C5</stp>
        <stp>EQY_FUND_RELATIVE_PERIOD</stp>
        <stp>-3FY</stp>
        <stp>EQY_FUND_CRNCY</stp>
        <stp>USD</stp>
        <stp>EQY_CONSOLIDATED</stp>
        <stp>Yes</stp>
        <stp>ACCOUNTING_STANDARD_OVERRIDE</stp>
        <stp>Mixed</stp>
        <stp>Fill=--</stp>
        <tr r="E117" s="21"/>
      </tp>
      <tp>
        <v>1056</v>
        <stp/>
        <stp>##V3_BDPV12</stp>
        <stp>SYK US Equity</stp>
        <stp>BS_PURCHASE_OBLIGATIONS</stp>
        <stp>[Fundamental &amp; Technical Model (1).xlsm]Capital Structure Summary!R117C3</stp>
        <stp>EQY_FUND_RELATIVE_PERIOD</stp>
        <stp>-4FY</stp>
        <stp>EQY_FUND_CRNCY</stp>
        <stp>USD</stp>
        <stp>EQY_CONSOLIDATED</stp>
        <stp>Yes</stp>
        <stp>ACCOUNTING_STANDARD_OVERRIDE</stp>
        <stp>Mixed</stp>
        <stp>Fill=--</stp>
        <tr r="C117" s="21"/>
      </tp>
      <tp>
        <v>853</v>
        <stp/>
        <stp>##V3_BDPV12</stp>
        <stp>SYK US Equity</stp>
        <stp>BS_PURCHASE_OBLIGATIONS</stp>
        <stp>[Fundamental &amp; Technical Model (1).xlsm]Capital Structure Summary!R117C7</stp>
        <stp>EQY_FUND_RELATIVE_PERIOD</stp>
        <stp>-2FY</stp>
        <stp>EQY_FUND_CRNCY</stp>
        <stp>USD</stp>
        <stp>EQY_CONSOLIDATED</stp>
        <stp>Yes</stp>
        <stp>ACCOUNTING_STANDARD_OVERRIDE</stp>
        <stp>Mixed</stp>
        <stp>Fill=--</stp>
        <tr r="G117" s="21"/>
      </tp>
      <tp t="e">
        <v>#N/A</v>
        <stp/>
        <stp>##V3_BDHV12</stp>
        <stp>SYK US Equity</stp>
        <stp>AVERAGE_PRICE_TO_TANGIBLE_BPS</stp>
        <stp>-4FY</stp>
        <stp>-4FY</stp>
        <stp>[Fundamental &amp; Technical Model (1).xlsm]Multiples!R46C9</stp>
        <stp>EQY_CONSOLIDATED</stp>
        <stp>Yes</stp>
        <stp>ACCOUNTING_STANDARD_OVERRIDE</stp>
        <stp>Mixed</stp>
        <stp>Per</stp>
        <stp>FY</stp>
        <stp>Days=A</stp>
        <tr r="I46" s="16"/>
        <tr r="I46" s="16"/>
      </tp>
      <tp>
        <v>1.6388809591778475</v>
        <stp/>
        <stp>##V3_BQLV12</stp>
        <stp>[Fundamental &amp; Technical Model (1).xlsm]Ratios!R38C11</stp>
        <stp>SYK US Equity</stp>
        <stp>QUICK_RATIO</stp>
        <stp>FPT</stp>
        <stp>A</stp>
        <stp>FPO</stp>
        <stp>-3A</stp>
        <stp>STD</stp>
        <stp>Mixed</stp>
        <stp>CONSOL</stp>
        <stp>Yes</stp>
        <tr r="K38" s="8"/>
      </tp>
      <tp t="e">
        <v>#N/A</v>
        <stp/>
        <stp>##V3_BDHV12</stp>
        <stp>SYK US Equity</stp>
        <stp>PX_ERN_RATIO_WITH_LOW_CLOS_PX</stp>
        <stp>-8FY</stp>
        <stp>-8FY</stp>
        <stp>[Fundamental &amp; Technical Model (1).xlsm]Multiples!R36C5</stp>
        <stp>EQY_CONSOLIDATED</stp>
        <stp>Yes</stp>
        <stp>ACCOUNTING_STANDARD_OVERRIDE</stp>
        <stp>Mixed</stp>
        <stp>Per</stp>
        <stp>FY</stp>
        <stp>Days=A</stp>
        <tr r="E36" s="16"/>
        <tr r="E36" s="16"/>
      </tp>
      <tp t="s">
        <v>12/31/2014</v>
        <stp/>
        <stp>##V3_BDPV12</stp>
        <stp>SYK US Equity</stp>
        <stp>LATEST_PERIOD_END_DT_FULL_RECORD</stp>
        <stp>[Fundamental &amp; Technical Model (1).xlsm]Segments!R15C10</stp>
        <stp>EQY_FUND_RELATIVE_PERIOD</stp>
        <stp>-4FY</stp>
        <stp>EQY_CONSOLIDATED</stp>
        <stp>Yes</stp>
        <tr r="J15" s="17"/>
        <tr r="J15" s="17"/>
      </tp>
      <tp t="s">
        <v>12/31/2018</v>
        <stp/>
        <stp>##V3_BDPV12</stp>
        <stp>SYK US Equity</stp>
        <stp>LATEST_PERIOD_END_DT_FULL_RECORD</stp>
        <stp>[Fundamental &amp; Technical Model (1).xlsm]Segments!R15C14</stp>
        <stp>EQY_FUND_RELATIVE_PERIOD</stp>
        <stp>-0FY</stp>
        <stp>EQY_CONSOLIDATED</stp>
        <stp>Yes</stp>
        <tr r="N15" s="17"/>
        <tr r="N15" s="17"/>
      </tp>
      <tp t="s">
        <v>12/31/2015</v>
        <stp/>
        <stp>##V3_BDPV12</stp>
        <stp>SYK US Equity</stp>
        <stp>LATEST_PERIOD_END_DT_FULL_RECORD</stp>
        <stp>[Fundamental &amp; Technical Model (1).xlsm]Segments!R15C11</stp>
        <stp>EQY_FUND_RELATIVE_PERIOD</stp>
        <stp>-3FY</stp>
        <stp>EQY_CONSOLIDATED</stp>
        <stp>Yes</stp>
        <tr r="K15" s="17"/>
        <tr r="K15" s="17"/>
      </tp>
      <tp t="s">
        <v>12/31/2017</v>
        <stp/>
        <stp>##V3_BDPV12</stp>
        <stp>SYK US Equity</stp>
        <stp>LATEST_PERIOD_END_DT_FULL_RECORD</stp>
        <stp>[Fundamental &amp; Technical Model (1).xlsm]Segments!R15C13</stp>
        <stp>EQY_FUND_RELATIVE_PERIOD</stp>
        <stp>-1FY</stp>
        <stp>EQY_CONSOLIDATED</stp>
        <stp>Yes</stp>
        <tr r="M15" s="17"/>
        <tr r="M15" s="17"/>
      </tp>
      <tp t="s">
        <v>12/31/2016</v>
        <stp/>
        <stp>##V3_BDPV12</stp>
        <stp>SYK US Equity</stp>
        <stp>LATEST_PERIOD_END_DT_FULL_RECORD</stp>
        <stp>[Fundamental &amp; Technical Model (1).xlsm]Segments!R15C12</stp>
        <stp>EQY_FUND_RELATIVE_PERIOD</stp>
        <stp>-2FY</stp>
        <stp>EQY_CONSOLIDATED</stp>
        <stp>Yes</stp>
        <tr r="L15" s="17"/>
        <tr r="L15" s="17"/>
      </tp>
      <tp>
        <v>212.12738580313103</v>
        <stp/>
        <stp>##V3_BQLV12</stp>
        <stp>[Fundamental &amp; Technical Model (1).xlsm]Ratios!R41C14</stp>
        <stp>SYK US Equity</stp>
        <stp>INVENT_DAYS</stp>
        <stp>FPT</stp>
        <stp>A</stp>
        <stp>FPO</stp>
        <stp>-0A</stp>
        <stp>STD</stp>
        <stp>Mixed</stp>
        <stp>CONSOL</stp>
        <stp>Yes</stp>
        <tr r="N41" s="8"/>
      </tp>
      <tp>
        <v>44.5</v>
        <stp/>
        <stp>##V3_BQLV12</stp>
        <stp>[Fundamental &amp; Technical Model (1).xlsm]Balance Sheet!R76C4</stp>
        <stp>SYK US Equity</stp>
        <stp>BS_ALLOW_DOUBTFUL_ACC_REC/10^6</stp>
        <stp>FPT</stp>
        <stp>A</stp>
        <stp>FPO</stp>
        <stp>-10A</stp>
        <stp>STD</stp>
        <stp>Mixed</stp>
        <stp>CONSOL</stp>
        <stp>Yes</stp>
        <stp>CURRENCY</stp>
        <stp>USD</stp>
        <tr r="D76" s="3"/>
      </tp>
      <tp>
        <v>9848</v>
        <stp/>
        <stp>##V3_BDSV12</stp>
        <stp>SYK US Equity</stp>
        <stp>PG_REVENUE</stp>
        <stp>[Fundamental &amp; Technical Model (1).xlsm]Segments!R31C14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31" s="17"/>
        <tr r="N31" s="17"/>
      </tp>
      <tp>
        <v>7116</v>
        <stp/>
        <stp>##V3_BDSV12</stp>
        <stp>SYK US Equity</stp>
        <stp>PG_REVENUE</stp>
        <stp>[Fundamental &amp; Technical Model (1).xlsm]Segments!R31C11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31" s="17"/>
        <tr r="K31" s="17"/>
      </tp>
      <tp>
        <v>6558</v>
        <stp/>
        <stp>##V3_BDSV12</stp>
        <stp>SYK US Equity</stp>
        <stp>PG_REVENUE</stp>
        <stp>[Fundamental &amp; Technical Model (1).xlsm]Segments!R31C10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31" s="17"/>
        <tr r="J31" s="17"/>
      </tp>
      <tp>
        <v>9059</v>
        <stp/>
        <stp>##V3_BDSV12</stp>
        <stp>SYK US Equity</stp>
        <stp>PG_REVENUE</stp>
        <stp>[Fundamental &amp; Technical Model (1).xlsm]Segments!R31C13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31" s="17"/>
        <tr r="M31" s="17"/>
      </tp>
      <tp>
        <v>8230</v>
        <stp/>
        <stp>##V3_BDSV12</stp>
        <stp>SYK US Equity</stp>
        <stp>PG_REVENUE</stp>
        <stp>[Fundamental &amp; Technical Model (1).xlsm]Segments!R31C12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31" s="17"/>
        <tr r="L31" s="17"/>
      </tp>
      <tp>
        <v>0</v>
        <stp/>
        <stp>##V3_BQLV12</stp>
        <stp>[Fundamental &amp; Technical Model (1).xlsm]Income Statement!R50C11</stp>
        <stp>SYK US Equity</stp>
        <stp>MIN_NONCONTROL_INTEREST_CREDITS/10^6</stp>
        <stp>FPT</stp>
        <stp>A</stp>
        <stp>FPO</stp>
        <stp>-3A</stp>
        <stp>STD</stp>
        <stp>Mixed</stp>
        <stp>CONSOL</stp>
        <stp>Yes</stp>
        <stp>CURRENCY</stp>
        <stp>USD</stp>
        <tr r="K50" s="2"/>
      </tp>
      <tp>
        <v>0</v>
        <stp/>
        <stp>##V3_BQLV12</stp>
        <stp>[Fundamental &amp; Technical Model (1).xlsm]Income Statement!R50C13</stp>
        <stp>SYK US Equity</stp>
        <stp>MIN_NONCONTROL_INTEREST_CREDITS/10^6</stp>
        <stp>FPT</stp>
        <stp>A</stp>
        <stp>FPO</stp>
        <stp>-1A</stp>
        <stp>STD</stp>
        <stp>Mixed</stp>
        <stp>CONSOL</stp>
        <stp>Yes</stp>
        <stp>CURRENCY</stp>
        <stp>USD</stp>
        <tr r="M50" s="2"/>
      </tp>
      <tp>
        <v>0</v>
        <stp/>
        <stp>##V3_BQLV12</stp>
        <stp>[Fundamental &amp; Technical Model (1).xlsm]Income Statement!R50C12</stp>
        <stp>SYK US Equity</stp>
        <stp>MIN_NONCONTROL_INTEREST_CREDITS/10^6</stp>
        <stp>FPT</stp>
        <stp>A</stp>
        <stp>FPO</stp>
        <stp>-2A</stp>
        <stp>STD</stp>
        <stp>Mixed</stp>
        <stp>CONSOL</stp>
        <stp>Yes</stp>
        <stp>CURRENCY</stp>
        <stp>USD</stp>
        <tr r="L50" s="2"/>
      </tp>
      <tp>
        <v>0</v>
        <stp/>
        <stp>##V3_BQLV12</stp>
        <stp>[Fundamental &amp; Technical Model (1).xlsm]Income Statement!R50C10</stp>
        <stp>SYK US Equity</stp>
        <stp>MIN_NONCONTROL_INTEREST_CREDITS/10^6</stp>
        <stp>FPT</stp>
        <stp>A</stp>
        <stp>FPO</stp>
        <stp>-4A</stp>
        <stp>STD</stp>
        <stp>Mixed</stp>
        <stp>CONSOL</stp>
        <stp>Yes</stp>
        <stp>CURRENCY</stp>
        <stp>USD</stp>
        <tr r="J50" s="2"/>
      </tp>
      <tp>
        <v>0</v>
        <stp/>
        <stp>##V3_BQLV12</stp>
        <stp>[Fundamental &amp; Technical Model (1).xlsm]Income Statement!R50C14</stp>
        <stp>SYK US Equity</stp>
        <stp>MIN_NONCONTROL_INTEREST_CREDITS/10^6</stp>
        <stp>FPT</stp>
        <stp>A</stp>
        <stp>FPO</stp>
        <stp>-0A</stp>
        <stp>STD</stp>
        <stp>Mixed</stp>
        <stp>CONSOL</stp>
        <stp>Yes</stp>
        <stp>CURRENCY</stp>
        <stp>USD</stp>
        <tr r="N50" s="2"/>
      </tp>
      <tp t="s">
        <v>#N/A N/A</v>
        <stp/>
        <stp>##V3_BDSV12</stp>
        <stp>SYK US Equity</stp>
        <stp>PG_ASSETS</stp>
        <stp>[Fundamental &amp; Technical Model (1).xlsm]Segments!R122C14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122" s="17"/>
      </tp>
      <tp t="s">
        <v>#N/A N/A</v>
        <stp/>
        <stp>##V3_BDSV12</stp>
        <stp>SYK US Equity</stp>
        <stp>PG_ASSETS</stp>
        <stp>[Fundamental &amp; Technical Model (1).xlsm]Segments!R122C12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122" s="17"/>
      </tp>
      <tp t="s">
        <v>#N/A N/A</v>
        <stp/>
        <stp>##V3_BDSV12</stp>
        <stp>SYK US Equity</stp>
        <stp>PG_ASSETS</stp>
        <stp>[Fundamental &amp; Technical Model (1).xlsm]Segments!R122C13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122" s="17"/>
      </tp>
      <tp t="s">
        <v>#N/A N/A</v>
        <stp/>
        <stp>##V3_BDSV12</stp>
        <stp>SYK US Equity</stp>
        <stp>PG_ASSETS</stp>
        <stp>[Fundamental &amp; Technical Model (1).xlsm]Segments!R122C10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122" s="17"/>
      </tp>
      <tp t="s">
        <v>#N/A N/A</v>
        <stp/>
        <stp>##V3_BDSV12</stp>
        <stp>SYK US Equity</stp>
        <stp>PG_ASSETS</stp>
        <stp>[Fundamental &amp; Technical Model (1).xlsm]Segments!R122C11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122" s="17"/>
      </tp>
      <tp t="e">
        <v>#N/A</v>
        <stp/>
        <stp>##V3_BDHV12</stp>
        <stp>SYK US Equity</stp>
        <stp>EV_TO_T12M_SALES</stp>
        <stp>-4FY</stp>
        <stp>-4FY</stp>
        <stp>[Fundamental &amp; Technical Model (1).xlsm]Multiples!R15C9</stp>
        <stp>EQY_CONSOLIDATED</stp>
        <stp>Yes</stp>
        <stp>ACCOUNTING_STANDARD_OVERRIDE</stp>
        <stp>Mixed</stp>
        <stp>Per</stp>
        <stp>FY</stp>
        <stp>Days=A</stp>
        <tr r="I15" s="16"/>
        <tr r="I15" s="16"/>
      </tp>
      <tp t="s">
        <v>12/31/2008</v>
        <stp/>
        <stp>##V3_BDPV12</stp>
        <stp>SYK US Equity</stp>
        <stp>LATEST_PERIOD_END_DT_FULL_RECORD</stp>
        <stp>[Fundamental &amp; Technical Model (1).xlsm]Segments!R174C4</stp>
        <stp>EQY_FUND_RELATIVE_PERIOD</stp>
        <stp>-10FY</stp>
        <stp>EQY_CONSOLIDATED</stp>
        <stp>Yes</stp>
        <tr r="D174" s="17"/>
        <tr r="D174" s="17"/>
      </tp>
      <tp>
        <v>0</v>
        <stp/>
        <stp>##V3_BQLV12</stp>
        <stp>[Fundamental &amp; Technical Model (1).xlsm]Income Statement!R49C5</stp>
        <stp>SYK US Equity</stp>
        <stp>XO_GL_NET_OF_TAX/10^6</stp>
        <stp>FPT</stp>
        <stp>A</stp>
        <stp>FPO</stp>
        <stp>-9A</stp>
        <stp>STD</stp>
        <stp>Mixed</stp>
        <stp>CONSOL</stp>
        <stp>Yes</stp>
        <stp>CURRENCY</stp>
        <stp>USD</stp>
        <tr r="E49" s="2"/>
      </tp>
      <tp>
        <v>0</v>
        <stp/>
        <stp>##V3_BQLV12</stp>
        <stp>[Fundamental &amp; Technical Model (1).xlsm]Income Statement!R49C6</stp>
        <stp>SYK US Equity</stp>
        <stp>XO_GL_NET_OF_TAX/10^6</stp>
        <stp>FPT</stp>
        <stp>A</stp>
        <stp>FPO</stp>
        <stp>-8A</stp>
        <stp>STD</stp>
        <stp>Mixed</stp>
        <stp>CONSOL</stp>
        <stp>Yes</stp>
        <stp>CURRENCY</stp>
        <stp>USD</stp>
        <tr r="F49" s="2"/>
      </tp>
      <tp>
        <v>0</v>
        <stp/>
        <stp>##V3_BQLV12</stp>
        <stp>[Fundamental &amp; Technical Model (1).xlsm]Income Statement!R49C7</stp>
        <stp>SYK US Equity</stp>
        <stp>XO_GL_NET_OF_TAX/10^6</stp>
        <stp>FPT</stp>
        <stp>A</stp>
        <stp>FPO</stp>
        <stp>-7A</stp>
        <stp>STD</stp>
        <stp>Mixed</stp>
        <stp>CONSOL</stp>
        <stp>Yes</stp>
        <stp>CURRENCY</stp>
        <stp>USD</stp>
        <tr r="G49" s="2"/>
      </tp>
      <tp>
        <v>0</v>
        <stp/>
        <stp>##V3_BQLV12</stp>
        <stp>[Fundamental &amp; Technical Model (1).xlsm]Income Statement!R49C8</stp>
        <stp>SYK US Equity</stp>
        <stp>XO_GL_NET_OF_TAX/10^6</stp>
        <stp>FPT</stp>
        <stp>A</stp>
        <stp>FPO</stp>
        <stp>-6A</stp>
        <stp>STD</stp>
        <stp>Mixed</stp>
        <stp>CONSOL</stp>
        <stp>Yes</stp>
        <stp>CURRENCY</stp>
        <stp>USD</stp>
        <tr r="H49" s="2"/>
      </tp>
      <tp>
        <v>0</v>
        <stp/>
        <stp>##V3_BQLV12</stp>
        <stp>[Fundamental &amp; Technical Model (1).xlsm]Income Statement!R49C9</stp>
        <stp>SYK US Equity</stp>
        <stp>XO_GL_NET_OF_TAX/10^6</stp>
        <stp>FPT</stp>
        <stp>A</stp>
        <stp>FPO</stp>
        <stp>-5A</stp>
        <stp>STD</stp>
        <stp>Mixed</stp>
        <stp>CONSOL</stp>
        <stp>Yes</stp>
        <stp>CURRENCY</stp>
        <stp>USD</stp>
        <tr r="I49" s="2"/>
      </tp>
      <tp t="e">
        <v>#N/A</v>
        <stp/>
        <stp>##V3_BDHV12</stp>
        <stp>SYK US Equity</stp>
        <stp>LOW_CLOSING_PRICE_TO_BOOK_RATIO</stp>
        <stp>-9FY</stp>
        <stp>-9FY</stp>
        <stp>[Fundamental &amp; Technical Model (1).xlsm]Multiples!R42C4</stp>
        <stp>EQY_CONSOLIDATED</stp>
        <stp>Yes</stp>
        <stp>ACCOUNTING_STANDARD_OVERRIDE</stp>
        <stp>Mixed</stp>
        <stp>Per</stp>
        <stp>FY</stp>
        <stp>Days=A</stp>
        <tr r="D42" s="16"/>
        <tr r="D42" s="16"/>
      </tp>
      <tp>
        <v>20.165354330708659</v>
        <stp/>
        <stp>##V3_BQLV12</stp>
        <stp>[Fundamental &amp; Technical Model (1).xlsm]Balance Sheet!R65C7</stp>
        <stp>SYK US Equity</stp>
        <stp>BOOK_VAL_PER_SH</stp>
        <stp>FPT</stp>
        <stp>A</stp>
        <stp>FPO</stp>
        <stp>-7A</stp>
        <stp>STD</stp>
        <stp>Mixed</stp>
        <stp>CONSOL</stp>
        <stp>Yes</stp>
        <stp>CURRENCY</stp>
        <stp>USD</stp>
        <tr r="G65" s="3"/>
      </tp>
      <tp t="e">
        <v>#N/A</v>
        <stp/>
        <stp>##V3_BDHV12</stp>
        <stp>SYK US Equity</stp>
        <stp>AVERAGE_PRICE_TO_FREE_CASH_FLOW</stp>
        <stp>-6FY</stp>
        <stp>-6FY</stp>
        <stp>[Fundamental &amp; Technical Model (1).xlsm]Multiples!R58C7</stp>
        <stp>EQY_CONSOLIDATED</stp>
        <stp>Yes</stp>
        <stp>ACCOUNTING_STANDARD_OVERRIDE</stp>
        <stp>Mixed</stp>
        <stp>Per</stp>
        <stp>FY</stp>
        <stp>Days=A</stp>
        <tr r="G58" s="16"/>
        <tr r="G58" s="16"/>
      </tp>
      <tp>
        <v>0.58597298770516626</v>
        <stp/>
        <stp>##V3_BQLV12</stp>
        <stp>[Fundamental &amp; Technical Model (1).xlsm]Ratios!R31C10</stp>
        <stp>SYK US Equity</stp>
        <stp>ASSET_TURNOVER</stp>
        <stp>FPT</stp>
        <stp>A</stp>
        <stp>FPO</stp>
        <stp>-4A</stp>
        <stp>STD</stp>
        <stp>Mixed</stp>
        <stp>CONSOL</stp>
        <stp>Yes</stp>
        <tr r="J31" s="8"/>
      </tp>
      <tp>
        <v>1.25462866652798</v>
        <stp/>
        <stp>##V3_BQLV12</stp>
        <stp>[Fundamental &amp; Technical Model (1).xlsm]Ratios!R38C14</stp>
        <stp>SYK US Equity</stp>
        <stp>QUICK_RATIO</stp>
        <stp>FPT</stp>
        <stp>A</stp>
        <stp>FPO</stp>
        <stp>-0A</stp>
        <stp>STD</stp>
        <stp>Mixed</stp>
        <stp>CONSOL</stp>
        <stp>Yes</stp>
        <tr r="N38" s="8"/>
      </tp>
      <tp>
        <v>0</v>
        <stp/>
        <stp>##V3_BDPV12</stp>
        <stp>SYK US Equity</stp>
        <stp>BS_TOTAL_CAPITAL_LEASES</stp>
        <stp>[Fundamental &amp; Technical Model (1).xlsm]Capital Structure Summary!R41C9</stp>
        <stp>EQY_FUND_RELATIVE_PERIOD</stp>
        <stp>-1FY</stp>
        <stp>EQY_FUND_CRNCY</stp>
        <stp>USD</stp>
        <stp>EQY_CONSOLIDATED</stp>
        <stp>Yes</stp>
        <stp>ACCOUNTING_STANDARD_OVERRIDE</stp>
        <stp>Mixed</stp>
        <stp>Fill=--</stp>
        <tr r="I41" s="21"/>
      </tp>
      <tp>
        <v>0</v>
        <stp/>
        <stp>##V3_BDPV12</stp>
        <stp>SYK US Equity</stp>
        <stp>BS_TOTAL_CAPITAL_LEASES</stp>
        <stp>[Fundamental &amp; Technical Model (1).xlsm]Capital Structure Summary!R41C5</stp>
        <stp>EQY_FUND_RELATIVE_PERIOD</stp>
        <stp>-3FY</stp>
        <stp>EQY_FUND_CRNCY</stp>
        <stp>USD</stp>
        <stp>EQY_CONSOLIDATED</stp>
        <stp>Yes</stp>
        <stp>ACCOUNTING_STANDARD_OVERRIDE</stp>
        <stp>Mixed</stp>
        <stp>Fill=--</stp>
        <tr r="E41" s="21"/>
      </tp>
      <tp>
        <v>0</v>
        <stp/>
        <stp>##V3_BDPV12</stp>
        <stp>SYK US Equity</stp>
        <stp>BS_TOTAL_CAPITAL_LEASES</stp>
        <stp>[Fundamental &amp; Technical Model (1).xlsm]Capital Structure Summary!R41C3</stp>
        <stp>EQY_FUND_RELATIVE_PERIOD</stp>
        <stp>-4FY</stp>
        <stp>EQY_FUND_CRNCY</stp>
        <stp>USD</stp>
        <stp>EQY_CONSOLIDATED</stp>
        <stp>Yes</stp>
        <stp>ACCOUNTING_STANDARD_OVERRIDE</stp>
        <stp>Mixed</stp>
        <stp>Fill=--</stp>
        <tr r="C41" s="21"/>
      </tp>
      <tp>
        <v>1</v>
        <stp/>
        <stp>##V3_BDPV12</stp>
        <stp>SYK US Equity</stp>
        <stp>BS_STOCK_OPTION_VAL_MODEL</stp>
        <stp>[Fundamental &amp; Technical Model (1).xlsm]Supplemental!R24C3</stp>
        <stp>EQY_FUND_RELATIVE_PERIOD</stp>
        <stp>-10FY</stp>
        <stp>EQY_FUND_CRNCY</stp>
        <stp>USD</stp>
        <stp>EQY_CONSOLIDATED</stp>
        <stp>Yes</stp>
        <stp>ACCOUNTING_STANDARD_OVERRIDE</stp>
        <stp>Mixed</stp>
        <stp>Fill=--</stp>
        <tr r="C24" s="19"/>
      </tp>
      <tp>
        <v>0</v>
        <stp/>
        <stp>##V3_BDPV12</stp>
        <stp>SYK US Equity</stp>
        <stp>BS_TOTAL_CAPITAL_LEASES</stp>
        <stp>[Fundamental &amp; Technical Model (1).xlsm]Capital Structure Summary!R41C7</stp>
        <stp>EQY_FUND_RELATIVE_PERIOD</stp>
        <stp>-2FY</stp>
        <stp>EQY_FUND_CRNCY</stp>
        <stp>USD</stp>
        <stp>EQY_CONSOLIDATED</stp>
        <stp>Yes</stp>
        <stp>ACCOUNTING_STANDARD_OVERRIDE</stp>
        <stp>Mixed</stp>
        <stp>Fill=--</stp>
        <tr r="G41" s="21"/>
      </tp>
      <tp t="e">
        <v>#N/A</v>
        <stp/>
        <stp>##V3_BDHV12</stp>
        <stp>SYK US Equity</stp>
        <stp>PX_ERN_RATIO_WITH_LOW_CLOS_PX</stp>
        <stp>-7FY</stp>
        <stp>-7FY</stp>
        <stp>[Fundamental &amp; Technical Model (1).xlsm]Multiples!R36C6</stp>
        <stp>EQY_CONSOLIDATED</stp>
        <stp>Yes</stp>
        <stp>ACCOUNTING_STANDARD_OVERRIDE</stp>
        <stp>Mixed</stp>
        <stp>Per</stp>
        <stp>FY</stp>
        <stp>Days=A</stp>
        <tr r="F36" s="16"/>
        <tr r="F36" s="16"/>
      </tp>
      <tp>
        <v>176.11468301435406</v>
        <stp/>
        <stp>##V3_BQLV12</stp>
        <stp>[Fundamental &amp; Technical Model (1).xlsm]Ratios!R41C11</stp>
        <stp>SYK US Equity</stp>
        <stp>INVENT_DAYS</stp>
        <stp>FPT</stp>
        <stp>A</stp>
        <stp>FPO</stp>
        <stp>-3A</stp>
        <stp>STD</stp>
        <stp>Mixed</stp>
        <stp>CONSOL</stp>
        <stp>Yes</stp>
        <tr r="K41" s="8"/>
      </tp>
      <tp>
        <v>12.878552971576227</v>
        <stp/>
        <stp>##V3_BQLV12</stp>
        <stp>[Fundamental &amp; Technical Model (1).xlsm]Ratios!R24C10</stp>
        <stp>SYK US Equity</stp>
        <stp>EBIT_MARGIN</stp>
        <stp>FPT</stp>
        <stp>A</stp>
        <stp>FPO</stp>
        <stp>-4A</stp>
        <stp>STD</stp>
        <stp>Mixed</stp>
        <stp>CONSOL</stp>
        <stp>Yes</stp>
        <tr r="J24" s="8"/>
      </tp>
      <tp>
        <v>1793</v>
        <stp/>
        <stp>##V3_BDSV12</stp>
        <stp>SYK US Equity</stp>
        <stp>PG_REVENUE</stp>
        <stp>[Fundamental &amp; Technical Model (1).xlsm]Segments!R32C14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32" s="17"/>
        <tr r="N32" s="17"/>
      </tp>
      <tp>
        <v>1437</v>
        <stp/>
        <stp>##V3_BDSV12</stp>
        <stp>SYK US Equity</stp>
        <stp>PG_REVENUE</stp>
        <stp>[Fundamental &amp; Technical Model (1).xlsm]Segments!R32C12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32" s="17"/>
        <tr r="L32" s="17"/>
      </tp>
      <tp>
        <v>1567</v>
        <stp/>
        <stp>##V3_BDSV12</stp>
        <stp>SYK US Equity</stp>
        <stp>PG_REVENUE</stp>
        <stp>[Fundamental &amp; Technical Model (1).xlsm]Segments!R32C13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32" s="17"/>
        <tr r="M32" s="17"/>
      </tp>
      <tp>
        <v>1371</v>
        <stp/>
        <stp>##V3_BDSV12</stp>
        <stp>SYK US Equity</stp>
        <stp>PG_REVENUE</stp>
        <stp>[Fundamental &amp; Technical Model (1).xlsm]Segments!R32C10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32" s="17"/>
        <tr r="J32" s="17"/>
      </tp>
      <tp>
        <v>7.4896487642140759</v>
        <stp/>
        <stp>##V3_BQLV12</stp>
        <stp>[Fundamental &amp; Technical Model (1).xlsm]Ratios!R58C10</stp>
        <stp>SYK US Equity</stp>
        <stp>ALTMAN_Z_SCORE</stp>
        <stp>FPT</stp>
        <stp>A</stp>
        <stp>FPO</stp>
        <stp>-4A</stp>
        <stp>STD</stp>
        <stp>Mixed</stp>
        <stp>CONSOL</stp>
        <stp>Yes</stp>
        <tr r="J58" s="8"/>
      </tp>
      <tp>
        <v>1267</v>
        <stp/>
        <stp>##V3_BDSV12</stp>
        <stp>SYK US Equity</stp>
        <stp>PG_REVENUE</stp>
        <stp>[Fundamental &amp; Technical Model (1).xlsm]Segments!R32C11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32" s="17"/>
        <tr r="K32" s="17"/>
      </tp>
      <tp t="s">
        <v>#N/A N/A</v>
        <stp/>
        <stp>##V3_BDSV12</stp>
        <stp>SYK US Equity</stp>
        <stp>PG_ASSETS</stp>
        <stp>[Fundamental &amp; Technical Model (1).xlsm]Segments!R121C14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121" s="17"/>
      </tp>
      <tp t="s">
        <v>#N/A N/A</v>
        <stp/>
        <stp>##V3_BDSV12</stp>
        <stp>SYK US Equity</stp>
        <stp>PG_ASSETS</stp>
        <stp>[Fundamental &amp; Technical Model (1).xlsm]Segments!R121C13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121" s="17"/>
      </tp>
      <tp t="s">
        <v>#N/A N/A</v>
        <stp/>
        <stp>##V3_BDSV12</stp>
        <stp>SYK US Equity</stp>
        <stp>PG_ASSETS</stp>
        <stp>[Fundamental &amp; Technical Model (1).xlsm]Segments!R121C12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121" s="17"/>
      </tp>
      <tp t="s">
        <v>#N/A N/A</v>
        <stp/>
        <stp>##V3_BDSV12</stp>
        <stp>SYK US Equity</stp>
        <stp>PG_ASSETS</stp>
        <stp>[Fundamental &amp; Technical Model (1).xlsm]Segments!R121C11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121" s="17"/>
      </tp>
      <tp t="s">
        <v>#N/A N/A</v>
        <stp/>
        <stp>##V3_BDSV12</stp>
        <stp>SYK US Equity</stp>
        <stp>PG_ASSETS</stp>
        <stp>[Fundamental &amp; Technical Model (1).xlsm]Segments!R121C10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121" s="17"/>
      </tp>
      <tp>
        <v>0</v>
        <stp/>
        <stp>##V3_BDPV12</stp>
        <stp>SYK US Equity</stp>
        <stp>BS_TOTAL_FUT_VAL_CAPITAL_LEASE</stp>
        <stp>[Fundamental &amp; Technical Model (1).xlsm]Capital Structure Summary!R92C3</stp>
        <stp>EQY_FUND_RELATIVE_PERIOD</stp>
        <stp>-4FY</stp>
        <stp>EQY_FUND_CRNCY</stp>
        <stp>USD</stp>
        <stp>EQY_CONSOLIDATED</stp>
        <stp>Yes</stp>
        <stp>ACCOUNTING_STANDARD_OVERRIDE</stp>
        <stp>Mixed</stp>
        <stp>Fill=--</stp>
        <tr r="C92" s="21"/>
      </tp>
      <tp>
        <v>0</v>
        <stp/>
        <stp>##V3_BDPV12</stp>
        <stp>SYK US Equity</stp>
        <stp>BS_TOTAL_FUT_VAL_CAPITAL_LEASE</stp>
        <stp>[Fundamental &amp; Technical Model (1).xlsm]Capital Structure Summary!R92C5</stp>
        <stp>EQY_FUND_RELATIVE_PERIOD</stp>
        <stp>-3FY</stp>
        <stp>EQY_FUND_CRNCY</stp>
        <stp>USD</stp>
        <stp>EQY_CONSOLIDATED</stp>
        <stp>Yes</stp>
        <stp>ACCOUNTING_STANDARD_OVERRIDE</stp>
        <stp>Mixed</stp>
        <stp>Fill=--</stp>
        <tr r="E92" s="21"/>
      </tp>
      <tp>
        <v>0</v>
        <stp/>
        <stp>##V3_BDPV12</stp>
        <stp>SYK US Equity</stp>
        <stp>BS_TOTAL_FUT_VAL_CAPITAL_LEASE</stp>
        <stp>[Fundamental &amp; Technical Model (1).xlsm]Capital Structure Summary!R92C7</stp>
        <stp>EQY_FUND_RELATIVE_PERIOD</stp>
        <stp>-2FY</stp>
        <stp>EQY_FUND_CRNCY</stp>
        <stp>USD</stp>
        <stp>EQY_CONSOLIDATED</stp>
        <stp>Yes</stp>
        <stp>ACCOUNTING_STANDARD_OVERRIDE</stp>
        <stp>Mixed</stp>
        <stp>Fill=--</stp>
        <tr r="G92" s="21"/>
      </tp>
      <tp>
        <v>0</v>
        <stp/>
        <stp>##V3_BDPV12</stp>
        <stp>SYK US Equity</stp>
        <stp>BS_TOTAL_FUT_VAL_CAPITAL_LEASE</stp>
        <stp>[Fundamental &amp; Technical Model (1).xlsm]Capital Structure Summary!R92C9</stp>
        <stp>EQY_FUND_RELATIVE_PERIOD</stp>
        <stp>-1FY</stp>
        <stp>EQY_FUND_CRNCY</stp>
        <stp>USD</stp>
        <stp>EQY_CONSOLIDATED</stp>
        <stp>Yes</stp>
        <stp>ACCOUNTING_STANDARD_OVERRIDE</stp>
        <stp>Mixed</stp>
        <stp>Fill=--</stp>
        <tr r="I92" s="21"/>
      </tp>
      <tp t="s">
        <v>2009 Y</v>
        <stp/>
        <stp>##V3_BDPV12</stp>
        <stp>SYK US Equity</stp>
        <stp>FISCAL_YEAR_PERIOD</stp>
        <stp>[Fundamental &amp; Technical Model (1).xlsm]Multiples!R12C4</stp>
        <stp>EQY_FUND_RELATIVE_PERIOD</stp>
        <stp>-9FY</stp>
        <tr r="D12" s="16"/>
      </tp>
      <tp t="s">
        <v>2010 Y</v>
        <stp/>
        <stp>##V3_BDPV12</stp>
        <stp>SYK US Equity</stp>
        <stp>FISCAL_YEAR_PERIOD</stp>
        <stp>[Fundamental &amp; Technical Model (1).xlsm]Multiples!R12C5</stp>
        <stp>EQY_FUND_RELATIVE_PERIOD</stp>
        <stp>-8FY</stp>
        <tr r="E12" s="16"/>
      </tp>
      <tp t="s">
        <v>2013 Y</v>
        <stp/>
        <stp>##V3_BDPV12</stp>
        <stp>SYK US Equity</stp>
        <stp>FISCAL_YEAR_PERIOD</stp>
        <stp>[Fundamental &amp; Technical Model (1).xlsm]Multiples!R12C8</stp>
        <stp>EQY_FUND_RELATIVE_PERIOD</stp>
        <stp>-5FY</stp>
        <tr r="H12" s="16"/>
      </tp>
      <tp t="s">
        <v>2014 Y</v>
        <stp/>
        <stp>##V3_BDPV12</stp>
        <stp>SYK US Equity</stp>
        <stp>FISCAL_YEAR_PERIOD</stp>
        <stp>[Fundamental &amp; Technical Model (1).xlsm]Multiples!R12C9</stp>
        <stp>EQY_FUND_RELATIVE_PERIOD</stp>
        <stp>-4FY</stp>
        <tr r="I12" s="16"/>
      </tp>
      <tp t="s">
        <v>2009 A</v>
        <stp/>
        <stp>##V3_BQLV12</stp>
        <stp>[Fundamental &amp; Technical Model (1).xlsm]Balance Sheet!R13C5</stp>
        <stp>SYK US Equity</stp>
        <stp>IS_EPS().PERIOD</stp>
        <stp>FPT</stp>
        <stp>A</stp>
        <stp>FPO</stp>
        <stp>-9A</stp>
        <stp>STD</stp>
        <stp>Mixed</stp>
        <stp>CONSOL</stp>
        <stp>Yes</stp>
        <tr r="E13" s="3"/>
      </tp>
      <tp>
        <v>43830</v>
        <stp/>
        <stp>##V3_BQLV12</stp>
        <stp>[Fundamental &amp; Technical Model (1).xlsm]Key Stats!R13C12</stp>
        <stp>SYK US Equity</stp>
        <stp>IS_EPS().PERIOD_END_DATE</stp>
        <stp>FPT</stp>
        <stp>A</stp>
        <stp>FPO</stp>
        <stp>1A</stp>
        <stp>STD</stp>
        <stp>Mixed</stp>
        <stp>CONSOL</stp>
        <stp>Yes</stp>
        <stp>CURRENCY</stp>
        <stp>USD</stp>
        <tr r="L13" s="23"/>
      </tp>
      <tp t="e">
        <v>#N/A</v>
        <stp/>
        <stp>##V3_BDHV12</stp>
        <stp>SYK US Equity</stp>
        <stp>LOW_CLOSING_PRICE_TO_BOOK_RATIO</stp>
        <stp>-6FY</stp>
        <stp>-6FY</stp>
        <stp>[Fundamental &amp; Technical Model (1).xlsm]Multiples!R42C7</stp>
        <stp>EQY_CONSOLIDATED</stp>
        <stp>Yes</stp>
        <stp>ACCOUNTING_STANDARD_OVERRIDE</stp>
        <stp>Mixed</stp>
        <stp>Per</stp>
        <stp>FY</stp>
        <stp>Days=A</stp>
        <tr r="G42" s="16"/>
        <tr r="G42" s="16"/>
      </tp>
      <tp t="e">
        <v>#N/A</v>
        <stp/>
        <stp>##V3_BDHV12</stp>
        <stp>SYK US Equity</stp>
        <stp>AVERAGE_PRICE_TO_FREE_CASH_FLOW</stp>
        <stp>-9FY</stp>
        <stp>-9FY</stp>
        <stp>[Fundamental &amp; Technical Model (1).xlsm]Multiples!R58C4</stp>
        <stp>EQY_CONSOLIDATED</stp>
        <stp>Yes</stp>
        <stp>ACCOUNTING_STANDARD_OVERRIDE</stp>
        <stp>Mixed</stp>
        <stp>Per</stp>
        <stp>FY</stp>
        <stp>Days=A</stp>
        <tr r="D58" s="16"/>
        <tr r="D58" s="16"/>
      </tp>
      <tp t="s">
        <v>12/31/2010</v>
        <stp/>
        <stp>##V3_BDPV12</stp>
        <stp>SYK US Equity</stp>
        <stp>LATEST_PERIOD_END_DT_FULL_RECORD</stp>
        <stp>[Fundamental &amp; Technical Model (1).xlsm]Segments!R160C6</stp>
        <stp>EQY_FUND_RELATIVE_PERIOD</stp>
        <stp>-8FY</stp>
        <stp>EQY_CONSOLIDATED</stp>
        <stp>Yes</stp>
        <tr r="F160" s="17"/>
        <tr r="F160" s="17"/>
      </tp>
      <tp t="s">
        <v>12/31/2012</v>
        <stp/>
        <stp>##V3_BDPV12</stp>
        <stp>SYK US Equity</stp>
        <stp>LATEST_PERIOD_END_DT_FULL_RECORD</stp>
        <stp>[Fundamental &amp; Technical Model (1).xlsm]Segments!R160C8</stp>
        <stp>EQY_FUND_RELATIVE_PERIOD</stp>
        <stp>-6FY</stp>
        <stp>EQY_CONSOLIDATED</stp>
        <stp>Yes</stp>
        <tr r="H160" s="17"/>
        <tr r="H160" s="17"/>
      </tp>
      <tp t="s">
        <v>12/31/2009</v>
        <stp/>
        <stp>##V3_BDPV12</stp>
        <stp>SYK US Equity</stp>
        <stp>LATEST_PERIOD_END_DT_FULL_RECORD</stp>
        <stp>[Fundamental &amp; Technical Model (1).xlsm]Segments!R160C5</stp>
        <stp>EQY_FUND_RELATIVE_PERIOD</stp>
        <stp>-9FY</stp>
        <stp>EQY_CONSOLIDATED</stp>
        <stp>Yes</stp>
        <tr r="E160" s="17"/>
        <tr r="E160" s="17"/>
      </tp>
      <tp t="s">
        <v>12/31/2013</v>
        <stp/>
        <stp>##V3_BDPV12</stp>
        <stp>SYK US Equity</stp>
        <stp>LATEST_PERIOD_END_DT_FULL_RECORD</stp>
        <stp>[Fundamental &amp; Technical Model (1).xlsm]Segments!R160C9</stp>
        <stp>EQY_FUND_RELATIVE_PERIOD</stp>
        <stp>-5FY</stp>
        <stp>EQY_CONSOLIDATED</stp>
        <stp>Yes</stp>
        <tr r="I160" s="17"/>
        <tr r="I160" s="17"/>
      </tp>
      <tp t="s">
        <v>12/31/2011</v>
        <stp/>
        <stp>##V3_BDPV12</stp>
        <stp>SYK US Equity</stp>
        <stp>LATEST_PERIOD_END_DT_FULL_RECORD</stp>
        <stp>[Fundamental &amp; Technical Model (1).xlsm]Segments!R160C7</stp>
        <stp>EQY_FUND_RELATIVE_PERIOD</stp>
        <stp>-7FY</stp>
        <stp>EQY_CONSOLIDATED</stp>
        <stp>Yes</stp>
        <tr r="G160" s="17"/>
        <tr r="G160" s="17"/>
      </tp>
      <tp t="s">
        <v>12/31/2014</v>
        <stp/>
        <stp>##V3_BDPV12</stp>
        <stp>SYK US Equity</stp>
        <stp>LATEST_PERIOD_END_DT_FULL_RECORD</stp>
        <stp>[Fundamental &amp; Technical Model (1).xlsm]Segments!R87C10</stp>
        <stp>EQY_FUND_RELATIVE_PERIOD</stp>
        <stp>-4FY</stp>
        <stp>EQY_CONSOLIDATED</stp>
        <stp>Yes</stp>
        <tr r="J87" s="17"/>
        <tr r="J87" s="17"/>
      </tp>
      <tp t="s">
        <v>12/31/2018</v>
        <stp/>
        <stp>##V3_BDPV12</stp>
        <stp>SYK US Equity</stp>
        <stp>LATEST_PERIOD_END_DT_FULL_RECORD</stp>
        <stp>[Fundamental &amp; Technical Model (1).xlsm]Segments!R87C14</stp>
        <stp>EQY_FUND_RELATIVE_PERIOD</stp>
        <stp>-0FY</stp>
        <stp>EQY_CONSOLIDATED</stp>
        <stp>Yes</stp>
        <tr r="N87" s="17"/>
        <tr r="N87" s="17"/>
      </tp>
      <tp t="s">
        <v>12/31/2015</v>
        <stp/>
        <stp>##V3_BDPV12</stp>
        <stp>SYK US Equity</stp>
        <stp>LATEST_PERIOD_END_DT_FULL_RECORD</stp>
        <stp>[Fundamental &amp; Technical Model (1).xlsm]Segments!R87C11</stp>
        <stp>EQY_FUND_RELATIVE_PERIOD</stp>
        <stp>-3FY</stp>
        <stp>EQY_CONSOLIDATED</stp>
        <stp>Yes</stp>
        <tr r="K87" s="17"/>
        <tr r="K87" s="17"/>
      </tp>
      <tp t="s">
        <v>12/31/2017</v>
        <stp/>
        <stp>##V3_BDPV12</stp>
        <stp>SYK US Equity</stp>
        <stp>LATEST_PERIOD_END_DT_FULL_RECORD</stp>
        <stp>[Fundamental &amp; Technical Model (1).xlsm]Segments!R87C13</stp>
        <stp>EQY_FUND_RELATIVE_PERIOD</stp>
        <stp>-1FY</stp>
        <stp>EQY_CONSOLIDATED</stp>
        <stp>Yes</stp>
        <tr r="M87" s="17"/>
        <tr r="M87" s="17"/>
      </tp>
      <tp t="s">
        <v>12/31/2016</v>
        <stp/>
        <stp>##V3_BDPV12</stp>
        <stp>SYK US Equity</stp>
        <stp>LATEST_PERIOD_END_DT_FULL_RECORD</stp>
        <stp>[Fundamental &amp; Technical Model (1).xlsm]Segments!R87C12</stp>
        <stp>EQY_FUND_RELATIVE_PERIOD</stp>
        <stp>-2FY</stp>
        <stp>EQY_CONSOLIDATED</stp>
        <stp>Yes</stp>
        <tr r="L87" s="17"/>
        <tr r="L87" s="17"/>
      </tp>
      <tp>
        <v>1.4321377331420373</v>
        <stp/>
        <stp>##V3_BQLV12</stp>
        <stp>[Fundamental &amp; Technical Model (1).xlsm]Ratios!R38C13</stp>
        <stp>SYK US Equity</stp>
        <stp>QUICK_RATIO</stp>
        <stp>FPT</stp>
        <stp>A</stp>
        <stp>FPO</stp>
        <stp>-1A</stp>
        <stp>STD</stp>
        <stp>Mixed</stp>
        <stp>CONSOL</stp>
        <stp>Yes</stp>
        <tr r="M38" s="8"/>
      </tp>
      <tp>
        <v>175.72023030620255</v>
        <stp/>
        <stp>##V3_BQLV12</stp>
        <stp>[Fundamental &amp; Technical Model (1).xlsm]Ratios!R41C12</stp>
        <stp>SYK US Equity</stp>
        <stp>INVENT_DAYS</stp>
        <stp>FPT</stp>
        <stp>A</stp>
        <stp>FPO</stp>
        <stp>-2A</stp>
        <stp>STD</stp>
        <stp>Mixed</stp>
        <stp>CONSOL</stp>
        <stp>Yes</stp>
        <tr r="L41" s="8"/>
      </tp>
      <tp t="e">
        <v>#N/A</v>
        <stp/>
        <stp>##V3_BDHV12</stp>
        <stp>SYK US Equity</stp>
        <stp>PX_ERN_RATIO_WITH_LOW_CLOS_PX</stp>
        <stp>-6FY</stp>
        <stp>-6FY</stp>
        <stp>[Fundamental &amp; Technical Model (1).xlsm]Multiples!R36C7</stp>
        <stp>EQY_CONSOLIDATED</stp>
        <stp>Yes</stp>
        <stp>ACCOUNTING_STANDARD_OVERRIDE</stp>
        <stp>Mixed</stp>
        <stp>Per</stp>
        <stp>FY</stp>
        <stp>Days=A</stp>
        <tr r="G36" s="16"/>
        <tr r="G36" s="16"/>
      </tp>
      <tp>
        <v>1532</v>
        <stp/>
        <stp>##V3_BDSV12</stp>
        <stp>SYK US Equity</stp>
        <stp>PG_REVENUE</stp>
        <stp>[Fundamental &amp; Technical Model (1).xlsm]Segments!R33C14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33" s="17"/>
        <tr r="N33" s="17"/>
      </tp>
      <tp>
        <v>1413</v>
        <stp/>
        <stp>##V3_BDSV12</stp>
        <stp>SYK US Equity</stp>
        <stp>PG_REVENUE</stp>
        <stp>[Fundamental &amp; Technical Model (1).xlsm]Segments!R33C13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33" s="17"/>
        <tr r="M33" s="17"/>
      </tp>
      <tp>
        <v>1325</v>
        <stp/>
        <stp>##V3_BDSV12</stp>
        <stp>SYK US Equity</stp>
        <stp>PG_REVENUE</stp>
        <stp>[Fundamental &amp; Technical Model (1).xlsm]Segments!R33C12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33" s="17"/>
        <tr r="L33" s="17"/>
      </tp>
      <tp>
        <v>1251</v>
        <stp/>
        <stp>##V3_BDSV12</stp>
        <stp>SYK US Equity</stp>
        <stp>PG_REVENUE</stp>
        <stp>[Fundamental &amp; Technical Model (1).xlsm]Segments!R33C11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33" s="17"/>
        <tr r="K33" s="17"/>
      </tp>
      <tp>
        <v>1368</v>
        <stp/>
        <stp>##V3_BDSV12</stp>
        <stp>SYK US Equity</stp>
        <stp>PG_REVENUE</stp>
        <stp>[Fundamental &amp; Technical Model (1).xlsm]Segments!R33C10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33" s="17"/>
        <tr r="J33" s="17"/>
      </tp>
      <tp t="s">
        <v>#N/A N/A</v>
        <stp/>
        <stp>##V3_BDSV12</stp>
        <stp>SYK US Equity</stp>
        <stp>PG_CAPITAL_EXPENDITURES</stp>
        <stp>[Fundamental &amp; Technical Model (1).xlsm]Segments!R185C3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185" s="17"/>
      </tp>
      <tp t="s">
        <v>#N/A N/A</v>
        <stp/>
        <stp>##V3_BDSV12</stp>
        <stp>SYK US Equity</stp>
        <stp>PG_CAPITAL_EXPENDITURES</stp>
        <stp>[Fundamental &amp; Technical Model (1).xlsm]Segments!R171C3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171" s="17"/>
      </tp>
      <tp t="s">
        <v>#N/A N/A</v>
        <stp/>
        <stp>##V3_BDSV12</stp>
        <stp>SYK US Equity</stp>
        <stp>PG_ASSETS</stp>
        <stp>[Fundamental &amp; Technical Model (1).xlsm]Segments!R120C10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120" s="17"/>
      </tp>
      <tp t="s">
        <v>#N/A N/A</v>
        <stp/>
        <stp>##V3_BDSV12</stp>
        <stp>SYK US Equity</stp>
        <stp>PG_ASSETS</stp>
        <stp>[Fundamental &amp; Technical Model (1).xlsm]Segments!R120C11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120" s="17"/>
      </tp>
      <tp t="s">
        <v>#N/A N/A</v>
        <stp/>
        <stp>##V3_BDSV12</stp>
        <stp>SYK US Equity</stp>
        <stp>PG_ASSETS</stp>
        <stp>[Fundamental &amp; Technical Model (1).xlsm]Segments!R120C12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120" s="17"/>
      </tp>
      <tp t="s">
        <v>#N/A N/A</v>
        <stp/>
        <stp>##V3_BDSV12</stp>
        <stp>SYK US Equity</stp>
        <stp>PG_ASSETS</stp>
        <stp>[Fundamental &amp; Technical Model (1).xlsm]Segments!R120C13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120" s="17"/>
      </tp>
      <tp t="s">
        <v>#N/A N/A</v>
        <stp/>
        <stp>##V3_BDSV12</stp>
        <stp>SYK US Equity</stp>
        <stp>PG_ASSETS</stp>
        <stp>[Fundamental &amp; Technical Model (1).xlsm]Segments!R120C14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120" s="17"/>
      </tp>
      <tp t="s">
        <v>#N/A</v>
        <stp/>
        <stp>##V3_BQLV12</stp>
        <stp>[Fundamental &amp; Technical Model (1).xlsm]Income Statement!R39C14</stp>
        <stp>SYK US Equity</stp>
        <stp>IS_IMPAIRMENT_GOODWILL_INTANGIBL/10^6</stp>
        <stp>FPT</stp>
        <stp>A</stp>
        <stp>FPO</stp>
        <stp>-0A</stp>
        <stp>STD</stp>
        <stp>Mixed</stp>
        <stp>CONSOL</stp>
        <stp>Yes</stp>
        <stp>CURRENCY</stp>
        <stp>USD</stp>
        <tr r="N39" s="2"/>
      </tp>
      <tp t="s">
        <v>#N/A</v>
        <stp/>
        <stp>##V3_BQLV12</stp>
        <stp>[Fundamental &amp; Technical Model (1).xlsm]Income Statement!R39C13</stp>
        <stp>SYK US Equity</stp>
        <stp>IS_IMPAIRMENT_GOODWILL_INTANGIBL/10^6</stp>
        <stp>FPT</stp>
        <stp>A</stp>
        <stp>FPO</stp>
        <stp>-1A</stp>
        <stp>STD</stp>
        <stp>Mixed</stp>
        <stp>CONSOL</stp>
        <stp>Yes</stp>
        <stp>CURRENCY</stp>
        <stp>USD</stp>
        <tr r="M39" s="2"/>
      </tp>
      <tp t="s">
        <v>#N/A</v>
        <stp/>
        <stp>##V3_BQLV12</stp>
        <stp>[Fundamental &amp; Technical Model (1).xlsm]Income Statement!R39C12</stp>
        <stp>SYK US Equity</stp>
        <stp>IS_IMPAIRMENT_GOODWILL_INTANGIBL/10^6</stp>
        <stp>FPT</stp>
        <stp>A</stp>
        <stp>FPO</stp>
        <stp>-2A</stp>
        <stp>STD</stp>
        <stp>Mixed</stp>
        <stp>CONSOL</stp>
        <stp>Yes</stp>
        <stp>CURRENCY</stp>
        <stp>USD</stp>
        <tr r="L39" s="2"/>
      </tp>
      <tp t="s">
        <v>#N/A</v>
        <stp/>
        <stp>##V3_BQLV12</stp>
        <stp>[Fundamental &amp; Technical Model (1).xlsm]Income Statement!R39C11</stp>
        <stp>SYK US Equity</stp>
        <stp>IS_IMPAIRMENT_GOODWILL_INTANGIBL/10^6</stp>
        <stp>FPT</stp>
        <stp>A</stp>
        <stp>FPO</stp>
        <stp>-3A</stp>
        <stp>STD</stp>
        <stp>Mixed</stp>
        <stp>CONSOL</stp>
        <stp>Yes</stp>
        <stp>CURRENCY</stp>
        <stp>USD</stp>
        <tr r="K39" s="2"/>
      </tp>
      <tp t="s">
        <v>#N/A</v>
        <stp/>
        <stp>##V3_BQLV12</stp>
        <stp>[Fundamental &amp; Technical Model (1).xlsm]Income Statement!R39C10</stp>
        <stp>SYK US Equity</stp>
        <stp>IS_IMPAIRMENT_GOODWILL_INTANGIBL/10^6</stp>
        <stp>FPT</stp>
        <stp>A</stp>
        <stp>FPO</stp>
        <stp>-4A</stp>
        <stp>STD</stp>
        <stp>Mixed</stp>
        <stp>CONSOL</stp>
        <stp>Yes</stp>
        <stp>CURRENCY</stp>
        <stp>USD</stp>
        <tr r="J39" s="2"/>
      </tp>
      <tp t="s">
        <v>12/31/2008</v>
        <stp/>
        <stp>##V3_BDPV12</stp>
        <stp>SYK US Equity</stp>
        <stp>LATEST_PERIOD_END_DT_FULL_RECORD</stp>
        <stp>[Fundamental &amp; Technical Model (1).xlsm]Segments!R116C4</stp>
        <stp>EQY_FUND_RELATIVE_PERIOD</stp>
        <stp>-10FY</stp>
        <stp>EQY_CONSOLIDATED</stp>
        <stp>Yes</stp>
        <tr r="D116" s="17"/>
        <tr r="D116" s="17"/>
      </tp>
      <tp t="s">
        <v>2010 A</v>
        <stp/>
        <stp>##V3_BQLV12</stp>
        <stp>[Fundamental &amp; Technical Model (1).xlsm]Balance Sheet!R13C6</stp>
        <stp>SYK US Equity</stp>
        <stp>IS_EPS().PERIOD</stp>
        <stp>FPT</stp>
        <stp>A</stp>
        <stp>FPO</stp>
        <stp>-8A</stp>
        <stp>STD</stp>
        <stp>Mixed</stp>
        <stp>CONSOL</stp>
        <stp>Yes</stp>
        <tr r="F13" s="3"/>
      </tp>
      <tp t="e">
        <v>#N/A</v>
        <stp/>
        <stp>##V3_BDHV12</stp>
        <stp>SYK US Equity</stp>
        <stp>WACC_COST_PFD</stp>
        <stp>-0FY</stp>
        <stp>-0FY</stp>
        <stp>[Fundamental &amp; Technical Model (1).xlsm]Capital Structure Summary!R21C11</stp>
        <stp>Per</stp>
        <stp>FY</stp>
        <tr r="K21" s="21"/>
      </tp>
      <tp>
        <v>44196</v>
        <stp/>
        <stp>##V3_BQLV12</stp>
        <stp>[Fundamental &amp; Technical Model (1).xlsm]Key Stats!R13C13</stp>
        <stp>SYK US Equity</stp>
        <stp>IS_EPS().PERIOD_END_DATE</stp>
        <stp>FPT</stp>
        <stp>A</stp>
        <stp>FPO</stp>
        <stp>2A</stp>
        <stp>STD</stp>
        <stp>Mixed</stp>
        <stp>CONSOL</stp>
        <stp>Yes</stp>
        <stp>CURRENCY</stp>
        <stp>USD</stp>
        <tr r="M13" s="23"/>
      </tp>
      <tp t="e">
        <v>#N/A</v>
        <stp/>
        <stp>##V3_BDHV12</stp>
        <stp>SYK US Equity</stp>
        <stp>LOW_CLOSING_PRICE_TO_BOOK_RATIO</stp>
        <stp>-7FY</stp>
        <stp>-7FY</stp>
        <stp>[Fundamental &amp; Technical Model (1).xlsm]Multiples!R42C6</stp>
        <stp>EQY_CONSOLIDATED</stp>
        <stp>Yes</stp>
        <stp>ACCOUNTING_STANDARD_OVERRIDE</stp>
        <stp>Mixed</stp>
        <stp>Per</stp>
        <stp>FY</stp>
        <stp>Days=A</stp>
        <tr r="F42" s="16"/>
        <tr r="F42" s="16"/>
      </tp>
      <tp>
        <v>-182.35</v>
        <stp/>
        <stp>##V3_BQLV12</stp>
        <stp>[Fundamental &amp; Technical Model (1).xlsm]Income Statement!R58C7</stp>
        <stp>SYK US Equity</stp>
        <stp>IS_TAX_EFF_ON_ABNORMAL_ITEM/10^6</stp>
        <stp>FPT</stp>
        <stp>A</stp>
        <stp>FPO</stp>
        <stp>-7A</stp>
        <stp>STD</stp>
        <stp>Mixed</stp>
        <stp>CONSOL</stp>
        <stp>Yes</stp>
        <stp>CURRENCY</stp>
        <stp>USD</stp>
        <tr r="G58" s="2"/>
      </tp>
      <tp>
        <v>67.2</v>
        <stp/>
        <stp>##V3_BQLV12</stp>
        <stp>[Fundamental &amp; Technical Model (1).xlsm]Income Statement!R58C5</stp>
        <stp>SYK US Equity</stp>
        <stp>IS_TAX_EFF_ON_ABNORMAL_ITEM/10^6</stp>
        <stp>FPT</stp>
        <stp>A</stp>
        <stp>FPO</stp>
        <stp>-9A</stp>
        <stp>STD</stp>
        <stp>Mixed</stp>
        <stp>CONSOL</stp>
        <stp>Yes</stp>
        <stp>CURRENCY</stp>
        <stp>USD</stp>
        <tr r="E58" s="2"/>
      </tp>
      <tp>
        <v>-255</v>
        <stp/>
        <stp>##V3_BQLV12</stp>
        <stp>[Fundamental &amp; Technical Model (1).xlsm]Income Statement!R58C9</stp>
        <stp>SYK US Equity</stp>
        <stp>IS_TAX_EFF_ON_ABNORMAL_ITEM/10^6</stp>
        <stp>FPT</stp>
        <stp>A</stp>
        <stp>FPO</stp>
        <stp>-5A</stp>
        <stp>STD</stp>
        <stp>Mixed</stp>
        <stp>CONSOL</stp>
        <stp>Yes</stp>
        <stp>CURRENCY</stp>
        <stp>USD</stp>
        <tr r="I58" s="2"/>
      </tp>
      <tp>
        <v>-49.95</v>
        <stp/>
        <stp>##V3_BQLV12</stp>
        <stp>[Fundamental &amp; Technical Model (1).xlsm]Income Statement!R58C6</stp>
        <stp>SYK US Equity</stp>
        <stp>IS_TAX_EFF_ON_ABNORMAL_ITEM/10^6</stp>
        <stp>FPT</stp>
        <stp>A</stp>
        <stp>FPO</stp>
        <stp>-8A</stp>
        <stp>STD</stp>
        <stp>Mixed</stp>
        <stp>CONSOL</stp>
        <stp>Yes</stp>
        <stp>CURRENCY</stp>
        <stp>USD</stp>
        <tr r="F58" s="2"/>
      </tp>
      <tp>
        <v>-117.8</v>
        <stp/>
        <stp>##V3_BQLV12</stp>
        <stp>[Fundamental &amp; Technical Model (1).xlsm]Income Statement!R58C8</stp>
        <stp>SYK US Equity</stp>
        <stp>IS_TAX_EFF_ON_ABNORMAL_ITEM/10^6</stp>
        <stp>FPT</stp>
        <stp>A</stp>
        <stp>FPO</stp>
        <stp>-6A</stp>
        <stp>STD</stp>
        <stp>Mixed</stp>
        <stp>CONSOL</stp>
        <stp>Yes</stp>
        <stp>CURRENCY</stp>
        <stp>USD</stp>
        <tr r="H58" s="2"/>
      </tp>
      <tp t="s">
        <v>12/31/2010</v>
        <stp/>
        <stp>##V3_BDPV12</stp>
        <stp>SYK US Equity</stp>
        <stp>LATEST_PERIOD_END_DT_FULL_RECORD</stp>
        <stp>[Fundamental &amp; Technical Model (1).xlsm]Segments!R174C6</stp>
        <stp>EQY_FUND_RELATIVE_PERIOD</stp>
        <stp>-8FY</stp>
        <stp>EQY_CONSOLIDATED</stp>
        <stp>Yes</stp>
        <tr r="F174" s="17"/>
        <tr r="F174" s="17"/>
      </tp>
      <tp t="s">
        <v>12/31/2012</v>
        <stp/>
        <stp>##V3_BDPV12</stp>
        <stp>SYK US Equity</stp>
        <stp>LATEST_PERIOD_END_DT_FULL_RECORD</stp>
        <stp>[Fundamental &amp; Technical Model (1).xlsm]Segments!R174C8</stp>
        <stp>EQY_FUND_RELATIVE_PERIOD</stp>
        <stp>-6FY</stp>
        <stp>EQY_CONSOLIDATED</stp>
        <stp>Yes</stp>
        <tr r="H174" s="17"/>
        <tr r="H174" s="17"/>
      </tp>
      <tp t="s">
        <v>12/31/2009</v>
        <stp/>
        <stp>##V3_BDPV12</stp>
        <stp>SYK US Equity</stp>
        <stp>LATEST_PERIOD_END_DT_FULL_RECORD</stp>
        <stp>[Fundamental &amp; Technical Model (1).xlsm]Segments!R174C5</stp>
        <stp>EQY_FUND_RELATIVE_PERIOD</stp>
        <stp>-9FY</stp>
        <stp>EQY_CONSOLIDATED</stp>
        <stp>Yes</stp>
        <tr r="E174" s="17"/>
        <tr r="E174" s="17"/>
      </tp>
      <tp t="s">
        <v>12/31/2013</v>
        <stp/>
        <stp>##V3_BDPV12</stp>
        <stp>SYK US Equity</stp>
        <stp>LATEST_PERIOD_END_DT_FULL_RECORD</stp>
        <stp>[Fundamental &amp; Technical Model (1).xlsm]Segments!R174C9</stp>
        <stp>EQY_FUND_RELATIVE_PERIOD</stp>
        <stp>-5FY</stp>
        <stp>EQY_CONSOLIDATED</stp>
        <stp>Yes</stp>
        <tr r="I174" s="17"/>
        <tr r="I174" s="17"/>
      </tp>
      <tp t="s">
        <v>12/31/2011</v>
        <stp/>
        <stp>##V3_BDPV12</stp>
        <stp>SYK US Equity</stp>
        <stp>LATEST_PERIOD_END_DT_FULL_RECORD</stp>
        <stp>[Fundamental &amp; Technical Model (1).xlsm]Segments!R174C7</stp>
        <stp>EQY_FUND_RELATIVE_PERIOD</stp>
        <stp>-7FY</stp>
        <stp>EQY_CONSOLIDATED</stp>
        <stp>Yes</stp>
        <tr r="G174" s="17"/>
        <tr r="G174" s="17"/>
      </tp>
      <tp t="e">
        <v>#N/A</v>
        <stp/>
        <stp>##V3_BDHV12</stp>
        <stp>SYK US Equity</stp>
        <stp>AVERAGE_PRICE_TO_FREE_CASH_FLOW</stp>
        <stp>-8FY</stp>
        <stp>-8FY</stp>
        <stp>[Fundamental &amp; Technical Model (1).xlsm]Multiples!R58C5</stp>
        <stp>EQY_CONSOLIDATED</stp>
        <stp>Yes</stp>
        <stp>ACCOUNTING_STANDARD_OVERRIDE</stp>
        <stp>Mixed</stp>
        <stp>Per</stp>
        <stp>FY</stp>
        <stp>Days=A</stp>
        <tr r="E58" s="16"/>
        <tr r="E58" s="16"/>
      </tp>
      <tp>
        <v>3211</v>
        <stp/>
        <stp>##V3_BQLV12</stp>
        <stp>[Fundamental &amp; Technical Model (1).xlsm]Key Stats!R21C11</stp>
        <stp>SYK US Equity</stp>
        <stp>EBITDA/10^6</stp>
        <stp>FPT=LTM</stp>
        <stp>FPO</stp>
        <stp>-0</stp>
        <stp>STD</stp>
        <stp>Mixed</stp>
        <stp>CONSOL</stp>
        <stp>Yes</stp>
        <stp>CURRENCY</stp>
        <stp>USD</stp>
        <tr r="K21" s="23"/>
      </tp>
      <tp>
        <v>16.574767529530028</v>
        <stp/>
        <stp>##V3_BQLV12</stp>
        <stp>[Fundamental &amp; Technical Model (1).xlsm]Balance Sheet!R65C5</stp>
        <stp>SYK US Equity</stp>
        <stp>BOOK_VAL_PER_SH</stp>
        <stp>FPT</stp>
        <stp>A</stp>
        <stp>FPO</stp>
        <stp>-9A</stp>
        <stp>STD</stp>
        <stp>Mixed</stp>
        <stp>CONSOL</stp>
        <stp>Yes</stp>
        <stp>CURRENCY</stp>
        <stp>USD</stp>
        <tr r="E65" s="3"/>
      </tp>
      <tp t="e">
        <v>#N/A</v>
        <stp/>
        <stp>##V3_BDHV12</stp>
        <stp>SYK US Equity</stp>
        <stp>HIGH_EV_TO_T12M_SALES</stp>
        <stp>-6FY</stp>
        <stp>-6FY</stp>
        <stp>[Fundamental &amp; Technical Model (1).xlsm]Multiples!R17C7</stp>
        <stp>EQY_CONSOLIDATED</stp>
        <stp>Yes</stp>
        <stp>ACCOUNTING_STANDARD_OVERRIDE</stp>
        <stp>Mixed</stp>
        <stp>Per</stp>
        <stp>FY</stp>
        <stp>Days=A</stp>
        <tr r="G17" s="16"/>
        <tr r="G17" s="16"/>
      </tp>
      <tp>
        <v>1020</v>
        <stp/>
        <stp>##V3_BQLV12</stp>
        <stp>[Fundamental &amp; Technical Model (1).xlsm]Key Stats!R27C9</stp>
        <stp>SYK US Equity</stp>
        <stp>NET_INCOME/10^6</stp>
        <stp>FPT</stp>
        <stp>A</stp>
        <stp>FPO</stp>
        <stp>-1A</stp>
        <stp>STD</stp>
        <stp>Mixed</stp>
        <stp>CONSOL</stp>
        <stp>Yes</stp>
        <stp>CURRENCY</stp>
        <stp>USD</stp>
        <tr r="I27" s="23"/>
      </tp>
      <tp>
        <v>589.32000000000005</v>
        <stp/>
        <stp>##V3_BDPV12</stp>
        <stp>ISRG Equity</stp>
        <stp>high_52week</stp>
        <stp>[Fundamental &amp; Technical Model (1).xlsm]Public Comparables!R10C6</stp>
        <tr r="F10" s="24"/>
      </tp>
      <tp>
        <v>6.7635578921451819E-2</v>
        <stp/>
        <stp>##V3_BQLV12</stp>
        <stp>[Fundamental &amp; Technical Model (1).xlsm]Key Stats!R16C13</stp>
        <stp>SYK US Equity</stp>
        <stp>SALES_GROWTH/100</stp>
        <stp>FPT</stp>
        <stp>A</stp>
        <stp>FPO</stp>
        <stp>2A</stp>
        <stp>STD</stp>
        <stp>Mixed</stp>
        <stp>CONSOL</stp>
        <stp>Yes</stp>
        <stp>CURRENCY</stp>
        <stp>USD</stp>
        <tr r="M16" s="23"/>
      </tp>
      <tp t="s">
        <v>#N/A N/A</v>
        <stp/>
        <stp>##V3_BDSV12</stp>
        <stp>SYK US Equity</stp>
        <stp>PG_DEPR_AMORTIZATION</stp>
        <stp>[Fundamental &amp; Technical Model (1).xlsm]Segments!R137C14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137" s="17"/>
      </tp>
      <tp t="s">
        <v>#N/A N/A</v>
        <stp/>
        <stp>##V3_BDSV12</stp>
        <stp>SYK US Equity</stp>
        <stp>PG_DEPR_AMORTIZATION</stp>
        <stp>[Fundamental &amp; Technical Model (1).xlsm]Segments!R156C3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156" s="17"/>
      </tp>
      <tp t="s">
        <v>#N/A N/A</v>
        <stp/>
        <stp>##V3_BDSV12</stp>
        <stp>SYK US Equity</stp>
        <stp>PG_DEPR_AMORTIZATION</stp>
        <stp>[Fundamental &amp; Technical Model (1).xlsm]Segments!R142C3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142" s="17"/>
      </tp>
      <tp t="s">
        <v>#N/A N/A</v>
        <stp/>
        <stp>##V3_BDSV12</stp>
        <stp>SYK US Equity</stp>
        <stp>PG_DEPR_AMORTIZATION</stp>
        <stp>[Fundamental &amp; Technical Model (1).xlsm]Segments!R137C12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137" s="17"/>
      </tp>
      <tp t="s">
        <v>#N/A N/A</v>
        <stp/>
        <stp>##V3_BDSV12</stp>
        <stp>SYK US Equity</stp>
        <stp>PG_DEPR_AMORTIZATION</stp>
        <stp>[Fundamental &amp; Technical Model (1).xlsm]Segments!R137C13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137" s="17"/>
      </tp>
      <tp t="s">
        <v>#N/A N/A</v>
        <stp/>
        <stp>##V3_BDSV12</stp>
        <stp>SYK US Equity</stp>
        <stp>PG_DEPR_AMORTIZATION</stp>
        <stp>[Fundamental &amp; Technical Model (1).xlsm]Segments!R137C10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137" s="17"/>
      </tp>
      <tp t="s">
        <v>#N/A N/A</v>
        <stp/>
        <stp>##V3_BDSV12</stp>
        <stp>SYK US Equity</stp>
        <stp>PG_DEPR_AMORTIZATION</stp>
        <stp>[Fundamental &amp; Technical Model (1).xlsm]Segments!R137C11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137" s="17"/>
      </tp>
      <tp t="s">
        <v>#N/A</v>
        <stp/>
        <stp>##V3_BQLV12</stp>
        <stp>[Fundamental &amp; Technical Model (1).xlsm]Income Statement!R32C6</stp>
        <stp>SYK US Equity</stp>
        <stp>IS_INT_INC/10^6</stp>
        <stp>FPT</stp>
        <stp>A</stp>
        <stp>FPO</stp>
        <stp>-8A</stp>
        <stp>STD</stp>
        <stp>Mixed</stp>
        <stp>CONSOL</stp>
        <stp>Yes</stp>
        <stp>CURRENCY</stp>
        <stp>USD</stp>
        <tr r="F32" s="2"/>
      </tp>
      <tp t="s">
        <v>#N/A N/A</v>
        <stp/>
        <stp>##V3_BDSV12</stp>
        <stp>SYK US Equity</stp>
        <stp>PG_CAPITAL_EXPENDITURES</stp>
        <stp>[Fundamental &amp; Technical Model (1).xlsm]Segments!R171C11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171" s="17"/>
      </tp>
      <tp t="s">
        <v>#N/A N/A</v>
        <stp/>
        <stp>##V3_BDSV12</stp>
        <stp>SYK US Equity</stp>
        <stp>PG_CAPITAL_EXPENDITURES</stp>
        <stp>[Fundamental &amp; Technical Model (1).xlsm]Segments!R185C11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185" s="17"/>
      </tp>
      <tp t="e">
        <v>#N/A</v>
        <stp/>
        <stp>##V3_BDHV12</stp>
        <stp>SYK US Equity</stp>
        <stp>PX_TO_BOOK_RATIO</stp>
        <stp>-9FY</stp>
        <stp>-9FY</stp>
        <stp>[Fundamental &amp; Technical Model (1).xlsm]Multiples!R39C4</stp>
        <stp>EQY_CONSOLIDATED</stp>
        <stp>Yes</stp>
        <stp>ACCOUNTING_STANDARD_OVERRIDE</stp>
        <stp>Mixed</stp>
        <stp>Per</stp>
        <stp>FY</stp>
        <stp>Days=A</stp>
        <tr r="D39" s="16"/>
        <tr r="D39" s="16"/>
      </tp>
      <tp t="s">
        <v>#N/A N/A</v>
        <stp/>
        <stp>##V3_BDSV12</stp>
        <stp>SYK US Equity</stp>
        <stp>PG_ASSETS</stp>
        <stp>[Fundamental &amp; Technical Model (1).xlsm]Segments!R108C14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108" s="17"/>
      </tp>
      <tp>
        <v>0.25</v>
        <stp/>
        <stp>##V3_BQLV12</stp>
        <stp>[Fundamental &amp; Technical Model (1).xlsm]Income Statement!R73C5</stp>
        <stp>SYK US Equity</stp>
        <stp>IS_DIV_PER_SHR</stp>
        <stp>FPT</stp>
        <stp>A</stp>
        <stp>FPO</stp>
        <stp>-9A</stp>
        <stp>STD</stp>
        <stp>Mixed</stp>
        <stp>CONSOL</stp>
        <stp>Yes</stp>
        <stp>CURRENCY</stp>
        <stp>USD</stp>
        <tr r="E73" s="2"/>
      </tp>
      <tp t="s">
        <v>#N/A N/A</v>
        <stp/>
        <stp>##V3_BDSV12</stp>
        <stp>SYK US Equity</stp>
        <stp>PG_ASSETS</stp>
        <stp>[Fundamental &amp; Technical Model (1).xlsm]Segments!R108C12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108" s="17"/>
      </tp>
      <tp t="s">
        <v>#N/A N/A</v>
        <stp/>
        <stp>##V3_BDSV12</stp>
        <stp>SYK US Equity</stp>
        <stp>PG_ASSETS</stp>
        <stp>[Fundamental &amp; Technical Model (1).xlsm]Segments!R108C13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108" s="17"/>
      </tp>
      <tp t="e">
        <v>#N/A</v>
        <stp/>
        <stp>##V3_BDHV12</stp>
        <stp>SYK US Equity</stp>
        <stp>AVERAGE_EV_TO_T12M_SALES</stp>
        <stp>-8FY</stp>
        <stp>-8FY</stp>
        <stp>[Fundamental &amp; Technical Model (1).xlsm]Multiples!R16C5</stp>
        <stp>EQY_CONSOLIDATED</stp>
        <stp>Yes</stp>
        <stp>ACCOUNTING_STANDARD_OVERRIDE</stp>
        <stp>Mixed</stp>
        <stp>Per</stp>
        <stp>FY</stp>
        <stp>Days=A</stp>
        <tr r="E16" s="16"/>
        <tr r="E16" s="16"/>
      </tp>
      <tp>
        <v>0.75249999999999995</v>
        <stp/>
        <stp>##V3_BQLV12</stp>
        <stp>[Fundamental &amp; Technical Model (1).xlsm]Income Statement!R73C7</stp>
        <stp>SYK US Equity</stp>
        <stp>IS_DIV_PER_SHR</stp>
        <stp>FPT</stp>
        <stp>A</stp>
        <stp>FPO</stp>
        <stp>-7A</stp>
        <stp>STD</stp>
        <stp>Mixed</stp>
        <stp>CONSOL</stp>
        <stp>Yes</stp>
        <stp>CURRENCY</stp>
        <stp>USD</stp>
        <tr r="G73" s="2"/>
      </tp>
      <tp t="s">
        <v>#N/A N/A</v>
        <stp/>
        <stp>##V3_BDSV12</stp>
        <stp>SYK US Equity</stp>
        <stp>PG_ASSETS</stp>
        <stp>[Fundamental &amp; Technical Model (1).xlsm]Segments!R108C10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108" s="17"/>
      </tp>
      <tp>
        <v>0.63</v>
        <stp/>
        <stp>##V3_BQLV12</stp>
        <stp>[Fundamental &amp; Technical Model (1).xlsm]Income Statement!R73C6</stp>
        <stp>SYK US Equity</stp>
        <stp>IS_DIV_PER_SHR</stp>
        <stp>FPT</stp>
        <stp>A</stp>
        <stp>FPO</stp>
        <stp>-8A</stp>
        <stp>STD</stp>
        <stp>Mixed</stp>
        <stp>CONSOL</stp>
        <stp>Yes</stp>
        <stp>CURRENCY</stp>
        <stp>USD</stp>
        <tr r="F73" s="2"/>
      </tp>
      <tp t="s">
        <v>#N/A N/A</v>
        <stp/>
        <stp>##V3_BDSV12</stp>
        <stp>SYK US Equity</stp>
        <stp>PG_ASSETS</stp>
        <stp>[Fundamental &amp; Technical Model (1).xlsm]Segments!R108C11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108" s="17"/>
      </tp>
      <tp>
        <v>1.06</v>
        <stp/>
        <stp>##V3_BQLV12</stp>
        <stp>[Fundamental &amp; Technical Model (1).xlsm]Income Statement!R73C9</stp>
        <stp>SYK US Equity</stp>
        <stp>IS_DIV_PER_SHR</stp>
        <stp>FPT</stp>
        <stp>A</stp>
        <stp>FPO</stp>
        <stp>-5A</stp>
        <stp>STD</stp>
        <stp>Mixed</stp>
        <stp>CONSOL</stp>
        <stp>Yes</stp>
        <stp>CURRENCY</stp>
        <stp>USD</stp>
        <tr r="I73" s="2"/>
      </tp>
      <tp>
        <v>0.85</v>
        <stp/>
        <stp>##V3_BQLV12</stp>
        <stp>[Fundamental &amp; Technical Model (1).xlsm]Income Statement!R73C8</stp>
        <stp>SYK US Equity</stp>
        <stp>IS_DIV_PER_SHR</stp>
        <stp>FPT</stp>
        <stp>A</stp>
        <stp>FPO</stp>
        <stp>-6A</stp>
        <stp>STD</stp>
        <stp>Mixed</stp>
        <stp>CONSOL</stp>
        <stp>Yes</stp>
        <stp>CURRENCY</stp>
        <stp>USD</stp>
        <tr r="H73" s="2"/>
      </tp>
      <tp>
        <v>22.035356655356878</v>
        <stp/>
        <stp>##V3_BQLV12</stp>
        <stp>[Fundamental &amp; Technical Model (1).xlsm]Key Stats!R62C5</stp>
        <stp>SYK US Equity</stp>
        <stp>PX_TO_CASH_FLOW</stp>
        <stp>FPT=A</stp>
        <stp>FPO=1</stp>
        <stp>STD</stp>
        <stp>Mixed</stp>
        <stp>CONSOL</stp>
        <stp>Yes</stp>
        <stp>CURRENCY</stp>
        <stp>USD</stp>
        <tr r="E62" s="23"/>
      </tp>
      <tp>
        <v>3553</v>
        <stp/>
        <stp>##V3_BQLV12</stp>
        <stp>[Fundamental &amp; Technical Model (1).xlsm]Key Stats!R27C10</stp>
        <stp>SYK US Equity</stp>
        <stp>NET_INCOME/10^6</stp>
        <stp>FPT</stp>
        <stp>A</stp>
        <stp>FPO</stp>
        <stp>-0A</stp>
        <stp>STD</stp>
        <stp>Mixed</stp>
        <stp>CONSOL</stp>
        <stp>Yes</stp>
        <stp>CURRENCY</stp>
        <stp>USD</stp>
        <tr r="J27" s="23"/>
      </tp>
      <tp>
        <v>187.07499999999999</v>
        <stp/>
        <stp>##V3_BDPV12</stp>
        <stp>SYK Equity</stp>
        <stp>px_last</stp>
        <stp>[Fundamental &amp; Technical Model (1).xlsm]Public Comparables!R7C5</stp>
        <tr r="E7" s="24"/>
      </tp>
      <tp t="e">
        <v>#N/A</v>
        <stp/>
        <stp>##V3_BDHV12</stp>
        <stp>SYK US Equity</stp>
        <stp>HIGH_EV_TO_T12M_SALES</stp>
        <stp>-7FY</stp>
        <stp>-7FY</stp>
        <stp>[Fundamental &amp; Technical Model (1).xlsm]Multiples!R17C6</stp>
        <stp>EQY_CONSOLIDATED</stp>
        <stp>Yes</stp>
        <stp>ACCOUNTING_STANDARD_OVERRIDE</stp>
        <stp>Mixed</stp>
        <stp>Per</stp>
        <stp>FY</stp>
        <stp>Days=A</stp>
        <tr r="F17" s="16"/>
        <tr r="F17" s="16"/>
      </tp>
      <tp>
        <v>1647</v>
        <stp/>
        <stp>##V3_BQLV12</stp>
        <stp>[Fundamental &amp; Technical Model (1).xlsm]Key Stats!R27C8</stp>
        <stp>SYK US Equity</stp>
        <stp>NET_INCOME/10^6</stp>
        <stp>FPT</stp>
        <stp>A</stp>
        <stp>FPO</stp>
        <stp>-2A</stp>
        <stp>STD</stp>
        <stp>Mixed</stp>
        <stp>CONSOL</stp>
        <stp>Yes</stp>
        <stp>CURRENCY</stp>
        <stp>USD</stp>
        <tr r="H27" s="23"/>
      </tp>
      <tp>
        <v>8.7837553961368275E-2</v>
        <stp/>
        <stp>##V3_BQLV12</stp>
        <stp>[Fundamental &amp; Technical Model (1).xlsm]Key Stats!R16C12</stp>
        <stp>SYK US Equity</stp>
        <stp>SALES_GROWTH/100</stp>
        <stp>FPT</stp>
        <stp>A</stp>
        <stp>FPO</stp>
        <stp>1A</stp>
        <stp>STD</stp>
        <stp>Mixed</stp>
        <stp>CONSOL</stp>
        <stp>Yes</stp>
        <stp>CURRENCY</stp>
        <stp>USD</stp>
        <tr r="L16" s="23"/>
      </tp>
      <tp>
        <v>17.705492539839309</v>
        <stp/>
        <stp>##V3_BQLV12</stp>
        <stp>[Fundamental &amp; Technical Model (1).xlsm]Key Stats!R62C6</stp>
        <stp>SYK US Equity</stp>
        <stp>PX_TO_CASH_FLOW</stp>
        <stp>FPT=LTM</stp>
        <stp>FPO=1</stp>
        <stp>STD</stp>
        <stp>Mixed</stp>
        <stp>CONSOL</stp>
        <stp>Yes</stp>
        <stp>CURRENCY</stp>
        <stp>USD</stp>
        <tr r="F62" s="23"/>
      </tp>
      <tp>
        <v>155</v>
        <stp/>
        <stp>##V3_BDSV12</stp>
        <stp>SYK US Equity</stp>
        <stp>PG_DEPR_AMORTIZATION</stp>
        <stp>[Fundamental &amp; Technical Model (1).xlsm]Segments!R136C14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136" s="17"/>
        <tr r="N136" s="17"/>
      </tp>
      <tp>
        <v>65</v>
        <stp/>
        <stp>##V3_BDSV12</stp>
        <stp>SYK US Equity</stp>
        <stp>PG_DEPR_AMORTIZATION</stp>
        <stp>[Fundamental &amp; Technical Model (1).xlsm]Segments!R136C13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136" s="17"/>
        <tr r="M136" s="17"/>
      </tp>
      <tp>
        <v>46</v>
        <stp/>
        <stp>##V3_BDSV12</stp>
        <stp>SYK US Equity</stp>
        <stp>PG_DEPR_AMORTIZATION</stp>
        <stp>[Fundamental &amp; Technical Model (1).xlsm]Segments!R136C12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136" s="17"/>
        <tr r="L136" s="17"/>
      </tp>
      <tp>
        <v>51</v>
        <stp/>
        <stp>##V3_BDSV12</stp>
        <stp>SYK US Equity</stp>
        <stp>PG_DEPR_AMORTIZATION</stp>
        <stp>[Fundamental &amp; Technical Model (1).xlsm]Segments!R136C11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136" s="17"/>
        <tr r="K136" s="17"/>
      </tp>
      <tp>
        <v>20</v>
        <stp/>
        <stp>##V3_BDSV12</stp>
        <stp>SYK US Equity</stp>
        <stp>PG_DEPR_AMORTIZATION</stp>
        <stp>[Fundamental &amp; Technical Model (1).xlsm]Segments!R136C10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136" s="17"/>
        <tr r="J136" s="17"/>
      </tp>
      <tp t="s">
        <v>#N/A N/A</v>
        <stp/>
        <stp>##V3_BDSV12</stp>
        <stp>SYK US Equity</stp>
        <stp>PG_CAPITAL_EXPENDITURES</stp>
        <stp>[Fundamental &amp; Technical Model (1).xlsm]Segments!R171C10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171" s="17"/>
      </tp>
      <tp t="s">
        <v>#N/A</v>
        <stp/>
        <stp>##V3_BQLV12</stp>
        <stp>[Fundamental &amp; Technical Model (1).xlsm]Income Statement!R32C7</stp>
        <stp>SYK US Equity</stp>
        <stp>IS_INT_INC/10^6</stp>
        <stp>FPT</stp>
        <stp>A</stp>
        <stp>FPO</stp>
        <stp>-7A</stp>
        <stp>STD</stp>
        <stp>Mixed</stp>
        <stp>CONSOL</stp>
        <stp>Yes</stp>
        <stp>CURRENCY</stp>
        <stp>USD</stp>
        <tr r="G32" s="2"/>
      </tp>
      <tp>
        <v>43550</v>
        <stp/>
        <stp>##V3_BTH</stp>
        <stp>SYK US Equity</stp>
        <stp>BB_MA_x0002__x0003_BB_UPPER_x0002__x0003_BB_LOWER_x0002__x0003_BB_WIDTH_x0002__x0003_BB_PERCENT</stp>
        <stp>3/26/2019</stp>
        <stp>4/25/2019</stp>
        <stp>[Fundamental &amp; Technical Model (1).xlsm]Technical Analysis Data!R8C7</stp>
        <stp>BOLL</stp>
        <stp>TAPeriod=20</stp>
        <stp>UPPERBAND=2</stp>
        <stp>LOWERBAND=2</stp>
        <stp>DSClose=PX_LAST</stp>
        <stp>Dir=H</stp>
        <stp>Dts=S</stp>
        <stp>cols=22;rows=6</stp>
        <tr r="G8" s="31"/>
      </tp>
      <tp t="s">
        <v>#N/A N/A</v>
        <stp/>
        <stp>##V3_BDSV12</stp>
        <stp>SYK US Equity</stp>
        <stp>PG_CAPITAL_EXPENDITURES</stp>
        <stp>[Fundamental &amp; Technical Model (1).xlsm]Segments!R185C10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185" s="17"/>
      </tp>
      <tp t="e">
        <v>#N/A</v>
        <stp/>
        <stp>##V3_BDHV12</stp>
        <stp>SYK US Equity</stp>
        <stp>PX_TO_BOOK_RATIO</stp>
        <stp>-8FY</stp>
        <stp>-8FY</stp>
        <stp>[Fundamental &amp; Technical Model (1).xlsm]Multiples!R39C5</stp>
        <stp>EQY_CONSOLIDATED</stp>
        <stp>Yes</stp>
        <stp>ACCOUNTING_STANDARD_OVERRIDE</stp>
        <stp>Mixed</stp>
        <stp>Per</stp>
        <stp>FY</stp>
        <stp>Days=A</stp>
        <tr r="E39" s="16"/>
        <tr r="E39" s="16"/>
      </tp>
      <tp t="s">
        <v>#N/A N/A</v>
        <stp/>
        <stp>##V3_BDSV12</stp>
        <stp>SYK US Equity</stp>
        <stp>PG_ASSETS</stp>
        <stp>[Fundamental &amp; Technical Model (1).xlsm]Segments!R109C14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109" s="17"/>
      </tp>
      <tp t="s">
        <v>#N/A N/A</v>
        <stp/>
        <stp>##V3_BDSV12</stp>
        <stp>SYK US Equity</stp>
        <stp>PG_ASSETS</stp>
        <stp>[Fundamental &amp; Technical Model (1).xlsm]Segments!R109C11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109" s="17"/>
      </tp>
      <tp t="s">
        <v>#N/A N/A</v>
        <stp/>
        <stp>##V3_BDSV12</stp>
        <stp>SYK US Equity</stp>
        <stp>PG_ASSETS</stp>
        <stp>[Fundamental &amp; Technical Model (1).xlsm]Segments!R109C10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109" s="17"/>
      </tp>
      <tp t="s">
        <v>#N/A N/A</v>
        <stp/>
        <stp>##V3_BDSV12</stp>
        <stp>SYK US Equity</stp>
        <stp>PG_ASSETS</stp>
        <stp>[Fundamental &amp; Technical Model (1).xlsm]Segments!R109C13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109" s="17"/>
      </tp>
      <tp t="e">
        <v>#N/A</v>
        <stp/>
        <stp>##V3_BDHV12</stp>
        <stp>SYK US Equity</stp>
        <stp>AVERAGE_EV_TO_T12M_SALES</stp>
        <stp>-9FY</stp>
        <stp>-9FY</stp>
        <stp>[Fundamental &amp; Technical Model (1).xlsm]Multiples!R16C4</stp>
        <stp>EQY_CONSOLIDATED</stp>
        <stp>Yes</stp>
        <stp>ACCOUNTING_STANDARD_OVERRIDE</stp>
        <stp>Mixed</stp>
        <stp>Per</stp>
        <stp>FY</stp>
        <stp>Days=A</stp>
        <tr r="D16" s="16"/>
        <tr r="D16" s="16"/>
      </tp>
      <tp t="s">
        <v>#N/A N/A</v>
        <stp/>
        <stp>##V3_BDSV12</stp>
        <stp>SYK US Equity</stp>
        <stp>PG_ASSETS</stp>
        <stp>[Fundamental &amp; Technical Model (1).xlsm]Segments!R109C12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109" s="17"/>
      </tp>
      <tp>
        <v>43550</v>
        <stp/>
        <stp>##V3_BTH</stp>
        <stp>SYK US Equity</stp>
        <stp>MACD_x0002__x0003_MACD_SIGNAL_x0002__x0003_MACD_DIFF</stp>
        <stp>3/26/2019</stp>
        <stp>4/25/2019</stp>
        <stp>[Fundamental &amp; Technical Model (1).xlsm]Technical Analysis Data!R61C7</stp>
        <stp>MACD</stp>
        <stp>MAPeriod1=12</stp>
        <stp>MAPeriod2=26</stp>
        <stp>SIGPeriod=9</stp>
        <stp>DSClose=PX_LAST</stp>
        <stp>Dir=H</stp>
        <stp>Dts=S</stp>
        <stp>cols=22;rows=4</stp>
        <tr r="G61" s="31"/>
      </tp>
      <tp>
        <v>0</v>
        <stp/>
        <stp>##V3_BQLV12</stp>
        <stp>[Fundamental &amp; Technical Model (1).xlsm]Income Statement!R49C4</stp>
        <stp>SYK US Equity</stp>
        <stp>XO_GL_NET_OF_TAX/10^6</stp>
        <stp>FPT</stp>
        <stp>A</stp>
        <stp>FPO</stp>
        <stp>-10A</stp>
        <stp>STD</stp>
        <stp>Mixed</stp>
        <stp>CONSOL</stp>
        <stp>Yes</stp>
        <stp>CURRENCY</stp>
        <stp>USD</stp>
        <tr r="D49" s="2"/>
      </tp>
      <tp>
        <v>1411</v>
        <stp/>
        <stp>##V3_BDPV12</stp>
        <stp>SYK US Equity</stp>
        <stp>BS_PURCHASE_OBLIGATIONS</stp>
        <stp>[Fundamental &amp; Technical Model (1).xlsm]Capital Structure Summary!R117C11</stp>
        <stp>EQY_FUND_RELATIVE_PERIOD</stp>
        <stp>-0FY</stp>
        <stp>EQY_FUND_CRNCY</stp>
        <stp>USD</stp>
        <stp>EQY_CONSOLIDATED</stp>
        <stp>Yes</stp>
        <stp>ACCOUNTING_STANDARD_OVERRIDE</stp>
        <stp>Mixed</stp>
        <stp>Fill=--</stp>
        <tr r="K117" s="21"/>
      </tp>
      <tp>
        <v>0</v>
        <stp/>
        <stp>##V3_BQLV12</stp>
        <stp>[Fundamental &amp; Technical Model (1).xlsm]Cash Flow!R24C14</stp>
        <stp>SYK US Equity</stp>
        <stp>CF_DECR_INVEST/10^6</stp>
        <stp>FPT</stp>
        <stp>A</stp>
        <stp>FPO</stp>
        <stp>-0A</stp>
        <stp>STD</stp>
        <stp>Mixed</stp>
        <stp>CONSOL</stp>
        <stp>Yes</stp>
        <stp>CURRENCY</stp>
        <stp>USD</stp>
        <tr r="N24" s="4"/>
      </tp>
      <tp t="s">
        <v>--</v>
        <stp/>
        <stp>##V3_BDPV12</stp>
        <stp>SYK US Equity</stp>
        <stp>BS_CAPITAL_LEASE_YR_4_5</stp>
        <stp>[Fundamental &amp; Technical Model (1).xlsm]Capital Structure Summary!R89C11</stp>
        <stp>EQY_FUND_RELATIVE_PERIOD</stp>
        <stp>-0FY</stp>
        <stp>EQY_FUND_CRNCY</stp>
        <stp>USD</stp>
        <stp>EQY_CONSOLIDATED</stp>
        <stp>Yes</stp>
        <stp>ACCOUNTING_STANDARD_OVERRIDE</stp>
        <stp>Mixed</stp>
        <stp>Fill=--</stp>
        <tr r="K89" s="21"/>
      </tp>
      <tp t="s">
        <v>--</v>
        <stp/>
        <stp>##V3_BDPV12</stp>
        <stp>SYK US Equity</stp>
        <stp>BS_CAPITAL_LEASE_YR_2_5</stp>
        <stp>[Fundamental &amp; Technical Model (1).xlsm]Capital Structure Summary!R90C11</stp>
        <stp>EQY_FUND_RELATIVE_PERIOD</stp>
        <stp>-0FY</stp>
        <stp>EQY_FUND_CRNCY</stp>
        <stp>USD</stp>
        <stp>EQY_CONSOLIDATED</stp>
        <stp>Yes</stp>
        <stp>ACCOUNTING_STANDARD_OVERRIDE</stp>
        <stp>Mixed</stp>
        <stp>Fill=--</stp>
        <tr r="K90" s="21"/>
      </tp>
      <tp t="s">
        <v>#N/A</v>
        <stp/>
        <stp>##V3_BQLV12</stp>
        <stp>[Fundamental &amp; Technical Model (1).xlsm]Balance Sheet!R32C4</stp>
        <stp>SYK US Equity</stp>
        <stp>BS_DEFERRED_TAX_ASSETS_LT/10^6</stp>
        <stp>FPT</stp>
        <stp>A</stp>
        <stp>FPO</stp>
        <stp>-10A</stp>
        <stp>STD</stp>
        <stp>Mixed</stp>
        <stp>CONSOL</stp>
        <stp>Yes</stp>
        <stp>CURRENCY</stp>
        <stp>USD</stp>
        <tr r="D32" s="3"/>
      </tp>
      <tp t="e">
        <v>#N/A</v>
        <stp/>
        <stp>##V3_BDHV12</stp>
        <stp>SYK US Equity</stp>
        <stp>HIGH_EV_TO_T12M_SALES</stp>
        <stp>-8FY</stp>
        <stp>-8FY</stp>
        <stp>[Fundamental &amp; Technical Model (1).xlsm]Multiples!R17C5</stp>
        <stp>EQY_CONSOLIDATED</stp>
        <stp>Yes</stp>
        <stp>ACCOUNTING_STANDARD_OVERRIDE</stp>
        <stp>Mixed</stp>
        <stp>Per</stp>
        <stp>FY</stp>
        <stp>Days=A</stp>
        <tr r="E17" s="16"/>
        <tr r="E17" s="16"/>
      </tp>
      <tp>
        <v>1.0589933928125779</v>
        <stp/>
        <stp>##V3_BQLV12</stp>
        <stp>[Fundamental &amp; Technical Model (1).xlsm]Key Stats!R64C4</stp>
        <stp>SYK US Equity</stp>
        <stp>DIVIDEND_YIELD*100</stp>
        <stp>FPT=LTM</stp>
        <stp>FPO=0</stp>
        <stp>STD</stp>
        <stp>Mixed</stp>
        <stp>CONSOL</stp>
        <stp>Yes</stp>
        <stp>CURRENCY</stp>
        <stp>USD</stp>
        <tr r="D64" s="23"/>
      </tp>
      <tp>
        <v>5.8383403242262784</v>
        <stp/>
        <stp>##V3_BQLV12</stp>
        <stp>[Fundamental &amp; Technical Model (1).xlsm]Ratios!R18C10</stp>
        <stp>SYK US Equity</stp>
        <stp>RETURN_COM_EQY</stp>
        <stp>FPT</stp>
        <stp>A</stp>
        <stp>FPO</stp>
        <stp>-4A</stp>
        <stp>STD</stp>
        <stp>Mixed</stp>
        <stp>CONSOL</stp>
        <stp>Yes</stp>
        <tr r="J18" s="8"/>
      </tp>
      <tp>
        <v>26.631094197323144</v>
        <stp/>
        <stp>##V3_BQLV12</stp>
        <stp>[Fundamental &amp; Technical Model (1).xlsm]Key Stats!R62C4</stp>
        <stp>SYK US Equity</stp>
        <stp>PX_TO_CASH_FLOW</stp>
        <stp>FPT=LTM</stp>
        <stp>FPO=0</stp>
        <stp>STD</stp>
        <stp>Mixed</stp>
        <stp>CONSOL</stp>
        <stp>Yes</stp>
        <stp>CURRENCY</stp>
        <stp>USD</stp>
        <tr r="D62" s="23"/>
      </tp>
      <tp>
        <v>134</v>
        <stp/>
        <stp>##V3_BDSV12</stp>
        <stp>SYK US Equity</stp>
        <stp>PG_DEPR_AMORTIZATION</stp>
        <stp>[Fundamental &amp; Technical Model (1).xlsm]Segments!R135C10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135" s="17"/>
        <tr r="J135" s="17"/>
      </tp>
      <tp>
        <v>132</v>
        <stp/>
        <stp>##V3_BDSV12</stp>
        <stp>SYK US Equity</stp>
        <stp>PG_DEPR_AMORTIZATION</stp>
        <stp>[Fundamental &amp; Technical Model (1).xlsm]Segments!R135C11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135" s="17"/>
        <tr r="K135" s="17"/>
      </tp>
      <tp>
        <v>140</v>
        <stp/>
        <stp>##V3_BDSV12</stp>
        <stp>SYK US Equity</stp>
        <stp>PG_DEPR_AMORTIZATION</stp>
        <stp>[Fundamental &amp; Technical Model (1).xlsm]Segments!R135C12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135" s="17"/>
        <tr r="L135" s="17"/>
      </tp>
      <tp>
        <v>2118</v>
        <stp/>
        <stp>##V3_BDSV12</stp>
        <stp>SYK US Equity</stp>
        <stp>PG_REVENUE</stp>
        <stp>[Fundamental &amp; Technical Model (1).xlsm]Segments!R19C14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19" s="17"/>
        <tr r="N19" s="17"/>
      </tp>
      <tp>
        <v>142</v>
        <stp/>
        <stp>##V3_BDSV12</stp>
        <stp>SYK US Equity</stp>
        <stp>PG_DEPR_AMORTIZATION</stp>
        <stp>[Fundamental &amp; Technical Model (1).xlsm]Segments!R135C13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135" s="17"/>
        <tr r="M135" s="17"/>
      </tp>
      <tp>
        <v>1969</v>
        <stp/>
        <stp>##V3_BDSV12</stp>
        <stp>SYK US Equity</stp>
        <stp>PG_REVENUE</stp>
        <stp>[Fundamental &amp; Technical Model (1).xlsm]Segments!R19C13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19" s="17"/>
        <tr r="M19" s="17"/>
      </tp>
      <tp>
        <v>176</v>
        <stp/>
        <stp>##V3_BDSV12</stp>
        <stp>SYK US Equity</stp>
        <stp>PG_DEPR_AMORTIZATION</stp>
        <stp>[Fundamental &amp; Technical Model (1).xlsm]Segments!R135C14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135" s="17"/>
        <tr r="N135" s="17"/>
      </tp>
      <tp>
        <v>1633</v>
        <stp/>
        <stp>##V3_BDSV12</stp>
        <stp>SYK US Equity</stp>
        <stp>PG_REVENUE</stp>
        <stp>[Fundamental &amp; Technical Model (1).xlsm]Segments!R19C12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19" s="17"/>
        <tr r="L19" s="17"/>
      </tp>
      <tp>
        <v>823</v>
        <stp/>
        <stp>##V3_BDSV12</stp>
        <stp>SYK US Equity</stp>
        <stp>PG_REVENUE</stp>
        <stp>[Fundamental &amp; Technical Model (1).xlsm]Segments!R19C11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19" s="17"/>
        <tr r="K19" s="17"/>
      </tp>
      <tp>
        <v>766</v>
        <stp/>
        <stp>##V3_BDSV12</stp>
        <stp>SYK US Equity</stp>
        <stp>PG_REVENUE</stp>
        <stp>[Fundamental &amp; Technical Model (1).xlsm]Segments!R19C10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19" s="17"/>
        <tr r="J19" s="17"/>
      </tp>
      <tp t="e">
        <v>#N/A</v>
        <stp/>
        <stp>##V3_BDHV12</stp>
        <stp>SYK US Equity</stp>
        <stp>PX_TO_BOOK_RATIO</stp>
        <stp>-7FY</stp>
        <stp>-7FY</stp>
        <stp>[Fundamental &amp; Technical Model (1).xlsm]Multiples!R39C6</stp>
        <stp>EQY_CONSOLIDATED</stp>
        <stp>Yes</stp>
        <stp>ACCOUNTING_STANDARD_OVERRIDE</stp>
        <stp>Mixed</stp>
        <stp>Per</stp>
        <stp>FY</stp>
        <stp>Days=A</stp>
        <tr r="F39" s="16"/>
        <tr r="F39" s="16"/>
      </tp>
      <tp t="s">
        <v>#N/A N/A</v>
        <stp/>
        <stp>##V3_BDSV12</stp>
        <stp>SYK US Equity</stp>
        <stp>PG_CAPITAL_EXPENDITURES</stp>
        <stp>[Fundamental &amp; Technical Model (1).xlsm]Segments!R171C13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171" s="17"/>
      </tp>
      <tp t="s">
        <v>#N/A N/A</v>
        <stp/>
        <stp>##V3_BDSV12</stp>
        <stp>SYK US Equity</stp>
        <stp>PG_CAPITAL_EXPENDITURES</stp>
        <stp>[Fundamental &amp; Technical Model (1).xlsm]Segments!R185C13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185" s="17"/>
      </tp>
      <tp t="e">
        <v>#N/A</v>
        <stp/>
        <stp>##V3_BDHV12</stp>
        <stp>SYK US Equity</stp>
        <stp>DVD_PAYOUT_RATIO</stp>
        <stp>FY 2015</stp>
        <stp>FY 2018</stp>
        <stp>[Fundamental &amp; Technical Model (1).xlsm]Multi-Stage GGM!R9C5</stp>
        <stp>Dir=H</stp>
        <stp>Per=Y</stp>
        <stp>Dts=H</stp>
        <stp>cols=4;rows=1</stp>
        <tr r="E9" s="29"/>
      </tp>
      <tp t="e">
        <v>#N/A</v>
        <stp/>
        <stp>##V3_BDHV12</stp>
        <stp>SYK US Equity</stp>
        <stp>HIGH_CLOSING_PRICE_TO_BOOK_RATIO</stp>
        <stp>-5FY</stp>
        <stp>-5FY</stp>
        <stp>[Fundamental &amp; Technical Model (1).xlsm]Multiples!R41C8</stp>
        <stp>EQY_CONSOLIDATED</stp>
        <stp>Yes</stp>
        <stp>ACCOUNTING_STANDARD_OVERRIDE</stp>
        <stp>Mixed</stp>
        <stp>Per</stp>
        <stp>FY</stp>
        <stp>Days=A</stp>
        <tr r="H41" s="16"/>
        <tr r="H41" s="16"/>
      </tp>
      <tp t="e">
        <v>#N/A</v>
        <stp/>
        <stp>##V3_BDHV12</stp>
        <stp>SYK US Equity</stp>
        <stp>AVERAGE_EV_TO_T12M_SALES</stp>
        <stp>-6FY</stp>
        <stp>-6FY</stp>
        <stp>[Fundamental &amp; Technical Model (1).xlsm]Multiples!R16C7</stp>
        <stp>EQY_CONSOLIDATED</stp>
        <stp>Yes</stp>
        <stp>ACCOUNTING_STANDARD_OVERRIDE</stp>
        <stp>Mixed</stp>
        <stp>Per</stp>
        <stp>FY</stp>
        <stp>Days=A</stp>
        <tr r="G16" s="16"/>
        <tr r="G16" s="16"/>
      </tp>
      <tp>
        <v>76598.66512564171</v>
        <stp/>
        <stp>##V3_BQLV12</stp>
        <stp>[Fundamental &amp; Technical Model (1).xlsm]Key Stats!R42C4</stp>
        <stp>SYK US Equity</stp>
        <stp>CURR_ENTP_VAL/10^6</stp>
        <stp>STD</stp>
        <stp>Mixed</stp>
        <stp>CONSOL</stp>
        <stp>Yes</stp>
        <stp>CURRENCY</stp>
        <stp>USD</stp>
        <tr r="D42" s="23"/>
      </tp>
      <tp>
        <v>41</v>
        <stp/>
        <stp>##V3_BDPV12</stp>
        <stp>BSX Equity</stp>
        <stp>high_52week</stp>
        <stp>[Fundamental &amp; Technical Model (1).xlsm]Public Comparables!R11C6</stp>
        <tr r="F11" s="24"/>
      </tp>
      <tp t="e">
        <v>#N/A</v>
        <stp/>
        <stp>##V3_BDHV12</stp>
        <stp>SYK US Equity</stp>
        <stp>PX_TO_CASH_FLOW</stp>
        <stp>-5FY</stp>
        <stp>-5FY</stp>
        <stp>[Fundamental &amp; Technical Model (1).xlsm]Multiples!R51C8</stp>
        <stp>EQY_CONSOLIDATED</stp>
        <stp>Yes</stp>
        <stp>ACCOUNTING_STANDARD_OVERRIDE</stp>
        <stp>Mixed</stp>
        <stp>Per</stp>
        <stp>FY</stp>
        <stp>Days=A</stp>
        <tr r="H51" s="16"/>
        <tr r="H51" s="16"/>
      </tp>
      <tp t="s">
        <v>#N/A N/A</v>
        <stp/>
        <stp>##V3_BDSV12</stp>
        <stp>SYK US Equity</stp>
        <stp>PG_DEPR_AMORTIZATION</stp>
        <stp>[Fundamental &amp; Technical Model (1).xlsm]Segments!R140C3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140" s="17"/>
      </tp>
      <tp t="s">
        <v>#N/A N/A</v>
        <stp/>
        <stp>##V3_BDSV12</stp>
        <stp>SYK US Equity</stp>
        <stp>PG_DEPR_AMORTIZATION</stp>
        <stp>[Fundamental &amp; Technical Model (1).xlsm]Segments!R141C3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141" s="17"/>
      </tp>
      <tp t="s">
        <v>#N/A N/A</v>
        <stp/>
        <stp>##V3_BDSV12</stp>
        <stp>SYK US Equity</stp>
        <stp>PG_DEPR_AMORTIZATION</stp>
        <stp>[Fundamental &amp; Technical Model (1).xlsm]Segments!R141C9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141" s="17"/>
      </tp>
      <tp t="s">
        <v>#N/A N/A</v>
        <stp/>
        <stp>##V3_BDSV12</stp>
        <stp>SYK US Equity</stp>
        <stp>PG_DEPR_AMORTIZATION</stp>
        <stp>[Fundamental &amp; Technical Model (1).xlsm]Segments!R140C9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140" s="17"/>
      </tp>
      <tp t="e">
        <v>#N/A</v>
        <stp/>
        <stp>##V3_BDHV12</stp>
        <stp>SYK US Equity</stp>
        <stp>HIGH_EV_TO_T12M_SALES</stp>
        <stp>-9FY</stp>
        <stp>-9FY</stp>
        <stp>[Fundamental &amp; Technical Model (1).xlsm]Multiples!R17C4</stp>
        <stp>EQY_CONSOLIDATED</stp>
        <stp>Yes</stp>
        <stp>ACCOUNTING_STANDARD_OVERRIDE</stp>
        <stp>Mixed</stp>
        <stp>Per</stp>
        <stp>FY</stp>
        <stp>Days=A</stp>
        <tr r="D17" s="16"/>
        <tr r="D17" s="16"/>
      </tp>
      <tp t="s">
        <v>#N/A N/A</v>
        <stp/>
        <stp>##V3_BDSV12</stp>
        <stp>SYK US Equity</stp>
        <stp>PG_DEPR_AMORTIZATION</stp>
        <stp>[Fundamental &amp; Technical Model (1).xlsm]Segments!R140C8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140" s="17"/>
      </tp>
      <tp t="s">
        <v>#N/A N/A</v>
        <stp/>
        <stp>##V3_BDSV12</stp>
        <stp>SYK US Equity</stp>
        <stp>PG_DEPR_AMORTIZATION</stp>
        <stp>[Fundamental &amp; Technical Model (1).xlsm]Segments!R141C8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141" s="17"/>
      </tp>
      <tp>
        <v>1.0589933928125779</v>
        <stp/>
        <stp>##V3_BQLV12</stp>
        <stp>[Fundamental &amp; Technical Model (1).xlsm]Key Stats!R64C6</stp>
        <stp>SYK US Equity</stp>
        <stp>DIVIDEND_YIELD*100</stp>
        <stp>FPT=LTM</stp>
        <stp>FPO=1</stp>
        <stp>STD</stp>
        <stp>Mixed</stp>
        <stp>CONSOL</stp>
        <stp>Yes</stp>
        <stp>CURRENCY</stp>
        <stp>USD</stp>
        <tr r="F64" s="23"/>
      </tp>
      <tp>
        <v>117</v>
        <stp/>
        <stp>##V3_BDSV12</stp>
        <stp>SYK US Equity</stp>
        <stp>PG_DEPR_AMORTIZATION</stp>
        <stp>[Fundamental &amp; Technical Model (1).xlsm]Segments!R134C11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134" s="17"/>
        <tr r="K134" s="17"/>
      </tp>
      <tp>
        <v>113</v>
        <stp/>
        <stp>##V3_BDSV12</stp>
        <stp>SYK US Equity</stp>
        <stp>PG_DEPR_AMORTIZATION</stp>
        <stp>[Fundamental &amp; Technical Model (1).xlsm]Segments!R134C10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134" s="17"/>
        <tr r="J134" s="17"/>
      </tp>
      <tp>
        <v>274.3</v>
        <stp/>
        <stp>##V3_BQLV12</stp>
        <stp>[Fundamental &amp; Technical Model (1).xlsm]Balance Sheet!R39C4</stp>
        <stp>SYK US Equity</stp>
        <stp>BS_ACCT_PAYABLE/10^6</stp>
        <stp>FPT</stp>
        <stp>A</stp>
        <stp>FPO</stp>
        <stp>-10A</stp>
        <stp>STD</stp>
        <stp>Mixed</stp>
        <stp>CONSOL</stp>
        <stp>Yes</stp>
        <stp>CURRENCY</stp>
        <stp>USD</stp>
        <tr r="D39" s="3"/>
      </tp>
      <tp>
        <v>2565</v>
        <stp/>
        <stp>##V3_BDSV12</stp>
        <stp>SYK US Equity</stp>
        <stp>PG_REVENUE</stp>
        <stp>[Fundamental &amp; Technical Model (1).xlsm]Segments!R18C14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18" s="17"/>
        <tr r="N18" s="17"/>
      </tp>
      <tp>
        <v>315</v>
        <stp/>
        <stp>##V3_BDSV12</stp>
        <stp>SYK US Equity</stp>
        <stp>PG_DEPR_AMORTIZATION</stp>
        <stp>[Fundamental &amp; Technical Model (1).xlsm]Segments!R134C13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134" s="17"/>
        <tr r="M134" s="17"/>
      </tp>
      <tp>
        <v>249</v>
        <stp/>
        <stp>##V3_BDSV12</stp>
        <stp>SYK US Equity</stp>
        <stp>PG_DEPR_AMORTIZATION</stp>
        <stp>[Fundamental &amp; Technical Model (1).xlsm]Segments!R134C12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134" s="17"/>
        <tr r="L134" s="17"/>
      </tp>
      <tp>
        <v>2009</v>
        <stp/>
        <stp>##V3_BDSV12</stp>
        <stp>SYK US Equity</stp>
        <stp>PG_REVENUE</stp>
        <stp>[Fundamental &amp; Technical Model (1).xlsm]Segments!R18C12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18" s="17"/>
        <tr r="L18" s="17"/>
      </tp>
      <tp>
        <v>2174</v>
        <stp/>
        <stp>##V3_BDSV12</stp>
        <stp>SYK US Equity</stp>
        <stp>PG_REVENUE</stp>
        <stp>[Fundamental &amp; Technical Model (1).xlsm]Segments!R18C13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18" s="17"/>
        <tr r="M18" s="17"/>
      </tp>
      <tp>
        <v>43580</v>
        <stp/>
        <stp>##V3_BTODAY</stp>
        <stp>[Fundamental &amp; Technical Model (1).xlsm]Technical Analysis Data!R6C4</stp>
        <tr r="D6" s="31"/>
      </tp>
      <tp>
        <v>285</v>
        <stp/>
        <stp>##V3_BDSV12</stp>
        <stp>SYK US Equity</stp>
        <stp>PG_DEPR_AMORTIZATION</stp>
        <stp>[Fundamental &amp; Technical Model (1).xlsm]Segments!R134C14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134" s="17"/>
        <tr r="N134" s="17"/>
      </tp>
      <tp>
        <v>1741</v>
        <stp/>
        <stp>##V3_BDSV12</stp>
        <stp>SYK US Equity</stp>
        <stp>PG_REVENUE</stp>
        <stp>[Fundamental &amp; Technical Model (1).xlsm]Segments!R18C10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18" s="17"/>
        <tr r="J18" s="17"/>
      </tp>
      <tp>
        <v>1828</v>
        <stp/>
        <stp>##V3_BDSV12</stp>
        <stp>SYK US Equity</stp>
        <stp>PG_REVENUE</stp>
        <stp>[Fundamental &amp; Technical Model (1).xlsm]Segments!R18C11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18" s="17"/>
        <tr r="K18" s="17"/>
      </tp>
      <tp t="e">
        <v>#N/A</v>
        <stp/>
        <stp>##V3_BDHV12</stp>
        <stp>SYK US Equity</stp>
        <stp>PX_TO_BOOK_RATIO</stp>
        <stp>-6FY</stp>
        <stp>-6FY</stp>
        <stp>[Fundamental &amp; Technical Model (1).xlsm]Multiples!R39C7</stp>
        <stp>EQY_CONSOLIDATED</stp>
        <stp>Yes</stp>
        <stp>ACCOUNTING_STANDARD_OVERRIDE</stp>
        <stp>Mixed</stp>
        <stp>Per</stp>
        <stp>FY</stp>
        <stp>Days=A</stp>
        <tr r="G39" s="16"/>
        <tr r="G39" s="16"/>
      </tp>
      <tp t="s">
        <v>#N/A</v>
        <stp/>
        <stp>##V3_BQLV12</stp>
        <stp>[Fundamental &amp; Technical Model (1).xlsm]Income Statement!R32C5</stp>
        <stp>SYK US Equity</stp>
        <stp>IS_INT_INC/10^6</stp>
        <stp>FPT</stp>
        <stp>A</stp>
        <stp>FPO</stp>
        <stp>-9A</stp>
        <stp>STD</stp>
        <stp>Mixed</stp>
        <stp>CONSOL</stp>
        <stp>Yes</stp>
        <stp>CURRENCY</stp>
        <stp>USD</stp>
        <tr r="E32" s="2"/>
      </tp>
      <tp t="s">
        <v>#N/A N/A</v>
        <stp/>
        <stp>##V3_BDSV12</stp>
        <stp>SYK US Equity</stp>
        <stp>PG_CAPITAL_EXPENDITURES</stp>
        <stp>[Fundamental &amp; Technical Model (1).xlsm]Segments!R171C12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171" s="17"/>
      </tp>
      <tp t="s">
        <v>#N/A N/A</v>
        <stp/>
        <stp>##V3_BDSV12</stp>
        <stp>SYK US Equity</stp>
        <stp>PG_CAPITAL_EXPENDITURES</stp>
        <stp>[Fundamental &amp; Technical Model (1).xlsm]Segments!R185C12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185" s="17"/>
      </tp>
      <tp>
        <v>1.8</v>
        <stp/>
        <stp>##V3_BDPV12</stp>
        <stp>SYK US Equity</stp>
        <stp>ARDR_STOCK_OPTION_VAL_RFR</stp>
        <stp>[Fundamental &amp; Technical Model (1).xlsm]Supplemental!R27C10</stp>
        <stp>EQY_FUND_RELATIVE_PERIOD</stp>
        <stp>-3FY</stp>
        <stp>EQY_FUND_CRNCY</stp>
        <stp>USD</stp>
        <stp>EQY_CONSOLIDATED</stp>
        <stp>Yes</stp>
        <stp>ACCOUNTING_STANDARD_OVERRIDE</stp>
        <stp>Mixed</stp>
        <stp>Fill=--</stp>
        <tr r="J27" s="19"/>
      </tp>
      <tp>
        <v>1.3</v>
        <stp/>
        <stp>##V3_BDPV12</stp>
        <stp>SYK US Equity</stp>
        <stp>ARDR_STOCK_OPTION_VAL_RFR</stp>
        <stp>[Fundamental &amp; Technical Model (1).xlsm]Supplemental!R27C11</stp>
        <stp>EQY_FUND_RELATIVE_PERIOD</stp>
        <stp>-2FY</stp>
        <stp>EQY_FUND_CRNCY</stp>
        <stp>USD</stp>
        <stp>EQY_CONSOLIDATED</stp>
        <stp>Yes</stp>
        <stp>ACCOUNTING_STANDARD_OVERRIDE</stp>
        <stp>Mixed</stp>
        <stp>Fill=--</stp>
        <tr r="K27" s="19"/>
      </tp>
      <tp>
        <v>2</v>
        <stp/>
        <stp>##V3_BDPV12</stp>
        <stp>SYK US Equity</stp>
        <stp>ARDR_STOCK_OPTION_VAL_RFR</stp>
        <stp>[Fundamental &amp; Technical Model (1).xlsm]Supplemental!R27C12</stp>
        <stp>EQY_FUND_RELATIVE_PERIOD</stp>
        <stp>-1FY</stp>
        <stp>EQY_FUND_CRNCY</stp>
        <stp>USD</stp>
        <stp>EQY_CONSOLIDATED</stp>
        <stp>Yes</stp>
        <stp>ACCOUNTING_STANDARD_OVERRIDE</stp>
        <stp>Mixed</stp>
        <stp>Fill=--</stp>
        <tr r="L27" s="19"/>
      </tp>
      <tp>
        <v>2.7</v>
        <stp/>
        <stp>##V3_BDPV12</stp>
        <stp>SYK US Equity</stp>
        <stp>ARDR_STOCK_OPTION_VAL_RFR</stp>
        <stp>[Fundamental &amp; Technical Model (1).xlsm]Supplemental!R27C13</stp>
        <stp>EQY_FUND_RELATIVE_PERIOD</stp>
        <stp>-0FY</stp>
        <stp>EQY_FUND_CRNCY</stp>
        <stp>USD</stp>
        <stp>EQY_CONSOLIDATED</stp>
        <stp>Yes</stp>
        <stp>ACCOUNTING_STANDARD_OVERRIDE</stp>
        <stp>Mixed</stp>
        <stp>Fill=--</stp>
        <tr r="M27" s="19"/>
      </tp>
      <tp t="e">
        <v>#N/A</v>
        <stp/>
        <stp>##V3_BDHV12</stp>
        <stp>SYK US Equity</stp>
        <stp>HIGH_CLOSING_PRICE_TO_BOOK_RATIO</stp>
        <stp>-4FY</stp>
        <stp>-4FY</stp>
        <stp>[Fundamental &amp; Technical Model (1).xlsm]Multiples!R41C9</stp>
        <stp>EQY_CONSOLIDATED</stp>
        <stp>Yes</stp>
        <stp>ACCOUNTING_STANDARD_OVERRIDE</stp>
        <stp>Mixed</stp>
        <stp>Per</stp>
        <stp>FY</stp>
        <stp>Days=A</stp>
        <tr r="I41" s="16"/>
        <tr r="I41" s="16"/>
      </tp>
      <tp>
        <v>6.4159930000000003</v>
        <stp/>
        <stp>##V3_BQLV12</stp>
        <stp>[Fundamental &amp; Technical Model (1).xlsm]Income Statement!R71C14</stp>
        <stp>SYK US Equity</stp>
        <stp>IS_DIL_EPS_CONT_OPS</stp>
        <stp>FPT</stp>
        <stp>A</stp>
        <stp>FPO</stp>
        <stp>-0A</stp>
        <stp>STD</stp>
        <stp>Mixed</stp>
        <stp>CONSOL</stp>
        <stp>Yes</stp>
        <stp>CURRENCY</stp>
        <stp>USD</stp>
        <tr r="N71" s="2"/>
      </tp>
      <tp t="e">
        <v>#N/A</v>
        <stp/>
        <stp>##V3_BDHV12</stp>
        <stp>SYK US Equity</stp>
        <stp>AVERAGE_EV_TO_T12M_SALES</stp>
        <stp>-7FY</stp>
        <stp>-7FY</stp>
        <stp>[Fundamental &amp; Technical Model (1).xlsm]Multiples!R16C6</stp>
        <stp>EQY_CONSOLIDATED</stp>
        <stp>Yes</stp>
        <stp>ACCOUNTING_STANDARD_OVERRIDE</stp>
        <stp>Mixed</stp>
        <stp>Per</stp>
        <stp>FY</stp>
        <stp>Days=A</stp>
        <tr r="F16" s="16"/>
        <tr r="F16" s="16"/>
      </tp>
      <tp>
        <v>18.375430095400795</v>
        <stp/>
        <stp>##V3_BQLV12</stp>
        <stp>[Fundamental &amp; Technical Model (1).xlsm]Key Stats!R62C7</stp>
        <stp>SYK US Equity</stp>
        <stp>PX_TO_CASH_FLOW</stp>
        <stp>FPT=A</stp>
        <stp>FPO=2</stp>
        <stp>STD</stp>
        <stp>Mixed</stp>
        <stp>CONSOL</stp>
        <stp>Yes</stp>
        <stp>CURRENCY</stp>
        <stp>USD</stp>
        <tr r="G62" s="23"/>
      </tp>
      <tp>
        <v>45</v>
        <stp/>
        <stp>##V3_BDPV12</stp>
        <stp>SYK US Equity</stp>
        <stp>BS_RENTAL_EXP_YEAR_3</stp>
        <stp>[Fundamental &amp; Technical Model (1).xlsm]Capital Structure Summary!R99C9</stp>
        <stp>EQY_FUND_RELATIVE_PERIOD</stp>
        <stp>-1FY</stp>
        <stp>EQY_FUND_CRNCY</stp>
        <stp>USD</stp>
        <stp>EQY_CONSOLIDATED</stp>
        <stp>Yes</stp>
        <stp>ACCOUNTING_STANDARD_OVERRIDE</stp>
        <stp>Mixed</stp>
        <stp>Fill=--</stp>
        <tr r="I99" s="21"/>
      </tp>
      <tp>
        <v>63</v>
        <stp/>
        <stp>##V3_BDPV12</stp>
        <stp>SYK US Equity</stp>
        <stp>BS_RENTAL_EXP_YEAR_2</stp>
        <stp>[Fundamental &amp; Technical Model (1).xlsm]Capital Structure Summary!R98C9</stp>
        <stp>EQY_FUND_RELATIVE_PERIOD</stp>
        <stp>-1FY</stp>
        <stp>EQY_FUND_CRNCY</stp>
        <stp>USD</stp>
        <stp>EQY_CONSOLIDATED</stp>
        <stp>Yes</stp>
        <stp>ACCOUNTING_STANDARD_OVERRIDE</stp>
        <stp>Mixed</stp>
        <stp>Fill=--</stp>
        <tr r="I98" s="21"/>
      </tp>
      <tp>
        <v>106</v>
        <stp/>
        <stp>##V3_BDPV12</stp>
        <stp>SYK US Equity</stp>
        <stp>BS_RENTAL_EXP_YEAR_1</stp>
        <stp>[Fundamental &amp; Technical Model (1).xlsm]Capital Structure Summary!R97C9</stp>
        <stp>EQY_FUND_RELATIVE_PERIOD</stp>
        <stp>-1FY</stp>
        <stp>EQY_FUND_CRNCY</stp>
        <stp>USD</stp>
        <stp>EQY_CONSOLIDATED</stp>
        <stp>Yes</stp>
        <stp>ACCOUNTING_STANDARD_OVERRIDE</stp>
        <stp>Mixed</stp>
        <stp>Fill=--</stp>
        <tr r="I97" s="21"/>
      </tp>
      <tp>
        <v>47</v>
        <stp/>
        <stp>##V3_BDPV12</stp>
        <stp>SYK US Equity</stp>
        <stp>BS_RENTAL_EXP_YEAR_2</stp>
        <stp>[Fundamental &amp; Technical Model (1).xlsm]Capital Structure Summary!R98C7</stp>
        <stp>EQY_FUND_RELATIVE_PERIOD</stp>
        <stp>-2FY</stp>
        <stp>EQY_FUND_CRNCY</stp>
        <stp>USD</stp>
        <stp>EQY_CONSOLIDATED</stp>
        <stp>Yes</stp>
        <stp>ACCOUNTING_STANDARD_OVERRIDE</stp>
        <stp>Mixed</stp>
        <stp>Fill=--</stp>
        <tr r="G98" s="21"/>
      </tp>
      <tp>
        <v>69</v>
        <stp/>
        <stp>##V3_BDPV12</stp>
        <stp>SYK US Equity</stp>
        <stp>BS_RENTAL_EXP_YEAR_1</stp>
        <stp>[Fundamental &amp; Technical Model (1).xlsm]Capital Structure Summary!R97C5</stp>
        <stp>EQY_FUND_RELATIVE_PERIOD</stp>
        <stp>-3FY</stp>
        <stp>EQY_FUND_CRNCY</stp>
        <stp>USD</stp>
        <stp>EQY_CONSOLIDATED</stp>
        <stp>Yes</stp>
        <stp>ACCOUNTING_STANDARD_OVERRIDE</stp>
        <stp>Mixed</stp>
        <stp>Fill=--</stp>
        <tr r="E97" s="21"/>
      </tp>
      <tp>
        <v>34</v>
        <stp/>
        <stp>##V3_BDPV12</stp>
        <stp>SYK US Equity</stp>
        <stp>BS_RENTAL_EXP_YEAR_3</stp>
        <stp>[Fundamental &amp; Technical Model (1).xlsm]Capital Structure Summary!R99C7</stp>
        <stp>EQY_FUND_RELATIVE_PERIOD</stp>
        <stp>-2FY</stp>
        <stp>EQY_FUND_CRNCY</stp>
        <stp>USD</stp>
        <stp>EQY_CONSOLIDATED</stp>
        <stp>Yes</stp>
        <stp>ACCOUNTING_STANDARD_OVERRIDE</stp>
        <stp>Mixed</stp>
        <stp>Fill=--</stp>
        <tr r="G99" s="21"/>
      </tp>
      <tp>
        <v>60</v>
        <stp/>
        <stp>##V3_BDPV12</stp>
        <stp>SYK US Equity</stp>
        <stp>BS_RENTAL_EXP_YEAR_1</stp>
        <stp>[Fundamental &amp; Technical Model (1).xlsm]Capital Structure Summary!R97C3</stp>
        <stp>EQY_FUND_RELATIVE_PERIOD</stp>
        <stp>-4FY</stp>
        <stp>EQY_FUND_CRNCY</stp>
        <stp>USD</stp>
        <stp>EQY_CONSOLIDATED</stp>
        <stp>Yes</stp>
        <stp>ACCOUNTING_STANDARD_OVERRIDE</stp>
        <stp>Mixed</stp>
        <stp>Fill=--</stp>
        <tr r="C97" s="21"/>
      </tp>
      <tp>
        <v>39</v>
        <stp/>
        <stp>##V3_BDPV12</stp>
        <stp>SYK US Equity</stp>
        <stp>BS_RENTAL_EXP_YEAR_3</stp>
        <stp>[Fundamental &amp; Technical Model (1).xlsm]Capital Structure Summary!R99C5</stp>
        <stp>EQY_FUND_RELATIVE_PERIOD</stp>
        <stp>-3FY</stp>
        <stp>EQY_FUND_CRNCY</stp>
        <stp>USD</stp>
        <stp>EQY_CONSOLIDATED</stp>
        <stp>Yes</stp>
        <stp>ACCOUNTING_STANDARD_OVERRIDE</stp>
        <stp>Mixed</stp>
        <stp>Fill=--</stp>
        <tr r="E99" s="21"/>
      </tp>
      <tp>
        <v>45</v>
        <stp/>
        <stp>##V3_BDPV12</stp>
        <stp>SYK US Equity</stp>
        <stp>BS_RENTAL_EXP_YEAR_2</stp>
        <stp>[Fundamental &amp; Technical Model (1).xlsm]Capital Structure Summary!R98C3</stp>
        <stp>EQY_FUND_RELATIVE_PERIOD</stp>
        <stp>-4FY</stp>
        <stp>EQY_FUND_CRNCY</stp>
        <stp>USD</stp>
        <stp>EQY_CONSOLIDATED</stp>
        <stp>Yes</stp>
        <stp>ACCOUNTING_STANDARD_OVERRIDE</stp>
        <stp>Mixed</stp>
        <stp>Fill=--</stp>
        <tr r="C98" s="21"/>
      </tp>
      <tp>
        <v>33</v>
        <stp/>
        <stp>##V3_BDPV12</stp>
        <stp>SYK US Equity</stp>
        <stp>BS_RENTAL_EXP_YEAR_3</stp>
        <stp>[Fundamental &amp; Technical Model (1).xlsm]Capital Structure Summary!R99C3</stp>
        <stp>EQY_FUND_RELATIVE_PERIOD</stp>
        <stp>-4FY</stp>
        <stp>EQY_FUND_CRNCY</stp>
        <stp>USD</stp>
        <stp>EQY_CONSOLIDATED</stp>
        <stp>Yes</stp>
        <stp>ACCOUNTING_STANDARD_OVERRIDE</stp>
        <stp>Mixed</stp>
        <stp>Fill=--</stp>
        <tr r="C99" s="21"/>
      </tp>
      <tp>
        <v>51</v>
        <stp/>
        <stp>##V3_BDPV12</stp>
        <stp>SYK US Equity</stp>
        <stp>BS_RENTAL_EXP_YEAR_2</stp>
        <stp>[Fundamental &amp; Technical Model (1).xlsm]Capital Structure Summary!R98C5</stp>
        <stp>EQY_FUND_RELATIVE_PERIOD</stp>
        <stp>-3FY</stp>
        <stp>EQY_FUND_CRNCY</stp>
        <stp>USD</stp>
        <stp>EQY_CONSOLIDATED</stp>
        <stp>Yes</stp>
        <stp>ACCOUNTING_STANDARD_OVERRIDE</stp>
        <stp>Mixed</stp>
        <stp>Fill=--</stp>
        <tr r="E98" s="21"/>
      </tp>
      <tp>
        <v>90</v>
        <stp/>
        <stp>##V3_BDPV12</stp>
        <stp>SYK US Equity</stp>
        <stp>BS_RENTAL_EXP_YEAR_1</stp>
        <stp>[Fundamental &amp; Technical Model (1).xlsm]Capital Structure Summary!R97C7</stp>
        <stp>EQY_FUND_RELATIVE_PERIOD</stp>
        <stp>-2FY</stp>
        <stp>EQY_FUND_CRNCY</stp>
        <stp>USD</stp>
        <stp>EQY_CONSOLIDATED</stp>
        <stp>Yes</stp>
        <stp>ACCOUNTING_STANDARD_OVERRIDE</stp>
        <stp>Mixed</stp>
        <stp>Fill=--</stp>
        <tr r="G97" s="21"/>
      </tp>
      <tp t="e">
        <v>#N/A</v>
        <stp/>
        <stp>##V3_BDHV12</stp>
        <stp>SYK US Equity</stp>
        <stp>PX_TO_CASH_FLOW</stp>
        <stp>-4FY</stp>
        <stp>-4FY</stp>
        <stp>[Fundamental &amp; Technical Model (1).xlsm]Multiples!R51C9</stp>
        <stp>EQY_CONSOLIDATED</stp>
        <stp>Yes</stp>
        <stp>ACCOUNTING_STANDARD_OVERRIDE</stp>
        <stp>Mixed</stp>
        <stp>Per</stp>
        <stp>FY</stp>
        <stp>Days=A</stp>
        <tr r="I51" s="16"/>
        <tr r="I51" s="16"/>
      </tp>
      <tp>
        <v>273</v>
        <stp/>
        <stp>##V3_BDSV12</stp>
        <stp>SYK US Equity</stp>
        <stp>PG_DEPR_AMORTIZATION</stp>
        <stp>[Fundamental &amp; Technical Model (1).xlsm]Segments!R133C9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133" s="17"/>
        <tr r="I133" s="17"/>
      </tp>
      <tp t="s">
        <v>#N/A N/A</v>
        <stp/>
        <stp>##V3_BDSV12</stp>
        <stp>SYK US Equity</stp>
        <stp>PG_DEPR_AMORTIZATION</stp>
        <stp>[Fundamental &amp; Technical Model (1).xlsm]Segments!R137C9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137" s="17"/>
      </tp>
      <tp>
        <v>19</v>
        <stp/>
        <stp>##V3_BDSV12</stp>
        <stp>SYK US Equity</stp>
        <stp>PG_DEPR_AMORTIZATION</stp>
        <stp>[Fundamental &amp; Technical Model (1).xlsm]Segments!R136C9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136" s="17"/>
        <tr r="I136" s="17"/>
      </tp>
      <tp>
        <v>271</v>
        <stp/>
        <stp>##V3_BDSV12</stp>
        <stp>SYK US Equity</stp>
        <stp>PG_DEPR_AMORTIZATION</stp>
        <stp>[Fundamental &amp; Technical Model (1).xlsm]Segments!R133C8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133" s="17"/>
        <tr r="H133" s="17"/>
      </tp>
      <tp>
        <v>8</v>
        <stp/>
        <stp>##V3_BDSV12</stp>
        <stp>SYK US Equity</stp>
        <stp>PG_DEPR_AMORTIZATION</stp>
        <stp>[Fundamental &amp; Technical Model (1).xlsm]Segments!R136C8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136" s="17"/>
        <tr r="H136" s="17"/>
      </tp>
      <tp t="s">
        <v>#N/A N/A</v>
        <stp/>
        <stp>##V3_BDSV12</stp>
        <stp>SYK US Equity</stp>
        <stp>PG_DEPR_AMORTIZATION</stp>
        <stp>[Fundamental &amp; Technical Model (1).xlsm]Segments!R137C8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137" s="17"/>
      </tp>
      <tp>
        <v>135</v>
        <stp/>
        <stp>##V3_BDSV12</stp>
        <stp>SYK US Equity</stp>
        <stp>PG_DEPR_AMORTIZATION</stp>
        <stp>[Fundamental &amp; Technical Model (1).xlsm]Segments!R135C9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135" s="17"/>
        <tr r="I135" s="17"/>
      </tp>
      <tp>
        <v>84</v>
        <stp/>
        <stp>##V3_BDSV12</stp>
        <stp>SYK US Equity</stp>
        <stp>PG_DEPR_AMORTIZATION</stp>
        <stp>[Fundamental &amp; Technical Model (1).xlsm]Segments!R134C9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134" s="17"/>
        <tr r="I134" s="17"/>
      </tp>
      <tp t="s">
        <v>Orthopedic Implants</v>
        <stp/>
        <stp>##V3_BDSV12</stp>
        <stp>SYK US Equity</stp>
        <stp>PG_DEPR_AMORTIZATION</stp>
        <stp>[Fundamental &amp; Technical Model (1).xlsm]Segments!R138C3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138" s="17"/>
        <tr r="C138" s="17"/>
      </tp>
      <tp t="s">
        <v>Reconstructive_orthopaedics</v>
        <stp/>
        <stp>##V3_BDSV12</stp>
        <stp>SYK US Equity</stp>
        <stp>PG_DEPR_AMORTIZATION</stp>
        <stp>[Fundamental &amp; Technical Model (1).xlsm]Segments!R139C3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139" s="17"/>
        <tr r="C139" s="17"/>
      </tp>
      <tp>
        <v>85</v>
        <stp/>
        <stp>##V3_BDSV12</stp>
        <stp>SYK US Equity</stp>
        <stp>PG_DEPR_AMORTIZATION</stp>
        <stp>[Fundamental &amp; Technical Model (1).xlsm]Segments!R134C8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134" s="17"/>
        <tr r="H134" s="17"/>
      </tp>
      <tp>
        <v>122</v>
        <stp/>
        <stp>##V3_BDSV12</stp>
        <stp>SYK US Equity</stp>
        <stp>PG_DEPR_AMORTIZATION</stp>
        <stp>[Fundamental &amp; Technical Model (1).xlsm]Segments!R135C8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135" s="17"/>
        <tr r="H135" s="17"/>
      </tp>
      <tp t="s">
        <v>Orthopaedics</v>
        <stp/>
        <stp>##V3_BDSV12</stp>
        <stp>SYK US Equity</stp>
        <stp>PG_DEPR_AMORTIZATION</stp>
        <stp>[Fundamental &amp; Technical Model (1).xlsm]Segments!R133C3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133" s="17"/>
        <tr r="C133" s="17"/>
      </tp>
      <tp t="s">
        <v>Others</v>
        <stp/>
        <stp>##V3_BDSV12</stp>
        <stp>SYK US Equity</stp>
        <stp>PG_DEPR_AMORTIZATION</stp>
        <stp>[Fundamental &amp; Technical Model (1).xlsm]Segments!R136C3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136" s="17"/>
        <tr r="C136" s="17"/>
      </tp>
      <tp t="s">
        <v>Others</v>
        <stp/>
        <stp>##V3_BDSV12</stp>
        <stp>SYK US Equity</stp>
        <stp>PG_DEPR_AMORTIZATION</stp>
        <stp>[Fundamental &amp; Technical Model (1).xlsm]Segments!R137C3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137" s="17"/>
        <tr r="C137" s="17"/>
      </tp>
      <tp t="s">
        <v>#N/A N/A</v>
        <stp/>
        <stp>##V3_BDSV12</stp>
        <stp>SYK US Equity</stp>
        <stp>PG_DEPR_AMORTIZATION</stp>
        <stp>[Fundamental &amp; Technical Model (1).xlsm]Segments!R139C9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139" s="17"/>
      </tp>
      <tp t="s">
        <v>#N/A N/A</v>
        <stp/>
        <stp>##V3_BDSV12</stp>
        <stp>SYK US Equity</stp>
        <stp>PG_DEPR_AMORTIZATION</stp>
        <stp>[Fundamental &amp; Technical Model (1).xlsm]Segments!R138C9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138" s="17"/>
      </tp>
      <tp t="s">
        <v>MedSurg Equipment</v>
        <stp/>
        <stp>##V3_BDSV12</stp>
        <stp>SYK US Equity</stp>
        <stp>PG_DEPR_AMORTIZATION</stp>
        <stp>[Fundamental &amp; Technical Model (1).xlsm]Segments!R134C3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134" s="17"/>
        <tr r="C134" s="17"/>
      </tp>
      <tp t="s">
        <v>Neurotech and Spine</v>
        <stp/>
        <stp>##V3_BDSV12</stp>
        <stp>SYK US Equity</stp>
        <stp>PG_DEPR_AMORTIZATION</stp>
        <stp>[Fundamental &amp; Technical Model (1).xlsm]Segments!R135C3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135" s="17"/>
        <tr r="C135" s="17"/>
      </tp>
      <tp t="s">
        <v>#N/A N/A</v>
        <stp/>
        <stp>##V3_BDSV12</stp>
        <stp>SYK US Equity</stp>
        <stp>PG_DEPR_AMORTIZATION</stp>
        <stp>[Fundamental &amp; Technical Model (1).xlsm]Segments!R138C8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138" s="17"/>
      </tp>
      <tp t="s">
        <v>#N/A N/A</v>
        <stp/>
        <stp>##V3_BDSV12</stp>
        <stp>SYK US Equity</stp>
        <stp>PG_DEPR_AMORTIZATION</stp>
        <stp>[Fundamental &amp; Technical Model (1).xlsm]Segments!R139C8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139" s="17"/>
      </tp>
      <tp t="s">
        <v>#N/A N/A</v>
        <stp/>
        <stp>##V3_BDSV12</stp>
        <stp>SYK US Equity</stp>
        <stp>PG_OPERATING_INCOME</stp>
        <stp>[Fundamental &amp; Technical Model (1).xlsm]Segments!R98C6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98" s="17"/>
      </tp>
      <tp>
        <v>18.238192791096839</v>
        <stp/>
        <stp>##V3_BQLV12</stp>
        <stp>[Fundamental &amp; Technical Model (1).xlsm]Ratios!R18C12</stp>
        <stp>SYK US Equity</stp>
        <stp>RETURN_COM_EQY</stp>
        <stp>FPT</stp>
        <stp>A</stp>
        <stp>FPO</stp>
        <stp>-2A</stp>
        <stp>STD</stp>
        <stp>Mixed</stp>
        <stp>CONSOL</stp>
        <stp>Yes</stp>
        <tr r="L18" s="8"/>
      </tp>
      <tp>
        <v>317</v>
        <stp/>
        <stp>##V3_BDSV12</stp>
        <stp>SYK US Equity</stp>
        <stp>PG_DEPR_AMORTIZATION</stp>
        <stp>[Fundamental &amp; Technical Model (1).xlsm]Segments!R133C12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133" s="17"/>
        <tr r="L133" s="17"/>
      </tp>
      <tp>
        <v>337</v>
        <stp/>
        <stp>##V3_BDSV12</stp>
        <stp>SYK US Equity</stp>
        <stp>PG_DEPR_AMORTIZATION</stp>
        <stp>[Fundamental &amp; Technical Model (1).xlsm]Segments!R133C13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133" s="17"/>
        <tr r="M133" s="17"/>
      </tp>
      <tp>
        <v>319</v>
        <stp/>
        <stp>##V3_BDSV12</stp>
        <stp>SYK US Equity</stp>
        <stp>PG_DEPR_AMORTIZATION</stp>
        <stp>[Fundamental &amp; Technical Model (1).xlsm]Segments!R133C10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133" s="17"/>
        <tr r="J133" s="17"/>
      </tp>
      <tp>
        <v>290</v>
        <stp/>
        <stp>##V3_BDSV12</stp>
        <stp>SYK US Equity</stp>
        <stp>PG_DEPR_AMORTIZATION</stp>
        <stp>[Fundamental &amp; Technical Model (1).xlsm]Segments!R133C11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133" s="17"/>
        <tr r="K133" s="17"/>
      </tp>
      <tp>
        <v>350</v>
        <stp/>
        <stp>##V3_BDSV12</stp>
        <stp>SYK US Equity</stp>
        <stp>PG_DEPR_AMORTIZATION</stp>
        <stp>[Fundamental &amp; Technical Model (1).xlsm]Segments!R133C14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133" s="17"/>
        <tr r="N133" s="17"/>
      </tp>
      <tp>
        <v>5.8239089999999996</v>
        <stp/>
        <stp>##V3_BQLV12</stp>
        <stp>[Fundamental &amp; Technical Model (1).xlsm]Income Statement!R71C13</stp>
        <stp>SYK US Equity</stp>
        <stp>IS_DIL_EPS_CONT_OPS</stp>
        <stp>FPT</stp>
        <stp>A</stp>
        <stp>FPO</stp>
        <stp>-1A</stp>
        <stp>STD</stp>
        <stp>Mixed</stp>
        <stp>CONSOL</stp>
        <stp>Yes</stp>
        <stp>CURRENCY</stp>
        <stp>USD</stp>
        <tr r="M71" s="2"/>
      </tp>
      <tp t="e">
        <v>#N/A</v>
        <stp/>
        <stp>##V3_BDHV12</stp>
        <stp>SYK US Equity</stp>
        <stp>PE_RATIO</stp>
        <stp>-4FY</stp>
        <stp>-4FY</stp>
        <stp>[Fundamental &amp; Technical Model (1).xlsm]Multiples!R33C9</stp>
        <stp>EQY_CONSOLIDATED</stp>
        <stp>Yes</stp>
        <stp>ACCOUNTING_STANDARD_OVERRIDE</stp>
        <stp>Mixed</stp>
        <stp>Per</stp>
        <stp>FY</stp>
        <stp>Days=A</stp>
        <tr r="I33" s="16"/>
        <tr r="I33" s="16"/>
      </tp>
      <tp>
        <v>1298</v>
        <stp/>
        <stp>##V3_BQLV12</stp>
        <stp>[Fundamental &amp; Technical Model (1).xlsm]Cash Flow!R15C8</stp>
        <stp>SYK US Equity</stp>
        <stp>CF_NET_INC/10^6</stp>
        <stp>FPT</stp>
        <stp>A</stp>
        <stp>FPO</stp>
        <stp>-6A</stp>
        <stp>STD</stp>
        <stp>Mixed</stp>
        <stp>CONSOL</stp>
        <stp>Yes</stp>
        <stp>CURRENCY</stp>
        <stp>USD</stp>
        <tr r="H15" s="4"/>
      </tp>
      <tp>
        <v>11848</v>
        <stp/>
        <stp>##V3_BDPV12</stp>
        <stp>SYK US Equity</stp>
        <stp>BS_CONTRACTUAL_OBLIG_TOTAL</stp>
        <stp>[Fundamental &amp; Technical Model (1).xlsm]Capital Structure Summary!R115C9</stp>
        <stp>EQY_FUND_RELATIVE_PERIOD</stp>
        <stp>-1FY</stp>
        <stp>EQY_FUND_CRNCY</stp>
        <stp>USD</stp>
        <stp>EQY_CONSOLIDATED</stp>
        <stp>Yes</stp>
        <stp>ACCOUNTING_STANDARD_OVERRIDE</stp>
        <stp>Mixed</stp>
        <stp>Fill=--</stp>
        <tr r="I115" s="21"/>
      </tp>
      <tp>
        <v>5364</v>
        <stp/>
        <stp>##V3_BDPV12</stp>
        <stp>SYK US Equity</stp>
        <stp>BS_CONTRACTUAL_OBLIG_TOTAL</stp>
        <stp>[Fundamental &amp; Technical Model (1).xlsm]Capital Structure Summary!R115C3</stp>
        <stp>EQY_FUND_RELATIVE_PERIOD</stp>
        <stp>-4FY</stp>
        <stp>EQY_FUND_CRNCY</stp>
        <stp>USD</stp>
        <stp>EQY_CONSOLIDATED</stp>
        <stp>Yes</stp>
        <stp>ACCOUNTING_STANDARD_OVERRIDE</stp>
        <stp>Mixed</stp>
        <stp>Fill=--</stp>
        <tr r="C115" s="21"/>
      </tp>
      <tp>
        <v>5416</v>
        <stp/>
        <stp>##V3_BDPV12</stp>
        <stp>SYK US Equity</stp>
        <stp>BS_CONTRACTUAL_OBLIG_TOTAL</stp>
        <stp>[Fundamental &amp; Technical Model (1).xlsm]Capital Structure Summary!R115C5</stp>
        <stp>EQY_FUND_RELATIVE_PERIOD</stp>
        <stp>-3FY</stp>
        <stp>EQY_FUND_CRNCY</stp>
        <stp>USD</stp>
        <stp>EQY_CONSOLIDATED</stp>
        <stp>Yes</stp>
        <stp>ACCOUNTING_STANDARD_OVERRIDE</stp>
        <stp>Mixed</stp>
        <stp>Fill=--</stp>
        <tr r="E115" s="21"/>
      </tp>
      <tp>
        <v>8198</v>
        <stp/>
        <stp>##V3_BDPV12</stp>
        <stp>SYK US Equity</stp>
        <stp>BS_CONTRACTUAL_OBLIG_TOTAL</stp>
        <stp>[Fundamental &amp; Technical Model (1).xlsm]Capital Structure Summary!R115C7</stp>
        <stp>EQY_FUND_RELATIVE_PERIOD</stp>
        <stp>-2FY</stp>
        <stp>EQY_FUND_CRNCY</stp>
        <stp>USD</stp>
        <stp>EQY_CONSOLIDATED</stp>
        <stp>Yes</stp>
        <stp>ACCOUNTING_STANDARD_OVERRIDE</stp>
        <stp>Mixed</stp>
        <stp>Fill=--</stp>
        <tr r="G115" s="21"/>
      </tp>
      <tp>
        <v>0</v>
        <stp/>
        <stp>##V3_BQLV12</stp>
        <stp>[Fundamental &amp; Technical Model (1).xlsm]Cash Flow!R24C11</stp>
        <stp>SYK US Equity</stp>
        <stp>CF_DECR_INVEST/10^6</stp>
        <stp>FPT</stp>
        <stp>A</stp>
        <stp>FPO</stp>
        <stp>-3A</stp>
        <stp>STD</stp>
        <stp>Mixed</stp>
        <stp>CONSOL</stp>
        <stp>Yes</stp>
        <stp>CURRENCY</stp>
        <stp>USD</stp>
        <tr r="K24" s="4"/>
      </tp>
      <tp>
        <v>62</v>
        <stp/>
        <stp>##V3_BQLV12</stp>
        <stp>[Fundamental &amp; Technical Model (1).xlsm]Income Statement!R88C5</stp>
        <stp>SYK US Equity</stp>
        <stp>IS_EXPENSE_STOCK_BASED_COMP/10^6</stp>
        <stp>FPT</stp>
        <stp>A</stp>
        <stp>FPO</stp>
        <stp>-9A</stp>
        <stp>STD</stp>
        <stp>Mixed</stp>
        <stp>CONSOL</stp>
        <stp>Yes</stp>
        <stp>CURRENCY</stp>
        <stp>USD</stp>
        <tr r="E88" s="2"/>
      </tp>
      <tp>
        <v>76</v>
        <stp/>
        <stp>##V3_BQLV12</stp>
        <stp>[Fundamental &amp; Technical Model (1).xlsm]Income Statement!R88C9</stp>
        <stp>SYK US Equity</stp>
        <stp>IS_EXPENSE_STOCK_BASED_COMP/10^6</stp>
        <stp>FPT</stp>
        <stp>A</stp>
        <stp>FPO</stp>
        <stp>-5A</stp>
        <stp>STD</stp>
        <stp>Mixed</stp>
        <stp>CONSOL</stp>
        <stp>Yes</stp>
        <stp>CURRENCY</stp>
        <stp>USD</stp>
        <tr r="I88" s="2"/>
      </tp>
      <tp>
        <v>69</v>
        <stp/>
        <stp>##V3_BQLV12</stp>
        <stp>[Fundamental &amp; Technical Model (1).xlsm]Income Statement!R88C6</stp>
        <stp>SYK US Equity</stp>
        <stp>IS_EXPENSE_STOCK_BASED_COMP/10^6</stp>
        <stp>FPT</stp>
        <stp>A</stp>
        <stp>FPO</stp>
        <stp>-8A</stp>
        <stp>STD</stp>
        <stp>Mixed</stp>
        <stp>CONSOL</stp>
        <stp>Yes</stp>
        <stp>CURRENCY</stp>
        <stp>USD</stp>
        <tr r="F88" s="2"/>
      </tp>
      <tp>
        <v>75</v>
        <stp/>
        <stp>##V3_BQLV12</stp>
        <stp>[Fundamental &amp; Technical Model (1).xlsm]Income Statement!R88C8</stp>
        <stp>SYK US Equity</stp>
        <stp>IS_EXPENSE_STOCK_BASED_COMP/10^6</stp>
        <stp>FPT</stp>
        <stp>A</stp>
        <stp>FPO</stp>
        <stp>-6A</stp>
        <stp>STD</stp>
        <stp>Mixed</stp>
        <stp>CONSOL</stp>
        <stp>Yes</stp>
        <stp>CURRENCY</stp>
        <stp>USD</stp>
        <tr r="H88" s="2"/>
      </tp>
      <tp>
        <v>75</v>
        <stp/>
        <stp>##V3_BQLV12</stp>
        <stp>[Fundamental &amp; Technical Model (1).xlsm]Income Statement!R88C7</stp>
        <stp>SYK US Equity</stp>
        <stp>IS_EXPENSE_STOCK_BASED_COMP/10^6</stp>
        <stp>FPT</stp>
        <stp>A</stp>
        <stp>FPO</stp>
        <stp>-7A</stp>
        <stp>STD</stp>
        <stp>Mixed</stp>
        <stp>CONSOL</stp>
        <stp>Yes</stp>
        <stp>CURRENCY</stp>
        <stp>USD</stp>
        <tr r="G88" s="2"/>
      </tp>
      <tp t="e">
        <v>#N/A</v>
        <stp/>
        <stp>##V3_BDHV12</stp>
        <stp>SYK US Equity</stp>
        <stp>HIGH_CLOSING_PRICE_TO_CASH_FLOW</stp>
        <stp>-7FY</stp>
        <stp>-7FY</stp>
        <stp>[Fundamental &amp; Technical Model (1).xlsm]Multiples!R53C6</stp>
        <stp>EQY_CONSOLIDATED</stp>
        <stp>Yes</stp>
        <stp>ACCOUNTING_STANDARD_OVERRIDE</stp>
        <stp>Mixed</stp>
        <stp>Per</stp>
        <stp>FY</stp>
        <stp>Days=A</stp>
        <tr r="F53" s="16"/>
        <tr r="F53" s="16"/>
      </tp>
    </main>
    <main first="bloomberg.rtd">
      <tp t="s">
        <v>#N/A N/A</v>
        <stp/>
        <stp>##V3_BDSV12</stp>
        <stp>SYK US Equity</stp>
        <stp>PG_OPERATING_INCOME</stp>
        <stp>[Fundamental &amp; Technical Model (1).xlsm]Segments!R98C7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98" s="17"/>
      </tp>
      <tp>
        <v>16.824506021279085</v>
        <stp/>
        <stp>##V3_BQLV12</stp>
        <stp>[Fundamental &amp; Technical Model (1).xlsm]Ratios!R18C11</stp>
        <stp>SYK US Equity</stp>
        <stp>RETURN_COM_EQY</stp>
        <stp>FPT</stp>
        <stp>A</stp>
        <stp>FPO</stp>
        <stp>-3A</stp>
        <stp>STD</stp>
        <stp>Mixed</stp>
        <stp>CONSOL</stp>
        <stp>Yes</stp>
        <tr r="K18" s="8"/>
      </tp>
      <tp t="s">
        <v>#N/A N/A</v>
        <stp/>
        <stp>##V3_BDSV12</stp>
        <stp>SYK US Equity</stp>
        <stp>PG_CAPITAL_EXPENDITURES</stp>
        <stp>[Fundamental &amp; Technical Model (1).xlsm]Segments!R171C14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171" s="17"/>
      </tp>
      <tp t="s">
        <v>#N/A N/A</v>
        <stp/>
        <stp>##V3_BDSV12</stp>
        <stp>SYK US Equity</stp>
        <stp>PG_CAPITAL_EXPENDITURES</stp>
        <stp>[Fundamental &amp; Technical Model (1).xlsm]Segments!R185C14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185" s="17"/>
      </tp>
      <tp>
        <v>0</v>
        <stp/>
        <stp>##V3_BQLV12</stp>
        <stp>[Fundamental &amp; Technical Model (1).xlsm]Balance Sheet!R45C13</stp>
        <stp>SYK US Equity</stp>
        <stp xml:space="preserve">LT_DEFERRED_REVENUE/10^6 </stp>
        <stp>FPT</stp>
        <stp>A</stp>
        <stp>FPO</stp>
        <stp>-1A</stp>
        <stp>STD</stp>
        <stp>Mixed</stp>
        <stp>CONSOL</stp>
        <stp>Yes</stp>
        <stp>CURRENCY</stp>
        <stp>USD</stp>
        <tr r="M45" s="3"/>
      </tp>
      <tp>
        <v>0</v>
        <stp/>
        <stp>##V3_BQLV12</stp>
        <stp>[Fundamental &amp; Technical Model (1).xlsm]Balance Sheet!R45C12</stp>
        <stp>SYK US Equity</stp>
        <stp xml:space="preserve">LT_DEFERRED_REVENUE/10^6 </stp>
        <stp>FPT</stp>
        <stp>A</stp>
        <stp>FPO</stp>
        <stp>-2A</stp>
        <stp>STD</stp>
        <stp>Mixed</stp>
        <stp>CONSOL</stp>
        <stp>Yes</stp>
        <stp>CURRENCY</stp>
        <stp>USD</stp>
        <tr r="L45" s="3"/>
      </tp>
      <tp>
        <v>0</v>
        <stp/>
        <stp>##V3_BQLV12</stp>
        <stp>[Fundamental &amp; Technical Model (1).xlsm]Balance Sheet!R45C11</stp>
        <stp>SYK US Equity</stp>
        <stp xml:space="preserve">LT_DEFERRED_REVENUE/10^6 </stp>
        <stp>FPT</stp>
        <stp>A</stp>
        <stp>FPO</stp>
        <stp>-3A</stp>
        <stp>STD</stp>
        <stp>Mixed</stp>
        <stp>CONSOL</stp>
        <stp>Yes</stp>
        <stp>CURRENCY</stp>
        <stp>USD</stp>
        <tr r="K45" s="3"/>
      </tp>
      <tp>
        <v>0</v>
        <stp/>
        <stp>##V3_BQLV12</stp>
        <stp>[Fundamental &amp; Technical Model (1).xlsm]Balance Sheet!R45C10</stp>
        <stp>SYK US Equity</stp>
        <stp xml:space="preserve">LT_DEFERRED_REVENUE/10^6 </stp>
        <stp>FPT</stp>
        <stp>A</stp>
        <stp>FPO</stp>
        <stp>-4A</stp>
        <stp>STD</stp>
        <stp>Mixed</stp>
        <stp>CONSOL</stp>
        <stp>Yes</stp>
        <stp>CURRENCY</stp>
        <stp>USD</stp>
        <tr r="J45" s="3"/>
      </tp>
      <tp>
        <v>0</v>
        <stp/>
        <stp>##V3_BQLV12</stp>
        <stp>[Fundamental &amp; Technical Model (1).xlsm]Balance Sheet!R45C14</stp>
        <stp>SYK US Equity</stp>
        <stp xml:space="preserve">LT_DEFERRED_REVENUE/10^6 </stp>
        <stp>FPT</stp>
        <stp>A</stp>
        <stp>FPO</stp>
        <stp>-0A</stp>
        <stp>STD</stp>
        <stp>Mixed</stp>
        <stp>CONSOL</stp>
        <stp>Yes</stp>
        <stp>CURRENCY</stp>
        <stp>USD</stp>
        <tr r="N45" s="3"/>
      </tp>
      <tp>
        <v>5.2112949999999998</v>
        <stp/>
        <stp>##V3_BQLV12</stp>
        <stp>[Fundamental &amp; Technical Model (1).xlsm]Income Statement!R71C12</stp>
        <stp>SYK US Equity</stp>
        <stp>IS_DIL_EPS_CONT_OPS</stp>
        <stp>FPT</stp>
        <stp>A</stp>
        <stp>FPO</stp>
        <stp>-2A</stp>
        <stp>STD</stp>
        <stp>Mixed</stp>
        <stp>CONSOL</stp>
        <stp>Yes</stp>
        <stp>CURRENCY</stp>
        <stp>USD</stp>
        <tr r="L71" s="2"/>
      </tp>
      <tp t="e">
        <v>#N/A</v>
        <stp/>
        <stp>##V3_BDHV12</stp>
        <stp>SYK US Equity</stp>
        <stp>PE_RATIO</stp>
        <stp>-5FY</stp>
        <stp>-5FY</stp>
        <stp>[Fundamental &amp; Technical Model (1).xlsm]Multiples!R33C8</stp>
        <stp>EQY_CONSOLIDATED</stp>
        <stp>Yes</stp>
        <stp>ACCOUNTING_STANDARD_OVERRIDE</stp>
        <stp>Mixed</stp>
        <stp>Per</stp>
        <stp>FY</stp>
        <stp>Days=A</stp>
        <tr r="H33" s="16"/>
        <tr r="H33" s="16"/>
      </tp>
      <tp>
        <v>1006</v>
        <stp/>
        <stp>##V3_BQLV12</stp>
        <stp>[Fundamental &amp; Technical Model (1).xlsm]Cash Flow!R15C9</stp>
        <stp>SYK US Equity</stp>
        <stp>CF_NET_INC/10^6</stp>
        <stp>FPT</stp>
        <stp>A</stp>
        <stp>FPO</stp>
        <stp>-5A</stp>
        <stp>STD</stp>
        <stp>Mixed</stp>
        <stp>CONSOL</stp>
        <stp>Yes</stp>
        <stp>CURRENCY</stp>
        <stp>USD</stp>
        <tr r="I15" s="4"/>
      </tp>
      <tp>
        <v>0</v>
        <stp/>
        <stp>##V3_BQLV12</stp>
        <stp>[Fundamental &amp; Technical Model (1).xlsm]Cash Flow!R24C10</stp>
        <stp>SYK US Equity</stp>
        <stp>CF_DECR_INVEST/10^6</stp>
        <stp>FPT</stp>
        <stp>A</stp>
        <stp>FPO</stp>
        <stp>-4A</stp>
        <stp>STD</stp>
        <stp>Mixed</stp>
        <stp>CONSOL</stp>
        <stp>Yes</stp>
        <stp>CURRENCY</stp>
        <stp>USD</stp>
        <tr r="J24" s="4"/>
      </tp>
      <tp t="e">
        <v>#N/A</v>
        <stp/>
        <stp>##V3_BDHV12</stp>
        <stp>SYK US Equity</stp>
        <stp>HIGH_CLOSING_PRICE_TO_CASH_FLOW</stp>
        <stp>-6FY</stp>
        <stp>-6FY</stp>
        <stp>[Fundamental &amp; Technical Model (1).xlsm]Multiples!R53C7</stp>
        <stp>EQY_CONSOLIDATED</stp>
        <stp>Yes</stp>
        <stp>ACCOUNTING_STANDARD_OVERRIDE</stp>
        <stp>Mixed</stp>
        <stp>Per</stp>
        <stp>FY</stp>
        <stp>Days=A</stp>
        <tr r="G53" s="16"/>
        <tr r="G53" s="16"/>
      </tp>
      <tp t="s">
        <v>#N/A N/A</v>
        <stp/>
        <stp>##V3_BDSV12</stp>
        <stp>SYK US Equity</stp>
        <stp>PG_DEPR_AMORTIZATION</stp>
        <stp>[Fundamental &amp; Technical Model (1).xlsm]Segments!R141C12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141" s="17"/>
      </tp>
      <tp t="s">
        <v>#N/A N/A</v>
        <stp/>
        <stp>##V3_BDSV12</stp>
        <stp>SYK US Equity</stp>
        <stp>PG_OPERATING_INCOME</stp>
        <stp>[Fundamental &amp; Technical Model (1).xlsm]Segments!R98C4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98" s="17"/>
      </tp>
      <tp t="s">
        <v>#N/A N/A</v>
        <stp/>
        <stp>##V3_BDSV12</stp>
        <stp>SYK US Equity</stp>
        <stp>PG_DEPR_AMORTIZATION</stp>
        <stp>[Fundamental &amp; Technical Model (1).xlsm]Segments!R141C13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141" s="17"/>
      </tp>
      <tp t="s">
        <v>#N/A N/A</v>
        <stp/>
        <stp>##V3_BDSV12</stp>
        <stp>SYK US Equity</stp>
        <stp>PG_DEPR_AMORTIZATION</stp>
        <stp>[Fundamental &amp; Technical Model (1).xlsm]Segments!R141C10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141" s="17"/>
      </tp>
      <tp t="s">
        <v>#N/A N/A</v>
        <stp/>
        <stp>##V3_BDSV12</stp>
        <stp>SYK US Equity</stp>
        <stp>PG_DEPR_AMORTIZATION</stp>
        <stp>[Fundamental &amp; Technical Model (1).xlsm]Segments!R141C11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141" s="17"/>
      </tp>
      <tp>
        <v>32.752581120943951</v>
        <stp/>
        <stp>##V3_BQLV12</stp>
        <stp>[Fundamental &amp; Technical Model (1).xlsm]Ratios!R18C14</stp>
        <stp>SYK US Equity</stp>
        <stp>RETURN_COM_EQY</stp>
        <stp>FPT</stp>
        <stp>A</stp>
        <stp>FPO</stp>
        <stp>-0A</stp>
        <stp>STD</stp>
        <stp>Mixed</stp>
        <stp>CONSOL</stp>
        <stp>Yes</stp>
        <tr r="N18" s="8"/>
      </tp>
      <tp t="s">
        <v>#N/A N/A</v>
        <stp/>
        <stp>##V3_BDSV12</stp>
        <stp>SYK US Equity</stp>
        <stp>PG_DEPR_AMORTIZATION</stp>
        <stp>[Fundamental &amp; Technical Model (1).xlsm]Segments!R141C14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141" s="17"/>
      </tp>
      <tp t="e">
        <v>#N/A</v>
        <stp/>
        <stp>##V3_BDHV12</stp>
        <stp>SYK US Equity</stp>
        <stp>EV_TO_T12M_EBITDA</stp>
        <stp>-10FY</stp>
        <stp>-10FY</stp>
        <stp>[Fundamental &amp; Technical Model (1).xlsm]Multiples!R21C3</stp>
        <stp>EQY_CONSOLIDATED</stp>
        <stp>Yes</stp>
        <stp>ACCOUNTING_STANDARD_OVERRIDE</stp>
        <stp>Mixed</stp>
        <stp>Per</stp>
        <stp>FY</stp>
        <stp>Days=A</stp>
        <tr r="C21" s="16"/>
        <tr r="C21" s="16"/>
      </tp>
      <tp t="s">
        <v>12/31/2008</v>
        <stp/>
        <stp>##V3_BDPV12</stp>
        <stp>SYK US Equity</stp>
        <stp>LATEST_PERIOD_END_DT_FULL_RECORD</stp>
        <stp>[Fundamental &amp; Technical Model (1).xlsm]Segments!R58C4</stp>
        <stp>EQY_FUND_RELATIVE_PERIOD</stp>
        <stp>-10FY</stp>
        <stp>EQY_CONSOLIDATED</stp>
        <stp>Yes</stp>
        <tr r="D58" s="17"/>
        <tr r="D58" s="17"/>
      </tp>
      <tp>
        <v>0</v>
        <stp/>
        <stp>##V3_BQLV12</stp>
        <stp>[Fundamental &amp; Technical Model (1).xlsm]Cash Flow!R38C9</stp>
        <stp>SYK US Equity</stp>
        <stp>CF_INCR_CAP_STOCK/10^6</stp>
        <stp>FPT</stp>
        <stp>A</stp>
        <stp>FPO</stp>
        <stp>-5A</stp>
        <stp>STD</stp>
        <stp>Mixed</stp>
        <stp>CONSOL</stp>
        <stp>Yes</stp>
        <stp>CURRENCY</stp>
        <stp>USD</stp>
        <tr r="I38" s="4"/>
      </tp>
      <tp>
        <v>0</v>
        <stp/>
        <stp>##V3_BQLV12</stp>
        <stp>[Fundamental &amp; Technical Model (1).xlsm]Cash Flow!R38C8</stp>
        <stp>SYK US Equity</stp>
        <stp>CF_INCR_CAP_STOCK/10^6</stp>
        <stp>FPT</stp>
        <stp>A</stp>
        <stp>FPO</stp>
        <stp>-6A</stp>
        <stp>STD</stp>
        <stp>Mixed</stp>
        <stp>CONSOL</stp>
        <stp>Yes</stp>
        <stp>CURRENCY</stp>
        <stp>USD</stp>
        <tr r="H38" s="4"/>
      </tp>
      <tp>
        <v>0</v>
        <stp/>
        <stp>##V3_BQLV12</stp>
        <stp>[Fundamental &amp; Technical Model (1).xlsm]Cash Flow!R38C7</stp>
        <stp>SYK US Equity</stp>
        <stp>CF_INCR_CAP_STOCK/10^6</stp>
        <stp>FPT</stp>
        <stp>A</stp>
        <stp>FPO</stp>
        <stp>-7A</stp>
        <stp>STD</stp>
        <stp>Mixed</stp>
        <stp>CONSOL</stp>
        <stp>Yes</stp>
        <stp>CURRENCY</stp>
        <stp>USD</stp>
        <tr r="G38" s="4"/>
      </tp>
      <tp>
        <v>4.7330059999999996</v>
        <stp/>
        <stp>##V3_BQLV12</stp>
        <stp>[Fundamental &amp; Technical Model (1).xlsm]Income Statement!R71C11</stp>
        <stp>SYK US Equity</stp>
        <stp>IS_DIL_EPS_CONT_OPS</stp>
        <stp>FPT</stp>
        <stp>A</stp>
        <stp>FPO</stp>
        <stp>-3A</stp>
        <stp>STD</stp>
        <stp>Mixed</stp>
        <stp>CONSOL</stp>
        <stp>Yes</stp>
        <stp>CURRENCY</stp>
        <stp>USD</stp>
        <tr r="K71" s="2"/>
      </tp>
      <tp>
        <v>0</v>
        <stp/>
        <stp>##V3_BQLV12</stp>
        <stp>[Fundamental &amp; Technical Model (1).xlsm]Cash Flow!R38C6</stp>
        <stp>SYK US Equity</stp>
        <stp>CF_INCR_CAP_STOCK/10^6</stp>
        <stp>FPT</stp>
        <stp>A</stp>
        <stp>FPO</stp>
        <stp>-8A</stp>
        <stp>STD</stp>
        <stp>Mixed</stp>
        <stp>CONSOL</stp>
        <stp>Yes</stp>
        <stp>CURRENCY</stp>
        <stp>USD</stp>
        <tr r="F38" s="4"/>
      </tp>
      <tp>
        <v>0</v>
        <stp/>
        <stp>##V3_BQLV12</stp>
        <stp>[Fundamental &amp; Technical Model (1).xlsm]Cash Flow!R38C5</stp>
        <stp>SYK US Equity</stp>
        <stp>CF_INCR_CAP_STOCK/10^6</stp>
        <stp>FPT</stp>
        <stp>A</stp>
        <stp>FPO</stp>
        <stp>-9A</stp>
        <stp>STD</stp>
        <stp>Mixed</stp>
        <stp>CONSOL</stp>
        <stp>Yes</stp>
        <stp>CURRENCY</stp>
        <stp>USD</stp>
        <tr r="E38" s="4"/>
      </tp>
      <tp>
        <v>872</v>
        <stp/>
        <stp>##V3_BQLV12</stp>
        <stp>[Fundamental &amp; Technical Model (1).xlsm]Balance Sheet!R46C7</stp>
        <stp>SYK US Equity</stp>
        <stp>BS_OTHER_LT_LIABILITIES/10^6</stp>
        <stp>FPT</stp>
        <stp>A</stp>
        <stp>FPO</stp>
        <stp>-7A</stp>
        <stp>STD</stp>
        <stp>Mixed</stp>
        <stp>CONSOL</stp>
        <stp>Yes</stp>
        <stp>CURRENCY</stp>
        <stp>USD</stp>
        <tr r="G46" s="3"/>
      </tp>
      <tp>
        <v>1120</v>
        <stp/>
        <stp>##V3_BQLV12</stp>
        <stp>[Fundamental &amp; Technical Model (1).xlsm]Balance Sheet!R46C6</stp>
        <stp>SYK US Equity</stp>
        <stp>BS_OTHER_LT_LIABILITIES/10^6</stp>
        <stp>FPT</stp>
        <stp>A</stp>
        <stp>FPO</stp>
        <stp>-8A</stp>
        <stp>STD</stp>
        <stp>Mixed</stp>
        <stp>CONSOL</stp>
        <stp>Yes</stp>
        <stp>CURRENCY</stp>
        <stp>USD</stp>
        <tr r="F46" s="3"/>
      </tp>
      <tp>
        <v>987</v>
        <stp/>
        <stp>##V3_BQLV12</stp>
        <stp>[Fundamental &amp; Technical Model (1).xlsm]Balance Sheet!R46C8</stp>
        <stp>SYK US Equity</stp>
        <stp>BS_OTHER_LT_LIABILITIES/10^6</stp>
        <stp>FPT</stp>
        <stp>A</stp>
        <stp>FPO</stp>
        <stp>-6A</stp>
        <stp>STD</stp>
        <stp>Mixed</stp>
        <stp>CONSOL</stp>
        <stp>Yes</stp>
        <stp>CURRENCY</stp>
        <stp>USD</stp>
        <tr r="H46" s="3"/>
      </tp>
      <tp>
        <v>1035.2</v>
        <stp/>
        <stp>##V3_BQLV12</stp>
        <stp>[Fundamental &amp; Technical Model (1).xlsm]Balance Sheet!R46C5</stp>
        <stp>SYK US Equity</stp>
        <stp>BS_OTHER_LT_LIABILITIES/10^6</stp>
        <stp>FPT</stp>
        <stp>A</stp>
        <stp>FPO</stp>
        <stp>-9A</stp>
        <stp>STD</stp>
        <stp>Mixed</stp>
        <stp>CONSOL</stp>
        <stp>Yes</stp>
        <stp>CURRENCY</stp>
        <stp>USD</stp>
        <tr r="E46" s="3"/>
      </tp>
      <tp>
        <v>1300</v>
        <stp/>
        <stp>##V3_BQLV12</stp>
        <stp>[Fundamental &amp; Technical Model (1).xlsm]Balance Sheet!R46C9</stp>
        <stp>SYK US Equity</stp>
        <stp>BS_OTHER_LT_LIABILITIES/10^6</stp>
        <stp>FPT</stp>
        <stp>A</stp>
        <stp>FPO</stp>
        <stp>-5A</stp>
        <stp>STD</stp>
        <stp>Mixed</stp>
        <stp>CONSOL</stp>
        <stp>Yes</stp>
        <stp>CURRENCY</stp>
        <stp>USD</stp>
        <tr r="I46" s="3"/>
      </tp>
      <tp>
        <v>0</v>
        <stp/>
        <stp>##V3_BQLV12</stp>
        <stp>[Fundamental &amp; Technical Model (1).xlsm]Cash Flow!R24C13</stp>
        <stp>SYK US Equity</stp>
        <stp>CF_DECR_INVEST/10^6</stp>
        <stp>FPT</stp>
        <stp>A</stp>
        <stp>FPO</stp>
        <stp>-1A</stp>
        <stp>STD</stp>
        <stp>Mixed</stp>
        <stp>CONSOL</stp>
        <stp>Yes</stp>
        <stp>CURRENCY</stp>
        <stp>USD</stp>
        <tr r="M24" s="4"/>
      </tp>
      <tp>
        <v>1750</v>
        <stp/>
        <stp>##V3_BDPV12</stp>
        <stp>SYK US Equity</stp>
        <stp>BS_DEBT_SCHEDULE_YR_2_3</stp>
        <stp>[Fundamental &amp; Technical Model (1).xlsm]Capital Structure Summary!R76C9</stp>
        <stp>EQY_FUND_RELATIVE_PERIOD</stp>
        <stp>-1FY</stp>
        <stp>EQY_FUND_CRNCY</stp>
        <stp>USD</stp>
        <stp>EQY_CONSOLIDATED</stp>
        <stp>Yes</stp>
        <stp>ACCOUNTING_STANDARD_OVERRIDE</stp>
        <stp>Mixed</stp>
        <stp>Fill=--</stp>
        <tr r="I76" s="21"/>
      </tp>
      <tp t="e">
        <v>#N/A</v>
        <stp/>
        <stp>##V3_BDHV12</stp>
        <stp>SYK US Equity</stp>
        <stp>AVG_EV_TO_T12M_EBITDA</stp>
        <stp>-4FY</stp>
        <stp>-4FY</stp>
        <stp>[Fundamental &amp; Technical Model (1).xlsm]Multiples!R22C9</stp>
        <stp>EQY_CONSOLIDATED</stp>
        <stp>Yes</stp>
        <stp>ACCOUNTING_STANDARD_OVERRIDE</stp>
        <stp>Mixed</stp>
        <stp>Per</stp>
        <stp>FY</stp>
        <stp>Days=A</stp>
        <tr r="I22" s="16"/>
        <tr r="I22" s="16"/>
      </tp>
      <tp>
        <v>750</v>
        <stp/>
        <stp>##V3_BDPV12</stp>
        <stp>SYK US Equity</stp>
        <stp>BS_DEBT_SCHEDULE_YR_4_5</stp>
        <stp>[Fundamental &amp; Technical Model (1).xlsm]Capital Structure Summary!R77C9</stp>
        <stp>EQY_FUND_RELATIVE_PERIOD</stp>
        <stp>-1FY</stp>
        <stp>EQY_FUND_CRNCY</stp>
        <stp>USD</stp>
        <stp>EQY_CONSOLIDATED</stp>
        <stp>Yes</stp>
        <stp>ACCOUNTING_STANDARD_OVERRIDE</stp>
        <stp>Mixed</stp>
        <stp>Fill=--</stp>
        <tr r="I77" s="21"/>
      </tp>
      <tp>
        <v>2500</v>
        <stp/>
        <stp>##V3_BDPV12</stp>
        <stp>SYK US Equity</stp>
        <stp>BS_DEBT_SCHEDULE_YR_2_5</stp>
        <stp>[Fundamental &amp; Technical Model (1).xlsm]Capital Structure Summary!R78C9</stp>
        <stp>EQY_FUND_RELATIVE_PERIOD</stp>
        <stp>-1FY</stp>
        <stp>EQY_FUND_CRNCY</stp>
        <stp>USD</stp>
        <stp>EQY_CONSOLIDATED</stp>
        <stp>Yes</stp>
        <stp>ACCOUNTING_STANDARD_OVERRIDE</stp>
        <stp>Mixed</stp>
        <stp>Fill=--</stp>
        <tr r="I78" s="21"/>
      </tp>
      <tp>
        <v>500</v>
        <stp/>
        <stp>##V3_BDPV12</stp>
        <stp>SYK US Equity</stp>
        <stp>BS_DEBT_SCHEDULE_YR_4_5</stp>
        <stp>[Fundamental &amp; Technical Model (1).xlsm]Capital Structure Summary!R77C5</stp>
        <stp>EQY_FUND_RELATIVE_PERIOD</stp>
        <stp>-3FY</stp>
        <stp>EQY_FUND_CRNCY</stp>
        <stp>USD</stp>
        <stp>EQY_CONSOLIDATED</stp>
        <stp>Yes</stp>
        <stp>ACCOUNTING_STANDARD_OVERRIDE</stp>
        <stp>Mixed</stp>
        <stp>Fill=--</stp>
        <tr r="E77" s="21"/>
      </tp>
      <tp>
        <v>1100</v>
        <stp/>
        <stp>##V3_BDPV12</stp>
        <stp>SYK US Equity</stp>
        <stp>BS_DEBT_SCHEDULE_YR_2_5</stp>
        <stp>[Fundamental &amp; Technical Model (1).xlsm]Capital Structure Summary!R78C5</stp>
        <stp>EQY_FUND_RELATIVE_PERIOD</stp>
        <stp>-3FY</stp>
        <stp>EQY_FUND_CRNCY</stp>
        <stp>USD</stp>
        <stp>EQY_CONSOLIDATED</stp>
        <stp>Yes</stp>
        <stp>ACCOUNTING_STANDARD_OVERRIDE</stp>
        <stp>Mixed</stp>
        <stp>Fill=--</stp>
        <tr r="E78" s="21"/>
      </tp>
      <tp>
        <v>600</v>
        <stp/>
        <stp>##V3_BDPV12</stp>
        <stp>SYK US Equity</stp>
        <stp>BS_DEBT_SCHEDULE_YR_4_5</stp>
        <stp>[Fundamental &amp; Technical Model (1).xlsm]Capital Structure Summary!R77C3</stp>
        <stp>EQY_FUND_RELATIVE_PERIOD</stp>
        <stp>-4FY</stp>
        <stp>EQY_FUND_CRNCY</stp>
        <stp>USD</stp>
        <stp>EQY_CONSOLIDATED</stp>
        <stp>Yes</stp>
        <stp>ACCOUNTING_STANDARD_OVERRIDE</stp>
        <stp>Mixed</stp>
        <stp>Fill=--</stp>
        <tr r="C77" s="21"/>
      </tp>
      <tp>
        <v>1350</v>
        <stp/>
        <stp>##V3_BDPV12</stp>
        <stp>SYK US Equity</stp>
        <stp>BS_DEBT_SCHEDULE_YR_2_5</stp>
        <stp>[Fundamental &amp; Technical Model (1).xlsm]Capital Structure Summary!R78C3</stp>
        <stp>EQY_FUND_RELATIVE_PERIOD</stp>
        <stp>-4FY</stp>
        <stp>EQY_FUND_CRNCY</stp>
        <stp>USD</stp>
        <stp>EQY_CONSOLIDATED</stp>
        <stp>Yes</stp>
        <stp>ACCOUNTING_STANDARD_OVERRIDE</stp>
        <stp>Mixed</stp>
        <stp>Fill=--</stp>
        <tr r="C78" s="21"/>
      </tp>
      <tp>
        <v>1250</v>
        <stp/>
        <stp>##V3_BDPV12</stp>
        <stp>SYK US Equity</stp>
        <stp>BS_DEBT_SCHEDULE_YR_4_5</stp>
        <stp>[Fundamental &amp; Technical Model (1).xlsm]Capital Structure Summary!R77C7</stp>
        <stp>EQY_FUND_RELATIVE_PERIOD</stp>
        <stp>-2FY</stp>
        <stp>EQY_FUND_CRNCY</stp>
        <stp>USD</stp>
        <stp>EQY_CONSOLIDATED</stp>
        <stp>Yes</stp>
        <stp>ACCOUNTING_STANDARD_OVERRIDE</stp>
        <stp>Mixed</stp>
        <stp>Fill=--</stp>
        <tr r="G77" s="21"/>
      </tp>
      <tp>
        <v>2602</v>
        <stp/>
        <stp>##V3_BDPV12</stp>
        <stp>SYK US Equity</stp>
        <stp>BS_DEBT_SCHEDULE_YR_2_5</stp>
        <stp>[Fundamental &amp; Technical Model (1).xlsm]Capital Structure Summary!R78C7</stp>
        <stp>EQY_FUND_RELATIVE_PERIOD</stp>
        <stp>-2FY</stp>
        <stp>EQY_FUND_CRNCY</stp>
        <stp>USD</stp>
        <stp>EQY_CONSOLIDATED</stp>
        <stp>Yes</stp>
        <stp>ACCOUNTING_STANDARD_OVERRIDE</stp>
        <stp>Mixed</stp>
        <stp>Fill=--</stp>
        <tr r="G78" s="21"/>
      </tp>
      <tp>
        <v>1352</v>
        <stp/>
        <stp>##V3_BDPV12</stp>
        <stp>SYK US Equity</stp>
        <stp>BS_DEBT_SCHEDULE_YR_2_3</stp>
        <stp>[Fundamental &amp; Technical Model (1).xlsm]Capital Structure Summary!R76C7</stp>
        <stp>EQY_FUND_RELATIVE_PERIOD</stp>
        <stp>-2FY</stp>
        <stp>EQY_FUND_CRNCY</stp>
        <stp>USD</stp>
        <stp>EQY_CONSOLIDATED</stp>
        <stp>Yes</stp>
        <stp>ACCOUNTING_STANDARD_OVERRIDE</stp>
        <stp>Mixed</stp>
        <stp>Fill=--</stp>
        <tr r="G76" s="21"/>
      </tp>
      <tp>
        <v>600</v>
        <stp/>
        <stp>##V3_BDPV12</stp>
        <stp>SYK US Equity</stp>
        <stp>BS_DEBT_SCHEDULE_YR_2_3</stp>
        <stp>[Fundamental &amp; Technical Model (1).xlsm]Capital Structure Summary!R76C5</stp>
        <stp>EQY_FUND_RELATIVE_PERIOD</stp>
        <stp>-3FY</stp>
        <stp>EQY_FUND_CRNCY</stp>
        <stp>USD</stp>
        <stp>EQY_CONSOLIDATED</stp>
        <stp>Yes</stp>
        <stp>ACCOUNTING_STANDARD_OVERRIDE</stp>
        <stp>Mixed</stp>
        <stp>Fill=--</stp>
        <tr r="E76" s="21"/>
      </tp>
      <tp>
        <v>750</v>
        <stp/>
        <stp>##V3_BDPV12</stp>
        <stp>SYK US Equity</stp>
        <stp>BS_DEBT_SCHEDULE_YR_2_3</stp>
        <stp>[Fundamental &amp; Technical Model (1).xlsm]Capital Structure Summary!R76C3</stp>
        <stp>EQY_FUND_RELATIVE_PERIOD</stp>
        <stp>-4FY</stp>
        <stp>EQY_FUND_CRNCY</stp>
        <stp>USD</stp>
        <stp>EQY_CONSOLIDATED</stp>
        <stp>Yes</stp>
        <stp>ACCOUNTING_STANDARD_OVERRIDE</stp>
        <stp>Mixed</stp>
        <stp>Fill=--</stp>
        <tr r="C76" s="21"/>
      </tp>
      <tp t="e">
        <v>#N/A</v>
        <stp/>
        <stp>##V3_BDHV12</stp>
        <stp>SYK US Equity</stp>
        <stp>HIGH_CLOSING_PRICE_TO_CASH_FLOW</stp>
        <stp>-9FY</stp>
        <stp>-9FY</stp>
        <stp>[Fundamental &amp; Technical Model (1).xlsm]Multiples!R53C4</stp>
        <stp>EQY_CONSOLIDATED</stp>
        <stp>Yes</stp>
        <stp>ACCOUNTING_STANDARD_OVERRIDE</stp>
        <stp>Mixed</stp>
        <stp>Per</stp>
        <stp>FY</stp>
        <stp>Days=A</stp>
        <tr r="D53" s="16"/>
        <tr r="D53" s="16"/>
      </tp>
      <tp>
        <v>9.5394736842105257</v>
        <stp/>
        <stp>##V3_BDPV12</stp>
        <stp>SYK US Equity</stp>
        <stp>EBIT_TO_INT_EXP</stp>
        <stp>[Fundamental &amp; Technical Model (1).xlsm]Capital Structure Summary!R64C7</stp>
        <stp>EQY_FUND_RELATIVE_PERIOD</stp>
        <stp>-2FY</stp>
        <stp>EQY_FUND_CRNCY</stp>
        <stp>USD</stp>
        <stp>EQY_CONSOLIDATED</stp>
        <stp>Yes</stp>
        <stp>ACCOUNTING_STANDARD_OVERRIDE</stp>
        <stp>Mixed</stp>
        <stp>Fill=--</stp>
        <tr r="G64" s="21"/>
      </tp>
      <tp>
        <v>17.231481481481481</v>
        <stp/>
        <stp>##V3_BDPV12</stp>
        <stp>SYK US Equity</stp>
        <stp>EBIT_TO_INT_EXP</stp>
        <stp>[Fundamental &amp; Technical Model (1).xlsm]Capital Structure Summary!R64C5</stp>
        <stp>EQY_FUND_RELATIVE_PERIOD</stp>
        <stp>-3FY</stp>
        <stp>EQY_FUND_CRNCY</stp>
        <stp>USD</stp>
        <stp>EQY_CONSOLIDATED</stp>
        <stp>Yes</stp>
        <stp>ACCOUNTING_STANDARD_OVERRIDE</stp>
        <stp>Mixed</stp>
        <stp>Fill=--</stp>
        <tr r="E64" s="21"/>
      </tp>
      <tp>
        <v>11.026548672566372</v>
        <stp/>
        <stp>##V3_BDPV12</stp>
        <stp>SYK US Equity</stp>
        <stp>EBIT_TO_INT_EXP</stp>
        <stp>[Fundamental &amp; Technical Model (1).xlsm]Capital Structure Summary!R64C3</stp>
        <stp>EQY_FUND_RELATIVE_PERIOD</stp>
        <stp>-4FY</stp>
        <stp>EQY_FUND_CRNCY</stp>
        <stp>USD</stp>
        <stp>EQY_CONSOLIDATED</stp>
        <stp>Yes</stp>
        <stp>ACCOUNTING_STANDARD_OVERRIDE</stp>
        <stp>Mixed</stp>
        <stp>Fill=--</stp>
        <tr r="C64" s="21"/>
      </tp>
      <tp t="s">
        <v>#N/A N/A</v>
        <stp/>
        <stp>##V3_BDSV12</stp>
        <stp>SYK US Equity</stp>
        <stp>PG_REVENUE</stp>
        <stp>[Fundamental &amp; Technical Model (1).xlsm]Segments!R26C3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26" s="17"/>
      </tp>
      <tp t="s">
        <v>#N/A N/A</v>
        <stp/>
        <stp>##V3_BDSV12</stp>
        <stp>SYK US Equity</stp>
        <stp>PG_REVENUE</stp>
        <stp>[Fundamental &amp; Technical Model (1).xlsm]Segments!R40C3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40" s="17"/>
      </tp>
      <tp>
        <v>6.4975904937107601E-2</v>
        <stp/>
        <stp>##V3_BQLV12</stp>
        <stp>[Fundamental &amp; Technical Model (1).xlsm]Key Stats!R16C14</stp>
        <stp>SYK US Equity</stp>
        <stp>SALES_GROWTH/100</stp>
        <stp>FPT</stp>
        <stp>A</stp>
        <stp>FPO</stp>
        <stp>3A</stp>
        <stp>STD</stp>
        <stp>Mixed</stp>
        <stp>CONSOL</stp>
        <stp>Yes</stp>
        <stp>CURRENCY</stp>
        <stp>USD</stp>
        <tr r="N16" s="23"/>
      </tp>
      <tp>
        <v>9.2995951417004044</v>
        <stp/>
        <stp>##V3_BDPV12</stp>
        <stp>SYK US Equity</stp>
        <stp>EBIT_TO_INT_EXP</stp>
        <stp>[Fundamental &amp; Technical Model (1).xlsm]Capital Structure Summary!R64C9</stp>
        <stp>EQY_FUND_RELATIVE_PERIOD</stp>
        <stp>-1FY</stp>
        <stp>EQY_FUND_CRNCY</stp>
        <stp>USD</stp>
        <stp>EQY_CONSOLIDATED</stp>
        <stp>Yes</stp>
        <stp>ACCOUNTING_STANDARD_OVERRIDE</stp>
        <stp>Mixed</stp>
        <stp>Fill=--</stp>
        <tr r="I64" s="21"/>
      </tp>
      <tp t="s">
        <v>#N/A N/A</v>
        <stp/>
        <stp>##V3_BDSV12</stp>
        <stp>SYK US Equity</stp>
        <stp>PG_DEPR_AMORTIZATION</stp>
        <stp>[Fundamental &amp; Technical Model (1).xlsm]Segments!R140C13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140" s="17"/>
      </tp>
      <tp t="s">
        <v>#N/A N/A</v>
        <stp/>
        <stp>##V3_BDSV12</stp>
        <stp>SYK US Equity</stp>
        <stp>PG_OPERATING_INCOME</stp>
        <stp>[Fundamental &amp; Technical Model (1).xlsm]Segments!R98C5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98" s="17"/>
      </tp>
      <tp t="s">
        <v>#N/A N/A</v>
        <stp/>
        <stp>##V3_BDSV12</stp>
        <stp>SYK US Equity</stp>
        <stp>PG_DEPR_AMORTIZATION</stp>
        <stp>[Fundamental &amp; Technical Model (1).xlsm]Segments!R140C12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140" s="17"/>
      </tp>
      <tp t="s">
        <v>#N/A N/A</v>
        <stp/>
        <stp>##V3_BDSV12</stp>
        <stp>SYK US Equity</stp>
        <stp>PG_DEPR_AMORTIZATION</stp>
        <stp>[Fundamental &amp; Technical Model (1).xlsm]Segments!R140C11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140" s="17"/>
      </tp>
      <tp t="s">
        <v>#N/A N/A</v>
        <stp/>
        <stp>##V3_BDSV12</stp>
        <stp>SYK US Equity</stp>
        <stp>PG_DEPR_AMORTIZATION</stp>
        <stp>[Fundamental &amp; Technical Model (1).xlsm]Segments!R140C10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140" s="17"/>
      </tp>
      <tp>
        <v>10.452961672473867</v>
        <stp/>
        <stp>##V3_BQLV12</stp>
        <stp>[Fundamental &amp; Technical Model (1).xlsm]Ratios!R18C13</stp>
        <stp>SYK US Equity</stp>
        <stp>RETURN_COM_EQY</stp>
        <stp>FPT</stp>
        <stp>A</stp>
        <stp>FPO</stp>
        <stp>-1A</stp>
        <stp>STD</stp>
        <stp>Mixed</stp>
        <stp>CONSOL</stp>
        <stp>Yes</stp>
        <tr r="M18" s="8"/>
      </tp>
      <tp t="s">
        <v>#N/A N/A</v>
        <stp/>
        <stp>##V3_BDSV12</stp>
        <stp>SYK US Equity</stp>
        <stp>PG_DEPR_AMORTIZATION</stp>
        <stp>[Fundamental &amp; Technical Model (1).xlsm]Segments!R140C14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140" s="17"/>
      </tp>
      <tp>
        <v>30</v>
        <stp/>
        <stp>##V3_BQLV12</stp>
        <stp>[Fundamental &amp; Technical Model (1).xlsm]Balance Sheet!R40C4</stp>
        <stp>SYK US Equity</stp>
        <stp>BS_ACCRUED_INCOME_TAXES/10^6</stp>
        <stp>FPT</stp>
        <stp>A</stp>
        <stp>FPO</stp>
        <stp>-10A</stp>
        <stp>STD</stp>
        <stp>Mixed</stp>
        <stp>CONSOL</stp>
        <stp>Yes</stp>
        <stp>CURRENCY</stp>
        <stp>USD</stp>
        <tr r="D40" s="3"/>
      </tp>
      <tp t="s">
        <v>USD</v>
        <stp/>
        <stp>##V3_BDPV12</stp>
        <stp>SYK US Equity</stp>
        <stp>EQY FUND CRNCY</stp>
        <stp>[Fundamental &amp; Technical Model (1).xlsm]Capital Structure Summary!R7C11</stp>
        <tr r="K7" s="21"/>
      </tp>
      <tp t="s">
        <v>12/31/2008</v>
        <stp/>
        <stp>##V3_BDPV12</stp>
        <stp>SYK US Equity</stp>
        <stp>LATEST_PERIOD_END_DT_FULL_RECORD</stp>
        <stp>[Fundamental &amp; Technical Model (1).xlsm]Segments!R29C4</stp>
        <stp>EQY_FUND_RELATIVE_PERIOD</stp>
        <stp>-10FY</stp>
        <stp>EQY_CONSOLIDATED</stp>
        <stp>Yes</stp>
        <tr r="D29" s="17"/>
        <tr r="D29" s="17"/>
      </tp>
      <tp>
        <v>4.3755280000000001</v>
        <stp/>
        <stp>##V3_BQLV12</stp>
        <stp>[Fundamental &amp; Technical Model (1).xlsm]Income Statement!R71C10</stp>
        <stp>SYK US Equity</stp>
        <stp>IS_DIL_EPS_CONT_OPS</stp>
        <stp>FPT</stp>
        <stp>A</stp>
        <stp>FPO</stp>
        <stp>-4A</stp>
        <stp>STD</stp>
        <stp>Mixed</stp>
        <stp>CONSOL</stp>
        <stp>Yes</stp>
        <stp>CURRENCY</stp>
        <stp>USD</stp>
        <tr r="J71" s="2"/>
      </tp>
      <tp>
        <v>82.25</v>
        <stp/>
        <stp>##V3_BDPV12</stp>
        <stp>BAX Equity</stp>
        <stp>high_52week</stp>
        <stp>[Fundamental &amp; Technical Model (1).xlsm]Public Comparables!R14C6</stp>
        <tr r="F14" s="24"/>
      </tp>
      <tp>
        <v>0</v>
        <stp/>
        <stp>##V3_BQLV12</stp>
        <stp>[Fundamental &amp; Technical Model (1).xlsm]Cash Flow!R24C12</stp>
        <stp>SYK US Equity</stp>
        <stp>CF_DECR_INVEST/10^6</stp>
        <stp>FPT</stp>
        <stp>A</stp>
        <stp>FPO</stp>
        <stp>-2A</stp>
        <stp>STD</stp>
        <stp>Mixed</stp>
        <stp>CONSOL</stp>
        <stp>Yes</stp>
        <stp>CURRENCY</stp>
        <stp>USD</stp>
        <tr r="L24" s="4"/>
      </tp>
      <tp t="e">
        <v>#N/A</v>
        <stp/>
        <stp>##V3_BDHV12</stp>
        <stp>SYK US Equity</stp>
        <stp>AVG_EV_TO_T12M_EBITDA</stp>
        <stp>-5FY</stp>
        <stp>-5FY</stp>
        <stp>[Fundamental &amp; Technical Model (1).xlsm]Multiples!R22C8</stp>
        <stp>EQY_CONSOLIDATED</stp>
        <stp>Yes</stp>
        <stp>ACCOUNTING_STANDARD_OVERRIDE</stp>
        <stp>Mixed</stp>
        <stp>Per</stp>
        <stp>FY</stp>
        <stp>Days=A</stp>
        <tr r="H22" s="16"/>
        <tr r="H22" s="16"/>
      </tp>
      <tp t="s">
        <v>--</v>
        <stp/>
        <stp>##V3_BDPV12</stp>
        <stp>SYK US Equity</stp>
        <stp>BS_CAPITAL_LEASE_YR_2_3</stp>
        <stp>[Fundamental &amp; Technical Model (1).xlsm]Capital Structure Summary!R88C11</stp>
        <stp>EQY_FUND_RELATIVE_PERIOD</stp>
        <stp>-0FY</stp>
        <stp>EQY_FUND_CRNCY</stp>
        <stp>USD</stp>
        <stp>EQY_CONSOLIDATED</stp>
        <stp>Yes</stp>
        <stp>ACCOUNTING_STANDARD_OVERRIDE</stp>
        <stp>Mixed</stp>
        <stp>Fill=--</stp>
        <tr r="K88" s="21"/>
      </tp>
      <tp t="e">
        <v>#N/A</v>
        <stp/>
        <stp>##V3_BDHV12</stp>
        <stp>SYK US Equity</stp>
        <stp>HIGH_CLOSING_PRICE_TO_CASH_FLOW</stp>
        <stp>-8FY</stp>
        <stp>-8FY</stp>
        <stp>[Fundamental &amp; Technical Model (1).xlsm]Multiples!R53C5</stp>
        <stp>EQY_CONSOLIDATED</stp>
        <stp>Yes</stp>
        <stp>ACCOUNTING_STANDARD_OVERRIDE</stp>
        <stp>Mixed</stp>
        <stp>Per</stp>
        <stp>FY</stp>
        <stp>Days=A</stp>
        <tr r="E53" s="16"/>
        <tr r="E53" s="16"/>
      </tp>
      <tp>
        <v>26.123079185354019</v>
        <stp/>
        <stp>##V3_BQLV12</stp>
        <stp>[Fundamental &amp; Technical Model (1).xlsm]Ratios!R26C14</stp>
        <stp>SYK US Equity</stp>
        <stp>PROF_MARGIN</stp>
        <stp>FPT</stp>
        <stp>A</stp>
        <stp>FPO</stp>
        <stp>-0A</stp>
        <stp>STD</stp>
        <stp>Mixed</stp>
        <stp>CONSOL</stp>
        <stp>Yes</stp>
        <tr r="N26" s="8"/>
      </tp>
      <tp>
        <v>825.6</v>
        <stp/>
        <stp>##V3_BDPV12</stp>
        <stp>EW Equity</stp>
        <stp>Trail_12M_ebitda</stp>
        <stp>[Fundamental &amp; Technical Model (1).xlsm]Public Comparables!R12C11</stp>
        <tr r="K12" s="24"/>
      </tp>
      <tp t="s">
        <v>#N/A N/A</v>
        <stp/>
        <stp>##V3_BDSV12</stp>
        <stp>SYK US Equity</stp>
        <stp>PG_DEPR_AMORTIZATION</stp>
        <stp>[Fundamental &amp; Technical Model (1).xlsm]Segments!R156C8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156" s="17"/>
      </tp>
      <tp t="s">
        <v>#N/A N/A</v>
        <stp/>
        <stp>##V3_BDSV12</stp>
        <stp>SYK US Equity</stp>
        <stp>PG_DEPR_AMORTIZATION</stp>
        <stp>[Fundamental &amp; Technical Model (1).xlsm]Segments!R142C8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142" s="17"/>
      </tp>
      <tp t="s">
        <v>#N/A N/A</v>
        <stp/>
        <stp>##V3_BDSV12</stp>
        <stp>SYK US Equity</stp>
        <stp>PG_REVENUE</stp>
        <stp>[Fundamental &amp; Technical Model (1).xlsm]Segments!R23C13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23" s="17"/>
      </tp>
      <tp t="s">
        <v>#N/A N/A</v>
        <stp/>
        <stp>##V3_BDSV12</stp>
        <stp>SYK US Equity</stp>
        <stp>PG_REVENUE</stp>
        <stp>[Fundamental &amp; Technical Model (1).xlsm]Segments!R23C12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23" s="17"/>
      </tp>
      <tp t="s">
        <v>#N/A N/A</v>
        <stp/>
        <stp>##V3_BDSV12</stp>
        <stp>SYK US Equity</stp>
        <stp>PG_REVENUE</stp>
        <stp>[Fundamental &amp; Technical Model (1).xlsm]Segments!R23C11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23" s="17"/>
      </tp>
      <tp t="s">
        <v>#N/A N/A</v>
        <stp/>
        <stp>##V3_BDSV12</stp>
        <stp>SYK US Equity</stp>
        <stp>PG_REVENUE</stp>
        <stp>[Fundamental &amp; Technical Model (1).xlsm]Segments!R23C10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23" s="17"/>
      </tp>
      <tp t="s">
        <v>#N/A N/A</v>
        <stp/>
        <stp>##V3_BDSV12</stp>
        <stp>SYK US Equity</stp>
        <stp>PG_REVENUE</stp>
        <stp>[Fundamental &amp; Technical Model (1).xlsm]Segments!R23C14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23" s="17"/>
      </tp>
      <tp t="s">
        <v>#N/A N/A</v>
        <stp/>
        <stp>##V3_BDSV12</stp>
        <stp>SYK US Equity</stp>
        <stp>PG_ASSETS</stp>
        <stp>[Fundamental &amp; Technical Model (1).xlsm]Segments!R110C14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110" s="17"/>
      </tp>
      <tp t="e">
        <v>#N/A</v>
        <stp/>
        <stp>##V3_BDHV12</stp>
        <stp>SYK US Equity</stp>
        <stp>PE_RATIO</stp>
        <stp>-8FY</stp>
        <stp>-8FY</stp>
        <stp>[Fundamental &amp; Technical Model (1).xlsm]Multiples!R33C5</stp>
        <stp>EQY_CONSOLIDATED</stp>
        <stp>Yes</stp>
        <stp>ACCOUNTING_STANDARD_OVERRIDE</stp>
        <stp>Mixed</stp>
        <stp>Per</stp>
        <stp>FY</stp>
        <stp>Days=A</stp>
        <tr r="E33" s="16"/>
        <tr r="E33" s="16"/>
      </tp>
      <tp t="s">
        <v>#N/A N/A</v>
        <stp/>
        <stp>##V3_BDSV12</stp>
        <stp>SYK US Equity</stp>
        <stp>PG_ASSETS</stp>
        <stp>[Fundamental &amp; Technical Model (1).xlsm]Segments!R110C10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110" s="17"/>
      </tp>
      <tp t="s">
        <v>#N/A N/A</v>
        <stp/>
        <stp>##V3_BDSV12</stp>
        <stp>SYK US Equity</stp>
        <stp>PG_ASSETS</stp>
        <stp>[Fundamental &amp; Technical Model (1).xlsm]Segments!R110C11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110" s="17"/>
      </tp>
      <tp t="s">
        <v>#N/A N/A</v>
        <stp/>
        <stp>##V3_BDSV12</stp>
        <stp>SYK US Equity</stp>
        <stp>PG_ASSETS</stp>
        <stp>[Fundamental &amp; Technical Model (1).xlsm]Segments!R110C12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110" s="17"/>
      </tp>
      <tp t="s">
        <v>#N/A N/A</v>
        <stp/>
        <stp>##V3_BDSV12</stp>
        <stp>SYK US Equity</stp>
        <stp>PG_ASSETS</stp>
        <stp>[Fundamental &amp; Technical Model (1).xlsm]Segments!R110C13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110" s="17"/>
      </tp>
      <tp t="e">
        <v>#N/A</v>
        <stp/>
        <stp>##V3_BDHV12</stp>
        <stp>SYK US Equity</stp>
        <stp>AVG_EV_TO_T12M_EBITDA</stp>
        <stp>-6FY</stp>
        <stp>-6FY</stp>
        <stp>[Fundamental &amp; Technical Model (1).xlsm]Multiples!R22C7</stp>
        <stp>EQY_CONSOLIDATED</stp>
        <stp>Yes</stp>
        <stp>ACCOUNTING_STANDARD_OVERRIDE</stp>
        <stp>Mixed</stp>
        <stp>Per</stp>
        <stp>FY</stp>
        <stp>Days=A</stp>
        <tr r="G22" s="16"/>
        <tr r="G22" s="16"/>
      </tp>
      <tp t="s">
        <v>12/31/2016</v>
        <stp/>
        <stp>##V3_BDPV12</stp>
        <stp>SYK US Equity</stp>
        <stp>LATEST_PERIOD_END_DT_FULL_RECORD</stp>
        <stp>[Fundamental &amp; Technical Model (1).xlsm]Segments!R116C12</stp>
        <stp>EQY_FUND_RELATIVE_PERIOD</stp>
        <stp>-2FY</stp>
        <stp>EQY_CONSOLIDATED</stp>
        <stp>Yes</stp>
        <tr r="L116" s="17"/>
        <tr r="L116" s="17"/>
      </tp>
      <tp t="s">
        <v>12/31/2015</v>
        <stp/>
        <stp>##V3_BDPV12</stp>
        <stp>SYK US Equity</stp>
        <stp>LATEST_PERIOD_END_DT_FULL_RECORD</stp>
        <stp>[Fundamental &amp; Technical Model (1).xlsm]Segments!R116C11</stp>
        <stp>EQY_FUND_RELATIVE_PERIOD</stp>
        <stp>-3FY</stp>
        <stp>EQY_CONSOLIDATED</stp>
        <stp>Yes</stp>
        <tr r="K116" s="17"/>
        <tr r="K116" s="17"/>
      </tp>
      <tp t="s">
        <v>12/31/2017</v>
        <stp/>
        <stp>##V3_BDPV12</stp>
        <stp>SYK US Equity</stp>
        <stp>LATEST_PERIOD_END_DT_FULL_RECORD</stp>
        <stp>[Fundamental &amp; Technical Model (1).xlsm]Segments!R116C13</stp>
        <stp>EQY_FUND_RELATIVE_PERIOD</stp>
        <stp>-1FY</stp>
        <stp>EQY_CONSOLIDATED</stp>
        <stp>Yes</stp>
        <tr r="M116" s="17"/>
        <tr r="M116" s="17"/>
      </tp>
      <tp t="s">
        <v>12/31/2014</v>
        <stp/>
        <stp>##V3_BDPV12</stp>
        <stp>SYK US Equity</stp>
        <stp>LATEST_PERIOD_END_DT_FULL_RECORD</stp>
        <stp>[Fundamental &amp; Technical Model (1).xlsm]Segments!R116C10</stp>
        <stp>EQY_FUND_RELATIVE_PERIOD</stp>
        <stp>-4FY</stp>
        <stp>EQY_CONSOLIDATED</stp>
        <stp>Yes</stp>
        <tr r="J116" s="17"/>
        <tr r="J116" s="17"/>
      </tp>
      <tp t="s">
        <v>12/31/2018</v>
        <stp/>
        <stp>##V3_BDPV12</stp>
        <stp>SYK US Equity</stp>
        <stp>LATEST_PERIOD_END_DT_FULL_RECORD</stp>
        <stp>[Fundamental &amp; Technical Model (1).xlsm]Segments!R116C14</stp>
        <stp>EQY_FUND_RELATIVE_PERIOD</stp>
        <stp>-0FY</stp>
        <stp>EQY_CONSOLIDATED</stp>
        <stp>Yes</stp>
        <tr r="N116" s="17"/>
        <tr r="N116" s="17"/>
      </tp>
      <tp t="s">
        <v>2015 A</v>
        <stp/>
        <stp>##V3_BQLV12</stp>
        <stp>[Fundamental &amp; Technical Model (1).xlsm]Balance Sheet!R13C11</stp>
        <stp>SYK US Equity</stp>
        <stp>IS_EPS().PERIOD</stp>
        <stp>FPT</stp>
        <stp>A</stp>
        <stp>FPO</stp>
        <stp>-3A</stp>
        <stp>STD</stp>
        <stp>Mixed</stp>
        <stp>CONSOL</stp>
        <stp>Yes</stp>
        <tr r="K13" s="3"/>
      </tp>
      <tp t="s">
        <v>#N/A</v>
        <stp/>
        <stp>##V3_BQLV12</stp>
        <stp>[Fundamental &amp; Technical Model (1).xlsm]Cash Flow!R40C4</stp>
        <stp>SYK US Equity</stp>
        <stp>IS_SPECIAL_CASH_DIVIDEND_AMOUNT/10^6</stp>
        <stp>FPT</stp>
        <stp>A</stp>
        <stp>FPO</stp>
        <stp>-10A</stp>
        <stp>STD</stp>
        <stp>Mixed</stp>
        <stp>CONSOL</stp>
        <stp>Yes</stp>
        <stp>CURRENCY</stp>
        <stp>USD</stp>
        <tr r="D40" s="4"/>
      </tp>
      <tp>
        <v>8.1967213114754092</v>
        <stp/>
        <stp>##V3_BQLV12</stp>
        <stp>[Fundamental &amp; Technical Model (1).xlsm]Ratios!R26C13</stp>
        <stp>SYK US Equity</stp>
        <stp>PROF_MARGIN</stp>
        <stp>FPT</stp>
        <stp>A</stp>
        <stp>FPO</stp>
        <stp>-1A</stp>
        <stp>STD</stp>
        <stp>Mixed</stp>
        <stp>CONSOL</stp>
        <stp>Yes</stp>
        <tr r="M26" s="8"/>
      </tp>
      <tp t="e">
        <v>#N/A</v>
        <stp/>
        <stp>##V3_BDHV12</stp>
        <stp>SYK US Equity</stp>
        <stp>PE_RATIO</stp>
        <stp>-10FY</stp>
        <stp>-10FY</stp>
        <stp>[Fundamental &amp; Technical Model (1).xlsm]Multiples!R33C3</stp>
        <stp>EQY_CONSOLIDATED</stp>
        <stp>Yes</stp>
        <stp>ACCOUNTING_STANDARD_OVERRIDE</stp>
        <stp>Mixed</stp>
        <stp>Per</stp>
        <stp>FY</stp>
        <stp>Days=A</stp>
        <tr r="C33" s="16"/>
        <tr r="C33" s="16"/>
      </tp>
      <tp t="s">
        <v>#N/A N/A</v>
        <stp/>
        <stp>##V3_BDSV12</stp>
        <stp>SYK US Equity</stp>
        <stp>PG_DEPR_AMORTIZATION</stp>
        <stp>[Fundamental &amp; Technical Model (1).xlsm]Segments!R156C9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156" s="17"/>
      </tp>
      <tp t="s">
        <v>#N/A N/A</v>
        <stp/>
        <stp>##V3_BDSV12</stp>
        <stp>SYK US Equity</stp>
        <stp>PG_DEPR_AMORTIZATION</stp>
        <stp>[Fundamental &amp; Technical Model (1).xlsm]Segments!R142C9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142" s="17"/>
      </tp>
      <tp t="s">
        <v>#N/A N/A</v>
        <stp/>
        <stp>##V3_BDSV12</stp>
        <stp>SYK US Equity</stp>
        <stp>PG_REVENUE</stp>
        <stp>[Fundamental &amp; Technical Model (1).xlsm]Segments!R22C12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22" s="17"/>
      </tp>
      <tp t="s">
        <v>#N/A N/A</v>
        <stp/>
        <stp>##V3_BDSV12</stp>
        <stp>SYK US Equity</stp>
        <stp>PG_REVENUE</stp>
        <stp>[Fundamental &amp; Technical Model (1).xlsm]Segments!R22C13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22" s="17"/>
      </tp>
      <tp>
        <v>2.2053156146179402</v>
        <stp/>
        <stp>##V3_BQLV12</stp>
        <stp>[Fundamental &amp; Technical Model (1).xlsm]Ratios!R34C10</stp>
        <stp>SYK US Equity</stp>
        <stp>INVENT_TURN</stp>
        <stp>FPT</stp>
        <stp>A</stp>
        <stp>FPO</stp>
        <stp>-4A</stp>
        <stp>STD</stp>
        <stp>Mixed</stp>
        <stp>CONSOL</stp>
        <stp>Yes</stp>
        <tr r="J34" s="8"/>
      </tp>
      <tp t="s">
        <v>#N/A N/A</v>
        <stp/>
        <stp>##V3_BDSV12</stp>
        <stp>SYK US Equity</stp>
        <stp>PG_REVENUE</stp>
        <stp>[Fundamental &amp; Technical Model (1).xlsm]Segments!R22C10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22" s="17"/>
      </tp>
      <tp t="s">
        <v>#N/A N/A</v>
        <stp/>
        <stp>##V3_BDSV12</stp>
        <stp>SYK US Equity</stp>
        <stp>PG_REVENUE</stp>
        <stp>[Fundamental &amp; Technical Model (1).xlsm]Segments!R22C11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22" s="17"/>
      </tp>
      <tp t="s">
        <v>#N/A N/A</v>
        <stp/>
        <stp>##V3_BDSV12</stp>
        <stp>SYK US Equity</stp>
        <stp>PG_REVENUE</stp>
        <stp>[Fundamental &amp; Technical Model (1).xlsm]Segments!R22C14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22" s="17"/>
      </tp>
      <tp>
        <v>18.117836316106978</v>
        <stp/>
        <stp>##V3_BQLV12</stp>
        <stp>[Fundamental &amp; Technical Model (1).xlsm]Ratios!R27C11</stp>
        <stp>SYK US Equity</stp>
        <stp>NORMALIZED_PROFIT_MARGIN</stp>
        <stp>FPT</stp>
        <stp>A</stp>
        <stp>FPO</stp>
        <stp>-3A</stp>
        <stp>STD</stp>
        <stp>Mixed</stp>
        <stp>CONSOL</stp>
        <stp>Yes</stp>
        <tr r="K27" s="8"/>
      </tp>
      <tp>
        <v>17.799742847958857</v>
        <stp/>
        <stp>##V3_BQLV12</stp>
        <stp>[Fundamental &amp; Technical Model (1).xlsm]Ratios!R27C13</stp>
        <stp>SYK US Equity</stp>
        <stp>NORMALIZED_PROFIT_MARGIN</stp>
        <stp>FPT</stp>
        <stp>A</stp>
        <stp>FPO</stp>
        <stp>-1A</stp>
        <stp>STD</stp>
        <stp>Mixed</stp>
        <stp>CONSOL</stp>
        <stp>Yes</stp>
        <tr r="M27" s="8"/>
      </tp>
      <tp t="e">
        <v>#N/A</v>
        <stp/>
        <stp>##V3_BDHV12</stp>
        <stp>SYK US Equity</stp>
        <stp>PE_RATIO</stp>
        <stp>-9FY</stp>
        <stp>-9FY</stp>
        <stp>[Fundamental &amp; Technical Model (1).xlsm]Multiples!R33C4</stp>
        <stp>EQY_CONSOLIDATED</stp>
        <stp>Yes</stp>
        <stp>ACCOUNTING_STANDARD_OVERRIDE</stp>
        <stp>Mixed</stp>
        <stp>Per</stp>
        <stp>FY</stp>
        <stp>Days=A</stp>
        <tr r="D33" s="16"/>
        <tr r="D33" s="16"/>
      </tp>
      <tp t="s">
        <v>12/31/2008</v>
        <stp/>
        <stp>##V3_BDPV12</stp>
        <stp>SYK US Equity</stp>
        <stp>LATEST_PERIOD_END_DT_FULL_RECORD</stp>
        <stp>[Fundamental &amp; Technical Model (1).xlsm]Segments!R87C4</stp>
        <stp>EQY_FUND_RELATIVE_PERIOD</stp>
        <stp>-10FY</stp>
        <stp>EQY_CONSOLIDATED</stp>
        <stp>Yes</stp>
        <tr r="D87" s="17"/>
        <tr r="D87" s="17"/>
      </tp>
      <tp>
        <v>43550</v>
        <stp/>
        <stp>##V3_BTH</stp>
        <stp>SYK US Equity</stp>
        <stp>VMAVG</stp>
        <stp>3/26/2019</stp>
        <stp>4/25/2019</stp>
        <stp>[Fundamental &amp; Technical Model (1).xlsm]Technical Analysis Data!R43C7</stp>
        <stp>VMAVG</stp>
        <stp>TAPeriod=20</stp>
        <stp>DSClose=PX_LAST</stp>
        <stp>Dir=H</stp>
        <stp>Dts=S</stp>
        <stp>cols=22;rows=2</stp>
        <tr r="G43" s="31"/>
      </tp>
      <tp>
        <v>43550</v>
        <stp/>
        <stp>##V3_BTH</stp>
        <stp>SYK US Equity</stp>
        <stp>HURST</stp>
        <stp>3/26/2019</stp>
        <stp>4/25/2019</stp>
        <stp>[Fundamental &amp; Technical Model (1).xlsm]Technical Analysis Data!R24C7</stp>
        <stp>HURST</stp>
        <stp>TAPeriod=25</stp>
        <stp>DSClose=PX_LAST</stp>
        <stp>Dir=H</stp>
        <stp>Dts=S</stp>
        <stp>cols=22;rows=2</stp>
        <tr r="G24" s="31"/>
      </tp>
      <tp>
        <v>18.407407407407408</v>
        <stp/>
        <stp>##V3_BQLV12</stp>
        <stp>[Fundamental &amp; Technical Model (1).xlsm]Ratios!R54C11</stp>
        <stp>SYK US Equity</stp>
        <stp>EBITDA_LES_CAP_EXPEND_TO_INT_EXP</stp>
        <stp>FPT</stp>
        <stp>A</stp>
        <stp>FPO</stp>
        <stp>-3A</stp>
        <stp>STD</stp>
        <stp>Mixed</stp>
        <stp>CONSOL</stp>
        <stp>Yes</stp>
        <tr r="K54" s="8"/>
      </tp>
      <tp>
        <v>9.4777327935222679</v>
        <stp/>
        <stp>##V3_BQLV12</stp>
        <stp>[Fundamental &amp; Technical Model (1).xlsm]Ratios!R54C13</stp>
        <stp>SYK US Equity</stp>
        <stp>EBITDA_LES_CAP_EXPEND_TO_INT_EXP</stp>
        <stp>FPT</stp>
        <stp>A</stp>
        <stp>FPO</stp>
        <stp>-1A</stp>
        <stp>STD</stp>
        <stp>Mixed</stp>
        <stp>CONSOL</stp>
        <stp>Yes</stp>
        <tr r="M54" s="8"/>
      </tp>
      <tp t="s">
        <v>#N/A N/A</v>
        <stp/>
        <stp>##V3_BDSV12</stp>
        <stp>SYK US Equity</stp>
        <stp>PG_ASSETS</stp>
        <stp>[Fundamental &amp; Technical Model (1).xlsm]Segments!R111C13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111" s="17"/>
      </tp>
      <tp t="s">
        <v>#N/A N/A</v>
        <stp/>
        <stp>##V3_BDSV12</stp>
        <stp>SYK US Equity</stp>
        <stp>PG_ASSETS</stp>
        <stp>[Fundamental &amp; Technical Model (1).xlsm]Segments!R111C12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111" s="17"/>
      </tp>
      <tp t="s">
        <v>#N/A N/A</v>
        <stp/>
        <stp>##V3_BDSV12</stp>
        <stp>SYK US Equity</stp>
        <stp>PG_ASSETS</stp>
        <stp>[Fundamental &amp; Technical Model (1).xlsm]Segments!R111C11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111" s="17"/>
      </tp>
      <tp t="s">
        <v>#N/A N/A</v>
        <stp/>
        <stp>##V3_BDSV12</stp>
        <stp>SYK US Equity</stp>
        <stp>PG_ASSETS</stp>
        <stp>[Fundamental &amp; Technical Model (1).xlsm]Segments!R111C10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111" s="17"/>
      </tp>
      <tp t="s">
        <v>#N/A N/A</v>
        <stp/>
        <stp>##V3_BDSV12</stp>
        <stp>SYK US Equity</stp>
        <stp>PG_ASSETS</stp>
        <stp>[Fundamental &amp; Technical Model (1).xlsm]Segments!R111C14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111" s="17"/>
      </tp>
      <tp t="s">
        <v>#N/A</v>
        <stp/>
        <stp>##V3_BQLV12</stp>
        <stp>[Fundamental &amp; Technical Model (1).xlsm]Cash Flow!R42C4</stp>
        <stp>SYK US Equity</stp>
        <stp>CF_INCR_DECR_INSUR_RSRV/10^6</stp>
        <stp>FPT</stp>
        <stp>A</stp>
        <stp>FPO</stp>
        <stp>-10A</stp>
        <stp>STD</stp>
        <stp>Mixed</stp>
        <stp>CONSOL</stp>
        <stp>Yes</stp>
        <stp>CURRENCY</stp>
        <stp>USD</stp>
        <tr r="D42" s="4"/>
      </tp>
      <tp>
        <v>1107</v>
        <stp/>
        <stp>##V3_BQLV12</stp>
        <stp>[Fundamental &amp; Technical Model (1).xlsm]Cash Flow!R15C5</stp>
        <stp>SYK US Equity</stp>
        <stp>CF_NET_INC/10^6</stp>
        <stp>FPT</stp>
        <stp>A</stp>
        <stp>FPO</stp>
        <stp>-9A</stp>
        <stp>STD</stp>
        <stp>Mixed</stp>
        <stp>CONSOL</stp>
        <stp>Yes</stp>
        <stp>CURRENCY</stp>
        <stp>USD</stp>
        <tr r="E15" s="4"/>
      </tp>
      <tp t="e">
        <v>#N/A</v>
        <stp/>
        <stp>##V3_BDHV12</stp>
        <stp>SYK US Equity</stp>
        <stp>AVG_EV_TO_T12M_EBITDA</stp>
        <stp>-7FY</stp>
        <stp>-7FY</stp>
        <stp>[Fundamental &amp; Technical Model (1).xlsm]Multiples!R22C6</stp>
        <stp>EQY_CONSOLIDATED</stp>
        <stp>Yes</stp>
        <stp>ACCOUNTING_STANDARD_OVERRIDE</stp>
        <stp>Mixed</stp>
        <stp>Per</stp>
        <stp>FY</stp>
        <stp>Days=A</stp>
        <tr r="F22" s="16"/>
        <tr r="F22" s="16"/>
      </tp>
      <tp t="s">
        <v>2016 A</v>
        <stp/>
        <stp>##V3_BQLV12</stp>
        <stp>[Fundamental &amp; Technical Model (1).xlsm]Balance Sheet!R13C12</stp>
        <stp>SYK US Equity</stp>
        <stp>IS_EPS().PERIOD</stp>
        <stp>FPT</stp>
        <stp>A</stp>
        <stp>FPO</stp>
        <stp>-2A</stp>
        <stp>STD</stp>
        <stp>Mixed</stp>
        <stp>CONSOL</stp>
        <stp>Yes</stp>
        <tr r="L13" s="3"/>
      </tp>
      <tp>
        <v>14.543046357615893</v>
        <stp/>
        <stp>##V3_BQLV12</stp>
        <stp>[Fundamental &amp; Technical Model (1).xlsm]Ratios!R26C12</stp>
        <stp>SYK US Equity</stp>
        <stp>PROF_MARGIN</stp>
        <stp>FPT</stp>
        <stp>A</stp>
        <stp>FPO</stp>
        <stp>-2A</stp>
        <stp>STD</stp>
        <stp>Mixed</stp>
        <stp>CONSOL</stp>
        <stp>Yes</stp>
        <tr r="L26" s="8"/>
      </tp>
      <tp>
        <v>160</v>
        <stp/>
        <stp>##V3_BDPV12</stp>
        <stp>SYK US Equity</stp>
        <stp>BS_RENTAL_EXPENSE_YR_2_5</stp>
        <stp>[Fundamental &amp; Technical Model (1).xlsm]Capital Structure Summary!R104C9</stp>
        <stp>EQY_FUND_RELATIVE_PERIOD</stp>
        <stp>-1FY</stp>
        <stp>EQY_FUND_CRNCY</stp>
        <stp>USD</stp>
        <stp>EQY_CONSOLIDATED</stp>
        <stp>Yes</stp>
        <stp>ACCOUNTING_STANDARD_OVERRIDE</stp>
        <stp>Mixed</stp>
        <stp>Fill=--</stp>
        <tr r="I104" s="21"/>
      </tp>
      <tp>
        <v>52</v>
        <stp/>
        <stp>##V3_BDPV12</stp>
        <stp>SYK US Equity</stp>
        <stp>BS_RENTAL_EXPENSE_YR_4_5</stp>
        <stp>[Fundamental &amp; Technical Model (1).xlsm]Capital Structure Summary!R103C9</stp>
        <stp>EQY_FUND_RELATIVE_PERIOD</stp>
        <stp>-1FY</stp>
        <stp>EQY_FUND_CRNCY</stp>
        <stp>USD</stp>
        <stp>EQY_CONSOLIDATED</stp>
        <stp>Yes</stp>
        <stp>ACCOUNTING_STANDARD_OVERRIDE</stp>
        <stp>Mixed</stp>
        <stp>Fill=--</stp>
        <tr r="I103" s="21"/>
      </tp>
      <tp>
        <v>138</v>
        <stp/>
        <stp>##V3_BDPV12</stp>
        <stp>SYK US Equity</stp>
        <stp>BS_RENTAL_EXPENSE_YR_2_5</stp>
        <stp>[Fundamental &amp; Technical Model (1).xlsm]Capital Structure Summary!R104C5</stp>
        <stp>EQY_FUND_RELATIVE_PERIOD</stp>
        <stp>-3FY</stp>
        <stp>EQY_FUND_CRNCY</stp>
        <stp>USD</stp>
        <stp>EQY_CONSOLIDATED</stp>
        <stp>Yes</stp>
        <stp>ACCOUNTING_STANDARD_OVERRIDE</stp>
        <stp>Mixed</stp>
        <stp>Fill=--</stp>
        <tr r="E104" s="21"/>
      </tp>
      <tp>
        <v>48</v>
        <stp/>
        <stp>##V3_BDPV12</stp>
        <stp>SYK US Equity</stp>
        <stp>BS_RENTAL_EXPENSE_YR_4_5</stp>
        <stp>[Fundamental &amp; Technical Model (1).xlsm]Capital Structure Summary!R103C5</stp>
        <stp>EQY_FUND_RELATIVE_PERIOD</stp>
        <stp>-3FY</stp>
        <stp>EQY_FUND_CRNCY</stp>
        <stp>USD</stp>
        <stp>EQY_CONSOLIDATED</stp>
        <stp>Yes</stp>
        <stp>ACCOUNTING_STANDARD_OVERRIDE</stp>
        <stp>Mixed</stp>
        <stp>Fill=--</stp>
        <tr r="E103" s="21"/>
      </tp>
      <tp>
        <v>122</v>
        <stp/>
        <stp>##V3_BDPV12</stp>
        <stp>SYK US Equity</stp>
        <stp>BS_RENTAL_EXPENSE_YR_2_5</stp>
        <stp>[Fundamental &amp; Technical Model (1).xlsm]Capital Structure Summary!R104C3</stp>
        <stp>EQY_FUND_RELATIVE_PERIOD</stp>
        <stp>-4FY</stp>
        <stp>EQY_FUND_CRNCY</stp>
        <stp>USD</stp>
        <stp>EQY_CONSOLIDATED</stp>
        <stp>Yes</stp>
        <stp>ACCOUNTING_STANDARD_OVERRIDE</stp>
        <stp>Mixed</stp>
        <stp>Fill=--</stp>
        <tr r="C104" s="21"/>
      </tp>
      <tp>
        <v>44</v>
        <stp/>
        <stp>##V3_BDPV12</stp>
        <stp>SYK US Equity</stp>
        <stp>BS_RENTAL_EXPENSE_YR_4_5</stp>
        <stp>[Fundamental &amp; Technical Model (1).xlsm]Capital Structure Summary!R103C3</stp>
        <stp>EQY_FUND_RELATIVE_PERIOD</stp>
        <stp>-4FY</stp>
        <stp>EQY_FUND_CRNCY</stp>
        <stp>USD</stp>
        <stp>EQY_CONSOLIDATED</stp>
        <stp>Yes</stp>
        <stp>ACCOUNTING_STANDARD_OVERRIDE</stp>
        <stp>Mixed</stp>
        <stp>Fill=--</stp>
        <tr r="C103" s="21"/>
      </tp>
      <tp>
        <v>120</v>
        <stp/>
        <stp>##V3_BDPV12</stp>
        <stp>SYK US Equity</stp>
        <stp>BS_RENTAL_EXPENSE_YR_2_5</stp>
        <stp>[Fundamental &amp; Technical Model (1).xlsm]Capital Structure Summary!R104C7</stp>
        <stp>EQY_FUND_RELATIVE_PERIOD</stp>
        <stp>-2FY</stp>
        <stp>EQY_FUND_CRNCY</stp>
        <stp>USD</stp>
        <stp>EQY_CONSOLIDATED</stp>
        <stp>Yes</stp>
        <stp>ACCOUNTING_STANDARD_OVERRIDE</stp>
        <stp>Mixed</stp>
        <stp>Fill=--</stp>
        <tr r="G104" s="21"/>
      </tp>
      <tp>
        <v>39</v>
        <stp/>
        <stp>##V3_BDPV12</stp>
        <stp>SYK US Equity</stp>
        <stp>BS_RENTAL_EXPENSE_YR_4_5</stp>
        <stp>[Fundamental &amp; Technical Model (1).xlsm]Capital Structure Summary!R103C7</stp>
        <stp>EQY_FUND_RELATIVE_PERIOD</stp>
        <stp>-2FY</stp>
        <stp>EQY_FUND_CRNCY</stp>
        <stp>USD</stp>
        <stp>EQY_CONSOLIDATED</stp>
        <stp>Yes</stp>
        <stp>ACCOUNTING_STANDARD_OVERRIDE</stp>
        <stp>Mixed</stp>
        <stp>Fill=--</stp>
        <tr r="G103" s="21"/>
      </tp>
      <tp t="e">
        <v>#N/A</v>
        <stp/>
        <stp>##V3_BDHV12</stp>
        <stp>SYK US Equity</stp>
        <stp>PX_TO_BOOK_RATIO</stp>
        <stp>-10FY</stp>
        <stp>-10FY</stp>
        <stp>[Fundamental &amp; Technical Model (1).xlsm]Multiples!R39C3</stp>
        <stp>EQY_CONSOLIDATED</stp>
        <stp>Yes</stp>
        <stp>ACCOUNTING_STANDARD_OVERRIDE</stp>
        <stp>Mixed</stp>
        <stp>Per</stp>
        <stp>FY</stp>
        <stp>Days=A</stp>
        <tr r="C39" s="16"/>
        <tr r="C39" s="16"/>
      </tp>
      <tp>
        <v>1390</v>
        <stp/>
        <stp>##V3_BDSV12</stp>
        <stp>SYK US Equity</stp>
        <stp>PG_REVENUE</stp>
        <stp>[Fundamental &amp; Technical Model (1).xlsm]Segments!R21C11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21" s="17"/>
        <tr r="K21" s="17"/>
      </tp>
      <tp>
        <v>1382</v>
        <stp/>
        <stp>##V3_BDSV12</stp>
        <stp>SYK US Equity</stp>
        <stp>PG_REVENUE</stp>
        <stp>[Fundamental &amp; Technical Model (1).xlsm]Segments!R21C10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21" s="17"/>
        <tr r="J21" s="17"/>
      </tp>
      <tp>
        <v>1652</v>
        <stp/>
        <stp>##V3_BDSV12</stp>
        <stp>SYK US Equity</stp>
        <stp>PG_REVENUE</stp>
        <stp>[Fundamental &amp; Technical Model (1).xlsm]Segments!R21C13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21" s="17"/>
        <tr r="M21" s="17"/>
      </tp>
      <tp>
        <v>1470</v>
        <stp/>
        <stp>##V3_BDSV12</stp>
        <stp>SYK US Equity</stp>
        <stp>PG_REVENUE</stp>
        <stp>[Fundamental &amp; Technical Model (1).xlsm]Segments!R21C12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21" s="17"/>
        <tr r="L21" s="17"/>
      </tp>
      <tp>
        <v>1846</v>
        <stp/>
        <stp>##V3_BDSV12</stp>
        <stp>SYK US Equity</stp>
        <stp>PG_REVENUE</stp>
        <stp>[Fundamental &amp; Technical Model (1).xlsm]Segments!R21C14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21" s="17"/>
        <tr r="N21" s="17"/>
      </tp>
      <tp>
        <v>2.79</v>
        <stp/>
        <stp>##V3_BQLV12</stp>
        <stp>[Fundamental &amp; Technical Model (1).xlsm]Income Statement!R62C5</stp>
        <stp>SYK US Equity</stp>
        <stp>IS_EPS</stp>
        <stp>FPT</stp>
        <stp>A</stp>
        <stp>FPO</stp>
        <stp>-9A</stp>
        <stp>STD</stp>
        <stp>Mixed</stp>
        <stp>CONSOL</stp>
        <stp>Yes</stp>
        <stp>CURRENCY</stp>
        <stp>USD</stp>
        <tr r="E62" s="2"/>
      </tp>
      <tp>
        <v>3.48</v>
        <stp/>
        <stp>##V3_BQLV12</stp>
        <stp>[Fundamental &amp; Technical Model (1).xlsm]Income Statement!R62C7</stp>
        <stp>SYK US Equity</stp>
        <stp>IS_EPS</stp>
        <stp>FPT</stp>
        <stp>A</stp>
        <stp>FPO</stp>
        <stp>-7A</stp>
        <stp>STD</stp>
        <stp>Mixed</stp>
        <stp>CONSOL</stp>
        <stp>Yes</stp>
        <stp>CURRENCY</stp>
        <stp>USD</stp>
        <tr r="G62" s="2"/>
      </tp>
      <tp>
        <v>3.21</v>
        <stp/>
        <stp>##V3_BQLV12</stp>
        <stp>[Fundamental &amp; Technical Model (1).xlsm]Income Statement!R62C6</stp>
        <stp>SYK US Equity</stp>
        <stp>IS_EPS</stp>
        <stp>FPT</stp>
        <stp>A</stp>
        <stp>FPO</stp>
        <stp>-8A</stp>
        <stp>STD</stp>
        <stp>Mixed</stp>
        <stp>CONSOL</stp>
        <stp>Yes</stp>
        <stp>CURRENCY</stp>
        <stp>USD</stp>
        <tr r="F62" s="2"/>
      </tp>
      <tp>
        <v>2.66</v>
        <stp/>
        <stp>##V3_BQLV12</stp>
        <stp>[Fundamental &amp; Technical Model (1).xlsm]Income Statement!R62C9</stp>
        <stp>SYK US Equity</stp>
        <stp>IS_EPS</stp>
        <stp>FPT</stp>
        <stp>A</stp>
        <stp>FPO</stp>
        <stp>-5A</stp>
        <stp>STD</stp>
        <stp>Mixed</stp>
        <stp>CONSOL</stp>
        <stp>Yes</stp>
        <stp>CURRENCY</stp>
        <stp>USD</stp>
        <tr r="I62" s="2"/>
      </tp>
      <tp>
        <v>3.41</v>
        <stp/>
        <stp>##V3_BQLV12</stp>
        <stp>[Fundamental &amp; Technical Model (1).xlsm]Income Statement!R62C8</stp>
        <stp>SYK US Equity</stp>
        <stp>IS_EPS</stp>
        <stp>FPT</stp>
        <stp>A</stp>
        <stp>FPO</stp>
        <stp>-6A</stp>
        <stp>STD</stp>
        <stp>Mixed</stp>
        <stp>CONSOL</stp>
        <stp>Yes</stp>
        <stp>CURRENCY</stp>
        <stp>USD</stp>
        <tr r="H62" s="2"/>
      </tp>
      <tp>
        <v>164</v>
        <stp/>
        <stp>##V3_BQLV12</stp>
        <stp>[Fundamental &amp; Technical Model (1).xlsm]Income Statement!R42C11</stp>
        <stp>SYK US Equity</stp>
        <stp>IS_LEGAL_LITIG_SETTLE_AFTER_TAX/10^6</stp>
        <stp>FPT</stp>
        <stp>A</stp>
        <stp>FPO</stp>
        <stp>-3A</stp>
        <stp>STD</stp>
        <stp>Mixed</stp>
        <stp>CONSOL</stp>
        <stp>Yes</stp>
        <stp>CURRENCY</stp>
        <stp>USD</stp>
        <tr r="K42" s="2"/>
      </tp>
      <tp>
        <v>25</v>
        <stp/>
        <stp>##V3_BQLV12</stp>
        <stp>[Fundamental &amp; Technical Model (1).xlsm]Income Statement!R42C13</stp>
        <stp>SYK US Equity</stp>
        <stp>IS_LEGAL_LITIG_SETTLE_AFTER_TAX/10^6</stp>
        <stp>FPT</stp>
        <stp>A</stp>
        <stp>FPO</stp>
        <stp>-1A</stp>
        <stp>STD</stp>
        <stp>Mixed</stp>
        <stp>CONSOL</stp>
        <stp>Yes</stp>
        <stp>CURRENCY</stp>
        <stp>USD</stp>
        <tr r="M42" s="2"/>
      </tp>
      <tp>
        <v>-7</v>
        <stp/>
        <stp>##V3_BQLV12</stp>
        <stp>[Fundamental &amp; Technical Model (1).xlsm]Income Statement!R42C12</stp>
        <stp>SYK US Equity</stp>
        <stp>IS_LEGAL_LITIG_SETTLE_AFTER_TAX/10^6</stp>
        <stp>FPT</stp>
        <stp>A</stp>
        <stp>FPO</stp>
        <stp>-2A</stp>
        <stp>STD</stp>
        <stp>Mixed</stp>
        <stp>CONSOL</stp>
        <stp>Yes</stp>
        <stp>CURRENCY</stp>
        <stp>USD</stp>
        <tr r="L42" s="2"/>
      </tp>
      <tp>
        <v>628</v>
        <stp/>
        <stp>##V3_BQLV12</stp>
        <stp>[Fundamental &amp; Technical Model (1).xlsm]Income Statement!R42C10</stp>
        <stp>SYK US Equity</stp>
        <stp>IS_LEGAL_LITIG_SETTLE_AFTER_TAX/10^6</stp>
        <stp>FPT</stp>
        <stp>A</stp>
        <stp>FPO</stp>
        <stp>-4A</stp>
        <stp>STD</stp>
        <stp>Mixed</stp>
        <stp>CONSOL</stp>
        <stp>Yes</stp>
        <stp>CURRENCY</stp>
        <stp>USD</stp>
        <tr r="J42" s="2"/>
      </tp>
      <tp>
        <v>141</v>
        <stp/>
        <stp>##V3_BQLV12</stp>
        <stp>[Fundamental &amp; Technical Model (1).xlsm]Income Statement!R42C14</stp>
        <stp>SYK US Equity</stp>
        <stp>IS_LEGAL_LITIG_SETTLE_AFTER_TAX/10^6</stp>
        <stp>FPT</stp>
        <stp>A</stp>
        <stp>FPO</stp>
        <stp>-0A</stp>
        <stp>STD</stp>
        <stp>Mixed</stp>
        <stp>CONSOL</stp>
        <stp>Yes</stp>
        <stp>CURRENCY</stp>
        <stp>USD</stp>
        <tr r="N42" s="2"/>
      </tp>
      <tp t="s">
        <v>12/31/2008</v>
        <stp/>
        <stp>##V3_BDPV12</stp>
        <stp>SYK US Equity</stp>
        <stp>LATEST_PERIOD_END_DT_FULL_RECORD</stp>
        <stp>[Fundamental &amp; Technical Model (1).xlsm]Segments!R44C4</stp>
        <stp>EQY_FUND_RELATIVE_PERIOD</stp>
        <stp>-10FY</stp>
        <stp>EQY_CONSOLIDATED</stp>
        <stp>Yes</stp>
        <tr r="D44" s="17"/>
        <tr r="D44" s="17"/>
      </tp>
      <tp t="s">
        <v>#N/A N/A</v>
        <stp/>
        <stp>##V3_BDSV12</stp>
        <stp>SYK US Equity</stp>
        <stp>PG_ASSETS</stp>
        <stp>[Fundamental &amp; Technical Model (1).xlsm]Segments!R112C12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112" s="17"/>
      </tp>
      <tp t="s">
        <v>#N/A N/A</v>
        <stp/>
        <stp>##V3_BDSV12</stp>
        <stp>SYK US Equity</stp>
        <stp>PG_ASSETS</stp>
        <stp>[Fundamental &amp; Technical Model (1).xlsm]Segments!R112C13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112" s="17"/>
      </tp>
      <tp t="s">
        <v>#N/A N/A</v>
        <stp/>
        <stp>##V3_BDSV12</stp>
        <stp>SYK US Equity</stp>
        <stp>PG_ASSETS</stp>
        <stp>[Fundamental &amp; Technical Model (1).xlsm]Segments!R112C10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112" s="17"/>
      </tp>
      <tp t="s">
        <v>#N/A N/A</v>
        <stp/>
        <stp>##V3_BDSV12</stp>
        <stp>SYK US Equity</stp>
        <stp>PG_ASSETS</stp>
        <stp>[Fundamental &amp; Technical Model (1).xlsm]Segments!R112C11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112" s="17"/>
      </tp>
      <tp t="e">
        <v>#N/A</v>
        <stp/>
        <stp>##V3_BDHV12</stp>
        <stp>SYK US Equity</stp>
        <stp>PE_RATIO</stp>
        <stp>-6FY</stp>
        <stp>-6FY</stp>
        <stp>[Fundamental &amp; Technical Model (1).xlsm]Multiples!R33C7</stp>
        <stp>EQY_CONSOLIDATED</stp>
        <stp>Yes</stp>
        <stp>ACCOUNTING_STANDARD_OVERRIDE</stp>
        <stp>Mixed</stp>
        <stp>Per</stp>
        <stp>FY</stp>
        <stp>Days=A</stp>
        <tr r="G33" s="16"/>
        <tr r="G33" s="16"/>
      </tp>
      <tp t="s">
        <v>#N/A N/A</v>
        <stp/>
        <stp>##V3_BDSV12</stp>
        <stp>SYK US Equity</stp>
        <stp>PG_ASSETS</stp>
        <stp>[Fundamental &amp; Technical Model (1).xlsm]Segments!R112C14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112" s="17"/>
      </tp>
      <tp>
        <v>1273</v>
        <stp/>
        <stp>##V3_BQLV12</stp>
        <stp>[Fundamental &amp; Technical Model (1).xlsm]Cash Flow!R15C6</stp>
        <stp>SYK US Equity</stp>
        <stp>CF_NET_INC/10^6</stp>
        <stp>FPT</stp>
        <stp>A</stp>
        <stp>FPO</stp>
        <stp>-8A</stp>
        <stp>STD</stp>
        <stp>Mixed</stp>
        <stp>CONSOL</stp>
        <stp>Yes</stp>
        <stp>CURRENCY</stp>
        <stp>USD</stp>
        <tr r="F15" s="4"/>
      </tp>
      <tp>
        <v>0</v>
        <stp/>
        <stp>##V3_BQLV12</stp>
        <stp>[Fundamental &amp; Technical Model (1).xlsm]Cash Flow!R23C14</stp>
        <stp>SYK US Equity</stp>
        <stp>CF_INCR_INVEST/10^6</stp>
        <stp>FPT</stp>
        <stp>A</stp>
        <stp>FPO</stp>
        <stp>-0A</stp>
        <stp>STD</stp>
        <stp>Mixed</stp>
        <stp>CONSOL</stp>
        <stp>Yes</stp>
        <stp>CURRENCY</stp>
        <stp>USD</stp>
        <tr r="N23" s="4"/>
      </tp>
      <tp>
        <v>0</v>
        <stp/>
        <stp>##V3_BQLV12</stp>
        <stp>[Fundamental &amp; Technical Model (1).xlsm]Cash Flow!R26C14</stp>
        <stp>SYK US Equity</stp>
        <stp>CF_INCR_INVEST/10^6</stp>
        <stp>FPT</stp>
        <stp>A</stp>
        <stp>FPO</stp>
        <stp>-0A</stp>
        <stp>STD</stp>
        <stp>Mixed</stp>
        <stp>CONSOL</stp>
        <stp>Yes</stp>
        <stp>CURRENCY</stp>
        <stp>USD</stp>
        <tr r="N26" s="4"/>
      </tp>
      <tp t="s">
        <v>2008 A</v>
        <stp/>
        <stp>##V3_BQLV12</stp>
        <stp>[Fundamental &amp; Technical Model (1).xlsm]Ratios!R12C4</stp>
        <stp>SYK US Equity</stp>
        <stp>IS_EPS().PERIOD</stp>
        <stp>FPT</stp>
        <stp>A</stp>
        <stp>FPO</stp>
        <stp>-10A</stp>
        <stp>STD</stp>
        <stp>Mixed</stp>
        <stp>CONSOL</stp>
        <stp>Yes</stp>
        <tr r="D12" s="8"/>
      </tp>
      <tp t="e">
        <v>#N/A</v>
        <stp/>
        <stp>##V3_BDHV12</stp>
        <stp>SYK US Equity</stp>
        <stp>AVG_EV_TO_T12M_EBITDA</stp>
        <stp>-8FY</stp>
        <stp>-8FY</stp>
        <stp>[Fundamental &amp; Technical Model (1).xlsm]Multiples!R22C5</stp>
        <stp>EQY_CONSOLIDATED</stp>
        <stp>Yes</stp>
        <stp>ACCOUNTING_STANDARD_OVERRIDE</stp>
        <stp>Mixed</stp>
        <stp>Per</stp>
        <stp>FY</stp>
        <stp>Days=A</stp>
        <tr r="E22" s="16"/>
        <tr r="E22" s="16"/>
      </tp>
      <tp t="s">
        <v>12/31/2014</v>
        <stp/>
        <stp>##V3_BDPV12</stp>
        <stp>SYK US Equity</stp>
        <stp>LATEST_PERIOD_END_DT_FULL_RECORD</stp>
        <stp>[Fundamental &amp; Technical Model (1).xlsm]Segments!R174C10</stp>
        <stp>EQY_FUND_RELATIVE_PERIOD</stp>
        <stp>-4FY</stp>
        <stp>EQY_CONSOLIDATED</stp>
        <stp>Yes</stp>
        <tr r="J174" s="17"/>
        <tr r="J174" s="17"/>
      </tp>
      <tp t="s">
        <v>12/31/2018</v>
        <stp/>
        <stp>##V3_BDPV12</stp>
        <stp>SYK US Equity</stp>
        <stp>LATEST_PERIOD_END_DT_FULL_RECORD</stp>
        <stp>[Fundamental &amp; Technical Model (1).xlsm]Segments!R174C14</stp>
        <stp>EQY_FUND_RELATIVE_PERIOD</stp>
        <stp>-0FY</stp>
        <stp>EQY_CONSOLIDATED</stp>
        <stp>Yes</stp>
        <tr r="N174" s="17"/>
        <tr r="N174" s="17"/>
      </tp>
      <tp t="s">
        <v>12/31/2015</v>
        <stp/>
        <stp>##V3_BDPV12</stp>
        <stp>SYK US Equity</stp>
        <stp>LATEST_PERIOD_END_DT_FULL_RECORD</stp>
        <stp>[Fundamental &amp; Technical Model (1).xlsm]Segments!R174C11</stp>
        <stp>EQY_FUND_RELATIVE_PERIOD</stp>
        <stp>-3FY</stp>
        <stp>EQY_CONSOLIDATED</stp>
        <stp>Yes</stp>
        <tr r="K174" s="17"/>
        <tr r="K174" s="17"/>
      </tp>
      <tp t="s">
        <v>12/31/2017</v>
        <stp/>
        <stp>##V3_BDPV12</stp>
        <stp>SYK US Equity</stp>
        <stp>LATEST_PERIOD_END_DT_FULL_RECORD</stp>
        <stp>[Fundamental &amp; Technical Model (1).xlsm]Segments!R174C13</stp>
        <stp>EQY_FUND_RELATIVE_PERIOD</stp>
        <stp>-1FY</stp>
        <stp>EQY_CONSOLIDATED</stp>
        <stp>Yes</stp>
        <tr r="M174" s="17"/>
        <tr r="M174" s="17"/>
      </tp>
      <tp t="s">
        <v>12/31/2016</v>
        <stp/>
        <stp>##V3_BDPV12</stp>
        <stp>SYK US Equity</stp>
        <stp>LATEST_PERIOD_END_DT_FULL_RECORD</stp>
        <stp>[Fundamental &amp; Technical Model (1).xlsm]Segments!R174C12</stp>
        <stp>EQY_FUND_RELATIVE_PERIOD</stp>
        <stp>-2FY</stp>
        <stp>EQY_CONSOLIDATED</stp>
        <stp>Yes</stp>
        <tr r="L174" s="17"/>
        <tr r="L174" s="17"/>
      </tp>
      <tp t="s">
        <v>2017 A</v>
        <stp/>
        <stp>##V3_BQLV12</stp>
        <stp>[Fundamental &amp; Technical Model (1).xlsm]Balance Sheet!R13C13</stp>
        <stp>SYK US Equity</stp>
        <stp>IS_EPS().PERIOD</stp>
        <stp>FPT</stp>
        <stp>A</stp>
        <stp>FPO</stp>
        <stp>-1A</stp>
        <stp>STD</stp>
        <stp>Mixed</stp>
        <stp>CONSOL</stp>
        <stp>Yes</stp>
        <tr r="M13" s="3"/>
      </tp>
      <tp t="e">
        <v>#N/A</v>
        <stp/>
        <stp>##V3_BDHV12</stp>
        <stp>SYK US Equity</stp>
        <stp>HIGH_CLOSING_PRICE_TO_CASH_FLOW</stp>
        <stp>-5FY</stp>
        <stp>-5FY</stp>
        <stp>[Fundamental &amp; Technical Model (1).xlsm]Multiples!R53C8</stp>
        <stp>EQY_CONSOLIDATED</stp>
        <stp>Yes</stp>
        <stp>ACCOUNTING_STANDARD_OVERRIDE</stp>
        <stp>Mixed</stp>
        <stp>Per</stp>
        <stp>FY</stp>
        <stp>Days=A</stp>
        <tr r="H53" s="16"/>
        <tr r="H53" s="16"/>
      </tp>
      <tp>
        <v>33.672166427546628</v>
        <stp/>
        <stp>##V3_BQLV12</stp>
        <stp>[Fundamental &amp; Technical Model (1).xlsm]Ratios!R42C10</stp>
        <stp>SYK US Equity</stp>
        <stp>ACCOUNTS_PAYABLE_TURNOVER_DAYS</stp>
        <stp>FPT</stp>
        <stp>A</stp>
        <stp>FPO</stp>
        <stp>-4A</stp>
        <stp>STD</stp>
        <stp>Mixed</stp>
        <stp>CONSOL</stp>
        <stp>Yes</stp>
        <tr r="J42" s="8"/>
      </tp>
      <tp>
        <v>9859</v>
        <stp/>
        <stp>##V3_BDPV12</stp>
        <stp>SYK US Equity</stp>
        <stp>SHORT_AND_LONG_TERM_DEBT</stp>
        <stp>[Fundamental &amp; Technical Model (1).xlsm]Capital Structure Summary!R43C11</stp>
        <stp>EQY_FUND_RELATIVE_PERIOD</stp>
        <stp>-0FY</stp>
        <stp>EQY_FUND_CRNCY</stp>
        <stp>USD</stp>
        <stp>EQY_CONSOLIDATED</stp>
        <stp>Yes</stp>
        <stp>ACCOUNTING_STANDARD_OVERRIDE</stp>
        <stp>Mixed</stp>
        <stp>Fill=--</stp>
        <tr r="K43" s="21"/>
      </tp>
      <tp>
        <v>9859</v>
        <stp/>
        <stp>##V3_BDPV12</stp>
        <stp>SYK US Equity</stp>
        <stp>SHORT_AND_LONG_TERM_DEBT</stp>
        <stp>[Fundamental &amp; Technical Model (1).xlsm]Capital Structure Summary!R45C11</stp>
        <stp>EQY_FUND_RELATIVE_PERIOD</stp>
        <stp>-0FY</stp>
        <stp>EQY_FUND_CRNCY</stp>
        <stp>USD</stp>
        <stp>EQY_CONSOLIDATED</stp>
        <stp>Yes</stp>
        <stp>ACCOUNTING_STANDARD_OVERRIDE</stp>
        <stp>Mixed</stp>
        <stp>Fill=--</stp>
        <tr r="K45" s="21"/>
      </tp>
      <tp>
        <v>14.468127890609288</v>
        <stp/>
        <stp>##V3_BQLV12</stp>
        <stp>[Fundamental &amp; Technical Model (1).xlsm]Ratios!R26C11</stp>
        <stp>SYK US Equity</stp>
        <stp>PROF_MARGIN</stp>
        <stp>FPT</stp>
        <stp>A</stp>
        <stp>FPO</stp>
        <stp>-3A</stp>
        <stp>STD</stp>
        <stp>Mixed</stp>
        <stp>CONSOL</stp>
        <stp>Yes</stp>
        <tr r="K26" s="8"/>
      </tp>
      <tp>
        <v>46.224549156486326</v>
        <stp/>
        <stp>##V3_BQLV12</stp>
        <stp>[Fundamental &amp; Technical Model (1).xlsm]Ratios!R46C10</stp>
        <stp>SYK US Equity</stp>
        <stp>TOT_DEBT_TO_TOT_EQY</stp>
        <stp>FPT</stp>
        <stp>A</stp>
        <stp>FPO</stp>
        <stp>-4A</stp>
        <stp>STD</stp>
        <stp>Mixed</stp>
        <stp>CONSOL</stp>
        <stp>Yes</stp>
        <tr r="J46" s="8"/>
      </tp>
      <tp>
        <v>17.231481481481481</v>
        <stp/>
        <stp>##V3_BDPV12</stp>
        <stp>SYK US Equity</stp>
        <stp>INTEREST_COVERAGE_RATIO</stp>
        <stp>[Fundamental &amp; Technical Model (1).xlsm]Capital Structure Summary!R65C5</stp>
        <stp>EQY_FUND_RELATIVE_PERIOD</stp>
        <stp>-3FY</stp>
        <stp>EQY_FUND_CRNCY</stp>
        <stp>USD</stp>
        <stp>EQY_CONSOLIDATED</stp>
        <stp>Yes</stp>
        <stp>ACCOUNTING_STANDARD_OVERRIDE</stp>
        <stp>Mixed</stp>
        <stp>Fill=--</stp>
        <tr r="E65" s="21"/>
      </tp>
      <tp>
        <v>31.612030553787395</v>
        <stp/>
        <stp>##V3_BQLV12</stp>
        <stp>[Fundamental &amp; Technical Model (1).xlsm]Ratios!R47C10</stp>
        <stp>SYK US Equity</stp>
        <stp>TOT_DEBT_TO_TOT_CAP</stp>
        <stp>FPT</stp>
        <stp>A</stp>
        <stp>FPO</stp>
        <stp>-4A</stp>
        <stp>STD</stp>
        <stp>Mixed</stp>
        <stp>CONSOL</stp>
        <stp>Yes</stp>
        <tr r="J47" s="8"/>
      </tp>
      <tp>
        <v>11.026548672566372</v>
        <stp/>
        <stp>##V3_BDPV12</stp>
        <stp>SYK US Equity</stp>
        <stp>INTEREST_COVERAGE_RATIO</stp>
        <stp>[Fundamental &amp; Technical Model (1).xlsm]Capital Structure Summary!R65C3</stp>
        <stp>EQY_FUND_RELATIVE_PERIOD</stp>
        <stp>-4FY</stp>
        <stp>EQY_FUND_CRNCY</stp>
        <stp>USD</stp>
        <stp>EQY_CONSOLIDATED</stp>
        <stp>Yes</stp>
        <stp>ACCOUNTING_STANDARD_OVERRIDE</stp>
        <stp>Mixed</stp>
        <stp>Fill=--</stp>
        <tr r="C65" s="21"/>
      </tp>
      <tp>
        <v>9.5394736842105257</v>
        <stp/>
        <stp>##V3_BDPV12</stp>
        <stp>SYK US Equity</stp>
        <stp>INTEREST_COVERAGE_RATIO</stp>
        <stp>[Fundamental &amp; Technical Model (1).xlsm]Capital Structure Summary!R65C7</stp>
        <stp>EQY_FUND_RELATIVE_PERIOD</stp>
        <stp>-2FY</stp>
        <stp>EQY_FUND_CRNCY</stp>
        <stp>USD</stp>
        <stp>EQY_CONSOLIDATED</stp>
        <stp>Yes</stp>
        <stp>ACCOUNTING_STANDARD_OVERRIDE</stp>
        <stp>Mixed</stp>
        <stp>Fill=--</stp>
        <tr r="G65" s="21"/>
      </tp>
      <tp>
        <v>1252</v>
        <stp/>
        <stp>##V3_BQLV12</stp>
        <stp>[Fundamental &amp; Technical Model (1).xlsm]Balance Sheet!R74C10</stp>
        <stp>SYK US Equity</stp>
        <stp>INVTRY_FINISHED_GOODS/10^6</stp>
        <stp>FPT</stp>
        <stp>A</stp>
        <stp>FPO</stp>
        <stp>-4A</stp>
        <stp>STD</stp>
        <stp>Mixed</stp>
        <stp>CONSOL</stp>
        <stp>Yes</stp>
        <stp>CURRENCY</stp>
        <stp>USD</stp>
        <tr r="J74" s="3"/>
      </tp>
      <tp>
        <v>1633</v>
        <stp/>
        <stp>##V3_BDSV12</stp>
        <stp>SYK US Equity</stp>
        <stp>PG_REVENUE</stp>
        <stp>[Fundamental &amp; Technical Model (1).xlsm]Segments!R20C10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20" s="17"/>
        <tr r="J20" s="17"/>
      </tp>
      <tp>
        <v>1232</v>
        <stp/>
        <stp>##V3_BQLV12</stp>
        <stp>[Fundamental &amp; Technical Model (1).xlsm]Balance Sheet!R74C11</stp>
        <stp>SYK US Equity</stp>
        <stp>INVTRY_FINISHED_GOODS/10^6</stp>
        <stp>FPT</stp>
        <stp>A</stp>
        <stp>FPO</stp>
        <stp>-3A</stp>
        <stp>STD</stp>
        <stp>Mixed</stp>
        <stp>CONSOL</stp>
        <stp>Yes</stp>
        <stp>CURRENCY</stp>
        <stp>USD</stp>
        <tr r="K74" s="3"/>
      </tp>
      <tp>
        <v>1682</v>
        <stp/>
        <stp>##V3_BDSV12</stp>
        <stp>SYK US Equity</stp>
        <stp>PG_REVENUE</stp>
        <stp>[Fundamental &amp; Technical Model (1).xlsm]Segments!R20C11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20" s="17"/>
        <tr r="K20" s="17"/>
      </tp>
      <tp>
        <v>1475</v>
        <stp/>
        <stp>##V3_BQLV12</stp>
        <stp>[Fundamental &amp; Technical Model (1).xlsm]Balance Sheet!R74C12</stp>
        <stp>SYK US Equity</stp>
        <stp>INVTRY_FINISHED_GOODS/10^6</stp>
        <stp>FPT</stp>
        <stp>A</stp>
        <stp>FPO</stp>
        <stp>-2A</stp>
        <stp>STD</stp>
        <stp>Mixed</stp>
        <stp>CONSOL</stp>
        <stp>Yes</stp>
        <stp>CURRENCY</stp>
        <stp>USD</stp>
        <tr r="L74" s="3"/>
      </tp>
      <tp>
        <v>9.2995951417004044</v>
        <stp/>
        <stp>##V3_BDPV12</stp>
        <stp>SYK US Equity</stp>
        <stp>INTEREST_COVERAGE_RATIO</stp>
        <stp>[Fundamental &amp; Technical Model (1).xlsm]Capital Structure Summary!R65C9</stp>
        <stp>EQY_FUND_RELATIVE_PERIOD</stp>
        <stp>-1FY</stp>
        <stp>EQY_FUND_CRNCY</stp>
        <stp>USD</stp>
        <stp>EQY_CONSOLIDATED</stp>
        <stp>Yes</stp>
        <stp>ACCOUNTING_STANDARD_OVERRIDE</stp>
        <stp>Mixed</stp>
        <stp>Fill=--</stp>
        <tr r="I65" s="21"/>
      </tp>
      <tp>
        <v>1791</v>
        <stp/>
        <stp>##V3_BDSV12</stp>
        <stp>SYK US Equity</stp>
        <stp>PG_REVENUE</stp>
        <stp>[Fundamental &amp; Technical Model (1).xlsm]Segments!R20C12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20" s="17"/>
        <tr r="L20" s="17"/>
      </tp>
      <tp>
        <v>1789</v>
        <stp/>
        <stp>##V3_BQLV12</stp>
        <stp>[Fundamental &amp; Technical Model (1).xlsm]Balance Sheet!R74C13</stp>
        <stp>SYK US Equity</stp>
        <stp>INVTRY_FINISHED_GOODS/10^6</stp>
        <stp>FPT</stp>
        <stp>A</stp>
        <stp>FPO</stp>
        <stp>-1A</stp>
        <stp>STD</stp>
        <stp>Mixed</stp>
        <stp>CONSOL</stp>
        <stp>Yes</stp>
        <stp>CURRENCY</stp>
        <stp>USD</stp>
        <tr r="M74" s="3"/>
      </tp>
      <tp>
        <v>1936</v>
        <stp/>
        <stp>##V3_BDSV12</stp>
        <stp>SYK US Equity</stp>
        <stp>PG_REVENUE</stp>
        <stp>[Fundamental &amp; Technical Model (1).xlsm]Segments!R20C13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20" s="17"/>
        <tr r="M20" s="17"/>
      </tp>
      <tp>
        <v>2200</v>
        <stp/>
        <stp>##V3_BQLV12</stp>
        <stp>[Fundamental &amp; Technical Model (1).xlsm]Balance Sheet!R74C14</stp>
        <stp>SYK US Equity</stp>
        <stp>INVTRY_FINISHED_GOODS/10^6</stp>
        <stp>FPT</stp>
        <stp>A</stp>
        <stp>FPO</stp>
        <stp>-0A</stp>
        <stp>STD</stp>
        <stp>Mixed</stp>
        <stp>CONSOL</stp>
        <stp>Yes</stp>
        <stp>CURRENCY</stp>
        <stp>USD</stp>
        <tr r="N74" s="3"/>
      </tp>
      <tp>
        <v>2081</v>
        <stp/>
        <stp>##V3_BDSV12</stp>
        <stp>SYK US Equity</stp>
        <stp>PG_REVENUE</stp>
        <stp>[Fundamental &amp; Technical Model (1).xlsm]Segments!R20C14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20" s="17"/>
        <tr r="N20" s="17"/>
      </tp>
      <tp>
        <v>17.421633554083886</v>
        <stp/>
        <stp>##V3_BQLV12</stp>
        <stp>[Fundamental &amp; Technical Model (1).xlsm]Ratios!R27C12</stp>
        <stp>SYK US Equity</stp>
        <stp>NORMALIZED_PROFIT_MARGIN</stp>
        <stp>FPT</stp>
        <stp>A</stp>
        <stp>FPO</stp>
        <stp>-2A</stp>
        <stp>STD</stp>
        <stp>Mixed</stp>
        <stp>CONSOL</stp>
        <stp>Yes</stp>
        <tr r="L27" s="8"/>
      </tp>
      <tp>
        <v>0</v>
        <stp/>
        <stp>##V3_BQLV12</stp>
        <stp>[Fundamental &amp; Technical Model (1).xlsm]Cash Flow!R39C5</stp>
        <stp>SYK US Equity</stp>
        <stp>CF_DECR_CAP_STOCK/10^6</stp>
        <stp>FPT</stp>
        <stp>A</stp>
        <stp>FPO</stp>
        <stp>-9A</stp>
        <stp>STD</stp>
        <stp>Mixed</stp>
        <stp>CONSOL</stp>
        <stp>Yes</stp>
        <stp>CURRENCY</stp>
        <stp>USD</stp>
        <tr r="E39" s="4"/>
      </tp>
      <tp>
        <v>-426</v>
        <stp/>
        <stp>##V3_BQLV12</stp>
        <stp>[Fundamental &amp; Technical Model (1).xlsm]Cash Flow!R39C6</stp>
        <stp>SYK US Equity</stp>
        <stp>CF_DECR_CAP_STOCK/10^6</stp>
        <stp>FPT</stp>
        <stp>A</stp>
        <stp>FPO</stp>
        <stp>-8A</stp>
        <stp>STD</stp>
        <stp>Mixed</stp>
        <stp>CONSOL</stp>
        <stp>Yes</stp>
        <stp>CURRENCY</stp>
        <stp>USD</stp>
        <tr r="F39" s="4"/>
      </tp>
      <tp t="s">
        <v>12/31/2008</v>
        <stp/>
        <stp>##V3_BDPV12</stp>
        <stp>SYK US Equity</stp>
        <stp>LATEST_PERIOD_END_DT_FULL_RECORD</stp>
        <stp>[Fundamental &amp; Technical Model (1).xlsm]Segments!R15C4</stp>
        <stp>EQY_FUND_RELATIVE_PERIOD</stp>
        <stp>-10FY</stp>
        <stp>EQY_CONSOLIDATED</stp>
        <stp>Yes</stp>
        <tr r="D15" s="17"/>
        <tr r="D15" s="17"/>
      </tp>
      <tp>
        <v>-622</v>
        <stp/>
        <stp>##V3_BQLV12</stp>
        <stp>[Fundamental &amp; Technical Model (1).xlsm]Cash Flow!R39C7</stp>
        <stp>SYK US Equity</stp>
        <stp>CF_DECR_CAP_STOCK/10^6</stp>
        <stp>FPT</stp>
        <stp>A</stp>
        <stp>FPO</stp>
        <stp>-7A</stp>
        <stp>STD</stp>
        <stp>Mixed</stp>
        <stp>CONSOL</stp>
        <stp>Yes</stp>
        <stp>CURRENCY</stp>
        <stp>USD</stp>
        <tr r="G39" s="4"/>
      </tp>
      <tp>
        <v>9.7850877192982448</v>
        <stp/>
        <stp>##V3_BQLV12</stp>
        <stp>[Fundamental &amp; Technical Model (1).xlsm]Ratios!R54C12</stp>
        <stp>SYK US Equity</stp>
        <stp>EBITDA_LES_CAP_EXPEND_TO_INT_EXP</stp>
        <stp>FPT</stp>
        <stp>A</stp>
        <stp>FPO</stp>
        <stp>-2A</stp>
        <stp>STD</stp>
        <stp>Mixed</stp>
        <stp>CONSOL</stp>
        <stp>Yes</stp>
        <tr r="L54" s="8"/>
      </tp>
      <tp>
        <v>-108</v>
        <stp/>
        <stp>##V3_BQLV12</stp>
        <stp>[Fundamental &amp; Technical Model (1).xlsm]Cash Flow!R39C8</stp>
        <stp>SYK US Equity</stp>
        <stp>CF_DECR_CAP_STOCK/10^6</stp>
        <stp>FPT</stp>
        <stp>A</stp>
        <stp>FPO</stp>
        <stp>-6A</stp>
        <stp>STD</stp>
        <stp>Mixed</stp>
        <stp>CONSOL</stp>
        <stp>Yes</stp>
        <stp>CURRENCY</stp>
        <stp>USD</stp>
        <tr r="H39" s="4"/>
      </tp>
      <tp t="e">
        <v>#N/A</v>
        <stp/>
        <stp>##V3_BDHV12</stp>
        <stp>SYK US Equity</stp>
        <stp>PE_RATIO</stp>
        <stp>-7FY</stp>
        <stp>-7FY</stp>
        <stp>[Fundamental &amp; Technical Model (1).xlsm]Multiples!R33C6</stp>
        <stp>EQY_CONSOLIDATED</stp>
        <stp>Yes</stp>
        <stp>ACCOUNTING_STANDARD_OVERRIDE</stp>
        <stp>Mixed</stp>
        <stp>Per</stp>
        <stp>FY</stp>
        <stp>Days=A</stp>
        <tr r="F33" s="16"/>
        <tr r="F33" s="16"/>
      </tp>
      <tp>
        <v>-317</v>
        <stp/>
        <stp>##V3_BQLV12</stp>
        <stp>[Fundamental &amp; Technical Model (1).xlsm]Cash Flow!R39C9</stp>
        <stp>SYK US Equity</stp>
        <stp>CF_DECR_CAP_STOCK/10^6</stp>
        <stp>FPT</stp>
        <stp>A</stp>
        <stp>FPO</stp>
        <stp>-5A</stp>
        <stp>STD</stp>
        <stp>Mixed</stp>
        <stp>CONSOL</stp>
        <stp>Yes</stp>
        <stp>CURRENCY</stp>
        <stp>USD</stp>
        <tr r="I39" s="4"/>
      </tp>
      <tp>
        <v>-155.19999999999999</v>
        <stp/>
        <stp>##V3_BQLV12</stp>
        <stp>[Fundamental &amp; Technical Model (1).xlsm]Cash Flow!R21C4</stp>
        <stp>SYK US Equity</stp>
        <stp>CF_CAP_EXPEND_PRPTY_ADD/10^6</stp>
        <stp>FPT</stp>
        <stp>A</stp>
        <stp>FPO</stp>
        <stp>-10A</stp>
        <stp>STD</stp>
        <stp>Mixed</stp>
        <stp>CONSOL</stp>
        <stp>Yes</stp>
        <stp>CURRENCY</stp>
        <stp>USD</stp>
        <tr r="D21" s="4"/>
      </tp>
      <tp>
        <v>1345</v>
        <stp/>
        <stp>##V3_BQLV12</stp>
        <stp>[Fundamental &amp; Technical Model (1).xlsm]Cash Flow!R15C7</stp>
        <stp>SYK US Equity</stp>
        <stp>CF_NET_INC/10^6</stp>
        <stp>FPT</stp>
        <stp>A</stp>
        <stp>FPO</stp>
        <stp>-7A</stp>
        <stp>STD</stp>
        <stp>Mixed</stp>
        <stp>CONSOL</stp>
        <stp>Yes</stp>
        <stp>CURRENCY</stp>
        <stp>USD</stp>
        <tr r="G15" s="4"/>
      </tp>
      <tp>
        <v>8938</v>
        <stp/>
        <stp>##V3_BQLV12</stp>
        <stp>[Fundamental &amp; Technical Model (1).xlsm]Key Stats!R18C10</stp>
        <stp>SYK US Equity</stp>
        <stp>GROSS_PROFIT/10^6</stp>
        <stp>FPT</stp>
        <stp>A</stp>
        <stp>FPO</stp>
        <stp>-0A</stp>
        <stp>STD</stp>
        <stp>Mixed</stp>
        <stp>CONSOL</stp>
        <stp>Yes</stp>
        <stp>CURRENCY</stp>
        <stp>USD</stp>
        <tr r="J18" s="23"/>
      </tp>
      <tp>
        <v>345</v>
        <stp/>
        <stp>##V3_BQLV12</stp>
        <stp>[Fundamental &amp; Technical Model (1).xlsm]Balance Sheet!R39C7</stp>
        <stp>SYK US Equity</stp>
        <stp>BS_ACCT_PAYABLE/10^6</stp>
        <stp>FPT</stp>
        <stp>A</stp>
        <stp>FPO</stp>
        <stp>-7A</stp>
        <stp>STD</stp>
        <stp>Mixed</stp>
        <stp>CONSOL</stp>
        <stp>Yes</stp>
        <stp>CURRENCY</stp>
        <stp>USD</stp>
        <tr r="G39" s="3"/>
      </tp>
      <tp>
        <v>200.2</v>
        <stp/>
        <stp>##V3_BQLV12</stp>
        <stp>[Fundamental &amp; Technical Model (1).xlsm]Balance Sheet!R39C5</stp>
        <stp>SYK US Equity</stp>
        <stp>BS_ACCT_PAYABLE/10^6</stp>
        <stp>FPT</stp>
        <stp>A</stp>
        <stp>FPO</stp>
        <stp>-9A</stp>
        <stp>STD</stp>
        <stp>Mixed</stp>
        <stp>CONSOL</stp>
        <stp>Yes</stp>
        <stp>CURRENCY</stp>
        <stp>USD</stp>
        <tr r="E39" s="3"/>
      </tp>
      <tp>
        <v>314</v>
        <stp/>
        <stp>##V3_BQLV12</stp>
        <stp>[Fundamental &amp; Technical Model (1).xlsm]Balance Sheet!R39C9</stp>
        <stp>SYK US Equity</stp>
        <stp>BS_ACCT_PAYABLE/10^6</stp>
        <stp>FPT</stp>
        <stp>A</stp>
        <stp>FPO</stp>
        <stp>-5A</stp>
        <stp>STD</stp>
        <stp>Mixed</stp>
        <stp>CONSOL</stp>
        <stp>Yes</stp>
        <stp>CURRENCY</stp>
        <stp>USD</stp>
        <tr r="I39" s="3"/>
      </tp>
      <tp>
        <v>292</v>
        <stp/>
        <stp>##V3_BQLV12</stp>
        <stp>[Fundamental &amp; Technical Model (1).xlsm]Balance Sheet!R39C6</stp>
        <stp>SYK US Equity</stp>
        <stp>BS_ACCT_PAYABLE/10^6</stp>
        <stp>FPT</stp>
        <stp>A</stp>
        <stp>FPO</stp>
        <stp>-8A</stp>
        <stp>STD</stp>
        <stp>Mixed</stp>
        <stp>CONSOL</stp>
        <stp>Yes</stp>
        <stp>CURRENCY</stp>
        <stp>USD</stp>
        <tr r="F39" s="3"/>
      </tp>
      <tp>
        <v>288</v>
        <stp/>
        <stp>##V3_BQLV12</stp>
        <stp>[Fundamental &amp; Technical Model (1).xlsm]Balance Sheet!R39C8</stp>
        <stp>SYK US Equity</stp>
        <stp>BS_ACCT_PAYABLE/10^6</stp>
        <stp>FPT</stp>
        <stp>A</stp>
        <stp>FPO</stp>
        <stp>-6A</stp>
        <stp>STD</stp>
        <stp>Mixed</stp>
        <stp>CONSOL</stp>
        <stp>Yes</stp>
        <stp>CURRENCY</stp>
        <stp>USD</stp>
        <tr r="H39" s="3"/>
      </tp>
      <tp t="e">
        <v>#N/A</v>
        <stp/>
        <stp>##V3_BDHV12</stp>
        <stp>SYK US Equity</stp>
        <stp>AVG_EV_TO_T12M_EBITDA</stp>
        <stp>-9FY</stp>
        <stp>-9FY</stp>
        <stp>[Fundamental &amp; Technical Model (1).xlsm]Multiples!R22C4</stp>
        <stp>EQY_CONSOLIDATED</stp>
        <stp>Yes</stp>
        <stp>ACCOUNTING_STANDARD_OVERRIDE</stp>
        <stp>Mixed</stp>
        <stp>Per</stp>
        <stp>FY</stp>
        <stp>Days=A</stp>
        <tr r="D22" s="16"/>
        <tr r="D22" s="16"/>
      </tp>
      <tp t="s">
        <v>2018 A</v>
        <stp/>
        <stp>##V3_BQLV12</stp>
        <stp>[Fundamental &amp; Technical Model (1).xlsm]Balance Sheet!R13C14</stp>
        <stp>SYK US Equity</stp>
        <stp>IS_EPS().PERIOD</stp>
        <stp>FPT</stp>
        <stp>A</stp>
        <stp>FPO</stp>
        <stp>-0A</stp>
        <stp>STD</stp>
        <stp>Mixed</stp>
        <stp>CONSOL</stp>
        <stp>Yes</stp>
        <tr r="N13" s="3"/>
      </tp>
      <tp t="s">
        <v>12/31/2014</v>
        <stp/>
        <stp>##V3_BDPV12</stp>
        <stp>SYK US Equity</stp>
        <stp>LATEST_PERIOD_END_DT_FULL_RECORD</stp>
        <stp>[Fundamental &amp; Technical Model (1).xlsm]Segments!R145C10</stp>
        <stp>EQY_FUND_RELATIVE_PERIOD</stp>
        <stp>-4FY</stp>
        <stp>EQY_CONSOLIDATED</stp>
        <stp>Yes</stp>
        <tr r="J145" s="17"/>
        <tr r="J145" s="17"/>
      </tp>
      <tp t="s">
        <v>12/31/2018</v>
        <stp/>
        <stp>##V3_BDPV12</stp>
        <stp>SYK US Equity</stp>
        <stp>LATEST_PERIOD_END_DT_FULL_RECORD</stp>
        <stp>[Fundamental &amp; Technical Model (1).xlsm]Segments!R145C14</stp>
        <stp>EQY_FUND_RELATIVE_PERIOD</stp>
        <stp>-0FY</stp>
        <stp>EQY_CONSOLIDATED</stp>
        <stp>Yes</stp>
        <tr r="N145" s="17"/>
        <tr r="N145" s="17"/>
      </tp>
      <tp t="s">
        <v>12/31/2016</v>
        <stp/>
        <stp>##V3_BDPV12</stp>
        <stp>SYK US Equity</stp>
        <stp>LATEST_PERIOD_END_DT_FULL_RECORD</stp>
        <stp>[Fundamental &amp; Technical Model (1).xlsm]Segments!R145C12</stp>
        <stp>EQY_FUND_RELATIVE_PERIOD</stp>
        <stp>-2FY</stp>
        <stp>EQY_CONSOLIDATED</stp>
        <stp>Yes</stp>
        <tr r="L145" s="17"/>
        <tr r="L145" s="17"/>
      </tp>
      <tp t="s">
        <v>12/31/2015</v>
        <stp/>
        <stp>##V3_BDPV12</stp>
        <stp>SYK US Equity</stp>
        <stp>LATEST_PERIOD_END_DT_FULL_RECORD</stp>
        <stp>[Fundamental &amp; Technical Model (1).xlsm]Segments!R145C11</stp>
        <stp>EQY_FUND_RELATIVE_PERIOD</stp>
        <stp>-3FY</stp>
        <stp>EQY_CONSOLIDATED</stp>
        <stp>Yes</stp>
        <tr r="K145" s="17"/>
        <tr r="K145" s="17"/>
      </tp>
      <tp t="s">
        <v>12/31/2017</v>
        <stp/>
        <stp>##V3_BDPV12</stp>
        <stp>SYK US Equity</stp>
        <stp>LATEST_PERIOD_END_DT_FULL_RECORD</stp>
        <stp>[Fundamental &amp; Technical Model (1).xlsm]Segments!R145C13</stp>
        <stp>EQY_FUND_RELATIVE_PERIOD</stp>
        <stp>-1FY</stp>
        <stp>EQY_CONSOLIDATED</stp>
        <stp>Yes</stp>
        <tr r="M145" s="17"/>
        <tr r="M145" s="17"/>
      </tp>
      <tp t="e">
        <v>#N/A</v>
        <stp/>
        <stp>##V3_BDHV12</stp>
        <stp>SYK US Equity</stp>
        <stp>HIGH_CLOSING_PRICE_TO_CASH_FLOW</stp>
        <stp>-4FY</stp>
        <stp>-4FY</stp>
        <stp>[Fundamental &amp; Technical Model (1).xlsm]Multiples!R53C9</stp>
        <stp>EQY_CONSOLIDATED</stp>
        <stp>Yes</stp>
        <stp>ACCOUNTING_STANDARD_OVERRIDE</stp>
        <stp>Mixed</stp>
        <stp>Per</stp>
        <stp>FY</stp>
        <stp>Days=A</stp>
        <tr r="I53" s="16"/>
        <tr r="I53" s="16"/>
      </tp>
      <tp>
        <v>39.725331369661262</v>
        <stp/>
        <stp>##V3_BQLV12</stp>
        <stp>[Fundamental &amp; Technical Model (1).xlsm]Ratios!R42C11</stp>
        <stp>SYK US Equity</stp>
        <stp>ACCOUNTS_PAYABLE_TURNOVER_DAYS</stp>
        <stp>FPT</stp>
        <stp>A</stp>
        <stp>FPO</stp>
        <stp>-3A</stp>
        <stp>STD</stp>
        <stp>Mixed</stp>
        <stp>CONSOL</stp>
        <stp>Yes</stp>
        <tr r="K42" s="8"/>
      </tp>
      <tp>
        <v>108</v>
        <stp/>
        <stp>##V3_BDPV12</stp>
        <stp>SYK US Equity</stp>
        <stp>BS_RENTAL_EXPENSE_YR_2_3</stp>
        <stp>[Fundamental &amp; Technical Model (1).xlsm]Capital Structure Summary!R102C9</stp>
        <stp>EQY_FUND_RELATIVE_PERIOD</stp>
        <stp>-1FY</stp>
        <stp>EQY_FUND_CRNCY</stp>
        <stp>USD</stp>
        <stp>EQY_CONSOLIDATED</stp>
        <stp>Yes</stp>
        <stp>ACCOUNTING_STANDARD_OVERRIDE</stp>
        <stp>Mixed</stp>
        <stp>Fill=--</stp>
        <tr r="I102" s="21"/>
      </tp>
      <tp>
        <v>5.3229974160206712</v>
        <stp/>
        <stp>##V3_BQLV12</stp>
        <stp>[Fundamental &amp; Technical Model (1).xlsm]Ratios!R26C10</stp>
        <stp>SYK US Equity</stp>
        <stp>PROF_MARGIN</stp>
        <stp>FPT</stp>
        <stp>A</stp>
        <stp>FPO</stp>
        <stp>-4A</stp>
        <stp>STD</stp>
        <stp>Mixed</stp>
        <stp>CONSOL</stp>
        <stp>Yes</stp>
        <tr r="J26" s="8"/>
      </tp>
      <tp>
        <v>1006</v>
        <stp/>
        <stp>##V3_BQLV12</stp>
        <stp>[Fundamental &amp; Technical Model (1).xlsm]Key Stats!R27C5</stp>
        <stp>SYK US Equity</stp>
        <stp>NET_INCOME/10^6</stp>
        <stp>FPT</stp>
        <stp>A</stp>
        <stp>FPO</stp>
        <stp>-5A</stp>
        <stp>STD</stp>
        <stp>Mixed</stp>
        <stp>CONSOL</stp>
        <stp>Yes</stp>
        <stp>CURRENCY</stp>
        <stp>USD</stp>
        <tr r="E27" s="23"/>
      </tp>
      <tp>
        <v>90</v>
        <stp/>
        <stp>##V3_BDPV12</stp>
        <stp>SYK US Equity</stp>
        <stp>BS_RENTAL_EXPENSE_YR_2_3</stp>
        <stp>[Fundamental &amp; Technical Model (1).xlsm]Capital Structure Summary!R102C5</stp>
        <stp>EQY_FUND_RELATIVE_PERIOD</stp>
        <stp>-3FY</stp>
        <stp>EQY_FUND_CRNCY</stp>
        <stp>USD</stp>
        <stp>EQY_CONSOLIDATED</stp>
        <stp>Yes</stp>
        <stp>ACCOUNTING_STANDARD_OVERRIDE</stp>
        <stp>Mixed</stp>
        <stp>Fill=--</stp>
        <tr r="E102" s="21"/>
      </tp>
      <tp>
        <v>78</v>
        <stp/>
        <stp>##V3_BDPV12</stp>
        <stp>SYK US Equity</stp>
        <stp>BS_RENTAL_EXPENSE_YR_2_3</stp>
        <stp>[Fundamental &amp; Technical Model (1).xlsm]Capital Structure Summary!R102C3</stp>
        <stp>EQY_FUND_RELATIVE_PERIOD</stp>
        <stp>-4FY</stp>
        <stp>EQY_FUND_CRNCY</stp>
        <stp>USD</stp>
        <stp>EQY_CONSOLIDATED</stp>
        <stp>Yes</stp>
        <stp>ACCOUNTING_STANDARD_OVERRIDE</stp>
        <stp>Mixed</stp>
        <stp>Fill=--</stp>
        <tr r="C102" s="21"/>
      </tp>
      <tp>
        <v>81</v>
        <stp/>
        <stp>##V3_BDPV12</stp>
        <stp>SYK US Equity</stp>
        <stp>BS_RENTAL_EXPENSE_YR_2_3</stp>
        <stp>[Fundamental &amp; Technical Model (1).xlsm]Capital Structure Summary!R102C7</stp>
        <stp>EQY_FUND_RELATIVE_PERIOD</stp>
        <stp>-2FY</stp>
        <stp>EQY_FUND_CRNCY</stp>
        <stp>USD</stp>
        <stp>EQY_CONSOLIDATED</stp>
        <stp>Yes</stp>
        <stp>ACCOUNTING_STANDARD_OVERRIDE</stp>
        <stp>Mixed</stp>
        <stp>Fill=--</stp>
        <tr r="G102" s="21"/>
      </tp>
      <tp>
        <v>4389.5</v>
        <stp/>
        <stp>##V3_BQLV12</stp>
        <stp>[Fundamental &amp; Technical Model (1).xlsm]Balance Sheet!R55C4</stp>
        <stp>SYK US Equity</stp>
        <stp>BS_PURE_RETAINED_EARNINGS/10^6</stp>
        <stp>FPT</stp>
        <stp>A</stp>
        <stp>FPO</stp>
        <stp>-10A</stp>
        <stp>STD</stp>
        <stp>Mixed</stp>
        <stp>CONSOL</stp>
        <stp>Yes</stp>
        <stp>CURRENCY</stp>
        <stp>USD</stp>
        <tr r="D55" s="3"/>
      </tp>
      <tp>
        <v>47.256491599107036</v>
        <stp/>
        <stp>##V3_BQLV12</stp>
        <stp>[Fundamental &amp; Technical Model (1).xlsm]Ratios!R46C11</stp>
        <stp>SYK US Equity</stp>
        <stp>TOT_DEBT_TO_TOT_EQY</stp>
        <stp>FPT</stp>
        <stp>A</stp>
        <stp>FPO</stp>
        <stp>-3A</stp>
        <stp>STD</stp>
        <stp>Mixed</stp>
        <stp>CONSOL</stp>
        <stp>Yes</stp>
        <tr r="K46" s="8"/>
      </tp>
      <tp>
        <v>32.091279023378284</v>
        <stp/>
        <stp>##V3_BQLV12</stp>
        <stp>[Fundamental &amp; Technical Model (1).xlsm]Ratios!R47C11</stp>
        <stp>SYK US Equity</stp>
        <stp>TOT_DEBT_TO_TOT_CAP</stp>
        <stp>FPT</stp>
        <stp>A</stp>
        <stp>FPO</stp>
        <stp>-3A</stp>
        <stp>STD</stp>
        <stp>Mixed</stp>
        <stp>CONSOL</stp>
        <stp>Yes</stp>
        <tr r="K47" s="8"/>
      </tp>
      <tp>
        <v>4991</v>
        <stp/>
        <stp>##V3_BDSV12</stp>
        <stp>SYK US Equity</stp>
        <stp>PG_REVENUE</stp>
        <stp>[Fundamental &amp; Technical Model (1).xlsm]Segments!R17C14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17" s="17"/>
        <tr r="N17" s="17"/>
      </tp>
      <tp>
        <v>1.8972191323692993</v>
        <stp/>
        <stp>##V3_BQLV12</stp>
        <stp>[Fundamental &amp; Technical Model (1).xlsm]Ratios!R34C13</stp>
        <stp>SYK US Equity</stp>
        <stp>INVENT_TURN</stp>
        <stp>FPT</stp>
        <stp>A</stp>
        <stp>FPO</stp>
        <stp>-1A</stp>
        <stp>STD</stp>
        <stp>Mixed</stp>
        <stp>CONSOL</stp>
        <stp>Yes</stp>
        <tr r="M34" s="8"/>
      </tp>
      <tp>
        <v>4223</v>
        <stp/>
        <stp>##V3_BDSV12</stp>
        <stp>SYK US Equity</stp>
        <stp>PG_REVENUE</stp>
        <stp>[Fundamental &amp; Technical Model (1).xlsm]Segments!R17C11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17" s="17"/>
        <tr r="K17" s="17"/>
      </tp>
      <tp>
        <v>4153</v>
        <stp/>
        <stp>##V3_BDSV12</stp>
        <stp>SYK US Equity</stp>
        <stp>PG_REVENUE</stp>
        <stp>[Fundamental &amp; Technical Model (1).xlsm]Segments!R17C10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17" s="17"/>
        <tr r="J17" s="17"/>
      </tp>
      <tp>
        <v>4713</v>
        <stp/>
        <stp>##V3_BDSV12</stp>
        <stp>SYK US Equity</stp>
        <stp>PG_REVENUE</stp>
        <stp>[Fundamental &amp; Technical Model (1).xlsm]Segments!R17C13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17" s="17"/>
        <tr r="M17" s="17"/>
      </tp>
      <tp>
        <v>4422</v>
        <stp/>
        <stp>##V3_BDSV12</stp>
        <stp>SYK US Equity</stp>
        <stp>PG_REVENUE</stp>
        <stp>[Fundamental &amp; Technical Model (1).xlsm]Segments!R17C12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17" s="17"/>
        <tr r="L17" s="17"/>
      </tp>
      <tp t="e">
        <v>#N/A</v>
        <stp/>
        <stp>##V3_BDHV12</stp>
        <stp>SYK US Equity</stp>
        <stp>PX_TO_BOOK_RATIO</stp>
        <stp>-5FY</stp>
        <stp>-5FY</stp>
        <stp>[Fundamental &amp; Technical Model (1).xlsm]Multiples!R39C8</stp>
        <stp>EQY_CONSOLIDATED</stp>
        <stp>Yes</stp>
        <stp>ACCOUNTING_STANDARD_OVERRIDE</stp>
        <stp>Mixed</stp>
        <stp>Per</stp>
        <stp>FY</stp>
        <stp>Days=A</stp>
        <tr r="H39" s="16"/>
        <tr r="H39" s="16"/>
      </tp>
      <tp>
        <v>11127</v>
        <stp/>
        <stp>##V3_BDPV12</stp>
        <stp>BAX Equity</stp>
        <stp>sales_rev_turn</stp>
        <stp>[Fundamental &amp; Technical Model (1).xlsm]Public Comparables!R14C10</stp>
        <tr r="J14" s="24"/>
      </tp>
      <tp>
        <v>8553</v>
        <stp/>
        <stp>##V3_BDSV12</stp>
        <stp>SYK US Equity</stp>
        <stp>PG_ASSETS</stp>
        <stp>[Fundamental &amp; Technical Model (1).xlsm]Segments!R104C12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104" s="17"/>
        <tr r="L104" s="17"/>
      </tp>
      <tp>
        <v>9759</v>
        <stp/>
        <stp>##V3_BDSV12</stp>
        <stp>SYK US Equity</stp>
        <stp>PG_ASSETS</stp>
        <stp>[Fundamental &amp; Technical Model (1).xlsm]Segments!R104C13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104" s="17"/>
        <tr r="M104" s="17"/>
      </tp>
      <tp t="e">
        <v>#N/A</v>
        <stp/>
        <stp>##V3_BDHV12</stp>
        <stp>SYK US Equity</stp>
        <stp>HIGH_CLOSING_PRICE_TO_BOOK_RATIO</stp>
        <stp>-7FY</stp>
        <stp>-7FY</stp>
        <stp>[Fundamental &amp; Technical Model (1).xlsm]Multiples!R41C6</stp>
        <stp>EQY_CONSOLIDATED</stp>
        <stp>Yes</stp>
        <stp>ACCOUNTING_STANDARD_OVERRIDE</stp>
        <stp>Mixed</stp>
        <stp>Per</stp>
        <stp>FY</stp>
        <stp>Days=A</stp>
        <tr r="F41" s="16"/>
        <tr r="F41" s="16"/>
      </tp>
      <tp>
        <v>5557</v>
        <stp/>
        <stp>##V3_BDSV12</stp>
        <stp>SYK US Equity</stp>
        <stp>PG_ASSETS</stp>
        <stp>[Fundamental &amp; Technical Model (1).xlsm]Segments!R104C10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104" s="17"/>
        <tr r="J104" s="17"/>
      </tp>
      <tp>
        <v>5341</v>
        <stp/>
        <stp>##V3_BDSV12</stp>
        <stp>SYK US Equity</stp>
        <stp>PG_ASSETS</stp>
        <stp>[Fundamental &amp; Technical Model (1).xlsm]Segments!R104C11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104" s="17"/>
        <tr r="K104" s="17"/>
      </tp>
      <tp>
        <v>9823</v>
        <stp/>
        <stp>##V3_BDPV12</stp>
        <stp>BSX Equity</stp>
        <stp>sales_rev_turn</stp>
        <stp>[Fundamental &amp; Technical Model (1).xlsm]Public Comparables!R11C10</stp>
        <tr r="J11" s="24"/>
      </tp>
      <tp>
        <v>10417</v>
        <stp/>
        <stp>##V3_BDSV12</stp>
        <stp>SYK US Equity</stp>
        <stp>PG_ASSETS</stp>
        <stp>[Fundamental &amp; Technical Model (1).xlsm]Segments!R104C14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104" s="17"/>
        <tr r="N104" s="17"/>
      </tp>
      <tp t="e">
        <v>#N/A</v>
        <stp/>
        <stp>##V3_BDHV12</stp>
        <stp>SYK US Equity</stp>
        <stp>AVERAGE_EV_TO_T12M_SALES</stp>
        <stp>-4FY</stp>
        <stp>-4FY</stp>
        <stp>[Fundamental &amp; Technical Model (1).xlsm]Multiples!R16C9</stp>
        <stp>EQY_CONSOLIDATED</stp>
        <stp>Yes</stp>
        <stp>ACCOUNTING_STANDARD_OVERRIDE</stp>
        <stp>Mixed</stp>
        <stp>Per</stp>
        <stp>FY</stp>
        <stp>Days=A</stp>
        <tr r="I16" s="16"/>
        <tr r="I16" s="16"/>
      </tp>
      <tp>
        <v>6.9</v>
        <stp/>
        <stp>##V3_BDPV12</stp>
        <stp>SYK US Equity</stp>
        <stp>ARDR_STOCK_OPTION_VAL_EXP_LIFE</stp>
        <stp>[Fundamental &amp; Technical Model (1).xlsm]Supplemental!R28C6</stp>
        <stp>EQY_FUND_RELATIVE_PERIOD</stp>
        <stp>-7FY</stp>
        <stp>EQY_FUND_CRNCY</stp>
        <stp>USD</stp>
        <stp>EQY_CONSOLIDATED</stp>
        <stp>Yes</stp>
        <stp>ACCOUNTING_STANDARD_OVERRIDE</stp>
        <stp>Mixed</stp>
        <stp>Fill=--</stp>
        <tr r="F28" s="19"/>
      </tp>
      <tp>
        <v>7.1</v>
        <stp/>
        <stp>##V3_BDPV12</stp>
        <stp>SYK US Equity</stp>
        <stp>ARDR_STOCK_OPTION_VAL_EXP_LIFE</stp>
        <stp>[Fundamental &amp; Technical Model (1).xlsm]Supplemental!R28C7</stp>
        <stp>EQY_FUND_RELATIVE_PERIOD</stp>
        <stp>-6FY</stp>
        <stp>EQY_FUND_CRNCY</stp>
        <stp>USD</stp>
        <stp>EQY_CONSOLIDATED</stp>
        <stp>Yes</stp>
        <stp>ACCOUNTING_STANDARD_OVERRIDE</stp>
        <stp>Mixed</stp>
        <stp>Fill=--</stp>
        <tr r="G28" s="19"/>
      </tp>
      <tp t="s">
        <v>--</v>
        <stp/>
        <stp>##V3_BDPV12</stp>
        <stp>SYK US Equity</stp>
        <stp>ARDR_STOCK_OPTION_VAL_EXP_LIFE</stp>
        <stp>[Fundamental &amp; Technical Model (1).xlsm]Supplemental!R28C4</stp>
        <stp>EQY_FUND_RELATIVE_PERIOD</stp>
        <stp>-9FY</stp>
        <stp>EQY_FUND_CRNCY</stp>
        <stp>USD</stp>
        <stp>EQY_CONSOLIDATED</stp>
        <stp>Yes</stp>
        <stp>ACCOUNTING_STANDARD_OVERRIDE</stp>
        <stp>Mixed</stp>
        <stp>Fill=--</stp>
        <tr r="D28" s="19"/>
      </tp>
      <tp>
        <v>6.8</v>
        <stp/>
        <stp>##V3_BDPV12</stp>
        <stp>SYK US Equity</stp>
        <stp>ARDR_STOCK_OPTION_VAL_EXP_LIFE</stp>
        <stp>[Fundamental &amp; Technical Model (1).xlsm]Supplemental!R28C5</stp>
        <stp>EQY_FUND_RELATIVE_PERIOD</stp>
        <stp>-8FY</stp>
        <stp>EQY_FUND_CRNCY</stp>
        <stp>USD</stp>
        <stp>EQY_CONSOLIDATED</stp>
        <stp>Yes</stp>
        <stp>ACCOUNTING_STANDARD_OVERRIDE</stp>
        <stp>Mixed</stp>
        <stp>Fill=--</stp>
        <tr r="E28" s="19"/>
      </tp>
      <tp>
        <v>7.1</v>
        <stp/>
        <stp>##V3_BDPV12</stp>
        <stp>SYK US Equity</stp>
        <stp>ARDR_STOCK_OPTION_VAL_EXP_LIFE</stp>
        <stp>[Fundamental &amp; Technical Model (1).xlsm]Supplemental!R28C8</stp>
        <stp>EQY_FUND_RELATIVE_PERIOD</stp>
        <stp>-5FY</stp>
        <stp>EQY_FUND_CRNCY</stp>
        <stp>USD</stp>
        <stp>EQY_CONSOLIDATED</stp>
        <stp>Yes</stp>
        <stp>ACCOUNTING_STANDARD_OVERRIDE</stp>
        <stp>Mixed</stp>
        <stp>Fill=--</stp>
        <tr r="H28" s="19"/>
      </tp>
      <tp>
        <v>7.1</v>
        <stp/>
        <stp>##V3_BDPV12</stp>
        <stp>SYK US Equity</stp>
        <stp>ARDR_STOCK_OPTION_VAL_EXP_LIFE</stp>
        <stp>[Fundamental &amp; Technical Model (1).xlsm]Supplemental!R28C9</stp>
        <stp>EQY_FUND_RELATIVE_PERIOD</stp>
        <stp>-4FY</stp>
        <stp>EQY_FUND_CRNCY</stp>
        <stp>USD</stp>
        <stp>EQY_CONSOLIDATED</stp>
        <stp>Yes</stp>
        <stp>ACCOUNTING_STANDARD_OVERRIDE</stp>
        <stp>Mixed</stp>
        <stp>Fill=--</stp>
        <tr r="I28" s="19"/>
      </tp>
      <tp>
        <v>0</v>
        <stp/>
        <stp>##V3_BQLV12</stp>
        <stp>[Fundamental &amp; Technical Model (1).xlsm]Cash Flow!R23C12</stp>
        <stp>SYK US Equity</stp>
        <stp>CF_INCR_INVEST/10^6</stp>
        <stp>FPT</stp>
        <stp>A</stp>
        <stp>FPO</stp>
        <stp>-2A</stp>
        <stp>STD</stp>
        <stp>Mixed</stp>
        <stp>CONSOL</stp>
        <stp>Yes</stp>
        <stp>CURRENCY</stp>
        <stp>USD</stp>
        <tr r="L23" s="4"/>
      </tp>
      <tp>
        <v>0</v>
        <stp/>
        <stp>##V3_BQLV12</stp>
        <stp>[Fundamental &amp; Technical Model (1).xlsm]Cash Flow!R26C12</stp>
        <stp>SYK US Equity</stp>
        <stp>CF_INCR_INVEST/10^6</stp>
        <stp>FPT</stp>
        <stp>A</stp>
        <stp>FPO</stp>
        <stp>-2A</stp>
        <stp>STD</stp>
        <stp>Mixed</stp>
        <stp>CONSOL</stp>
        <stp>Yes</stp>
        <stp>CURRENCY</stp>
        <stp>USD</stp>
        <tr r="L26" s="4"/>
      </tp>
      <tp t="s">
        <v>12/31/2016</v>
        <stp/>
        <stp>##V3_BDPV12</stp>
        <stp>SYK US Equity</stp>
        <stp>LATEST_PERIOD_END_DT_FULL_RECORD</stp>
        <stp>[Fundamental &amp; Technical Model (1).xlsm]Segments!R102C12</stp>
        <stp>EQY_FUND_RELATIVE_PERIOD</stp>
        <stp>-2FY</stp>
        <stp>EQY_CONSOLIDATED</stp>
        <stp>Yes</stp>
        <tr r="L102" s="17"/>
        <tr r="L102" s="17"/>
      </tp>
      <tp t="s">
        <v>12/31/2015</v>
        <stp/>
        <stp>##V3_BDPV12</stp>
        <stp>SYK US Equity</stp>
        <stp>LATEST_PERIOD_END_DT_FULL_RECORD</stp>
        <stp>[Fundamental &amp; Technical Model (1).xlsm]Segments!R102C11</stp>
        <stp>EQY_FUND_RELATIVE_PERIOD</stp>
        <stp>-3FY</stp>
        <stp>EQY_CONSOLIDATED</stp>
        <stp>Yes</stp>
        <tr r="K102" s="17"/>
        <tr r="K102" s="17"/>
      </tp>
      <tp t="s">
        <v>12/31/2017</v>
        <stp/>
        <stp>##V3_BDPV12</stp>
        <stp>SYK US Equity</stp>
        <stp>LATEST_PERIOD_END_DT_FULL_RECORD</stp>
        <stp>[Fundamental &amp; Technical Model (1).xlsm]Segments!R102C13</stp>
        <stp>EQY_FUND_RELATIVE_PERIOD</stp>
        <stp>-1FY</stp>
        <stp>EQY_CONSOLIDATED</stp>
        <stp>Yes</stp>
        <tr r="M102" s="17"/>
        <tr r="M102" s="17"/>
      </tp>
      <tp t="s">
        <v>12/31/2014</v>
        <stp/>
        <stp>##V3_BDPV12</stp>
        <stp>SYK US Equity</stp>
        <stp>LATEST_PERIOD_END_DT_FULL_RECORD</stp>
        <stp>[Fundamental &amp; Technical Model (1).xlsm]Segments!R102C10</stp>
        <stp>EQY_FUND_RELATIVE_PERIOD</stp>
        <stp>-4FY</stp>
        <stp>EQY_CONSOLIDATED</stp>
        <stp>Yes</stp>
        <tr r="J102" s="17"/>
        <tr r="J102" s="17"/>
      </tp>
      <tp t="s">
        <v>12/31/2018</v>
        <stp/>
        <stp>##V3_BDPV12</stp>
        <stp>SYK US Equity</stp>
        <stp>LATEST_PERIOD_END_DT_FULL_RECORD</stp>
        <stp>[Fundamental &amp; Technical Model (1).xlsm]Segments!R102C14</stp>
        <stp>EQY_FUND_RELATIVE_PERIOD</stp>
        <stp>-0FY</stp>
        <stp>EQY_CONSOLIDATED</stp>
        <stp>Yes</stp>
        <tr r="N102" s="17"/>
        <tr r="N102" s="17"/>
      </tp>
      <tp t="e">
        <v>#N/A</v>
        <stp/>
        <stp>##V3_BDHV12</stp>
        <stp>SYK US Equity</stp>
        <stp>PX_TO_CASH_FLOW</stp>
        <stp>-7FY</stp>
        <stp>-7FY</stp>
        <stp>[Fundamental &amp; Technical Model (1).xlsm]Multiples!R51C6</stp>
        <stp>EQY_CONSOLIDATED</stp>
        <stp>Yes</stp>
        <stp>ACCOUNTING_STANDARD_OVERRIDE</stp>
        <stp>Mixed</stp>
        <stp>Per</stp>
        <stp>FY</stp>
        <stp>Days=A</stp>
        <tr r="F51" s="16"/>
        <tr r="F51" s="16"/>
      </tp>
      <tp>
        <v>36.799857549857549</v>
        <stp/>
        <stp>##V3_BQLV12</stp>
        <stp>[Fundamental &amp; Technical Model (1).xlsm]Ratios!R42C12</stp>
        <stp>SYK US Equity</stp>
        <stp>ACCOUNTS_PAYABLE_TURNOVER_DAYS</stp>
        <stp>FPT</stp>
        <stp>A</stp>
        <stp>FPO</stp>
        <stp>-2A</stp>
        <stp>STD</stp>
        <stp>Mixed</stp>
        <stp>CONSOL</stp>
        <stp>Yes</stp>
        <tr r="L42" s="8"/>
      </tp>
      <tp t="s">
        <v>--</v>
        <stp/>
        <stp>##V3_BDPV12</stp>
        <stp>SYK US Equity</stp>
        <stp>ARDR_STOCK_OPTION_VAL_RFR</stp>
        <stp>[Fundamental &amp; Technical Model (1).xlsm]Supplemental!R27C3</stp>
        <stp>EQY_FUND_RELATIVE_PERIOD</stp>
        <stp>-10FY</stp>
        <stp>EQY_FUND_CRNCY</stp>
        <stp>USD</stp>
        <stp>EQY_CONSOLIDATED</stp>
        <stp>Yes</stp>
        <stp>ACCOUNTING_STANDARD_OVERRIDE</stp>
        <stp>Mixed</stp>
        <stp>Fill=--</stp>
        <tr r="C27" s="19"/>
      </tp>
      <tp>
        <v>1298</v>
        <stp/>
        <stp>##V3_BQLV12</stp>
        <stp>[Fundamental &amp; Technical Model (1).xlsm]Key Stats!R27C4</stp>
        <stp>SYK US Equity</stp>
        <stp>NET_INCOME/10^6</stp>
        <stp>FPT</stp>
        <stp>A</stp>
        <stp>FPO</stp>
        <stp>-6A</stp>
        <stp>STD</stp>
        <stp>Mixed</stp>
        <stp>CONSOL</stp>
        <stp>Yes</stp>
        <stp>CURRENCY</stp>
        <stp>USD</stp>
        <tr r="D27" s="23"/>
      </tp>
      <tp>
        <v>72.397905759162313</v>
        <stp/>
        <stp>##V3_BQLV12</stp>
        <stp>[Fundamental &amp; Technical Model (1).xlsm]Ratios!R46C12</stp>
        <stp>SYK US Equity</stp>
        <stp>TOT_DEBT_TO_TOT_EQY</stp>
        <stp>FPT</stp>
        <stp>A</stp>
        <stp>FPO</stp>
        <stp>-2A</stp>
        <stp>STD</stp>
        <stp>Mixed</stp>
        <stp>CONSOL</stp>
        <stp>Yes</stp>
        <tr r="L46" s="8"/>
      </tp>
      <tp>
        <v>41.994655004859091</v>
        <stp/>
        <stp>##V3_BQLV12</stp>
        <stp>[Fundamental &amp; Technical Model (1).xlsm]Ratios!R47C12</stp>
        <stp>SYK US Equity</stp>
        <stp>TOT_DEBT_TO_TOT_CAP</stp>
        <stp>FPT</stp>
        <stp>A</stp>
        <stp>FPO</stp>
        <stp>-2A</stp>
        <stp>STD</stp>
        <stp>Mixed</stp>
        <stp>CONSOL</stp>
        <stp>Yes</stp>
        <tr r="L47" s="8"/>
      </tp>
      <tp>
        <v>1.7206642066420663</v>
        <stp/>
        <stp>##V3_BQLV12</stp>
        <stp>[Fundamental &amp; Technical Model (1).xlsm]Ratios!R34C14</stp>
        <stp>SYK US Equity</stp>
        <stp>INVENT_TURN</stp>
        <stp>FPT</stp>
        <stp>A</stp>
        <stp>FPO</stp>
        <stp>-0A</stp>
        <stp>STD</stp>
        <stp>Mixed</stp>
        <stp>CONSOL</stp>
        <stp>Yes</stp>
        <tr r="N34" s="8"/>
      </tp>
      <tp t="e">
        <v>#N/A</v>
        <stp/>
        <stp>##V3_BDHV12</stp>
        <stp>SYK US Equity</stp>
        <stp>PX_TO_BOOK_RATIO</stp>
        <stp>-4FY</stp>
        <stp>-4FY</stp>
        <stp>[Fundamental &amp; Technical Model (1).xlsm]Multiples!R39C9</stp>
        <stp>EQY_CONSOLIDATED</stp>
        <stp>Yes</stp>
        <stp>ACCOUNTING_STANDARD_OVERRIDE</stp>
        <stp>Mixed</stp>
        <stp>Per</stp>
        <stp>FY</stp>
        <stp>Days=A</stp>
        <tr r="I39" s="16"/>
        <tr r="I39" s="16"/>
      </tp>
      <tp t="s">
        <v>USD</v>
        <stp/>
        <stp>##V3_BDPV12</stp>
        <stp>SYK US Equity</stp>
        <stp>EQY FUND CRNCY</stp>
        <stp>[Fundamental &amp; Technical Model (1).xlsm]Supplemental!R7C11</stp>
        <tr r="K7" s="19"/>
      </tp>
      <tp>
        <v>6149</v>
        <stp/>
        <stp>##V3_BDSV12</stp>
        <stp>SYK US Equity</stp>
        <stp>PG_ASSETS</stp>
        <stp>[Fundamental &amp; Technical Model (1).xlsm]Segments!R105C11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105" s="17"/>
        <tr r="K105" s="17"/>
      </tp>
      <tp t="e">
        <v>#N/A</v>
        <stp/>
        <stp>##V3_BDHV12</stp>
        <stp>SYK US Equity</stp>
        <stp>HIGH_CLOSING_PRICE_TO_BOOK_RATIO</stp>
        <stp>-6FY</stp>
        <stp>-6FY</stp>
        <stp>[Fundamental &amp; Technical Model (1).xlsm]Multiples!R41C7</stp>
        <stp>EQY_CONSOLIDATED</stp>
        <stp>Yes</stp>
        <stp>ACCOUNTING_STANDARD_OVERRIDE</stp>
        <stp>Mixed</stp>
        <stp>Per</stp>
        <stp>FY</stp>
        <stp>Days=A</stp>
        <tr r="G41" s="16"/>
        <tr r="G41" s="16"/>
      </tp>
      <tp>
        <v>8357</v>
        <stp/>
        <stp>##V3_BDSV12</stp>
        <stp>SYK US Equity</stp>
        <stp>PG_ASSETS</stp>
        <stp>[Fundamental &amp; Technical Model (1).xlsm]Segments!R105C10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105" s="17"/>
        <tr r="J105" s="17"/>
      </tp>
      <tp>
        <v>186.95500183105469</v>
        <stp/>
        <stp>##V3_BQLV12</stp>
        <stp>[Fundamental &amp; Technical Model (1).xlsm]Key Stats!R35C4</stp>
        <stp>SYK US Equity</stp>
        <stp>PX_LAST</stp>
        <stp>CURRENCY</stp>
        <stp>USD</stp>
        <tr r="D35" s="23"/>
      </tp>
      <tp t="s">
        <v>12/31/2008</v>
        <stp/>
        <stp>##V3_BDPV12</stp>
        <stp>SYK US Equity</stp>
        <stp>LATEST_PERIOD_END_DT_FULL_RECORD</stp>
        <stp>[Fundamental &amp; Technical Model (1).xlsm]Segments!R73C4</stp>
        <stp>EQY_FUND_RELATIVE_PERIOD</stp>
        <stp>-10FY</stp>
        <stp>EQY_CONSOLIDATED</stp>
        <stp>Yes</stp>
        <tr r="D73" s="17"/>
        <tr r="D73" s="17"/>
      </tp>
      <tp>
        <v>7486</v>
        <stp/>
        <stp>##V3_BDSV12</stp>
        <stp>SYK US Equity</stp>
        <stp>PG_ASSETS</stp>
        <stp>[Fundamental &amp; Technical Model (1).xlsm]Segments!R105C13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105" s="17"/>
        <tr r="M105" s="17"/>
      </tp>
      <tp>
        <v>7048</v>
        <stp/>
        <stp>##V3_BDSV12</stp>
        <stp>SYK US Equity</stp>
        <stp>PG_ASSETS</stp>
        <stp>[Fundamental &amp; Technical Model (1).xlsm]Segments!R105C12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105" s="17"/>
        <tr r="L105" s="17"/>
      </tp>
      <tp>
        <v>1</v>
        <stp/>
        <stp>##V3_BQLV12</stp>
        <stp>[Fundamental &amp; Technical Model (1).xlsm]Cash Flow!R22C5</stp>
        <stp>SYK US Equity</stp>
        <stp>CF_DISP_FIX_ASSET/10^6</stp>
        <stp>FPT</stp>
        <stp>A</stp>
        <stp>FPO</stp>
        <stp>-9A</stp>
        <stp>STD</stp>
        <stp>Mixed</stp>
        <stp>CONSOL</stp>
        <stp>Yes</stp>
        <stp>CURRENCY</stp>
        <stp>USD</stp>
        <tr r="E22" s="4"/>
      </tp>
      <tp>
        <v>0</v>
        <stp/>
        <stp>##V3_BQLV12</stp>
        <stp>[Fundamental &amp; Technical Model (1).xlsm]Balance Sheet!R70C4</stp>
        <stp>SYK US Equity</stp>
        <stp>MINORITY_NONCONTROLLING_INTEREST/10^6</stp>
        <stp>FPT</stp>
        <stp>A</stp>
        <stp>FPO</stp>
        <stp>-10A</stp>
        <stp>STD</stp>
        <stp>Mixed</stp>
        <stp>CONSOL</stp>
        <stp>Yes</stp>
        <stp>CURRENCY</stp>
        <stp>USD</stp>
        <tr r="D70" s="3"/>
      </tp>
      <tp>
        <v>0</v>
        <stp/>
        <stp>##V3_BQLV12</stp>
        <stp>[Fundamental &amp; Technical Model (1).xlsm]Balance Sheet!R52C4</stp>
        <stp>SYK US Equity</stp>
        <stp>MINORITY_NONCONTROLLING_INTEREST/10^6</stp>
        <stp>FPT</stp>
        <stp>A</stp>
        <stp>FPO</stp>
        <stp>-10A</stp>
        <stp>STD</stp>
        <stp>Mixed</stp>
        <stp>CONSOL</stp>
        <stp>Yes</stp>
        <stp>CURRENCY</stp>
        <stp>USD</stp>
        <tr r="D52" s="3"/>
      </tp>
      <tp>
        <v>8873</v>
        <stp/>
        <stp>##V3_BDSV12</stp>
        <stp>SYK US Equity</stp>
        <stp>PG_ASSETS</stp>
        <stp>[Fundamental &amp; Technical Model (1).xlsm]Segments!R105C14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105" s="17"/>
        <tr r="N105" s="17"/>
      </tp>
      <tp>
        <v>61</v>
        <stp/>
        <stp>##V3_BQLV12</stp>
        <stp>[Fundamental &amp; Technical Model (1).xlsm]Cash Flow!R22C6</stp>
        <stp>SYK US Equity</stp>
        <stp>CF_DISP_FIX_ASSET/10^6</stp>
        <stp>FPT</stp>
        <stp>A</stp>
        <stp>FPO</stp>
        <stp>-8A</stp>
        <stp>STD</stp>
        <stp>Mixed</stp>
        <stp>CONSOL</stp>
        <stp>Yes</stp>
        <stp>CURRENCY</stp>
        <stp>USD</stp>
        <tr r="F22" s="4"/>
      </tp>
      <tp>
        <v>67</v>
        <stp/>
        <stp>##V3_BQLV12</stp>
        <stp>[Fundamental &amp; Technical Model (1).xlsm]Cash Flow!R22C7</stp>
        <stp>SYK US Equity</stp>
        <stp>CF_DISP_FIX_ASSET/10^6</stp>
        <stp>FPT</stp>
        <stp>A</stp>
        <stp>FPO</stp>
        <stp>-7A</stp>
        <stp>STD</stp>
        <stp>Mixed</stp>
        <stp>CONSOL</stp>
        <stp>Yes</stp>
        <stp>CURRENCY</stp>
        <stp>USD</stp>
        <tr r="G22" s="4"/>
      </tp>
      <tp>
        <v>0</v>
        <stp/>
        <stp>##V3_BQLV12</stp>
        <stp>[Fundamental &amp; Technical Model (1).xlsm]Cash Flow!R22C8</stp>
        <stp>SYK US Equity</stp>
        <stp>CF_DISP_FIX_ASSET/10^6</stp>
        <stp>FPT</stp>
        <stp>A</stp>
        <stp>FPO</stp>
        <stp>-6A</stp>
        <stp>STD</stp>
        <stp>Mixed</stp>
        <stp>CONSOL</stp>
        <stp>Yes</stp>
        <stp>CURRENCY</stp>
        <stp>USD</stp>
        <tr r="H22" s="4"/>
      </tp>
      <tp>
        <v>0</v>
        <stp/>
        <stp>##V3_BQLV12</stp>
        <stp>[Fundamental &amp; Technical Model (1).xlsm]Cash Flow!R22C9</stp>
        <stp>SYK US Equity</stp>
        <stp>CF_DISP_FIX_ASSET/10^6</stp>
        <stp>FPT</stp>
        <stp>A</stp>
        <stp>FPO</stp>
        <stp>-5A</stp>
        <stp>STD</stp>
        <stp>Mixed</stp>
        <stp>CONSOL</stp>
        <stp>Yes</stp>
        <stp>CURRENCY</stp>
        <stp>USD</stp>
        <tr r="I22" s="4"/>
      </tp>
      <tp t="e">
        <v>#N/A</v>
        <stp/>
        <stp>##V3_BDHV12</stp>
        <stp>SYK US Equity</stp>
        <stp>AVERAGE_EV_TO_T12M_SALES</stp>
        <stp>-5FY</stp>
        <stp>-5FY</stp>
        <stp>[Fundamental &amp; Technical Model (1).xlsm]Multiples!R16C8</stp>
        <stp>EQY_CONSOLIDATED</stp>
        <stp>Yes</stp>
        <stp>ACCOUNTING_STANDARD_OVERRIDE</stp>
        <stp>Mixed</stp>
        <stp>Per</stp>
        <stp>FY</stp>
        <stp>Days=A</stp>
        <tr r="H16" s="16"/>
        <tr r="H16" s="16"/>
      </tp>
      <tp>
        <v>43550</v>
        <stp/>
        <stp>##V3_BTH</stp>
        <stp>SYK US Equity</stp>
        <stp>DMI_PLUS_x0002__x0003_DMI_MINUS_x0002__x0003_ADX_x0002__x0003_ADXR</stp>
        <stp>3/26/2019</stp>
        <stp>4/25/2019</stp>
        <stp>[Fundamental &amp; Technical Model (1).xlsm]Technical Analysis Data!R52C7</stp>
        <stp>DMI</stp>
        <stp>TAPeriod=14</stp>
        <stp>DSHigh=PX_HIGH</stp>
        <stp>DSLow=PX_LOW</stp>
        <stp>DSClose=PX_LAST</stp>
        <stp>Dir=H</stp>
        <stp>Dts=S</stp>
        <stp>cols=22;rows=5</stp>
        <tr r="G52" s="31"/>
      </tp>
      <tp>
        <v>0</v>
        <stp/>
        <stp>##V3_BQLV12</stp>
        <stp>[Fundamental &amp; Technical Model (1).xlsm]Cash Flow!R23C13</stp>
        <stp>SYK US Equity</stp>
        <stp>CF_INCR_INVEST/10^6</stp>
        <stp>FPT</stp>
        <stp>A</stp>
        <stp>FPO</stp>
        <stp>-1A</stp>
        <stp>STD</stp>
        <stp>Mixed</stp>
        <stp>CONSOL</stp>
        <stp>Yes</stp>
        <stp>CURRENCY</stp>
        <stp>USD</stp>
        <tr r="M23" s="4"/>
      </tp>
      <tp>
        <v>0</v>
        <stp/>
        <stp>##V3_BQLV12</stp>
        <stp>[Fundamental &amp; Technical Model (1).xlsm]Cash Flow!R26C13</stp>
        <stp>SYK US Equity</stp>
        <stp>CF_INCR_INVEST/10^6</stp>
        <stp>FPT</stp>
        <stp>A</stp>
        <stp>FPO</stp>
        <stp>-1A</stp>
        <stp>STD</stp>
        <stp>Mixed</stp>
        <stp>CONSOL</stp>
        <stp>Yes</stp>
        <stp>CURRENCY</stp>
        <stp>USD</stp>
        <tr r="M26" s="4"/>
      </tp>
      <tp>
        <v>14.6</v>
        <stp/>
        <stp>##V3_BDPV12</stp>
        <stp>SYK US Equity</stp>
        <stp>BS_OPTIONS_EXERCISABLE</stp>
        <stp>[Fundamental &amp; Technical Model (1).xlsm]Supplemental!R17C4</stp>
        <stp>EQY_FUND_RELATIVE_PERIOD</stp>
        <stp>-9FY</stp>
        <stp>EQY_FUND_CRNCY</stp>
        <stp>USD</stp>
        <stp>EQY_CONSOLIDATED</stp>
        <stp>Yes</stp>
        <stp>ACCOUNTING_STANDARD_OVERRIDE</stp>
        <stp>Mixed</stp>
        <stp>Fill=--</stp>
        <tr r="D17" s="19"/>
      </tp>
      <tp>
        <v>14.6</v>
        <stp/>
        <stp>##V3_BDPV12</stp>
        <stp>SYK US Equity</stp>
        <stp>BS_OPTIONS_EXERCISABLE</stp>
        <stp>[Fundamental &amp; Technical Model (1).xlsm]Supplemental!R17C5</stp>
        <stp>EQY_FUND_RELATIVE_PERIOD</stp>
        <stp>-8FY</stp>
        <stp>EQY_FUND_CRNCY</stp>
        <stp>USD</stp>
        <stp>EQY_CONSOLIDATED</stp>
        <stp>Yes</stp>
        <stp>ACCOUNTING_STANDARD_OVERRIDE</stp>
        <stp>Mixed</stp>
        <stp>Fill=--</stp>
        <tr r="E17" s="19"/>
      </tp>
      <tp>
        <v>10.1</v>
        <stp/>
        <stp>##V3_BDPV12</stp>
        <stp>SYK US Equity</stp>
        <stp>BS_OPTIONS_EXERCISABLE</stp>
        <stp>[Fundamental &amp; Technical Model (1).xlsm]Supplemental!R17C8</stp>
        <stp>EQY_FUND_RELATIVE_PERIOD</stp>
        <stp>-5FY</stp>
        <stp>EQY_FUND_CRNCY</stp>
        <stp>USD</stp>
        <stp>EQY_CONSOLIDATED</stp>
        <stp>Yes</stp>
        <stp>ACCOUNTING_STANDARD_OVERRIDE</stp>
        <stp>Mixed</stp>
        <stp>Fill=--</stp>
        <tr r="H17" s="19"/>
      </tp>
      <tp>
        <v>8.6999999999999993</v>
        <stp/>
        <stp>##V3_BDPV12</stp>
        <stp>SYK US Equity</stp>
        <stp>BS_OPTIONS_EXERCISABLE</stp>
        <stp>[Fundamental &amp; Technical Model (1).xlsm]Supplemental!R17C9</stp>
        <stp>EQY_FUND_RELATIVE_PERIOD</stp>
        <stp>-4FY</stp>
        <stp>EQY_FUND_CRNCY</stp>
        <stp>USD</stp>
        <stp>EQY_CONSOLIDATED</stp>
        <stp>Yes</stp>
        <stp>ACCOUNTING_STANDARD_OVERRIDE</stp>
        <stp>Mixed</stp>
        <stp>Fill=--</stp>
        <tr r="I17" s="19"/>
      </tp>
      <tp>
        <v>14.299999999999999</v>
        <stp/>
        <stp>##V3_BDPV12</stp>
        <stp>SYK US Equity</stp>
        <stp>BS_OPTIONS_EXERCISABLE</stp>
        <stp>[Fundamental &amp; Technical Model (1).xlsm]Supplemental!R17C6</stp>
        <stp>EQY_FUND_RELATIVE_PERIOD</stp>
        <stp>-7FY</stp>
        <stp>EQY_FUND_CRNCY</stp>
        <stp>USD</stp>
        <stp>EQY_CONSOLIDATED</stp>
        <stp>Yes</stp>
        <stp>ACCOUNTING_STANDARD_OVERRIDE</stp>
        <stp>Mixed</stp>
        <stp>Fill=--</stp>
        <tr r="F17" s="19"/>
      </tp>
      <tp>
        <v>12.899999999999999</v>
        <stp/>
        <stp>##V3_BDPV12</stp>
        <stp>SYK US Equity</stp>
        <stp>BS_OPTIONS_EXERCISABLE</stp>
        <stp>[Fundamental &amp; Technical Model (1).xlsm]Supplemental!R17C7</stp>
        <stp>EQY_FUND_RELATIVE_PERIOD</stp>
        <stp>-6FY</stp>
        <stp>EQY_FUND_CRNCY</stp>
        <stp>USD</stp>
        <stp>EQY_CONSOLIDATED</stp>
        <stp>Yes</stp>
        <stp>ACCOUNTING_STANDARD_OVERRIDE</stp>
        <stp>Mixed</stp>
        <stp>Fill=--</stp>
        <tr r="G17" s="19"/>
      </tp>
      <tp t="e">
        <v>#N/A</v>
        <stp/>
        <stp>##V3_BDHV12</stp>
        <stp>SYK US Equity</stp>
        <stp>PX_TO_CASH_FLOW</stp>
        <stp>-6FY</stp>
        <stp>-6FY</stp>
        <stp>[Fundamental &amp; Technical Model (1).xlsm]Multiples!R51C7</stp>
        <stp>EQY_CONSOLIDATED</stp>
        <stp>Yes</stp>
        <stp>ACCOUNTING_STANDARD_OVERRIDE</stp>
        <stp>Mixed</stp>
        <stp>Per</stp>
        <stp>FY</stp>
        <stp>Days=A</stp>
        <tr r="G51" s="16"/>
        <tr r="G51" s="16"/>
      </tp>
      <tp>
        <v>35.886358799744627</v>
        <stp/>
        <stp>##V3_BQLV12</stp>
        <stp>[Fundamental &amp; Technical Model (1).xlsm]Ratios!R42C13</stp>
        <stp>SYK US Equity</stp>
        <stp>ACCOUNTS_PAYABLE_TURNOVER_DAYS</stp>
        <stp>FPT</stp>
        <stp>A</stp>
        <stp>FPO</stp>
        <stp>-1A</stp>
        <stp>STD</stp>
        <stp>Mixed</stp>
        <stp>CONSOL</stp>
        <stp>Yes</stp>
        <tr r="M42" s="8"/>
      </tp>
      <tp t="e">
        <v>#N/A</v>
        <stp/>
        <stp>##V3_BDHV12</stp>
        <stp>SYK US Equity</stp>
        <stp>HIGH_EV_TO_T12M_SALES</stp>
        <stp>-4FY</stp>
        <stp>-4FY</stp>
        <stp>[Fundamental &amp; Technical Model (1).xlsm]Multiples!R17C9</stp>
        <stp>EQY_CONSOLIDATED</stp>
        <stp>Yes</stp>
        <stp>ACCOUNTING_STANDARD_OVERRIDE</stp>
        <stp>Mixed</stp>
        <stp>Per</stp>
        <stp>FY</stp>
        <stp>Days=A</stp>
        <tr r="I17" s="16"/>
        <tr r="I17" s="16"/>
      </tp>
      <tp>
        <v>1439</v>
        <stp/>
        <stp>##V3_BQLV12</stp>
        <stp>[Fundamental &amp; Technical Model (1).xlsm]Key Stats!R27C7</stp>
        <stp>SYK US Equity</stp>
        <stp>NET_INCOME/10^6</stp>
        <stp>FPT</stp>
        <stp>A</stp>
        <stp>FPO</stp>
        <stp>-3A</stp>
        <stp>STD</stp>
        <stp>Mixed</stp>
        <stp>CONSOL</stp>
        <stp>Yes</stp>
        <stp>CURRENCY</stp>
        <stp>USD</stp>
        <tr r="G27" s="23"/>
      </tp>
      <tp t="s">
        <v>#N/A N/A</v>
        <stp/>
        <stp>##V3_BDSV12</stp>
        <stp>SYK US Equity</stp>
        <stp>PG_REVENUE</stp>
        <stp>[Fundamental &amp; Technical Model (1).xlsm]Segments!R26C9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26" s="17"/>
      </tp>
      <tp t="s">
        <v>#N/A N/A</v>
        <stp/>
        <stp>##V3_BDSV12</stp>
        <stp>SYK US Equity</stp>
        <stp>PG_REVENUE</stp>
        <stp>[Fundamental &amp; Technical Model (1).xlsm]Segments!R40C9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40" s="17"/>
      </tp>
      <tp t="s">
        <v>#N/A N/A</v>
        <stp/>
        <stp>##V3_BDSV12</stp>
        <stp>SYK US Equity</stp>
        <stp>PG_REVENUE</stp>
        <stp>[Fundamental &amp; Technical Model (1).xlsm]Segments!R25C14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25" s="17"/>
      </tp>
      <tp>
        <v>72.364729458917836</v>
        <stp/>
        <stp>##V3_BQLV12</stp>
        <stp>[Fundamental &amp; Technical Model (1).xlsm]Ratios!R46C13</stp>
        <stp>SYK US Equity</stp>
        <stp>TOT_DEBT_TO_TOT_EQY</stp>
        <stp>FPT</stp>
        <stp>A</stp>
        <stp>FPO</stp>
        <stp>-1A</stp>
        <stp>STD</stp>
        <stp>Mixed</stp>
        <stp>CONSOL</stp>
        <stp>Yes</stp>
        <tr r="M46" s="8"/>
      </tp>
      <tp>
        <v>237.42500000000001</v>
        <stp/>
        <stp>##V3_BDPV12</stp>
        <stp>BDX Equity</stp>
        <stp>px_last</stp>
        <stp>[Fundamental &amp; Technical Model (1).xlsm]Public Comparables!R8C5</stp>
        <tr r="E8" s="24"/>
      </tp>
      <tp t="s">
        <v>#N/A N/A</v>
        <stp/>
        <stp>##V3_BDSV12</stp>
        <stp>SYK US Equity</stp>
        <stp>PG_REVENUE</stp>
        <stp>[Fundamental &amp; Technical Model (1).xlsm]Segments!R25C11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25" s="17"/>
      </tp>
      <tp t="s">
        <v>#N/A N/A</v>
        <stp/>
        <stp>##V3_BDSV12</stp>
        <stp>SYK US Equity</stp>
        <stp>PG_REVENUE</stp>
        <stp>[Fundamental &amp; Technical Model (1).xlsm]Segments!R25C10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25" s="17"/>
      </tp>
      <tp t="s">
        <v>#N/A N/A</v>
        <stp/>
        <stp>##V3_BDSV12</stp>
        <stp>SYK US Equity</stp>
        <stp>PG_REVENUE</stp>
        <stp>[Fundamental &amp; Technical Model (1).xlsm]Segments!R25C13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25" s="17"/>
      </tp>
      <tp t="s">
        <v>#N/A N/A</v>
        <stp/>
        <stp>##V3_BDSV12</stp>
        <stp>SYK US Equity</stp>
        <stp>PG_REVENUE</stp>
        <stp>[Fundamental &amp; Technical Model (1).xlsm]Segments!R25C12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25" s="17"/>
      </tp>
      <tp>
        <v>41.983490291826527</v>
        <stp/>
        <stp>##V3_BQLV12</stp>
        <stp>[Fundamental &amp; Technical Model (1).xlsm]Ratios!R47C13</stp>
        <stp>SYK US Equity</stp>
        <stp>TOT_DEBT_TO_TOT_CAP</stp>
        <stp>FPT</stp>
        <stp>A</stp>
        <stp>FPO</stp>
        <stp>-1A</stp>
        <stp>STD</stp>
        <stp>Mixed</stp>
        <stp>CONSOL</stp>
        <stp>Yes</stp>
        <tr r="M47" s="8"/>
      </tp>
      <tp t="s">
        <v>#N/A N/A</v>
        <stp/>
        <stp>##V3_BDSV12</stp>
        <stp>SYK US Equity</stp>
        <stp>PG_DEPR_AMORTIZATION</stp>
        <stp>[Fundamental &amp; Technical Model (1).xlsm]Segments!R139C14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139" s="17"/>
      </tp>
      <tp>
        <v>2.0725131701270532</v>
        <stp/>
        <stp>##V3_BQLV12</stp>
        <stp>[Fundamental &amp; Technical Model (1).xlsm]Ratios!R34C11</stp>
        <stp>SYK US Equity</stp>
        <stp>INVENT_TURN</stp>
        <stp>FPT</stp>
        <stp>A</stp>
        <stp>FPO</stp>
        <stp>-3A</stp>
        <stp>STD</stp>
        <stp>Mixed</stp>
        <stp>CONSOL</stp>
        <stp>Yes</stp>
        <tr r="K34" s="8"/>
      </tp>
      <tp>
        <v>734.5</v>
        <stp/>
        <stp>##V3_BQLV12</stp>
        <stp>[Fundamental &amp; Technical Model (1).xlsm]Balance Sheet!R46C4</stp>
        <stp>SYK US Equity</stp>
        <stp>BS_OTHER_LT_LIABILITIES/10^6</stp>
        <stp>FPT</stp>
        <stp>A</stp>
        <stp>FPO</stp>
        <stp>-10A</stp>
        <stp>STD</stp>
        <stp>Mixed</stp>
        <stp>CONSOL</stp>
        <stp>Yes</stp>
        <stp>CURRENCY</stp>
        <stp>USD</stp>
        <tr r="D46" s="3"/>
      </tp>
      <tp t="s">
        <v>#N/A N/A</v>
        <stp/>
        <stp>##V3_BDSV12</stp>
        <stp>SYK US Equity</stp>
        <stp>PG_DEPR_AMORTIZATION</stp>
        <stp>[Fundamental &amp; Technical Model (1).xlsm]Segments!R139C10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139" s="17"/>
      </tp>
      <tp t="s">
        <v>#N/A N/A</v>
        <stp/>
        <stp>##V3_BDSV12</stp>
        <stp>SYK US Equity</stp>
        <stp>PG_DEPR_AMORTIZATION</stp>
        <stp>[Fundamental &amp; Technical Model (1).xlsm]Segments!R139C11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139" s="17"/>
      </tp>
      <tp t="s">
        <v>#N/A N/A</v>
        <stp/>
        <stp>##V3_BDSV12</stp>
        <stp>SYK US Equity</stp>
        <stp>PG_DEPR_AMORTIZATION</stp>
        <stp>[Fundamental &amp; Technical Model (1).xlsm]Segments!R139C12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139" s="17"/>
      </tp>
      <tp t="s">
        <v>#N/A N/A</v>
        <stp/>
        <stp>##V3_BDSV12</stp>
        <stp>SYK US Equity</stp>
        <stp>PG_DEPR_AMORTIZATION</stp>
        <stp>[Fundamental &amp; Technical Model (1).xlsm]Segments!R139C13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139" s="17"/>
      </tp>
      <tp>
        <v>0</v>
        <stp/>
        <stp>##V3_BQLV12</stp>
        <stp>[Fundamental &amp; Technical Model (1).xlsm]Income Statement!R32C8</stp>
        <stp>SYK US Equity</stp>
        <stp>IS_INT_INC/10^6</stp>
        <stp>FPT</stp>
        <stp>A</stp>
        <stp>FPO</stp>
        <stp>-6A</stp>
        <stp>STD</stp>
        <stp>Mixed</stp>
        <stp>CONSOL</stp>
        <stp>Yes</stp>
        <stp>CURRENCY</stp>
        <stp>USD</stp>
        <tr r="H32" s="2"/>
      </tp>
      <tp>
        <v>3684</v>
        <stp/>
        <stp>##V3_BDSV12</stp>
        <stp>SYK US Equity</stp>
        <stp>PG_ASSETS</stp>
        <stp>[Fundamental &amp; Technical Model (1).xlsm]Segments!R106C10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106" s="17"/>
        <tr r="J106" s="17"/>
      </tp>
      <tp>
        <v>3904</v>
        <stp/>
        <stp>##V3_BDSV12</stp>
        <stp>SYK US Equity</stp>
        <stp>PG_ASSETS</stp>
        <stp>[Fundamental &amp; Technical Model (1).xlsm]Segments!R106C11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106" s="17"/>
        <tr r="K106" s="17"/>
      </tp>
      <tp>
        <v>4129</v>
        <stp/>
        <stp>##V3_BDSV12</stp>
        <stp>SYK US Equity</stp>
        <stp>PG_ASSETS</stp>
        <stp>[Fundamental &amp; Technical Model (1).xlsm]Segments!R106C12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106" s="17"/>
        <tr r="L106" s="17"/>
      </tp>
      <tp>
        <v>4105</v>
        <stp/>
        <stp>##V3_BDSV12</stp>
        <stp>SYK US Equity</stp>
        <stp>PG_ASSETS</stp>
        <stp>[Fundamental &amp; Technical Model (1).xlsm]Segments!R106C13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106" s="17"/>
        <tr r="M106" s="17"/>
      </tp>
      <tp>
        <v>7260</v>
        <stp/>
        <stp>##V3_BDSV12</stp>
        <stp>SYK US Equity</stp>
        <stp>PG_ASSETS</stp>
        <stp>[Fundamental &amp; Technical Model (1).xlsm]Segments!R106C14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106" s="17"/>
        <tr r="N106" s="17"/>
      </tp>
      <tp t="e">
        <v>#N/A</v>
        <stp/>
        <stp>##V3_BDHV12</stp>
        <stp>SYK US Equity</stp>
        <stp>HIGH_CLOSING_PRICE_TO_BOOK_RATIO</stp>
        <stp>-9FY</stp>
        <stp>-9FY</stp>
        <stp>[Fundamental &amp; Technical Model (1).xlsm]Multiples!R41C4</stp>
        <stp>EQY_CONSOLIDATED</stp>
        <stp>Yes</stp>
        <stp>ACCOUNTING_STANDARD_OVERRIDE</stp>
        <stp>Mixed</stp>
        <stp>Per</stp>
        <stp>FY</stp>
        <stp>Days=A</stp>
        <tr r="D41" s="16"/>
        <tr r="D41" s="16"/>
      </tp>
      <tp>
        <v>0</v>
        <stp/>
        <stp>##V3_BQLV12</stp>
        <stp>[Fundamental &amp; Technical Model (1).xlsm]Cash Flow!R23C10</stp>
        <stp>SYK US Equity</stp>
        <stp>CF_INCR_INVEST/10^6</stp>
        <stp>FPT</stp>
        <stp>A</stp>
        <stp>FPO</stp>
        <stp>-4A</stp>
        <stp>STD</stp>
        <stp>Mixed</stp>
        <stp>CONSOL</stp>
        <stp>Yes</stp>
        <stp>CURRENCY</stp>
        <stp>USD</stp>
        <tr r="J23" s="4"/>
      </tp>
      <tp>
        <v>0</v>
        <stp/>
        <stp>##V3_BQLV12</stp>
        <stp>[Fundamental &amp; Technical Model (1).xlsm]Cash Flow!R26C10</stp>
        <stp>SYK US Equity</stp>
        <stp>CF_INCR_INVEST/10^6</stp>
        <stp>FPT</stp>
        <stp>A</stp>
        <stp>FPO</stp>
        <stp>-4A</stp>
        <stp>STD</stp>
        <stp>Mixed</stp>
        <stp>CONSOL</stp>
        <stp>Yes</stp>
        <stp>CURRENCY</stp>
        <stp>USD</stp>
        <tr r="J26" s="4"/>
      </tp>
      <tp t="s">
        <v>12/31/2014</v>
        <stp/>
        <stp>##V3_BDPV12</stp>
        <stp>SYK US Equity</stp>
        <stp>LATEST_PERIOD_END_DT_FULL_RECORD</stp>
        <stp>[Fundamental &amp; Technical Model (1).xlsm]Segments!R160C10</stp>
        <stp>EQY_FUND_RELATIVE_PERIOD</stp>
        <stp>-4FY</stp>
        <stp>EQY_CONSOLIDATED</stp>
        <stp>Yes</stp>
        <tr r="J160" s="17"/>
        <tr r="J160" s="17"/>
      </tp>
      <tp t="s">
        <v>12/31/2018</v>
        <stp/>
        <stp>##V3_BDPV12</stp>
        <stp>SYK US Equity</stp>
        <stp>LATEST_PERIOD_END_DT_FULL_RECORD</stp>
        <stp>[Fundamental &amp; Technical Model (1).xlsm]Segments!R160C14</stp>
        <stp>EQY_FUND_RELATIVE_PERIOD</stp>
        <stp>-0FY</stp>
        <stp>EQY_CONSOLIDATED</stp>
        <stp>Yes</stp>
        <tr r="N160" s="17"/>
        <tr r="N160" s="17"/>
      </tp>
      <tp t="s">
        <v>12/31/2015</v>
        <stp/>
        <stp>##V3_BDPV12</stp>
        <stp>SYK US Equity</stp>
        <stp>LATEST_PERIOD_END_DT_FULL_RECORD</stp>
        <stp>[Fundamental &amp; Technical Model (1).xlsm]Segments!R160C11</stp>
        <stp>EQY_FUND_RELATIVE_PERIOD</stp>
        <stp>-3FY</stp>
        <stp>EQY_CONSOLIDATED</stp>
        <stp>Yes</stp>
        <tr r="K160" s="17"/>
        <tr r="K160" s="17"/>
      </tp>
      <tp t="s">
        <v>12/31/2017</v>
        <stp/>
        <stp>##V3_BDPV12</stp>
        <stp>SYK US Equity</stp>
        <stp>LATEST_PERIOD_END_DT_FULL_RECORD</stp>
        <stp>[Fundamental &amp; Technical Model (1).xlsm]Segments!R160C13</stp>
        <stp>EQY_FUND_RELATIVE_PERIOD</stp>
        <stp>-1FY</stp>
        <stp>EQY_CONSOLIDATED</stp>
        <stp>Yes</stp>
        <tr r="M160" s="17"/>
        <tr r="M160" s="17"/>
      </tp>
      <tp t="s">
        <v>12/31/2016</v>
        <stp/>
        <stp>##V3_BDPV12</stp>
        <stp>SYK US Equity</stp>
        <stp>LATEST_PERIOD_END_DT_FULL_RECORD</stp>
        <stp>[Fundamental &amp; Technical Model (1).xlsm]Segments!R160C12</stp>
        <stp>EQY_FUND_RELATIVE_PERIOD</stp>
        <stp>-2FY</stp>
        <stp>EQY_CONSOLIDATED</stp>
        <stp>Yes</stp>
        <tr r="L160" s="17"/>
        <tr r="L160" s="17"/>
      </tp>
      <tp t="e">
        <v>#N/A</v>
        <stp/>
        <stp>##V3_BDHV12</stp>
        <stp>SYK US Equity</stp>
        <stp>PX_TO_CASH_FLOW</stp>
        <stp>-9FY</stp>
        <stp>-9FY</stp>
        <stp>[Fundamental &amp; Technical Model (1).xlsm]Multiples!R51C4</stp>
        <stp>EQY_CONSOLIDATED</stp>
        <stp>Yes</stp>
        <stp>ACCOUNTING_STANDARD_OVERRIDE</stp>
        <stp>Mixed</stp>
        <stp>Per</stp>
        <stp>FY</stp>
        <stp>Days=A</stp>
        <tr r="D51" s="16"/>
        <tr r="D51" s="16"/>
      </tp>
      <tp>
        <v>40.12662526683485</v>
        <stp/>
        <stp>##V3_BQLV12</stp>
        <stp>[Fundamental &amp; Technical Model (1).xlsm]Ratios!R42C14</stp>
        <stp>SYK US Equity</stp>
        <stp>ACCOUNTS_PAYABLE_TURNOVER_DAYS</stp>
        <stp>FPT</stp>
        <stp>A</stp>
        <stp>FPO</stp>
        <stp>-0A</stp>
        <stp>STD</stp>
        <stp>Mixed</stp>
        <stp>CONSOL</stp>
        <stp>Yes</stp>
        <tr r="N42" s="8"/>
      </tp>
      <tp>
        <v>43550</v>
        <stp/>
        <stp>##V3_BTH</stp>
        <stp>SYK US Equity</stp>
        <stp>RSI</stp>
        <stp>3/26/2019</stp>
        <stp>4/25/2019</stp>
        <stp>[Fundamental &amp; Technical Model (1).xlsm]Technical Analysis Data!R31C7</stp>
        <stp>RSI</stp>
        <stp>TAPeriod=14</stp>
        <stp>DSClose=PX_LAST</stp>
        <stp>Dir=H</stp>
        <stp>Dts=S</stp>
        <stp>cols=22;rows=2</stp>
        <tr r="G31" s="31"/>
      </tp>
      <tp t="e">
        <v>#N/A</v>
        <stp/>
        <stp>##V3_BDHV12</stp>
        <stp>SYK US Equity</stp>
        <stp>HIGH_EV_TO_T12M_SALES</stp>
        <stp>-5FY</stp>
        <stp>-5FY</stp>
        <stp>[Fundamental &amp; Technical Model (1).xlsm]Multiples!R17C8</stp>
        <stp>EQY_CONSOLIDATED</stp>
        <stp>Yes</stp>
        <stp>ACCOUNTING_STANDARD_OVERRIDE</stp>
        <stp>Mixed</stp>
        <stp>Per</stp>
        <stp>FY</stp>
        <stp>Days=A</stp>
        <tr r="H17" s="16"/>
        <tr r="H17" s="16"/>
      </tp>
      <tp>
        <v>515</v>
        <stp/>
        <stp>##V3_BQLV12</stp>
        <stp>[Fundamental &amp; Technical Model (1).xlsm]Key Stats!R27C6</stp>
        <stp>SYK US Equity</stp>
        <stp>NET_INCOME/10^6</stp>
        <stp>FPT</stp>
        <stp>A</stp>
        <stp>FPO</stp>
        <stp>-4A</stp>
        <stp>STD</stp>
        <stp>Mixed</stp>
        <stp>CONSOL</stp>
        <stp>Yes</stp>
        <stp>CURRENCY</stp>
        <stp>USD</stp>
        <tr r="F27" s="23"/>
      </tp>
      <tp t="s">
        <v>#N/A N/A</v>
        <stp/>
        <stp>##V3_BDSV12</stp>
        <stp>SYK US Equity</stp>
        <stp>PG_REVENUE</stp>
        <stp>[Fundamental &amp; Technical Model (1).xlsm]Segments!R26C8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26" s="17"/>
      </tp>
      <tp t="s">
        <v>#N/A N/A</v>
        <stp/>
        <stp>##V3_BDSV12</stp>
        <stp>SYK US Equity</stp>
        <stp>PG_REVENUE</stp>
        <stp>[Fundamental &amp; Technical Model (1).xlsm]Segments!R40C8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40" s="17"/>
      </tp>
      <tp t="s">
        <v>#N/A N/A</v>
        <stp/>
        <stp>##V3_BDSV12</stp>
        <stp>SYK US Equity</stp>
        <stp>PG_REVENUE</stp>
        <stp>[Fundamental &amp; Technical Model (1).xlsm]Segments!R24C14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24" s="17"/>
      </tp>
      <tp>
        <v>45.66677474639863</v>
        <stp/>
        <stp>##V3_BQLV12</stp>
        <stp>[Fundamental &amp; Technical Model (1).xlsm]Ratios!R47C14</stp>
        <stp>SYK US Equity</stp>
        <stp>TOT_DEBT_TO_TOT_CAP</stp>
        <stp>FPT</stp>
        <stp>A</stp>
        <stp>FPO</stp>
        <stp>-0A</stp>
        <stp>STD</stp>
        <stp>Mixed</stp>
        <stp>CONSOL</stp>
        <stp>Yes</stp>
        <tr r="N47" s="8"/>
      </tp>
      <tp>
        <v>129.76</v>
        <stp/>
        <stp>##V3_BDPV12</stp>
        <stp>DHR Equity</stp>
        <stp>px_last</stp>
        <stp>[Fundamental &amp; Technical Model (1).xlsm]Public Comparables!R9C5</stp>
        <tr r="E9" s="24"/>
      </tp>
      <tp t="s">
        <v>#N/A N/A</v>
        <stp/>
        <stp>##V3_BDSV12</stp>
        <stp>SYK US Equity</stp>
        <stp>PG_REVENUE</stp>
        <stp>[Fundamental &amp; Technical Model (1).xlsm]Segments!R24C10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24" s="17"/>
      </tp>
      <tp t="s">
        <v>#N/A N/A</v>
        <stp/>
        <stp>##V3_BDSV12</stp>
        <stp>SYK US Equity</stp>
        <stp>PG_REVENUE</stp>
        <stp>[Fundamental &amp; Technical Model (1).xlsm]Segments!R24C11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24" s="17"/>
      </tp>
      <tp t="s">
        <v>#N/A N/A</v>
        <stp/>
        <stp>##V3_BDSV12</stp>
        <stp>SYK US Equity</stp>
        <stp>PG_REVENUE</stp>
        <stp>[Fundamental &amp; Technical Model (1).xlsm]Segments!R24C12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24" s="17"/>
      </tp>
      <tp>
        <v>84.049445865302644</v>
        <stp/>
        <stp>##V3_BQLV12</stp>
        <stp>[Fundamental &amp; Technical Model (1).xlsm]Ratios!R46C14</stp>
        <stp>SYK US Equity</stp>
        <stp>TOT_DEBT_TO_TOT_EQY</stp>
        <stp>FPT</stp>
        <stp>A</stp>
        <stp>FPO</stp>
        <stp>-0A</stp>
        <stp>STD</stp>
        <stp>Mixed</stp>
        <stp>CONSOL</stp>
        <stp>Yes</stp>
        <tr r="N46" s="8"/>
      </tp>
      <tp t="s">
        <v>#N/A N/A</v>
        <stp/>
        <stp>##V3_BDSV12</stp>
        <stp>SYK US Equity</stp>
        <stp>PG_REVENUE</stp>
        <stp>[Fundamental &amp; Technical Model (1).xlsm]Segments!R24C13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24" s="17"/>
      </tp>
      <tp t="s">
        <v>#N/A N/A</v>
        <stp/>
        <stp>##V3_BDSV12</stp>
        <stp>SYK US Equity</stp>
        <stp>PG_DEPR_AMORTIZATION</stp>
        <stp>[Fundamental &amp; Technical Model (1).xlsm]Segments!R138C14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138" s="17"/>
      </tp>
      <tp>
        <v>2.0828563641319162</v>
        <stp/>
        <stp>##V3_BQLV12</stp>
        <stp>[Fundamental &amp; Technical Model (1).xlsm]Ratios!R34C12</stp>
        <stp>SYK US Equity</stp>
        <stp>INVENT_TURN</stp>
        <stp>FPT</stp>
        <stp>A</stp>
        <stp>FPO</stp>
        <stp>-2A</stp>
        <stp>STD</stp>
        <stp>Mixed</stp>
        <stp>CONSOL</stp>
        <stp>Yes</stp>
        <tr r="L34" s="8"/>
      </tp>
      <tp t="s">
        <v>#N/A N/A</v>
        <stp/>
        <stp>##V3_BDSV12</stp>
        <stp>SYK US Equity</stp>
        <stp>PG_DEPR_AMORTIZATION</stp>
        <stp>[Fundamental &amp; Technical Model (1).xlsm]Segments!R138C11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138" s="17"/>
      </tp>
      <tp t="s">
        <v>#N/A N/A</v>
        <stp/>
        <stp>##V3_BDSV12</stp>
        <stp>SYK US Equity</stp>
        <stp>PG_DEPR_AMORTIZATION</stp>
        <stp>[Fundamental &amp; Technical Model (1).xlsm]Segments!R138C10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138" s="17"/>
      </tp>
      <tp t="s">
        <v>#N/A N/A</v>
        <stp/>
        <stp>##V3_BDSV12</stp>
        <stp>SYK US Equity</stp>
        <stp>PG_DEPR_AMORTIZATION</stp>
        <stp>[Fundamental &amp; Technical Model (1).xlsm]Segments!R138C13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138" s="17"/>
      </tp>
      <tp t="s">
        <v>#N/A N/A</v>
        <stp/>
        <stp>##V3_BDSV12</stp>
        <stp>SYK US Equity</stp>
        <stp>PG_DEPR_AMORTIZATION</stp>
        <stp>[Fundamental &amp; Technical Model (1).xlsm]Segments!R138C12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138" s="17"/>
      </tp>
      <tp>
        <v>0</v>
        <stp/>
        <stp>##V3_BQLV12</stp>
        <stp>[Fundamental &amp; Technical Model (1).xlsm]Income Statement!R32C9</stp>
        <stp>SYK US Equity</stp>
        <stp>IS_INT_INC/10^6</stp>
        <stp>FPT</stp>
        <stp>A</stp>
        <stp>FPO</stp>
        <stp>-5A</stp>
        <stp>STD</stp>
        <stp>Mixed</stp>
        <stp>CONSOL</stp>
        <stp>Yes</stp>
        <stp>CURRENCY</stp>
        <stp>USD</stp>
        <tr r="I32" s="2"/>
      </tp>
      <tp>
        <v>17.333333333333332</v>
        <stp/>
        <stp>##V3_BQLV12</stp>
        <stp>[Fundamental &amp; Technical Model (1).xlsm]Ratios!R27C10</stp>
        <stp>SYK US Equity</stp>
        <stp>NORMALIZED_PROFIT_MARGIN</stp>
        <stp>FPT</stp>
        <stp>A</stp>
        <stp>FPO</stp>
        <stp>-4A</stp>
        <stp>STD</stp>
        <stp>Mixed</stp>
        <stp>CONSOL</stp>
        <stp>Yes</stp>
        <tr r="J27" s="8"/>
      </tp>
      <tp>
        <v>17.947209763987942</v>
        <stp/>
        <stp>##V3_BQLV12</stp>
        <stp>[Fundamental &amp; Technical Model (1).xlsm]Ratios!R27C14</stp>
        <stp>SYK US Equity</stp>
        <stp>NORMALIZED_PROFIT_MARGIN</stp>
        <stp>FPT</stp>
        <stp>A</stp>
        <stp>FPO</stp>
        <stp>-0A</stp>
        <stp>STD</stp>
        <stp>Mixed</stp>
        <stp>CONSOL</stp>
        <stp>Yes</stp>
        <tr r="N27" s="8"/>
      </tp>
      <tp>
        <v>679</v>
        <stp/>
        <stp>##V3_BDSV12</stp>
        <stp>SYK US Equity</stp>
        <stp>PG_ASSETS</stp>
        <stp>[Fundamental &amp; Technical Model (1).xlsm]Segments!R107C14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107" s="17"/>
        <tr r="N107" s="17"/>
      </tp>
      <tp>
        <v>847</v>
        <stp/>
        <stp>##V3_BDSV12</stp>
        <stp>SYK US Equity</stp>
        <stp>PG_ASSETS</stp>
        <stp>[Fundamental &amp; Technical Model (1).xlsm]Segments!R107C13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107" s="17"/>
        <tr r="M107" s="17"/>
      </tp>
      <tp>
        <v>705</v>
        <stp/>
        <stp>##V3_BDSV12</stp>
        <stp>SYK US Equity</stp>
        <stp>PG_ASSETS</stp>
        <stp>[Fundamental &amp; Technical Model (1).xlsm]Segments!R107C12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107" s="17"/>
        <tr r="L107" s="17"/>
      </tp>
      <tp>
        <v>829</v>
        <stp/>
        <stp>##V3_BDSV12</stp>
        <stp>SYK US Equity</stp>
        <stp>PG_ASSETS</stp>
        <stp>[Fundamental &amp; Technical Model (1).xlsm]Segments!R107C11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107" s="17"/>
        <tr r="K107" s="17"/>
      </tp>
      <tp>
        <v>12.309734513274336</v>
        <stp/>
        <stp>##V3_BQLV12</stp>
        <stp>[Fundamental &amp; Technical Model (1).xlsm]Ratios!R54C10</stp>
        <stp>SYK US Equity</stp>
        <stp>EBITDA_LES_CAP_EXPEND_TO_INT_EXP</stp>
        <stp>FPT</stp>
        <stp>A</stp>
        <stp>FPO</stp>
        <stp>-4A</stp>
        <stp>STD</stp>
        <stp>Mixed</stp>
        <stp>CONSOL</stp>
        <stp>Yes</stp>
        <tr r="J54" s="8"/>
      </tp>
      <tp>
        <v>10.181818181818182</v>
        <stp/>
        <stp>##V3_BQLV12</stp>
        <stp>[Fundamental &amp; Technical Model (1).xlsm]Ratios!R54C14</stp>
        <stp>SYK US Equity</stp>
        <stp>EBITDA_LES_CAP_EXPEND_TO_INT_EXP</stp>
        <stp>FPT</stp>
        <stp>A</stp>
        <stp>FPO</stp>
        <stp>-0A</stp>
        <stp>STD</stp>
        <stp>Mixed</stp>
        <stp>CONSOL</stp>
        <stp>Yes</stp>
        <tr r="N54" s="8"/>
      </tp>
      <tp>
        <v>-319</v>
        <stp/>
        <stp>##V3_BDSV12</stp>
        <stp>SYK US Equity</stp>
        <stp>PG_ASSETS</stp>
        <stp>[Fundamental &amp; Technical Model (1).xlsm]Segments!R107C10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107" s="17"/>
        <tr r="J107" s="17"/>
      </tp>
      <tp t="s">
        <v>2015 Y</v>
        <stp/>
        <stp>##V3_BDPV12</stp>
        <stp>SYK US Equity</stp>
        <stp>FISCAL_YEAR_PERIOD</stp>
        <stp>[Fundamental &amp; Technical Model (1).xlsm]Supplemental!R12C10</stp>
        <stp>EQY_FUND_RELATIVE_PERIOD</stp>
        <stp>-3FY</stp>
        <tr r="J12" s="19"/>
      </tp>
      <tp t="s">
        <v>2016 Y</v>
        <stp/>
        <stp>##V3_BDPV12</stp>
        <stp>SYK US Equity</stp>
        <stp>FISCAL_YEAR_PERIOD</stp>
        <stp>[Fundamental &amp; Technical Model (1).xlsm]Supplemental!R12C11</stp>
        <stp>EQY_FUND_RELATIVE_PERIOD</stp>
        <stp>-2FY</stp>
        <tr r="K12" s="19"/>
      </tp>
      <tp t="s">
        <v>2017 Y</v>
        <stp/>
        <stp>##V3_BDPV12</stp>
        <stp>SYK US Equity</stp>
        <stp>FISCAL_YEAR_PERIOD</stp>
        <stp>[Fundamental &amp; Technical Model (1).xlsm]Supplemental!R12C12</stp>
        <stp>EQY_FUND_RELATIVE_PERIOD</stp>
        <stp>-1FY</stp>
        <tr r="L12" s="19"/>
      </tp>
      <tp t="s">
        <v>2018 Y</v>
        <stp/>
        <stp>##V3_BDPV12</stp>
        <stp>SYK US Equity</stp>
        <stp>FISCAL_YEAR_PERIOD</stp>
        <stp>[Fundamental &amp; Technical Model (1).xlsm]Supplemental!R12C13</stp>
        <stp>EQY_FUND_RELATIVE_PERIOD</stp>
        <stp>-0FY</stp>
        <tr r="M12" s="19"/>
      </tp>
      <tp t="e">
        <v>#N/A</v>
        <stp/>
        <stp>##V3_BDHV12</stp>
        <stp>SYK US Equity</stp>
        <stp>HIGH_CLOSING_PRICE_TO_BOOK_RATIO</stp>
        <stp>-8FY</stp>
        <stp>-8FY</stp>
        <stp>[Fundamental &amp; Technical Model (1).xlsm]Multiples!R41C5</stp>
        <stp>EQY_CONSOLIDATED</stp>
        <stp>Yes</stp>
        <stp>ACCOUNTING_STANDARD_OVERRIDE</stp>
        <stp>Mixed</stp>
        <stp>Per</stp>
        <stp>FY</stp>
        <stp>Days=A</stp>
        <tr r="E41" s="16"/>
        <tr r="E41" s="16"/>
      </tp>
      <tp>
        <v>0</v>
        <stp/>
        <stp>##V3_BQLV12</stp>
        <stp>[Fundamental &amp; Technical Model (1).xlsm]Cash Flow!R23C11</stp>
        <stp>SYK US Equity</stp>
        <stp>CF_INCR_INVEST/10^6</stp>
        <stp>FPT</stp>
        <stp>A</stp>
        <stp>FPO</stp>
        <stp>-3A</stp>
        <stp>STD</stp>
        <stp>Mixed</stp>
        <stp>CONSOL</stp>
        <stp>Yes</stp>
        <stp>CURRENCY</stp>
        <stp>USD</stp>
        <tr r="K23" s="4"/>
      </tp>
      <tp t="s">
        <v>--</v>
        <stp/>
        <stp>##V3_BDPV12</stp>
        <stp>SYK US Equity</stp>
        <stp>BS_CAPITAL_LEASE_BEYOND_YR_5</stp>
        <stp>[Fundamental &amp; Technical Model (1).xlsm]Capital Structure Summary!R91C7</stp>
        <stp>EQY_FUND_RELATIVE_PERIOD</stp>
        <stp>-2FY</stp>
        <stp>EQY_FUND_CRNCY</stp>
        <stp>USD</stp>
        <stp>EQY_CONSOLIDATED</stp>
        <stp>Yes</stp>
        <stp>ACCOUNTING_STANDARD_OVERRIDE</stp>
        <stp>Mixed</stp>
        <stp>Fill=--</stp>
        <tr r="G91" s="21"/>
      </tp>
      <tp t="s">
        <v>--</v>
        <stp/>
        <stp>##V3_BDPV12</stp>
        <stp>SYK US Equity</stp>
        <stp>BS_CAPITAL_LEASE_BEYOND_YR_5</stp>
        <stp>[Fundamental &amp; Technical Model (1).xlsm]Capital Structure Summary!R91C5</stp>
        <stp>EQY_FUND_RELATIVE_PERIOD</stp>
        <stp>-3FY</stp>
        <stp>EQY_FUND_CRNCY</stp>
        <stp>USD</stp>
        <stp>EQY_CONSOLIDATED</stp>
        <stp>Yes</stp>
        <stp>ACCOUNTING_STANDARD_OVERRIDE</stp>
        <stp>Mixed</stp>
        <stp>Fill=--</stp>
        <tr r="E91" s="21"/>
      </tp>
      <tp t="s">
        <v>--</v>
        <stp/>
        <stp>##V3_BDPV12</stp>
        <stp>SYK US Equity</stp>
        <stp>BS_CAPITAL_LEASE_BEYOND_YR_5</stp>
        <stp>[Fundamental &amp; Technical Model (1).xlsm]Capital Structure Summary!R91C3</stp>
        <stp>EQY_FUND_RELATIVE_PERIOD</stp>
        <stp>-4FY</stp>
        <stp>EQY_FUND_CRNCY</stp>
        <stp>USD</stp>
        <stp>EQY_CONSOLIDATED</stp>
        <stp>Yes</stp>
        <stp>ACCOUNTING_STANDARD_OVERRIDE</stp>
        <stp>Mixed</stp>
        <stp>Fill=--</stp>
        <tr r="C91" s="21"/>
      </tp>
      <tp>
        <v>0</v>
        <stp/>
        <stp>##V3_BQLV12</stp>
        <stp>[Fundamental &amp; Technical Model (1).xlsm]Cash Flow!R26C11</stp>
        <stp>SYK US Equity</stp>
        <stp>CF_INCR_INVEST/10^6</stp>
        <stp>FPT</stp>
        <stp>A</stp>
        <stp>FPO</stp>
        <stp>-3A</stp>
        <stp>STD</stp>
        <stp>Mixed</stp>
        <stp>CONSOL</stp>
        <stp>Yes</stp>
        <stp>CURRENCY</stp>
        <stp>USD</stp>
        <tr r="K26" s="4"/>
      </tp>
      <tp t="s">
        <v>--</v>
        <stp/>
        <stp>##V3_BDPV12</stp>
        <stp>SYK US Equity</stp>
        <stp>BS_CAPITAL_LEASE_BEYOND_YR_5</stp>
        <stp>[Fundamental &amp; Technical Model (1).xlsm]Capital Structure Summary!R91C9</stp>
        <stp>EQY_FUND_RELATIVE_PERIOD</stp>
        <stp>-1FY</stp>
        <stp>EQY_FUND_CRNCY</stp>
        <stp>USD</stp>
        <stp>EQY_CONSOLIDATED</stp>
        <stp>Yes</stp>
        <stp>ACCOUNTING_STANDARD_OVERRIDE</stp>
        <stp>Mixed</stp>
        <stp>Fill=--</stp>
        <tr r="I91" s="21"/>
      </tp>
      <tp>
        <v>3724.2</v>
        <stp/>
        <stp>##V3_BDPV12</stp>
        <stp>ISRG Equity</stp>
        <stp>sales_rev_turn</stp>
        <stp>[Fundamental &amp; Technical Model (1).xlsm]Public Comparables!R10C10</stp>
        <tr r="J10" s="24"/>
      </tp>
      <tp t="s">
        <v>12/31/2015</v>
        <stp/>
        <stp>##V3_BDPV12</stp>
        <stp>SYK US Equity</stp>
        <stp>LATEST_PERIOD_END_DT_FULL_RECORD</stp>
        <stp>[Fundamental &amp; Technical Model (1).xlsm]Segments!R131C11</stp>
        <stp>EQY_FUND_RELATIVE_PERIOD</stp>
        <stp>-3FY</stp>
        <stp>EQY_CONSOLIDATED</stp>
        <stp>Yes</stp>
        <tr r="K131" s="17"/>
        <tr r="K131" s="17"/>
      </tp>
      <tp t="s">
        <v>12/31/2017</v>
        <stp/>
        <stp>##V3_BDPV12</stp>
        <stp>SYK US Equity</stp>
        <stp>LATEST_PERIOD_END_DT_FULL_RECORD</stp>
        <stp>[Fundamental &amp; Technical Model (1).xlsm]Segments!R131C13</stp>
        <stp>EQY_FUND_RELATIVE_PERIOD</stp>
        <stp>-1FY</stp>
        <stp>EQY_CONSOLIDATED</stp>
        <stp>Yes</stp>
        <tr r="M131" s="17"/>
        <tr r="M131" s="17"/>
      </tp>
      <tp t="s">
        <v>12/31/2016</v>
        <stp/>
        <stp>##V3_BDPV12</stp>
        <stp>SYK US Equity</stp>
        <stp>LATEST_PERIOD_END_DT_FULL_RECORD</stp>
        <stp>[Fundamental &amp; Technical Model (1).xlsm]Segments!R131C12</stp>
        <stp>EQY_FUND_RELATIVE_PERIOD</stp>
        <stp>-2FY</stp>
        <stp>EQY_CONSOLIDATED</stp>
        <stp>Yes</stp>
        <tr r="L131" s="17"/>
        <tr r="L131" s="17"/>
      </tp>
      <tp t="s">
        <v>12/31/2014</v>
        <stp/>
        <stp>##V3_BDPV12</stp>
        <stp>SYK US Equity</stp>
        <stp>LATEST_PERIOD_END_DT_FULL_RECORD</stp>
        <stp>[Fundamental &amp; Technical Model (1).xlsm]Segments!R131C10</stp>
        <stp>EQY_FUND_RELATIVE_PERIOD</stp>
        <stp>-4FY</stp>
        <stp>EQY_CONSOLIDATED</stp>
        <stp>Yes</stp>
        <tr r="J131" s="17"/>
        <tr r="J131" s="17"/>
      </tp>
      <tp t="s">
        <v>12/31/2018</v>
        <stp/>
        <stp>##V3_BDPV12</stp>
        <stp>SYK US Equity</stp>
        <stp>LATEST_PERIOD_END_DT_FULL_RECORD</stp>
        <stp>[Fundamental &amp; Technical Model (1).xlsm]Segments!R131C14</stp>
        <stp>EQY_FUND_RELATIVE_PERIOD</stp>
        <stp>-0FY</stp>
        <stp>EQY_CONSOLIDATED</stp>
        <stp>Yes</stp>
        <tr r="N131" s="17"/>
        <tr r="N131" s="17"/>
      </tp>
      <tp>
        <v>0</v>
        <stp/>
        <stp>##V3_BQLV12</stp>
        <stp>[Fundamental &amp; Technical Model (1).xlsm]Income Statement!R53C5</stp>
        <stp>SYK US Equity</stp>
        <stp>IS_TOT_CASH_PFD_DVD/10^6</stp>
        <stp>FPT</stp>
        <stp>A</stp>
        <stp>FPO</stp>
        <stp>-9A</stp>
        <stp>STD</stp>
        <stp>Mixed</stp>
        <stp>CONSOL</stp>
        <stp>Yes</stp>
        <stp>CURRENCY</stp>
        <stp>USD</stp>
        <tr r="E53" s="2"/>
      </tp>
      <tp>
        <v>0</v>
        <stp/>
        <stp>##V3_BQLV12</stp>
        <stp>[Fundamental &amp; Technical Model (1).xlsm]Income Statement!R53C9</stp>
        <stp>SYK US Equity</stp>
        <stp>IS_TOT_CASH_PFD_DVD/10^6</stp>
        <stp>FPT</stp>
        <stp>A</stp>
        <stp>FPO</stp>
        <stp>-5A</stp>
        <stp>STD</stp>
        <stp>Mixed</stp>
        <stp>CONSOL</stp>
        <stp>Yes</stp>
        <stp>CURRENCY</stp>
        <stp>USD</stp>
        <tr r="I53" s="2"/>
      </tp>
      <tp>
        <v>0</v>
        <stp/>
        <stp>##V3_BQLV12</stp>
        <stp>[Fundamental &amp; Technical Model (1).xlsm]Income Statement!R53C6</stp>
        <stp>SYK US Equity</stp>
        <stp>IS_TOT_CASH_PFD_DVD/10^6</stp>
        <stp>FPT</stp>
        <stp>A</stp>
        <stp>FPO</stp>
        <stp>-8A</stp>
        <stp>STD</stp>
        <stp>Mixed</stp>
        <stp>CONSOL</stp>
        <stp>Yes</stp>
        <stp>CURRENCY</stp>
        <stp>USD</stp>
        <tr r="F53" s="2"/>
      </tp>
      <tp>
        <v>0</v>
        <stp/>
        <stp>##V3_BQLV12</stp>
        <stp>[Fundamental &amp; Technical Model (1).xlsm]Income Statement!R53C8</stp>
        <stp>SYK US Equity</stp>
        <stp>IS_TOT_CASH_PFD_DVD/10^6</stp>
        <stp>FPT</stp>
        <stp>A</stp>
        <stp>FPO</stp>
        <stp>-6A</stp>
        <stp>STD</stp>
        <stp>Mixed</stp>
        <stp>CONSOL</stp>
        <stp>Yes</stp>
        <stp>CURRENCY</stp>
        <stp>USD</stp>
        <tr r="H53" s="2"/>
      </tp>
      <tp>
        <v>0</v>
        <stp/>
        <stp>##V3_BQLV12</stp>
        <stp>[Fundamental &amp; Technical Model (1).xlsm]Income Statement!R53C7</stp>
        <stp>SYK US Equity</stp>
        <stp>IS_TOT_CASH_PFD_DVD/10^6</stp>
        <stp>FPT</stp>
        <stp>A</stp>
        <stp>FPO</stp>
        <stp>-7A</stp>
        <stp>STD</stp>
        <stp>Mixed</stp>
        <stp>CONSOL</stp>
        <stp>Yes</stp>
        <stp>CURRENCY</stp>
        <stp>USD</stp>
        <tr r="G53" s="2"/>
      </tp>
      <tp t="s">
        <v>2014 A</v>
        <stp/>
        <stp>##V3_BQLV12</stp>
        <stp>[Fundamental &amp; Technical Model (1).xlsm]Balance Sheet!R13C10</stp>
        <stp>SYK US Equity</stp>
        <stp>IS_EPS().PERIOD</stp>
        <stp>FPT</stp>
        <stp>A</stp>
        <stp>FPO</stp>
        <stp>-4A</stp>
        <stp>STD</stp>
        <stp>Mixed</stp>
        <stp>CONSOL</stp>
        <stp>Yes</stp>
        <tr r="J13" s="3"/>
      </tp>
      <tp t="s">
        <v>--</v>
        <stp/>
        <stp>##V3_BDPV12</stp>
        <stp>SYK US Equity</stp>
        <stp>BS_CAPITAL_LEASE_YR_2_5</stp>
        <stp>[Fundamental &amp; Technical Model (1).xlsm]Capital Structure Summary!R90C9</stp>
        <stp>EQY_FUND_RELATIVE_PERIOD</stp>
        <stp>-1FY</stp>
        <stp>EQY_FUND_CRNCY</stp>
        <stp>USD</stp>
        <stp>EQY_CONSOLIDATED</stp>
        <stp>Yes</stp>
        <stp>ACCOUNTING_STANDARD_OVERRIDE</stp>
        <stp>Mixed</stp>
        <stp>Fill=--</stp>
        <tr r="I90" s="21"/>
      </tp>
      <tp t="s">
        <v>--</v>
        <stp/>
        <stp>##V3_BDPV12</stp>
        <stp>SYK US Equity</stp>
        <stp>BS_CAPITAL_LEASE_YR_4_5</stp>
        <stp>[Fundamental &amp; Technical Model (1).xlsm]Capital Structure Summary!R89C9</stp>
        <stp>EQY_FUND_RELATIVE_PERIOD</stp>
        <stp>-1FY</stp>
        <stp>EQY_FUND_CRNCY</stp>
        <stp>USD</stp>
        <stp>EQY_CONSOLIDATED</stp>
        <stp>Yes</stp>
        <stp>ACCOUNTING_STANDARD_OVERRIDE</stp>
        <stp>Mixed</stp>
        <stp>Fill=--</stp>
        <tr r="I89" s="21"/>
      </tp>
      <tp t="s">
        <v>--</v>
        <stp/>
        <stp>##V3_BDPV12</stp>
        <stp>SYK US Equity</stp>
        <stp>BS_CAPITAL_LEASE_YR_2_3</stp>
        <stp>[Fundamental &amp; Technical Model (1).xlsm]Capital Structure Summary!R88C9</stp>
        <stp>EQY_FUND_RELATIVE_PERIOD</stp>
        <stp>-1FY</stp>
        <stp>EQY_FUND_CRNCY</stp>
        <stp>USD</stp>
        <stp>EQY_CONSOLIDATED</stp>
        <stp>Yes</stp>
        <stp>ACCOUNTING_STANDARD_OVERRIDE</stp>
        <stp>Mixed</stp>
        <stp>Fill=--</stp>
        <tr r="I88" s="21"/>
      </tp>
      <tp t="e">
        <v>#N/A</v>
        <stp/>
        <stp>##V3_BDHV12</stp>
        <stp>SYK US Equity</stp>
        <stp>PX_TO_CASH_FLOW</stp>
        <stp>-8FY</stp>
        <stp>-8FY</stp>
        <stp>[Fundamental &amp; Technical Model (1).xlsm]Multiples!R51C5</stp>
        <stp>EQY_CONSOLIDATED</stp>
        <stp>Yes</stp>
        <stp>ACCOUNTING_STANDARD_OVERRIDE</stp>
        <stp>Mixed</stp>
        <stp>Per</stp>
        <stp>FY</stp>
        <stp>Days=A</stp>
        <tr r="E51" s="16"/>
        <tr r="E51" s="16"/>
      </tp>
      <tp t="s">
        <v>--</v>
        <stp/>
        <stp>##V3_BDPV12</stp>
        <stp>SYK US Equity</stp>
        <stp>BS_CAPITAL_LEASE_YR_2_3</stp>
        <stp>[Fundamental &amp; Technical Model (1).xlsm]Capital Structure Summary!R88C7</stp>
        <stp>EQY_FUND_RELATIVE_PERIOD</stp>
        <stp>-2FY</stp>
        <stp>EQY_FUND_CRNCY</stp>
        <stp>USD</stp>
        <stp>EQY_CONSOLIDATED</stp>
        <stp>Yes</stp>
        <stp>ACCOUNTING_STANDARD_OVERRIDE</stp>
        <stp>Mixed</stp>
        <stp>Fill=--</stp>
        <tr r="G88" s="21"/>
      </tp>
      <tp t="s">
        <v>--</v>
        <stp/>
        <stp>##V3_BDPV12</stp>
        <stp>SYK US Equity</stp>
        <stp>BS_CAPITAL_LEASE_YR_2_3</stp>
        <stp>[Fundamental &amp; Technical Model (1).xlsm]Capital Structure Summary!R88C3</stp>
        <stp>EQY_FUND_RELATIVE_PERIOD</stp>
        <stp>-4FY</stp>
        <stp>EQY_FUND_CRNCY</stp>
        <stp>USD</stp>
        <stp>EQY_CONSOLIDATED</stp>
        <stp>Yes</stp>
        <stp>ACCOUNTING_STANDARD_OVERRIDE</stp>
        <stp>Mixed</stp>
        <stp>Fill=--</stp>
        <tr r="C88" s="21"/>
      </tp>
      <tp t="s">
        <v>--</v>
        <stp/>
        <stp>##V3_BDPV12</stp>
        <stp>SYK US Equity</stp>
        <stp>BS_CAPITAL_LEASE_YR_2_3</stp>
        <stp>[Fundamental &amp; Technical Model (1).xlsm]Capital Structure Summary!R88C5</stp>
        <stp>EQY_FUND_RELATIVE_PERIOD</stp>
        <stp>-3FY</stp>
        <stp>EQY_FUND_CRNCY</stp>
        <stp>USD</stp>
        <stp>EQY_CONSOLIDATED</stp>
        <stp>Yes</stp>
        <stp>ACCOUNTING_STANDARD_OVERRIDE</stp>
        <stp>Mixed</stp>
        <stp>Fill=--</stp>
        <tr r="E88" s="21"/>
      </tp>
      <tp t="s">
        <v>--</v>
        <stp/>
        <stp>##V3_BDPV12</stp>
        <stp>SYK US Equity</stp>
        <stp>BS_CAPITAL_LEASE_YR_2_5</stp>
        <stp>[Fundamental &amp; Technical Model (1).xlsm]Capital Structure Summary!R90C3</stp>
        <stp>EQY_FUND_RELATIVE_PERIOD</stp>
        <stp>-4FY</stp>
        <stp>EQY_FUND_CRNCY</stp>
        <stp>USD</stp>
        <stp>EQY_CONSOLIDATED</stp>
        <stp>Yes</stp>
        <stp>ACCOUNTING_STANDARD_OVERRIDE</stp>
        <stp>Mixed</stp>
        <stp>Fill=--</stp>
        <tr r="C90" s="21"/>
      </tp>
      <tp t="s">
        <v>--</v>
        <stp/>
        <stp>##V3_BDPV12</stp>
        <stp>SYK US Equity</stp>
        <stp>BS_CAPITAL_LEASE_YR_4_5</stp>
        <stp>[Fundamental &amp; Technical Model (1).xlsm]Capital Structure Summary!R89C3</stp>
        <stp>EQY_FUND_RELATIVE_PERIOD</stp>
        <stp>-4FY</stp>
        <stp>EQY_FUND_CRNCY</stp>
        <stp>USD</stp>
        <stp>EQY_CONSOLIDATED</stp>
        <stp>Yes</stp>
        <stp>ACCOUNTING_STANDARD_OVERRIDE</stp>
        <stp>Mixed</stp>
        <stp>Fill=--</stp>
        <tr r="C89" s="21"/>
      </tp>
      <tp t="s">
        <v>--</v>
        <stp/>
        <stp>##V3_BDPV12</stp>
        <stp>SYK US Equity</stp>
        <stp>BS_CAPITAL_LEASE_YR_2_5</stp>
        <stp>[Fundamental &amp; Technical Model (1).xlsm]Capital Structure Summary!R90C5</stp>
        <stp>EQY_FUND_RELATIVE_PERIOD</stp>
        <stp>-3FY</stp>
        <stp>EQY_FUND_CRNCY</stp>
        <stp>USD</stp>
        <stp>EQY_CONSOLIDATED</stp>
        <stp>Yes</stp>
        <stp>ACCOUNTING_STANDARD_OVERRIDE</stp>
        <stp>Mixed</stp>
        <stp>Fill=--</stp>
        <tr r="E90" s="21"/>
      </tp>
      <tp t="s">
        <v>--</v>
        <stp/>
        <stp>##V3_BDPV12</stp>
        <stp>SYK US Equity</stp>
        <stp>BS_CAPITAL_LEASE_YR_4_5</stp>
        <stp>[Fundamental &amp; Technical Model (1).xlsm]Capital Structure Summary!R89C5</stp>
        <stp>EQY_FUND_RELATIVE_PERIOD</stp>
        <stp>-3FY</stp>
        <stp>EQY_FUND_CRNCY</stp>
        <stp>USD</stp>
        <stp>EQY_CONSOLIDATED</stp>
        <stp>Yes</stp>
        <stp>ACCOUNTING_STANDARD_OVERRIDE</stp>
        <stp>Mixed</stp>
        <stp>Fill=--</stp>
        <tr r="E89" s="21"/>
      </tp>
      <tp t="s">
        <v>--</v>
        <stp/>
        <stp>##V3_BDPV12</stp>
        <stp>SYK US Equity</stp>
        <stp>BS_CAPITAL_LEASE_YR_2_5</stp>
        <stp>[Fundamental &amp; Technical Model (1).xlsm]Capital Structure Summary!R90C7</stp>
        <stp>EQY_FUND_RELATIVE_PERIOD</stp>
        <stp>-2FY</stp>
        <stp>EQY_FUND_CRNCY</stp>
        <stp>USD</stp>
        <stp>EQY_CONSOLIDATED</stp>
        <stp>Yes</stp>
        <stp>ACCOUNTING_STANDARD_OVERRIDE</stp>
        <stp>Mixed</stp>
        <stp>Fill=--</stp>
        <tr r="G90" s="21"/>
      </tp>
      <tp t="s">
        <v>--</v>
        <stp/>
        <stp>##V3_BDPV12</stp>
        <stp>SYK US Equity</stp>
        <stp>BS_CAPITAL_LEASE_YR_4_5</stp>
        <stp>[Fundamental &amp; Technical Model (1).xlsm]Capital Structure Summary!R89C7</stp>
        <stp>EQY_FUND_RELATIVE_PERIOD</stp>
        <stp>-2FY</stp>
        <stp>EQY_FUND_CRNCY</stp>
        <stp>USD</stp>
        <stp>EQY_CONSOLIDATED</stp>
        <stp>Yes</stp>
        <stp>ACCOUNTING_STANDARD_OVERRIDE</stp>
        <stp>Mixed</stp>
        <stp>Fill=--</stp>
        <tr r="G89" s="21"/>
      </tp>
      <tp t="s">
        <v>--</v>
        <stp/>
        <stp>##V3_BDPV12</stp>
        <stp>SYK US Equity</stp>
        <stp>BS_FIX_RT_DEBT</stp>
        <stp>[Fundamental &amp; Technical Model (1).xlsm]Capital Structure Summary!R54C11</stp>
        <stp>EQY_FUND_RELATIVE_PERIOD</stp>
        <stp>-0FY</stp>
        <stp>EQY_FUND_CRNCY</stp>
        <stp>USD</stp>
        <stp>EQY_CONSOLIDATED</stp>
        <stp>Yes</stp>
        <stp>ACCOUNTING_STANDARD_OVERRIDE</stp>
        <stp>Mixed</stp>
        <stp>Fill=--</stp>
        <tr r="K54" s="21"/>
      </tp>
      <tp t="s">
        <v>2009 A</v>
        <stp/>
        <stp>##V3_BQLV12</stp>
        <stp>[Fundamental &amp; Technical Model (1).xlsm]Income Statement!R13C5</stp>
        <stp>SYK US Equity</stp>
        <stp>IS_EPS().PERIOD</stp>
        <stp>FPT</stp>
        <stp>A</stp>
        <stp>FPO</stp>
        <stp>-9A</stp>
        <stp>STD</stp>
        <stp>Mixed</stp>
        <stp>CONSOL</stp>
        <stp>Yes</stp>
        <tr r="E13" s="2"/>
      </tp>
      <tp>
        <v>20.16774561284301</v>
        <stp/>
        <stp>##V3_BQLV12</stp>
        <stp>[Fundamental &amp; Technical Model (1).xlsm]Key Stats!R56C5</stp>
        <stp>SYK US Equity</stp>
        <stp>PX_TO_DILUTED_EPS_BEF_XO_ITEMS</stp>
        <stp>FPT=LTM</stp>
        <stp>FPO=0</stp>
        <stp>STD</stp>
        <stp>Mixed</stp>
        <stp>CONSOL</stp>
        <stp>Yes</stp>
        <stp>CURRENCY</stp>
        <stp>USD</stp>
        <tr r="E56" s="23"/>
      </tp>
      <tp t="s">
        <v>#N/A N/A</v>
        <stp/>
        <stp>##V3_BDSV12</stp>
        <stp>SYK US Equity</stp>
        <stp>PG_GROSS_PROFIT</stp>
        <stp>[Fundamental &amp; Technical Model (1).xlsm]Segments!R61C12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2</stp>
        <stp>EndRow</stp>
        <stp>2</stp>
        <tr r="L61" s="17"/>
      </tp>
      <tp t="s">
        <v>#N/A N/A</v>
        <stp/>
        <stp>##V3_BDSV12</stp>
        <stp>SYK US Equity</stp>
        <stp>PG_GROSS_PROFIT</stp>
        <stp>[Fundamental &amp; Technical Model (1).xlsm]Segments!R61C13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2</stp>
        <stp>EndRow</stp>
        <stp>2</stp>
        <tr r="M61" s="17"/>
      </tp>
      <tp>
        <v>31.834975369458128</v>
        <stp/>
        <stp>##V3_BQLV12</stp>
        <stp>[Fundamental &amp; Technical Model (1).xlsm]Income Statement!R80C5</stp>
        <stp>SYK US Equity</stp>
        <stp>EFF_TAX_RATE</stp>
        <stp>FPT</stp>
        <stp>A</stp>
        <stp>FPO</stp>
        <stp>-9A</stp>
        <stp>STD</stp>
        <stp>Mixed</stp>
        <stp>CONSOL</stp>
        <stp>Yes</stp>
        <stp>CURRENCY</stp>
        <stp>USD</stp>
        <tr r="E80" s="2"/>
      </tp>
      <tp>
        <v>16.996699669966997</v>
        <stp/>
        <stp>##V3_BQLV12</stp>
        <stp>[Fundamental &amp; Technical Model (1).xlsm]Income Statement!R80C9</stp>
        <stp>SYK US Equity</stp>
        <stp>EFF_TAX_RATE</stp>
        <stp>FPT</stp>
        <stp>A</stp>
        <stp>FPO</stp>
        <stp>-5A</stp>
        <stp>STD</stp>
        <stp>Mixed</stp>
        <stp>CONSOL</stp>
        <stp>Yes</stp>
        <stp>CURRENCY</stp>
        <stp>USD</stp>
        <tr r="I80" s="2"/>
      </tp>
      <tp>
        <v>26.373626373626372</v>
        <stp/>
        <stp>##V3_BQLV12</stp>
        <stp>[Fundamental &amp; Technical Model (1).xlsm]Income Statement!R80C6</stp>
        <stp>SYK US Equity</stp>
        <stp>EFF_TAX_RATE</stp>
        <stp>FPT</stp>
        <stp>A</stp>
        <stp>FPO</stp>
        <stp>-8A</stp>
        <stp>STD</stp>
        <stp>Mixed</stp>
        <stp>CONSOL</stp>
        <stp>Yes</stp>
        <stp>CURRENCY</stp>
        <stp>USD</stp>
        <tr r="F80" s="2"/>
      </tp>
      <tp>
        <v>23.870967741935484</v>
        <stp/>
        <stp>##V3_BQLV12</stp>
        <stp>[Fundamental &amp; Technical Model (1).xlsm]Income Statement!R80C8</stp>
        <stp>SYK US Equity</stp>
        <stp>EFF_TAX_RATE</stp>
        <stp>FPT</stp>
        <stp>A</stp>
        <stp>FPO</stp>
        <stp>-6A</stp>
        <stp>STD</stp>
        <stp>Mixed</stp>
        <stp>CONSOL</stp>
        <stp>Yes</stp>
        <stp>CURRENCY</stp>
        <stp>USD</stp>
        <tr r="H80" s="2"/>
      </tp>
      <tp>
        <v>20.225385527876632</v>
        <stp/>
        <stp>##V3_BQLV12</stp>
        <stp>[Fundamental &amp; Technical Model (1).xlsm]Income Statement!R80C7</stp>
        <stp>SYK US Equity</stp>
        <stp>EFF_TAX_RATE</stp>
        <stp>FPT</stp>
        <stp>A</stp>
        <stp>FPO</stp>
        <stp>-7A</stp>
        <stp>STD</stp>
        <stp>Mixed</stp>
        <stp>CONSOL</stp>
        <stp>Yes</stp>
        <stp>CURRENCY</stp>
        <stp>USD</stp>
        <tr r="G80" s="2"/>
      </tp>
      <tp t="e">
        <v>#N/A</v>
        <stp/>
        <stp>##V3_BDHV12</stp>
        <stp>SYK US Equity</stp>
        <stp>AVERAGE_PRICE_TO_BOOK_RATIO</stp>
        <stp>-10FY</stp>
        <stp>-10FY</stp>
        <stp>[Fundamental &amp; Technical Model (1).xlsm]Multiples!R40C3</stp>
        <stp>EQY_CONSOLIDATED</stp>
        <stp>Yes</stp>
        <stp>ACCOUNTING_STANDARD_OVERRIDE</stp>
        <stp>Mixed</stp>
        <stp>Per</stp>
        <stp>FY</stp>
        <stp>Days=A</stp>
        <tr r="C40" s="16"/>
        <tr r="C40" s="16"/>
      </tp>
      <tp t="s">
        <v>#N/A N/A</v>
        <stp/>
        <stp>##V3_BDSV12</stp>
        <stp>SYK US Equity</stp>
        <stp>PG_GROSS_PROFIT</stp>
        <stp>[Fundamental &amp; Technical Model (1).xlsm]Segments!R61C10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2</stp>
        <stp>EndRow</stp>
        <stp>2</stp>
        <tr r="J61" s="17"/>
      </tp>
      <tp t="s">
        <v>#N/A N/A</v>
        <stp/>
        <stp>##V3_BDSV12</stp>
        <stp>SYK US Equity</stp>
        <stp>PG_GROSS_PROFIT</stp>
        <stp>[Fundamental &amp; Technical Model (1).xlsm]Segments!R61C11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2</stp>
        <stp>EndRow</stp>
        <stp>2</stp>
        <tr r="K61" s="17"/>
      </tp>
      <tp t="s">
        <v>#N/A N/A</v>
        <stp/>
        <stp>##V3_BDSV12</stp>
        <stp>SYK US Equity</stp>
        <stp>PG_GROSS_PROFIT</stp>
        <stp>[Fundamental &amp; Technical Model (1).xlsm]Segments!R61C14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2</stp>
        <stp>EndRow</stp>
        <stp>2</stp>
        <tr r="N61" s="17"/>
      </tp>
      <tp>
        <v>7.0346342994663598</v>
        <stp/>
        <stp>##V3_BQLV12</stp>
        <stp>[Fundamental &amp; Technical Model (1).xlsm]Ratios!R33C5</stp>
        <stp>SYK US Equity</stp>
        <stp>SALES_TO_NET_FIX_ASSET</stp>
        <stp>FPT</stp>
        <stp>A</stp>
        <stp>FPO</stp>
        <stp>-9A</stp>
        <stp>STD</stp>
        <stp>Mixed</stp>
        <stp>CONSOL</stp>
        <stp>Yes</stp>
        <tr r="E33" s="8"/>
      </tp>
      <tp t="s">
        <v>#N/A N/A</v>
        <stp/>
        <stp>##V3_BDSV12</stp>
        <stp>SYK US Equity</stp>
        <stp>PG_OPERATING_INCOME</stp>
        <stp>[Fundamental &amp; Technical Model (1).xlsm]Segments!R92C6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4</stp>
        <stp>EndRow</stp>
        <stp>4</stp>
        <tr r="F92" s="17"/>
      </tp>
      <tp t="s">
        <v>#N/A N/A</v>
        <stp/>
        <stp>##V3_BDSV12</stp>
        <stp>SYK US Equity</stp>
        <stp>PG_OPERATING_INCOME</stp>
        <stp>[Fundamental &amp; Technical Model (1).xlsm]Segments!R78C6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4</stp>
        <stp>EndRow</stp>
        <stp>4</stp>
        <tr r="F78" s="17"/>
      </tp>
      <tp t="s">
        <v>#N/A N/A</v>
        <stp/>
        <stp>##V3_BDSV12</stp>
        <stp>SYK US Equity</stp>
        <stp>PG_OPERATING_INCOME</stp>
        <stp>[Fundamental &amp; Technical Model (1).xlsm]Segments!R93C6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5</stp>
        <stp>EndRow</stp>
        <stp>5</stp>
        <tr r="F93" s="17"/>
      </tp>
      <tp t="s">
        <v>#N/A N/A</v>
        <stp/>
        <stp>##V3_BDSV12</stp>
        <stp>SYK US Equity</stp>
        <stp>PG_OPERATING_INCOME</stp>
        <stp>[Fundamental &amp; Technical Model (1).xlsm]Segments!R79C6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5</stp>
        <stp>EndRow</stp>
        <stp>5</stp>
        <tr r="F79" s="17"/>
      </tp>
      <tp>
        <v>36.585000000000001</v>
        <stp/>
        <stp>##V3_BDPV12</stp>
        <stp>BSX Equity</stp>
        <stp>px_last</stp>
        <stp>[Fundamental &amp; Technical Model (1).xlsm]Public Comparables!R11C5</stp>
        <tr r="E11" s="24"/>
      </tp>
      <tp t="s">
        <v>#N/A N/A</v>
        <stp/>
        <stp>##V3_BDSV12</stp>
        <stp>SYK US Equity</stp>
        <stp>PG_OPERATING_INCOME</stp>
        <stp>[Fundamental &amp; Technical Model (1).xlsm]Segments!R94C6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6</stp>
        <stp>EndRow</stp>
        <stp>6</stp>
        <tr r="F94" s="17"/>
      </tp>
      <tp t="s">
        <v>#N/A N/A</v>
        <stp/>
        <stp>##V3_BDSV12</stp>
        <stp>SYK US Equity</stp>
        <stp>PG_OPERATING_INCOME</stp>
        <stp>[Fundamental &amp; Technical Model (1).xlsm]Segments!R80C6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6</stp>
        <stp>EndRow</stp>
        <stp>6</stp>
        <tr r="F80" s="17"/>
      </tp>
      <tp>
        <v>12.348484848484848</v>
        <stp/>
        <stp>##V3_BQLV12</stp>
        <stp>[Fundamental &amp; Technical Model (1).xlsm]Ratios!R53C14</stp>
        <stp>SYK US Equity</stp>
        <stp>EBITDA_TO_TOT_INT_EXP</stp>
        <stp>FPT</stp>
        <stp>A</stp>
        <stp>FPO</stp>
        <stp>-0A</stp>
        <stp>STD</stp>
        <stp>Mixed</stp>
        <stp>CONSOL</stp>
        <stp>Yes</stp>
        <tr r="N53" s="8"/>
      </tp>
      <tp t="s">
        <v>#N/A N/A</v>
        <stp/>
        <stp>##V3_BDSV12</stp>
        <stp>SYK US Equity</stp>
        <stp>PG_OPERATING_INCOME</stp>
        <stp>[Fundamental &amp; Technical Model (1).xlsm]Segments!R95C6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7</stp>
        <stp>EndRow</stp>
        <stp>7</stp>
        <tr r="F95" s="17"/>
      </tp>
      <tp t="s">
        <v>#N/A N/A</v>
        <stp/>
        <stp>##V3_BDSV12</stp>
        <stp>SYK US Equity</stp>
        <stp>PG_OPERATING_INCOME</stp>
        <stp>[Fundamental &amp; Technical Model (1).xlsm]Segments!R81C6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7</stp>
        <stp>EndRow</stp>
        <stp>7</stp>
        <tr r="F81" s="17"/>
      </tp>
      <tp t="s">
        <v>#N/A N/A</v>
        <stp/>
        <stp>##V3_BDSV12</stp>
        <stp>SYK US Equity</stp>
        <stp>PG_OPERATING_INCOME</stp>
        <stp>[Fundamental &amp; Technical Model (1).xlsm]Segments!R89C6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stp>
        <stp>EndRow</stp>
        <stp>1</stp>
        <tr r="F89" s="17"/>
      </tp>
      <tp t="s">
        <v>#N/A N/A</v>
        <stp/>
        <stp>##V3_BDSV12</stp>
        <stp>SYK US Equity</stp>
        <stp>PG_OPERATING_INCOME</stp>
        <stp>[Fundamental &amp; Technical Model (1).xlsm]Segments!R75C6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stp>
        <stp>EndRow</stp>
        <stp>1</stp>
        <tr r="F75" s="17"/>
      </tp>
      <tp t="s">
        <v>#N/A N/A</v>
        <stp/>
        <stp>##V3_BDSV12</stp>
        <stp>SYK US Equity</stp>
        <stp>PG_OPERATING_INCOME</stp>
        <stp>[Fundamental &amp; Technical Model (1).xlsm]Segments!R90C6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2</stp>
        <stp>EndRow</stp>
        <stp>2</stp>
        <tr r="F90" s="17"/>
      </tp>
      <tp t="s">
        <v>#N/A N/A</v>
        <stp/>
        <stp>##V3_BDSV12</stp>
        <stp>SYK US Equity</stp>
        <stp>PG_OPERATING_INCOME</stp>
        <stp>[Fundamental &amp; Technical Model (1).xlsm]Segments!R76C6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2</stp>
        <stp>EndRow</stp>
        <stp>2</stp>
        <tr r="F76" s="17"/>
      </tp>
      <tp t="s">
        <v>#N/A N/A</v>
        <stp/>
        <stp>##V3_BDSV12</stp>
        <stp>SYK US Equity</stp>
        <stp>PG_OPERATING_INCOME</stp>
        <stp>[Fundamental &amp; Technical Model (1).xlsm]Segments!R91C6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3</stp>
        <stp>EndRow</stp>
        <stp>3</stp>
        <tr r="F91" s="17"/>
      </tp>
      <tp t="s">
        <v>#N/A N/A</v>
        <stp/>
        <stp>##V3_BDSV12</stp>
        <stp>SYK US Equity</stp>
        <stp>PG_OPERATING_INCOME</stp>
        <stp>[Fundamental &amp; Technical Model (1).xlsm]Segments!R77C6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3</stp>
        <stp>EndRow</stp>
        <stp>3</stp>
        <tr r="F77" s="17"/>
      </tp>
      <tp t="s">
        <v>#N/A N/A</v>
        <stp/>
        <stp>##V3_BDSV12</stp>
        <stp>SYK US Equity</stp>
        <stp>PG_OPERATING_INCOME</stp>
        <stp>[Fundamental &amp; Technical Model (1).xlsm]Segments!R96C6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8</stp>
        <stp>EndRow</stp>
        <stp>8</stp>
        <tr r="F96" s="17"/>
      </tp>
      <tp t="s">
        <v>#N/A N/A</v>
        <stp/>
        <stp>##V3_BDSV12</stp>
        <stp>SYK US Equity</stp>
        <stp>PG_OPERATING_INCOME</stp>
        <stp>[Fundamental &amp; Technical Model (1).xlsm]Segments!R82C6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8</stp>
        <stp>EndRow</stp>
        <stp>8</stp>
        <tr r="F82" s="17"/>
      </tp>
      <tp t="s">
        <v>#N/A N/A</v>
        <stp/>
        <stp>##V3_BDSV12</stp>
        <stp>SYK US Equity</stp>
        <stp>PG_OPERATING_INCOME</stp>
        <stp>[Fundamental &amp; Technical Model (1).xlsm]Segments!R97C6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9</stp>
        <stp>EndRow</stp>
        <stp>9</stp>
        <tr r="F97" s="17"/>
      </tp>
      <tp t="s">
        <v>#N/A N/A</v>
        <stp/>
        <stp>##V3_BDSV12</stp>
        <stp>SYK US Equity</stp>
        <stp>PG_OPERATING_INCOME</stp>
        <stp>[Fundamental &amp; Technical Model (1).xlsm]Segments!R83C6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9</stp>
        <stp>EndRow</stp>
        <stp>9</stp>
        <tr r="F83" s="17"/>
      </tp>
      <tp>
        <v>0</v>
        <stp/>
        <stp>##V3_BQLV12</stp>
        <stp>[Fundamental &amp; Technical Model (1).xlsm]Income Statement!R83C4</stp>
        <stp>SYK US Equity</stp>
        <stp>IS_CAP_INT_EXP/10^6</stp>
        <stp>FPT</stp>
        <stp>A</stp>
        <stp>FPO</stp>
        <stp>-10A</stp>
        <stp>STD</stp>
        <stp>Mixed</stp>
        <stp>CONSOL</stp>
        <stp>Yes</stp>
        <stp>CURRENCY</stp>
        <stp>USD</stp>
        <tr r="D83" s="2"/>
      </tp>
      <tp>
        <v>6160</v>
        <stp/>
        <stp>##V3_BQLV12</stp>
        <stp>[Fundamental &amp; Technical Model (1).xlsm]Balance Sheet!R69C14</stp>
        <stp>SYK US Equity</stp>
        <stp>NET_DEBT/10^6</stp>
        <stp>FPT</stp>
        <stp>A</stp>
        <stp>FPO</stp>
        <stp>-0A</stp>
        <stp>STD</stp>
        <stp>Mixed</stp>
        <stp>CONSOL</stp>
        <stp>Yes</stp>
        <stp>CURRENCY</stp>
        <stp>USD</stp>
        <tr r="N69" s="3"/>
      </tp>
      <tp>
        <v>-1027</v>
        <stp/>
        <stp>##V3_BQLV12</stp>
        <stp>[Fundamental &amp; Technical Model (1).xlsm]Balance Sheet!R69C10</stp>
        <stp>SYK US Equity</stp>
        <stp>NET_DEBT/10^6</stp>
        <stp>FPT</stp>
        <stp>A</stp>
        <stp>FPO</stp>
        <stp>-4A</stp>
        <stp>STD</stp>
        <stp>Mixed</stp>
        <stp>CONSOL</stp>
        <stp>Yes</stp>
        <stp>CURRENCY</stp>
        <stp>USD</stp>
        <tr r="J69" s="3"/>
      </tp>
      <tp>
        <v>-57</v>
        <stp/>
        <stp>##V3_BQLV12</stp>
        <stp>[Fundamental &amp; Technical Model (1).xlsm]Balance Sheet!R69C11</stp>
        <stp>SYK US Equity</stp>
        <stp>NET_DEBT/10^6</stp>
        <stp>FPT</stp>
        <stp>A</stp>
        <stp>FPO</stp>
        <stp>-3A</stp>
        <stp>STD</stp>
        <stp>Mixed</stp>
        <stp>CONSOL</stp>
        <stp>Yes</stp>
        <stp>CURRENCY</stp>
        <stp>USD</stp>
        <tr r="K69" s="3"/>
      </tp>
      <tp>
        <v>3530</v>
        <stp/>
        <stp>##V3_BQLV12</stp>
        <stp>[Fundamental &amp; Technical Model (1).xlsm]Balance Sheet!R69C12</stp>
        <stp>SYK US Equity</stp>
        <stp>NET_DEBT/10^6</stp>
        <stp>FPT</stp>
        <stp>A</stp>
        <stp>FPO</stp>
        <stp>-2A</stp>
        <stp>STD</stp>
        <stp>Mixed</stp>
        <stp>CONSOL</stp>
        <stp>Yes</stp>
        <stp>CURRENCY</stp>
        <stp>USD</stp>
        <tr r="L69" s="3"/>
      </tp>
      <tp>
        <v>4429</v>
        <stp/>
        <stp>##V3_BQLV12</stp>
        <stp>[Fundamental &amp; Technical Model (1).xlsm]Balance Sheet!R69C13</stp>
        <stp>SYK US Equity</stp>
        <stp>NET_DEBT/10^6</stp>
        <stp>FPT</stp>
        <stp>A</stp>
        <stp>FPO</stp>
        <stp>-1A</stp>
        <stp>STD</stp>
        <stp>Mixed</stp>
        <stp>CONSOL</stp>
        <stp>Yes</stp>
        <stp>CURRENCY</stp>
        <stp>USD</stp>
        <tr r="M69" s="3"/>
      </tp>
      <tp>
        <v>2.3041620509574301</v>
        <stp/>
        <stp>##V3_BQLV12</stp>
        <stp>[Fundamental &amp; Technical Model (1).xlsm]Ratios!R34C5</stp>
        <stp>SYK US Equity</stp>
        <stp>INVENT_TURN</stp>
        <stp>FPT</stp>
        <stp>A</stp>
        <stp>FPO</stp>
        <stp>-9A</stp>
        <stp>STD</stp>
        <stp>Mixed</stp>
        <stp>CONSOL</stp>
        <stp>Yes</stp>
        <tr r="E34" s="8"/>
      </tp>
      <tp>
        <v>43550</v>
        <stp/>
        <stp>##V3_BTH</stp>
        <stp>SYK US Equity</stp>
        <stp>EMAVG</stp>
        <stp>3/26/2019</stp>
        <stp>4/25/2019</stp>
        <stp>[Fundamental &amp; Technical Model (1).xlsm]Technical Analysis Data!R18C7</stp>
        <stp>EMAVG</stp>
        <stp>TAPeriod=5</stp>
        <stp>DSClose=PX_LAST</stp>
        <stp>Dir=H</stp>
        <stp>Dts=S</stp>
        <stp>cols=22;rows=2</stp>
        <tr r="G18" s="31"/>
      </tp>
      <tp>
        <v>43550</v>
        <stp/>
        <stp>##V3_BTH</stp>
        <stp>SYK US Equity</stp>
        <stp>TMAVG</stp>
        <stp>3/26/2019</stp>
        <stp>4/25/2019</stp>
        <stp>[Fundamental &amp; Technical Model (1).xlsm]Technical Analysis Data!R58C7</stp>
        <stp>TMAVG</stp>
        <stp>TAPeriod=5</stp>
        <stp>DSClose=PX_LAST</stp>
        <stp>Dir=H</stp>
        <stp>Dts=S</stp>
        <stp>cols=22;rows=2</stp>
        <tr r="G58" s="31"/>
      </tp>
      <tp>
        <v>3344</v>
        <stp/>
        <stp>##V3_BQLV12</stp>
        <stp>[Fundamental &amp; Technical Model (1).xlsm]Income Statement!R20C11</stp>
        <stp>SYK US Equity</stp>
        <stp>IS_COGS_TO_FE_AND_PP_AND_G/10^6</stp>
        <stp>FPT</stp>
        <stp>A</stp>
        <stp>FPO</stp>
        <stp>-3A</stp>
        <stp>STD</stp>
        <stp>Mixed</stp>
        <stp>CONSOL</stp>
        <stp>Yes</stp>
        <stp>CURRENCY</stp>
        <stp>USD</stp>
        <tr r="K20" s="2"/>
      </tp>
      <tp>
        <v>711</v>
        <stp/>
        <stp>##V3_BQLV12</stp>
        <stp>[Fundamental &amp; Technical Model (1).xlsm]Cash Flow!R51C11</stp>
        <stp>SYK US Equity</stp>
        <stp>CF_FREE_CASH_FLOW/10^6</stp>
        <stp>FPT</stp>
        <stp>A</stp>
        <stp>FPO</stp>
        <stp>-3A</stp>
        <stp>STD</stp>
        <stp>Mixed</stp>
        <stp>CONSOL</stp>
        <stp>Yes</stp>
        <stp>CURRENCY</stp>
        <stp>USD</stp>
        <tr r="K51" s="4"/>
      </tp>
      <tp>
        <v>1549</v>
        <stp/>
        <stp>##V3_BQLV12</stp>
        <stp>[Fundamental &amp; Technical Model (1).xlsm]Cash Flow!R51C10</stp>
        <stp>SYK US Equity</stp>
        <stp>CF_FREE_CASH_FLOW/10^6</stp>
        <stp>FPT</stp>
        <stp>A</stp>
        <stp>FPO</stp>
        <stp>-4A</stp>
        <stp>STD</stp>
        <stp>Mixed</stp>
        <stp>CONSOL</stp>
        <stp>Yes</stp>
        <stp>CURRENCY</stp>
        <stp>USD</stp>
        <tr r="J51" s="4"/>
      </tp>
      <tp>
        <v>961</v>
        <stp/>
        <stp>##V3_BQLV12</stp>
        <stp>[Fundamental &amp; Technical Model (1).xlsm]Cash Flow!R51C13</stp>
        <stp>SYK US Equity</stp>
        <stp>CF_FREE_CASH_FLOW/10^6</stp>
        <stp>FPT</stp>
        <stp>A</stp>
        <stp>FPO</stp>
        <stp>-1A</stp>
        <stp>STD</stp>
        <stp>Mixed</stp>
        <stp>CONSOL</stp>
        <stp>Yes</stp>
        <stp>CURRENCY</stp>
        <stp>USD</stp>
        <tr r="M51" s="4"/>
      </tp>
      <tp>
        <v>1425</v>
        <stp/>
        <stp>##V3_BQLV12</stp>
        <stp>[Fundamental &amp; Technical Model (1).xlsm]Cash Flow!R51C12</stp>
        <stp>SYK US Equity</stp>
        <stp>CF_FREE_CASH_FLOW/10^6</stp>
        <stp>FPT</stp>
        <stp>A</stp>
        <stp>FPO</stp>
        <stp>-2A</stp>
        <stp>STD</stp>
        <stp>Mixed</stp>
        <stp>CONSOL</stp>
        <stp>Yes</stp>
        <stp>CURRENCY</stp>
        <stp>USD</stp>
        <tr r="L51" s="4"/>
      </tp>
      <tp>
        <v>2038</v>
        <stp/>
        <stp>##V3_BQLV12</stp>
        <stp>[Fundamental &amp; Technical Model (1).xlsm]Cash Flow!R51C14</stp>
        <stp>SYK US Equity</stp>
        <stp>CF_FREE_CASH_FLOW/10^6</stp>
        <stp>FPT</stp>
        <stp>A</stp>
        <stp>FPO</stp>
        <stp>-0A</stp>
        <stp>STD</stp>
        <stp>Mixed</stp>
        <stp>CONSOL</stp>
        <stp>Yes</stp>
        <stp>CURRENCY</stp>
        <stp>USD</stp>
        <tr r="N51" s="4"/>
      </tp>
      <tp>
        <v>2537</v>
        <stp/>
        <stp>##V3_BDPV12</stp>
        <stp>SYK Equity</stp>
        <stp>EBIT</stp>
        <stp>[Fundamental &amp; Technical Model (1).xlsm]Public Comparables!R7C12</stp>
        <tr r="L7" s="24"/>
      </tp>
      <tp>
        <v>2.66</v>
        <stp/>
        <stp>##V3_BQLV12</stp>
        <stp>[Fundamental &amp; Technical Model (1).xlsm]Income Statement!R63C9</stp>
        <stp>SYK US Equity</stp>
        <stp>IS_EARN_BEF_XO_ITEMS_PER_SH</stp>
        <stp>FPT</stp>
        <stp>A</stp>
        <stp>FPO</stp>
        <stp>-5A</stp>
        <stp>STD</stp>
        <stp>Mixed</stp>
        <stp>CONSOL</stp>
        <stp>Yes</stp>
        <stp>CURRENCY</stp>
        <stp>USD</stp>
        <tr r="I63" s="2"/>
      </tp>
      <tp t="s">
        <v>2010 A</v>
        <stp/>
        <stp>##V3_BQLV12</stp>
        <stp>[Fundamental &amp; Technical Model (1).xlsm]Income Statement!R13C6</stp>
        <stp>SYK US Equity</stp>
        <stp>IS_EPS().PERIOD</stp>
        <stp>FPT</stp>
        <stp>A</stp>
        <stp>FPO</stp>
        <stp>-8A</stp>
        <stp>STD</stp>
        <stp>Mixed</stp>
        <stp>CONSOL</stp>
        <stp>Yes</stp>
        <tr r="F13" s="2"/>
      </tp>
      <tp>
        <v>0</v>
        <stp/>
        <stp>##V3_BQLV12</stp>
        <stp>[Fundamental &amp; Technical Model (1).xlsm]Balance Sheet!R72C5</stp>
        <stp>SYK US Equity</stp>
        <stp>INVTRY_RAW_MATERIALS/10^6</stp>
        <stp>FPT</stp>
        <stp>A</stp>
        <stp>FPO</stp>
        <stp>-9A</stp>
        <stp>STD</stp>
        <stp>Mixed</stp>
        <stp>CONSOL</stp>
        <stp>Yes</stp>
        <stp>CURRENCY</stp>
        <stp>USD</stp>
        <tr r="E72" s="3"/>
      </tp>
      <tp>
        <v>0</v>
        <stp/>
        <stp>##V3_BQLV12</stp>
        <stp>[Fundamental &amp; Technical Model (1).xlsm]Balance Sheet!R72C7</stp>
        <stp>SYK US Equity</stp>
        <stp>INVTRY_RAW_MATERIALS/10^6</stp>
        <stp>FPT</stp>
        <stp>A</stp>
        <stp>FPO</stp>
        <stp>-7A</stp>
        <stp>STD</stp>
        <stp>Mixed</stp>
        <stp>CONSOL</stp>
        <stp>Yes</stp>
        <stp>CURRENCY</stp>
        <stp>USD</stp>
        <tr r="G72" s="3"/>
      </tp>
      <tp>
        <v>0</v>
        <stp/>
        <stp>##V3_BQLV12</stp>
        <stp>[Fundamental &amp; Technical Model (1).xlsm]Balance Sheet!R72C6</stp>
        <stp>SYK US Equity</stp>
        <stp>INVTRY_RAW_MATERIALS/10^6</stp>
        <stp>FPT</stp>
        <stp>A</stp>
        <stp>FPO</stp>
        <stp>-8A</stp>
        <stp>STD</stp>
        <stp>Mixed</stp>
        <stp>CONSOL</stp>
        <stp>Yes</stp>
        <stp>CURRENCY</stp>
        <stp>USD</stp>
        <tr r="F72" s="3"/>
      </tp>
      <tp>
        <v>0</v>
        <stp/>
        <stp>##V3_BQLV12</stp>
        <stp>[Fundamental &amp; Technical Model (1).xlsm]Balance Sheet!R72C9</stp>
        <stp>SYK US Equity</stp>
        <stp>INVTRY_RAW_MATERIALS/10^6</stp>
        <stp>FPT</stp>
        <stp>A</stp>
        <stp>FPO</stp>
        <stp>-5A</stp>
        <stp>STD</stp>
        <stp>Mixed</stp>
        <stp>CONSOL</stp>
        <stp>Yes</stp>
        <stp>CURRENCY</stp>
        <stp>USD</stp>
        <tr r="I72" s="3"/>
      </tp>
      <tp>
        <v>0</v>
        <stp/>
        <stp>##V3_BQLV12</stp>
        <stp>[Fundamental &amp; Technical Model (1).xlsm]Balance Sheet!R72C8</stp>
        <stp>SYK US Equity</stp>
        <stp>INVTRY_RAW_MATERIALS/10^6</stp>
        <stp>FPT</stp>
        <stp>A</stp>
        <stp>FPO</stp>
        <stp>-6A</stp>
        <stp>STD</stp>
        <stp>Mixed</stp>
        <stp>CONSOL</stp>
        <stp>Yes</stp>
        <stp>CURRENCY</stp>
        <stp>USD</stp>
        <tr r="H72" s="3"/>
      </tp>
      <tp t="s">
        <v>#N/A N/A</v>
        <stp/>
        <stp>##V3_BDSV12</stp>
        <stp>SYK US Equity</stp>
        <stp>PG_GROSS_PROFIT</stp>
        <stp>[Fundamental &amp; Technical Model (1).xlsm]Segments!R60C11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stp>
        <stp>EndRow</stp>
        <stp>1</stp>
        <tr r="K60" s="17"/>
      </tp>
      <tp t="s">
        <v>#N/A N/A</v>
        <stp/>
        <stp>##V3_BDSV12</stp>
        <stp>SYK US Equity</stp>
        <stp>PG_GROSS_PROFIT</stp>
        <stp>[Fundamental &amp; Technical Model (1).xlsm]Segments!R60C10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stp>
        <stp>EndRow</stp>
        <stp>1</stp>
        <tr r="J60" s="17"/>
      </tp>
      <tp t="s">
        <v>#N/A N/A</v>
        <stp/>
        <stp>##V3_BDSV12</stp>
        <stp>SYK US Equity</stp>
        <stp>PG_GROSS_PROFIT</stp>
        <stp>[Fundamental &amp; Technical Model (1).xlsm]Segments!R60C13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stp>
        <stp>EndRow</stp>
        <stp>1</stp>
        <tr r="M60" s="17"/>
      </tp>
      <tp t="s">
        <v>#N/A N/A</v>
        <stp/>
        <stp>##V3_BDSV12</stp>
        <stp>SYK US Equity</stp>
        <stp>PG_GROSS_PROFIT</stp>
        <stp>[Fundamental &amp; Technical Model (1).xlsm]Segments!R60C12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stp>
        <stp>EndRow</stp>
        <stp>1</stp>
        <tr r="L60" s="17"/>
      </tp>
      <tp>
        <v>0.62323396317662094</v>
        <stp/>
        <stp>##V3_BQLV12</stp>
        <stp>[Fundamental &amp; Technical Model (1).xlsm]Ratios!R31C9</stp>
        <stp>SYK US Equity</stp>
        <stp>ASSET_TURNOVER</stp>
        <stp>FPT</stp>
        <stp>A</stp>
        <stp>FPO</stp>
        <stp>-5A</stp>
        <stp>STD</stp>
        <stp>Mixed</stp>
        <stp>CONSOL</stp>
        <stp>Yes</stp>
        <tr r="I31" s="8"/>
      </tp>
      <tp t="s">
        <v>#N/A N/A</v>
        <stp/>
        <stp>##V3_BDSV12</stp>
        <stp>SYK US Equity</stp>
        <stp>PG_GROSS_PROFIT</stp>
        <stp>[Fundamental &amp; Technical Model (1).xlsm]Segments!R60C14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stp>
        <stp>EndRow</stp>
        <stp>1</stp>
        <tr r="N60" s="17"/>
      </tp>
      <tp>
        <v>17.407936649697834</v>
        <stp/>
        <stp>##V3_BQLV12</stp>
        <stp>[Fundamental &amp; Technical Model (1).xlsm]Ratios!R27C4</stp>
        <stp>SYK US Equity</stp>
        <stp>NORMALIZED_PROFIT_MARGIN</stp>
        <stp>FPT</stp>
        <stp>A</stp>
        <stp>FPO</stp>
        <stp>-10A</stp>
        <stp>STD</stp>
        <stp>Mixed</stp>
        <stp>CONSOL</stp>
        <stp>Yes</stp>
        <tr r="D27" s="8"/>
      </tp>
      <tp>
        <v>8.3868010999083413</v>
        <stp/>
        <stp>##V3_BQLV12</stp>
        <stp>[Fundamental &amp; Technical Model (1).xlsm]Ratios!R33C6</stp>
        <stp>SYK US Equity</stp>
        <stp>SALES_TO_NET_FIX_ASSET</stp>
        <stp>FPT</stp>
        <stp>A</stp>
        <stp>FPO</stp>
        <stp>-8A</stp>
        <stp>STD</stp>
        <stp>Mixed</stp>
        <stp>CONSOL</stp>
        <stp>Yes</stp>
        <tr r="F33" s="8"/>
      </tp>
      <tp t="s">
        <v>#N/A N/A</v>
        <stp/>
        <stp>##V3_BDSV12</stp>
        <stp>SYK US Equity</stp>
        <stp>PG_OPERATING_INCOME</stp>
        <stp>[Fundamental &amp; Technical Model (1).xlsm]Segments!R93C7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5</stp>
        <stp>EndRow</stp>
        <stp>5</stp>
        <tr r="G93" s="17"/>
      </tp>
      <tp t="s">
        <v>#N/A N/A</v>
        <stp/>
        <stp>##V3_BDSV12</stp>
        <stp>SYK US Equity</stp>
        <stp>PG_OPERATING_INCOME</stp>
        <stp>[Fundamental &amp; Technical Model (1).xlsm]Segments!R79C7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5</stp>
        <stp>EndRow</stp>
        <stp>5</stp>
        <tr r="G79" s="17"/>
      </tp>
      <tp t="s">
        <v>#N/A N/A</v>
        <stp/>
        <stp>##V3_BDSV12</stp>
        <stp>SYK US Equity</stp>
        <stp>PG_OPERATING_INCOME</stp>
        <stp>[Fundamental &amp; Technical Model (1).xlsm]Segments!R92C7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4</stp>
        <stp>EndRow</stp>
        <stp>4</stp>
        <tr r="G92" s="17"/>
      </tp>
      <tp t="s">
        <v>#N/A N/A</v>
        <stp/>
        <stp>##V3_BDSV12</stp>
        <stp>SYK US Equity</stp>
        <stp>PG_OPERATING_INCOME</stp>
        <stp>[Fundamental &amp; Technical Model (1).xlsm]Segments!R78C7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4</stp>
        <stp>EndRow</stp>
        <stp>4</stp>
        <tr r="G78" s="17"/>
      </tp>
      <tp t="s">
        <v>#N/A N/A</v>
        <stp/>
        <stp>##V3_BDSV12</stp>
        <stp>SYK US Equity</stp>
        <stp>PG_OPERATING_INCOME</stp>
        <stp>[Fundamental &amp; Technical Model (1).xlsm]Segments!R95C7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7</stp>
        <stp>EndRow</stp>
        <stp>7</stp>
        <tr r="G95" s="17"/>
      </tp>
      <tp>
        <v>6718.2</v>
        <stp/>
        <stp>##V3_BQLV12</stp>
        <stp>[Fundamental &amp; Technical Model (1).xlsm]Income Statement!R16C4</stp>
        <stp>SYK US Equity</stp>
        <stp>SALES_REV_TURN/10^6</stp>
        <stp>FPT</stp>
        <stp>A</stp>
        <stp>FPO</stp>
        <stp>-10A</stp>
        <stp>STD</stp>
        <stp>Mixed</stp>
        <stp>CONSOL</stp>
        <stp>Yes</stp>
        <stp>CURRENCY</stp>
        <stp>USD</stp>
        <tr r="D16" s="2"/>
      </tp>
      <tp t="s">
        <v>#N/A N/A</v>
        <stp/>
        <stp>##V3_BDSV12</stp>
        <stp>SYK US Equity</stp>
        <stp>PG_OPERATING_INCOME</stp>
        <stp>[Fundamental &amp; Technical Model (1).xlsm]Segments!R81C7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7</stp>
        <stp>EndRow</stp>
        <stp>7</stp>
        <tr r="G81" s="17"/>
      </tp>
      <tp>
        <v>11.898785425101215</v>
        <stp/>
        <stp>##V3_BQLV12</stp>
        <stp>[Fundamental &amp; Technical Model (1).xlsm]Ratios!R53C13</stp>
        <stp>SYK US Equity</stp>
        <stp>EBITDA_TO_TOT_INT_EXP</stp>
        <stp>FPT</stp>
        <stp>A</stp>
        <stp>FPO</stp>
        <stp>-1A</stp>
        <stp>STD</stp>
        <stp>Mixed</stp>
        <stp>CONSOL</stp>
        <stp>Yes</stp>
        <tr r="M53" s="8"/>
      </tp>
      <tp t="s">
        <v>#N/A N/A</v>
        <stp/>
        <stp>##V3_BDSV12</stp>
        <stp>SYK US Equity</stp>
        <stp>PG_OPERATING_INCOME</stp>
        <stp>[Fundamental &amp; Technical Model (1).xlsm]Segments!R94C7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6</stp>
        <stp>EndRow</stp>
        <stp>6</stp>
        <tr r="G94" s="17"/>
      </tp>
      <tp t="s">
        <v>#N/A N/A</v>
        <stp/>
        <stp>##V3_BDSV12</stp>
        <stp>SYK US Equity</stp>
        <stp>PG_OPERATING_INCOME</stp>
        <stp>[Fundamental &amp; Technical Model (1).xlsm]Segments!R80C7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6</stp>
        <stp>EndRow</stp>
        <stp>6</stp>
        <tr r="G80" s="17"/>
      </tp>
      <tp t="s">
        <v>#N/A N/A</v>
        <stp/>
        <stp>##V3_BDSV12</stp>
        <stp>SYK US Equity</stp>
        <stp>PG_OPERATING_INCOME</stp>
        <stp>[Fundamental &amp; Technical Model (1).xlsm]Segments!R89C7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stp>
        <stp>EndRow</stp>
        <stp>1</stp>
        <tr r="G89" s="17"/>
      </tp>
      <tp t="s">
        <v>#N/A N/A</v>
        <stp/>
        <stp>##V3_BDSV12</stp>
        <stp>SYK US Equity</stp>
        <stp>PG_OPERATING_INCOME</stp>
        <stp>[Fundamental &amp; Technical Model (1).xlsm]Segments!R75C7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stp>
        <stp>EndRow</stp>
        <stp>1</stp>
        <tr r="G75" s="17"/>
      </tp>
      <tp>
        <v>42369</v>
        <stp/>
        <stp>##V3_BQLV12</stp>
        <stp>[Fundamental &amp; Technical Model (1).xlsm]Balance Sheet!R15C11</stp>
        <stp>SYK US Equity</stp>
        <stp>IS_EPS().PERIOD_END_DATE</stp>
        <stp>FPT</stp>
        <stp>A</stp>
        <stp>FPO</stp>
        <stp>-3A</stp>
        <stp>STD</stp>
        <stp>Mixed</stp>
        <stp>CONSOL</stp>
        <stp>Yes</stp>
        <tr r="K15" s="3"/>
      </tp>
      <tp>
        <v>43100</v>
        <stp/>
        <stp>##V3_BQLV12</stp>
        <stp>[Fundamental &amp; Technical Model (1).xlsm]Balance Sheet!R15C13</stp>
        <stp>SYK US Equity</stp>
        <stp>IS_EPS().PERIOD_END_DATE</stp>
        <stp>FPT</stp>
        <stp>A</stp>
        <stp>FPO</stp>
        <stp>-1A</stp>
        <stp>STD</stp>
        <stp>Mixed</stp>
        <stp>CONSOL</stp>
        <stp>Yes</stp>
        <tr r="M15" s="3"/>
      </tp>
      <tp t="s">
        <v>#N/A N/A</v>
        <stp/>
        <stp>##V3_BDSV12</stp>
        <stp>SYK US Equity</stp>
        <stp>PG_OPERATING_INCOME</stp>
        <stp>[Fundamental &amp; Technical Model (1).xlsm]Segments!R91C7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3</stp>
        <stp>EndRow</stp>
        <stp>3</stp>
        <tr r="G91" s="17"/>
      </tp>
      <tp t="s">
        <v>#N/A N/A</v>
        <stp/>
        <stp>##V3_BDSV12</stp>
        <stp>SYK US Equity</stp>
        <stp>PG_OPERATING_INCOME</stp>
        <stp>[Fundamental &amp; Technical Model (1).xlsm]Segments!R77C7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3</stp>
        <stp>EndRow</stp>
        <stp>3</stp>
        <tr r="G77" s="17"/>
      </tp>
      <tp t="s">
        <v>#N/A N/A</v>
        <stp/>
        <stp>##V3_BDSV12</stp>
        <stp>SYK US Equity</stp>
        <stp>PG_OPERATING_INCOME</stp>
        <stp>[Fundamental &amp; Technical Model (1).xlsm]Segments!R90C7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2</stp>
        <stp>EndRow</stp>
        <stp>2</stp>
        <tr r="G90" s="17"/>
      </tp>
      <tp t="s">
        <v>#N/A N/A</v>
        <stp/>
        <stp>##V3_BDSV12</stp>
        <stp>SYK US Equity</stp>
        <stp>PG_OPERATING_INCOME</stp>
        <stp>[Fundamental &amp; Technical Model (1).xlsm]Segments!R76C7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2</stp>
        <stp>EndRow</stp>
        <stp>2</stp>
        <tr r="G76" s="17"/>
      </tp>
      <tp t="s">
        <v>#N/A N/A</v>
        <stp/>
        <stp>##V3_BDSV12</stp>
        <stp>SYK US Equity</stp>
        <stp>PG_OPERATING_INCOME</stp>
        <stp>[Fundamental &amp; Technical Model (1).xlsm]Segments!R97C7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9</stp>
        <stp>EndRow</stp>
        <stp>9</stp>
        <tr r="G97" s="17"/>
      </tp>
      <tp t="s">
        <v>#N/A N/A</v>
        <stp/>
        <stp>##V3_BDSV12</stp>
        <stp>SYK US Equity</stp>
        <stp>PG_OPERATING_INCOME</stp>
        <stp>[Fundamental &amp; Technical Model (1).xlsm]Segments!R83C7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9</stp>
        <stp>EndRow</stp>
        <stp>9</stp>
        <tr r="G83" s="17"/>
      </tp>
      <tp>
        <v>0</v>
        <stp/>
        <stp>##V3_BQLV12</stp>
        <stp>[Fundamental &amp; Technical Model (1).xlsm]Balance Sheet!R70C14</stp>
        <stp>SYK US Equity</stp>
        <stp>MINORITY_NONCONTROLLING_INTEREST/10^6</stp>
        <stp>FPT</stp>
        <stp>A</stp>
        <stp>FPO</stp>
        <stp>-0A</stp>
        <stp>STD</stp>
        <stp>Mixed</stp>
        <stp>CONSOL</stp>
        <stp>Yes</stp>
        <stp>CURRENCY</stp>
        <stp>USD</stp>
        <tr r="N70" s="3"/>
      </tp>
      <tp>
        <v>0</v>
        <stp/>
        <stp>##V3_BQLV12</stp>
        <stp>[Fundamental &amp; Technical Model (1).xlsm]Balance Sheet!R52C14</stp>
        <stp>SYK US Equity</stp>
        <stp>MINORITY_NONCONTROLLING_INTEREST/10^6</stp>
        <stp>FPT</stp>
        <stp>A</stp>
        <stp>FPO</stp>
        <stp>-0A</stp>
        <stp>STD</stp>
        <stp>Mixed</stp>
        <stp>CONSOL</stp>
        <stp>Yes</stp>
        <stp>CURRENCY</stp>
        <stp>USD</stp>
        <tr r="N52" s="3"/>
      </tp>
      <tp>
        <v>0</v>
        <stp/>
        <stp>##V3_BQLV12</stp>
        <stp>[Fundamental &amp; Technical Model (1).xlsm]Balance Sheet!R52C12</stp>
        <stp>SYK US Equity</stp>
        <stp>MINORITY_NONCONTROLLING_INTEREST/10^6</stp>
        <stp>FPT</stp>
        <stp>A</stp>
        <stp>FPO</stp>
        <stp>-2A</stp>
        <stp>STD</stp>
        <stp>Mixed</stp>
        <stp>CONSOL</stp>
        <stp>Yes</stp>
        <stp>CURRENCY</stp>
        <stp>USD</stp>
        <tr r="L52" s="3"/>
      </tp>
      <tp>
        <v>0</v>
        <stp/>
        <stp>##V3_BQLV12</stp>
        <stp>[Fundamental &amp; Technical Model (1).xlsm]Balance Sheet!R70C10</stp>
        <stp>SYK US Equity</stp>
        <stp>MINORITY_NONCONTROLLING_INTEREST/10^6</stp>
        <stp>FPT</stp>
        <stp>A</stp>
        <stp>FPO</stp>
        <stp>-4A</stp>
        <stp>STD</stp>
        <stp>Mixed</stp>
        <stp>CONSOL</stp>
        <stp>Yes</stp>
        <stp>CURRENCY</stp>
        <stp>USD</stp>
        <tr r="J70" s="3"/>
      </tp>
      <tp>
        <v>14</v>
        <stp/>
        <stp>##V3_BQLV12</stp>
        <stp>[Fundamental &amp; Technical Model (1).xlsm]Balance Sheet!R52C13</stp>
        <stp>SYK US Equity</stp>
        <stp>MINORITY_NONCONTROLLING_INTEREST/10^6</stp>
        <stp>FPT</stp>
        <stp>A</stp>
        <stp>FPO</stp>
        <stp>-1A</stp>
        <stp>STD</stp>
        <stp>Mixed</stp>
        <stp>CONSOL</stp>
        <stp>Yes</stp>
        <stp>CURRENCY</stp>
        <stp>USD</stp>
        <tr r="M52" s="3"/>
      </tp>
      <tp>
        <v>0</v>
        <stp/>
        <stp>##V3_BQLV12</stp>
        <stp>[Fundamental &amp; Technical Model (1).xlsm]Balance Sheet!R70C11</stp>
        <stp>SYK US Equity</stp>
        <stp>MINORITY_NONCONTROLLING_INTEREST/10^6</stp>
        <stp>FPT</stp>
        <stp>A</stp>
        <stp>FPO</stp>
        <stp>-3A</stp>
        <stp>STD</stp>
        <stp>Mixed</stp>
        <stp>CONSOL</stp>
        <stp>Yes</stp>
        <stp>CURRENCY</stp>
        <stp>USD</stp>
        <tr r="K70" s="3"/>
      </tp>
      <tp>
        <v>0</v>
        <stp/>
        <stp>##V3_BQLV12</stp>
        <stp>[Fundamental &amp; Technical Model (1).xlsm]Balance Sheet!R70C12</stp>
        <stp>SYK US Equity</stp>
        <stp>MINORITY_NONCONTROLLING_INTEREST/10^6</stp>
        <stp>FPT</stp>
        <stp>A</stp>
        <stp>FPO</stp>
        <stp>-2A</stp>
        <stp>STD</stp>
        <stp>Mixed</stp>
        <stp>CONSOL</stp>
        <stp>Yes</stp>
        <stp>CURRENCY</stp>
        <stp>USD</stp>
        <tr r="L70" s="3"/>
      </tp>
      <tp>
        <v>0</v>
        <stp/>
        <stp>##V3_BQLV12</stp>
        <stp>[Fundamental &amp; Technical Model (1).xlsm]Balance Sheet!R52C10</stp>
        <stp>SYK US Equity</stp>
        <stp>MINORITY_NONCONTROLLING_INTEREST/10^6</stp>
        <stp>FPT</stp>
        <stp>A</stp>
        <stp>FPO</stp>
        <stp>-4A</stp>
        <stp>STD</stp>
        <stp>Mixed</stp>
        <stp>CONSOL</stp>
        <stp>Yes</stp>
        <stp>CURRENCY</stp>
        <stp>USD</stp>
        <tr r="J52" s="3"/>
      </tp>
      <tp>
        <v>0</v>
        <stp/>
        <stp>##V3_BQLV12</stp>
        <stp>[Fundamental &amp; Technical Model (1).xlsm]Balance Sheet!R52C11</stp>
        <stp>SYK US Equity</stp>
        <stp>MINORITY_NONCONTROLLING_INTEREST/10^6</stp>
        <stp>FPT</stp>
        <stp>A</stp>
        <stp>FPO</stp>
        <stp>-3A</stp>
        <stp>STD</stp>
        <stp>Mixed</stp>
        <stp>CONSOL</stp>
        <stp>Yes</stp>
        <stp>CURRENCY</stp>
        <stp>USD</stp>
        <tr r="K52" s="3"/>
      </tp>
      <tp>
        <v>14</v>
        <stp/>
        <stp>##V3_BQLV12</stp>
        <stp>[Fundamental &amp; Technical Model (1).xlsm]Balance Sheet!R70C13</stp>
        <stp>SYK US Equity</stp>
        <stp>MINORITY_NONCONTROLLING_INTEREST/10^6</stp>
        <stp>FPT</stp>
        <stp>A</stp>
        <stp>FPO</stp>
        <stp>-1A</stp>
        <stp>STD</stp>
        <stp>Mixed</stp>
        <stp>CONSOL</stp>
        <stp>Yes</stp>
        <stp>CURRENCY</stp>
        <stp>USD</stp>
        <tr r="M70" s="3"/>
      </tp>
      <tp t="s">
        <v>#N/A N/A</v>
        <stp/>
        <stp>##V3_BDSV12</stp>
        <stp>SYK US Equity</stp>
        <stp>PG_OPERATING_INCOME</stp>
        <stp>[Fundamental &amp; Technical Model (1).xlsm]Segments!R96C7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8</stp>
        <stp>EndRow</stp>
        <stp>8</stp>
        <tr r="G96" s="17"/>
      </tp>
      <tp t="s">
        <v>#N/A N/A</v>
        <stp/>
        <stp>##V3_BDSV12</stp>
        <stp>SYK US Equity</stp>
        <stp>PG_OPERATING_INCOME</stp>
        <stp>[Fundamental &amp; Technical Model (1).xlsm]Segments!R82C7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8</stp>
        <stp>EndRow</stp>
        <stp>8</stp>
        <tr r="G82" s="17"/>
      </tp>
      <tp>
        <v>-182</v>
        <stp/>
        <stp>##V3_BQLV12</stp>
        <stp>[Fundamental &amp; Technical Model (1).xlsm]Cash Flow!R21C6</stp>
        <stp>SYK US Equity</stp>
        <stp>CF_CAP_EXPEND_PRPTY_ADD/10^6</stp>
        <stp>FPT</stp>
        <stp>A</stp>
        <stp>FPO</stp>
        <stp>-8A</stp>
        <stp>STD</stp>
        <stp>Mixed</stp>
        <stp>CONSOL</stp>
        <stp>Yes</stp>
        <stp>CURRENCY</stp>
        <stp>USD</stp>
        <tr r="F21" s="4"/>
      </tp>
      <tp>
        <v>-210</v>
        <stp/>
        <stp>##V3_BQLV12</stp>
        <stp>[Fundamental &amp; Technical Model (1).xlsm]Cash Flow!R21C8</stp>
        <stp>SYK US Equity</stp>
        <stp>CF_CAP_EXPEND_PRPTY_ADD/10^6</stp>
        <stp>FPT</stp>
        <stp>A</stp>
        <stp>FPO</stp>
        <stp>-6A</stp>
        <stp>STD</stp>
        <stp>Mixed</stp>
        <stp>CONSOL</stp>
        <stp>Yes</stp>
        <stp>CURRENCY</stp>
        <stp>USD</stp>
        <tr r="H21" s="4"/>
      </tp>
      <tp>
        <v>-131</v>
        <stp/>
        <stp>##V3_BQLV12</stp>
        <stp>[Fundamental &amp; Technical Model (1).xlsm]Cash Flow!R21C5</stp>
        <stp>SYK US Equity</stp>
        <stp>CF_CAP_EXPEND_PRPTY_ADD/10^6</stp>
        <stp>FPT</stp>
        <stp>A</stp>
        <stp>FPO</stp>
        <stp>-9A</stp>
        <stp>STD</stp>
        <stp>Mixed</stp>
        <stp>CONSOL</stp>
        <stp>Yes</stp>
        <stp>CURRENCY</stp>
        <stp>USD</stp>
        <tr r="E21" s="4"/>
      </tp>
      <tp>
        <v>-195</v>
        <stp/>
        <stp>##V3_BQLV12</stp>
        <stp>[Fundamental &amp; Technical Model (1).xlsm]Cash Flow!R21C9</stp>
        <stp>SYK US Equity</stp>
        <stp>CF_CAP_EXPEND_PRPTY_ADD/10^6</stp>
        <stp>FPT</stp>
        <stp>A</stp>
        <stp>FPO</stp>
        <stp>-5A</stp>
        <stp>STD</stp>
        <stp>Mixed</stp>
        <stp>CONSOL</stp>
        <stp>Yes</stp>
        <stp>CURRENCY</stp>
        <stp>USD</stp>
        <tr r="I21" s="4"/>
      </tp>
      <tp>
        <v>-226</v>
        <stp/>
        <stp>##V3_BQLV12</stp>
        <stp>[Fundamental &amp; Technical Model (1).xlsm]Cash Flow!R21C7</stp>
        <stp>SYK US Equity</stp>
        <stp>CF_CAP_EXPEND_PRPTY_ADD/10^6</stp>
        <stp>FPT</stp>
        <stp>A</stp>
        <stp>FPO</stp>
        <stp>-7A</stp>
        <stp>STD</stp>
        <stp>Mixed</stp>
        <stp>CONSOL</stp>
        <stp>Yes</stp>
        <stp>CURRENCY</stp>
        <stp>USD</stp>
        <tr r="G21" s="4"/>
      </tp>
      <tp>
        <v>2.286</v>
        <stp/>
        <stp>##V3_BQLV12</stp>
        <stp>[Fundamental &amp; Technical Model (1).xlsm]Ratios!R34C6</stp>
        <stp>SYK US Equity</stp>
        <stp>INVENT_TURN</stp>
        <stp>FPT</stp>
        <stp>A</stp>
        <stp>FPO</stp>
        <stp>-8A</stp>
        <stp>STD</stp>
        <stp>Mixed</stp>
        <stp>CONSOL</stp>
        <stp>Yes</stp>
        <tr r="F34" s="8"/>
      </tp>
      <tp>
        <v>3319</v>
        <stp/>
        <stp>##V3_BQLV12</stp>
        <stp>[Fundamental &amp; Technical Model (1).xlsm]Income Statement!R20C10</stp>
        <stp>SYK US Equity</stp>
        <stp>IS_COGS_TO_FE_AND_PP_AND_G/10^6</stp>
        <stp>FPT</stp>
        <stp>A</stp>
        <stp>FPO</stp>
        <stp>-4A</stp>
        <stp>STD</stp>
        <stp>Mixed</stp>
        <stp>CONSOL</stp>
        <stp>Yes</stp>
        <stp>CURRENCY</stp>
        <stp>USD</stp>
        <tr r="J20" s="2"/>
      </tp>
      <tp>
        <v>0</v>
        <stp/>
        <stp>##V3_BQLV12</stp>
        <stp>[Fundamental &amp; Technical Model (1).xlsm]Income Statement!R53C4</stp>
        <stp>SYK US Equity</stp>
        <stp>IS_TOT_CASH_PFD_DVD/10^6</stp>
        <stp>FPT</stp>
        <stp>A</stp>
        <stp>FPO</stp>
        <stp>-10A</stp>
        <stp>STD</stp>
        <stp>Mixed</stp>
        <stp>CONSOL</stp>
        <stp>Yes</stp>
        <stp>CURRENCY</stp>
        <stp>USD</stp>
        <tr r="D53" s="2"/>
      </tp>
      <tp>
        <v>3.41</v>
        <stp/>
        <stp>##V3_BQLV12</stp>
        <stp>[Fundamental &amp; Technical Model (1).xlsm]Income Statement!R63C8</stp>
        <stp>SYK US Equity</stp>
        <stp>IS_EARN_BEF_XO_ITEMS_PER_SH</stp>
        <stp>FPT</stp>
        <stp>A</stp>
        <stp>FPO</stp>
        <stp>-6A</stp>
        <stp>STD</stp>
        <stp>Mixed</stp>
        <stp>CONSOL</stp>
        <stp>Yes</stp>
        <stp>CURRENCY</stp>
        <stp>USD</stp>
        <tr r="H63" s="2"/>
      </tp>
      <tp>
        <v>5.9767095805731385</v>
        <stp/>
        <stp>##V3_BQLV12</stp>
        <stp>[Fundamental &amp; Technical Model (1).xlsm]Key Stats!R57C5</stp>
        <stp>SYK US Equity</stp>
        <stp>PX_TO_BOOK_RATIO</stp>
        <stp>FPT=LTM</stp>
        <stp>FPO=0</stp>
        <stp>STD</stp>
        <stp>Mixed</stp>
        <stp>CONSOL</stp>
        <stp>Yes</stp>
        <stp>CURRENCY</stp>
        <stp>USD</stp>
        <tr r="E57" s="23"/>
      </tp>
      <tp>
        <v>2788</v>
        <stp/>
        <stp>##V3_BDPV12</stp>
        <stp>SYK US Equity</stp>
        <stp>BS_OTHER_ST_LIAB</stp>
        <stp>[Fundamental &amp; Technical Model (1).xlsm]Balance Sheet!R41C12</stp>
        <stp>EQY_FUND_RELATIVE_PERIOD</stp>
        <stp>-2A</stp>
        <stp>EQY_FUND_CRNCY</stp>
        <stp>USD</stp>
        <stp>EQY_CONSOLIDATED</stp>
        <stp>Yes</stp>
        <stp>ACCOUNTING_STANDARD_OVERRIDE</stp>
        <stp>Mixed</stp>
        <stp>Fill=0</stp>
        <tr r="L41" s="3"/>
      </tp>
      <tp>
        <v>2788</v>
        <stp/>
        <stp>##V3_BDPV12</stp>
        <stp>SYK US Equity</stp>
        <stp>BS_OTHER_ST_LIAB</stp>
        <stp>[Fundamental &amp; Technical Model (1).xlsm]Balance Sheet!R41C11</stp>
        <stp>EQY_FUND_RELATIVE_PERIOD</stp>
        <stp>-3A</stp>
        <stp>EQY_FUND_CRNCY</stp>
        <stp>USD</stp>
        <stp>EQY_CONSOLIDATED</stp>
        <stp>Yes</stp>
        <stp>ACCOUNTING_STANDARD_OVERRIDE</stp>
        <stp>Mixed</stp>
        <stp>Fill=0</stp>
        <tr r="K41" s="3"/>
      </tp>
      <tp>
        <v>2788</v>
        <stp/>
        <stp>##V3_BDPV12</stp>
        <stp>SYK US Equity</stp>
        <stp>BS_OTHER_ST_LIAB</stp>
        <stp>[Fundamental &amp; Technical Model (1).xlsm]Balance Sheet!R41C13</stp>
        <stp>EQY_FUND_RELATIVE_PERIOD</stp>
        <stp>-1A</stp>
        <stp>EQY_FUND_CRNCY</stp>
        <stp>USD</stp>
        <stp>EQY_CONSOLIDATED</stp>
        <stp>Yes</stp>
        <stp>ACCOUNTING_STANDARD_OVERRIDE</stp>
        <stp>Mixed</stp>
        <stp>Fill=0</stp>
        <tr r="M41" s="3"/>
      </tp>
      <tp>
        <v>2788</v>
        <stp/>
        <stp>##V3_BDPV12</stp>
        <stp>SYK US Equity</stp>
        <stp>BS_OTHER_ST_LIAB</stp>
        <stp>[Fundamental &amp; Technical Model (1).xlsm]Balance Sheet!R41C10</stp>
        <stp>EQY_FUND_RELATIVE_PERIOD</stp>
        <stp>-4A</stp>
        <stp>EQY_FUND_CRNCY</stp>
        <stp>USD</stp>
        <stp>EQY_CONSOLIDATED</stp>
        <stp>Yes</stp>
        <stp>ACCOUNTING_STANDARD_OVERRIDE</stp>
        <stp>Mixed</stp>
        <stp>Fill=0</stp>
        <tr r="J41" s="3"/>
      </tp>
      <tp>
        <v>2788</v>
        <stp/>
        <stp>##V3_BDPV12</stp>
        <stp>SYK US Equity</stp>
        <stp>BS_OTHER_ST_LIAB</stp>
        <stp>[Fundamental &amp; Technical Model (1).xlsm]Balance Sheet!R41C14</stp>
        <stp>EQY_FUND_RELATIVE_PERIOD</stp>
        <stp>-0A</stp>
        <stp>EQY_FUND_CRNCY</stp>
        <stp>USD</stp>
        <stp>EQY_CONSOLIDATED</stp>
        <stp>Yes</stp>
        <stp>ACCOUNTING_STANDARD_OVERRIDE</stp>
        <stp>Mixed</stp>
        <stp>Fill=0</stp>
        <tr r="N41" s="3"/>
      </tp>
      <tp>
        <v>6338</v>
        <stp/>
        <stp>##V3_BDPV12</stp>
        <stp>SYK US Equity</stp>
        <stp>BS_CONTRACTUAL_OBLIG_BEYOND_YR_5</stp>
        <stp>[Fundamental &amp; Technical Model (1).xlsm]Capital Structure Summary!R114C9</stp>
        <stp>EQY_FUND_RELATIVE_PERIOD</stp>
        <stp>-1FY</stp>
        <stp>EQY_FUND_CRNCY</stp>
        <stp>USD</stp>
        <stp>EQY_CONSOLIDATED</stp>
        <stp>Yes</stp>
        <stp>ACCOUNTING_STANDARD_OVERRIDE</stp>
        <stp>Mixed</stp>
        <stp>Fill=--</stp>
        <tr r="I114" s="21"/>
      </tp>
      <tp t="s">
        <v>2011 Y</v>
        <stp/>
        <stp>##V3_BDPV12</stp>
        <stp>SYK US Equity</stp>
        <stp>FISCAL_YEAR_PERIOD</stp>
        <stp>[Fundamental &amp; Technical Model (1).xlsm]Supplemental!R12C6</stp>
        <stp>EQY_FUND_RELATIVE_PERIOD</stp>
        <stp>-7FY</stp>
        <tr r="F12" s="19"/>
      </tp>
      <tp t="s">
        <v>2012 Y</v>
        <stp/>
        <stp>##V3_BDPV12</stp>
        <stp>SYK US Equity</stp>
        <stp>FISCAL_YEAR_PERIOD</stp>
        <stp>[Fundamental &amp; Technical Model (1).xlsm]Supplemental!R12C7</stp>
        <stp>EQY_FUND_RELATIVE_PERIOD</stp>
        <stp>-6FY</stp>
        <tr r="G12" s="19"/>
      </tp>
      <tp>
        <v>4286</v>
        <stp/>
        <stp>##V3_BDPV12</stp>
        <stp>SYK US Equity</stp>
        <stp>BS_CONTRACTUAL_OBLIG_BEYOND_YR_5</stp>
        <stp>[Fundamental &amp; Technical Model (1).xlsm]Capital Structure Summary!R114C7</stp>
        <stp>EQY_FUND_RELATIVE_PERIOD</stp>
        <stp>-2FY</stp>
        <stp>EQY_FUND_CRNCY</stp>
        <stp>USD</stp>
        <stp>EQY_CONSOLIDATED</stp>
        <stp>Yes</stp>
        <stp>ACCOUNTING_STANDARD_OVERRIDE</stp>
        <stp>Mixed</stp>
        <stp>Fill=--</stp>
        <tr r="G114" s="21"/>
      </tp>
      <tp t="s">
        <v>#N/A</v>
        <stp/>
        <stp>##V3_BQLV12</stp>
        <stp>[Fundamental &amp; Technical Model (1).xlsm]Income Statement!R17C4</stp>
        <stp>SYK US Equity</stp>
        <stp>IS_OTHER_REVENUE_GAAP/10^6</stp>
        <stp>FPT</stp>
        <stp>A</stp>
        <stp>FPO</stp>
        <stp>-10A</stp>
        <stp>STD</stp>
        <stp>Mixed</stp>
        <stp>CONSOL</stp>
        <stp>Yes</stp>
        <stp>CURRENCY</stp>
        <stp>USD</stp>
        <tr r="D17" s="2"/>
      </tp>
      <tp>
        <v>1992</v>
        <stp/>
        <stp>##V3_BDPV12</stp>
        <stp>SYK US Equity</stp>
        <stp>BS_CONTRACTUAL_OBLIG_BEYOND_YR_5</stp>
        <stp>[Fundamental &amp; Technical Model (1).xlsm]Capital Structure Summary!R114C3</stp>
        <stp>EQY_FUND_RELATIVE_PERIOD</stp>
        <stp>-4FY</stp>
        <stp>EQY_FUND_CRNCY</stp>
        <stp>USD</stp>
        <stp>EQY_CONSOLIDATED</stp>
        <stp>Yes</stp>
        <stp>ACCOUNTING_STANDARD_OVERRIDE</stp>
        <stp>Mixed</stp>
        <stp>Fill=--</stp>
        <tr r="C114" s="21"/>
      </tp>
      <tp>
        <v>2276</v>
        <stp/>
        <stp>##V3_BDPV12</stp>
        <stp>SYK US Equity</stp>
        <stp>BS_CONTRACTUAL_OBLIG_BEYOND_YR_5</stp>
        <stp>[Fundamental &amp; Technical Model (1).xlsm]Capital Structure Summary!R114C5</stp>
        <stp>EQY_FUND_RELATIVE_PERIOD</stp>
        <stp>-3FY</stp>
        <stp>EQY_FUND_CRNCY</stp>
        <stp>USD</stp>
        <stp>EQY_CONSOLIDATED</stp>
        <stp>Yes</stp>
        <stp>ACCOUNTING_STANDARD_OVERRIDE</stp>
        <stp>Mixed</stp>
        <stp>Fill=--</stp>
        <tr r="E114" s="21"/>
      </tp>
      <tp t="e">
        <v>#N/A</v>
        <stp/>
        <stp>##V3_BDHV12</stp>
        <stp>SYK US Equity</stp>
        <stp>EV_TO_T12M_EBIT</stp>
        <stp>-2FY</stp>
        <stp>-2FY</stp>
        <stp>[Fundamental &amp; Technical Model (1).xlsm]Multiples!R27C11</stp>
        <stp>EQY_CONSOLIDATED</stp>
        <stp>Yes</stp>
        <stp>ACCOUNTING_STANDARD_OVERRIDE</stp>
        <stp>Mixed</stp>
        <stp>Per</stp>
        <stp>FY</stp>
        <stp>Days=A</stp>
        <tr r="K27" s="16"/>
        <tr r="K27" s="16"/>
      </tp>
      <tp t="e">
        <v>#N/A</v>
        <stp/>
        <stp>##V3_BDHV12</stp>
        <stp>SYK US Equity</stp>
        <stp>EV_TO_T12M_EBIT</stp>
        <stp>-3FY</stp>
        <stp>-3FY</stp>
        <stp>[Fundamental &amp; Technical Model (1).xlsm]Multiples!R27C10</stp>
        <stp>EQY_CONSOLIDATED</stp>
        <stp>Yes</stp>
        <stp>ACCOUNTING_STANDARD_OVERRIDE</stp>
        <stp>Mixed</stp>
        <stp>Per</stp>
        <stp>FY</stp>
        <stp>Days=A</stp>
        <tr r="J27" s="16"/>
        <tr r="J27" s="16"/>
      </tp>
      <tp t="e">
        <v>#N/A</v>
        <stp/>
        <stp>##V3_BDHV12</stp>
        <stp>SYK US Equity</stp>
        <stp>EV_TO_T12M_EBIT</stp>
        <stp>-0FY</stp>
        <stp>-0FY</stp>
        <stp>[Fundamental &amp; Technical Model (1).xlsm]Multiples!R27C13</stp>
        <stp>EQY_CONSOLIDATED</stp>
        <stp>Yes</stp>
        <stp>ACCOUNTING_STANDARD_OVERRIDE</stp>
        <stp>Mixed</stp>
        <stp>Per</stp>
        <stp>FY</stp>
        <stp>Days=A</stp>
        <tr r="M27" s="16"/>
        <tr r="M27" s="16"/>
      </tp>
      <tp t="e">
        <v>#N/A</v>
        <stp/>
        <stp>##V3_BDHV12</stp>
        <stp>SYK US Equity</stp>
        <stp>EV_TO_T12M_EBIT</stp>
        <stp>-1FY</stp>
        <stp>-1FY</stp>
        <stp>[Fundamental &amp; Technical Model (1).xlsm]Multiples!R27C12</stp>
        <stp>EQY_CONSOLIDATED</stp>
        <stp>Yes</stp>
        <stp>ACCOUNTING_STANDARD_OVERRIDE</stp>
        <stp>Mixed</stp>
        <stp>Per</stp>
        <stp>FY</stp>
        <stp>Days=A</stp>
        <tr r="L27" s="16"/>
        <tr r="L27" s="16"/>
      </tp>
      <tp>
        <v>413.6</v>
        <stp/>
        <stp>##V3_BQLV12</stp>
        <stp>[Fundamental &amp; Technical Model (1).xlsm]Income Statement!R68C4</stp>
        <stp>SYK US Equity</stp>
        <stp>IS_SH_FOR_DILUTED_EPS/10^6</stp>
        <stp>FPT</stp>
        <stp>A</stp>
        <stp>FPO</stp>
        <stp>-10A</stp>
        <stp>STD</stp>
        <stp>Mixed</stp>
        <stp>CONSOL</stp>
        <stp>Yes</stp>
        <stp>CURRENCY</stp>
        <stp>USD</stp>
        <tr r="D68" s="2"/>
      </tp>
      <tp>
        <v>521.35500000000002</v>
        <stp/>
        <stp>##V3_BDPV12</stp>
        <stp>ISRG Equity</stp>
        <stp>px_last</stp>
        <stp>[Fundamental &amp; Technical Model (1).xlsm]Public Comparables!R10C5</stp>
        <tr r="E10" s="24"/>
      </tp>
      <tp t="s">
        <v>#N/A N/A</v>
        <stp/>
        <stp>##V3_BDSV12</stp>
        <stp>SYK US Equity</stp>
        <stp>PG_GROSS_PROFIT</stp>
        <stp>[Fundamental &amp; Technical Model (1).xlsm]Segments!R63C14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4</stp>
        <stp>EndRow</stp>
        <stp>4</stp>
        <tr r="N63" s="17"/>
      </tp>
      <tp t="s">
        <v>#N/A N/A</v>
        <stp/>
        <stp>##V3_BDSV12</stp>
        <stp>SYK US Equity</stp>
        <stp>PG_GROSS_PROFIT</stp>
        <stp>[Fundamental &amp; Technical Model (1).xlsm]Segments!R63C10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4</stp>
        <stp>EndRow</stp>
        <stp>4</stp>
        <tr r="J63" s="17"/>
      </tp>
      <tp>
        <v>0.68294414641842849</v>
        <stp/>
        <stp>##V3_BQLV12</stp>
        <stp>[Fundamental &amp; Technical Model (1).xlsm]Ratios!R31C8</stp>
        <stp>SYK US Equity</stp>
        <stp>ASSET_TURNOVER</stp>
        <stp>FPT</stp>
        <stp>A</stp>
        <stp>FPO</stp>
        <stp>-6A</stp>
        <stp>STD</stp>
        <stp>Mixed</stp>
        <stp>CONSOL</stp>
        <stp>Yes</stp>
        <tr r="H31" s="8"/>
      </tp>
      <tp t="s">
        <v>#N/A N/A</v>
        <stp/>
        <stp>##V3_BDSV12</stp>
        <stp>SYK US Equity</stp>
        <stp>PG_GROSS_PROFIT</stp>
        <stp>[Fundamental &amp; Technical Model (1).xlsm]Segments!R63C11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4</stp>
        <stp>EndRow</stp>
        <stp>4</stp>
        <tr r="K63" s="17"/>
      </tp>
      <tp t="s">
        <v>#N/A N/A</v>
        <stp/>
        <stp>##V3_BDSV12</stp>
        <stp>SYK US Equity</stp>
        <stp>PG_GROSS_PROFIT</stp>
        <stp>[Fundamental &amp; Technical Model (1).xlsm]Segments!R63C12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4</stp>
        <stp>EndRow</stp>
        <stp>4</stp>
        <tr r="L63" s="17"/>
      </tp>
      <tp t="s">
        <v>#N/A N/A</v>
        <stp/>
        <stp>##V3_BDSV12</stp>
        <stp>SYK US Equity</stp>
        <stp>PG_GROSS_PROFIT</stp>
        <stp>[Fundamental &amp; Technical Model (1).xlsm]Segments!R63C13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4</stp>
        <stp>EndRow</stp>
        <stp>4</stp>
        <tr r="M63" s="17"/>
      </tp>
      <tp t="e">
        <v>#N/A</v>
        <stp/>
        <stp>##V3_BDHV12</stp>
        <stp>SYK US Equity</stp>
        <stp>LOW_EV_TO_T12M_SALES</stp>
        <stp>-10FY</stp>
        <stp>-10FY</stp>
        <stp>[Fundamental &amp; Technical Model (1).xlsm]Multiples!R18C3</stp>
        <stp>EQY_CONSOLIDATED</stp>
        <stp>Yes</stp>
        <stp>ACCOUNTING_STANDARD_OVERRIDE</stp>
        <stp>Mixed</stp>
        <stp>Per</stp>
        <stp>FY</stp>
        <stp>Days=A</stp>
        <tr r="C18" s="16"/>
        <tr r="C18" s="16"/>
      </tp>
      <tp>
        <v>150.1589096368584</v>
        <stp/>
        <stp>##V3_BQLV12</stp>
        <stp>[Fundamental &amp; Technical Model (1).xlsm]Ratios!R41C4</stp>
        <stp>SYK US Equity</stp>
        <stp>INVENT_DAYS</stp>
        <stp>FPT</stp>
        <stp>A</stp>
        <stp>FPO</stp>
        <stp>-10A</stp>
        <stp>STD</stp>
        <stp>Mixed</stp>
        <stp>CONSOL</stp>
        <stp>Yes</stp>
        <tr r="D41" s="8"/>
      </tp>
      <tp t="s">
        <v>#N/A N/A</v>
        <stp/>
        <stp>##V3_BDSV12</stp>
        <stp>SYK US Equity</stp>
        <stp>PG_OPERATING_INCOME</stp>
        <stp>[Fundamental &amp; Technical Model (1).xlsm]Segments!R94C4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6</stp>
        <stp>EndRow</stp>
        <stp>6</stp>
        <tr r="D94" s="17"/>
      </tp>
      <tp t="s">
        <v>#N/A N/A</v>
        <stp/>
        <stp>##V3_BDSV12</stp>
        <stp>SYK US Equity</stp>
        <stp>PG_OPERATING_INCOME</stp>
        <stp>[Fundamental &amp; Technical Model (1).xlsm]Segments!R80C4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6</stp>
        <stp>EndRow</stp>
        <stp>6</stp>
        <tr r="D80" s="17"/>
      </tp>
      <tp t="s">
        <v>#N/A N/A</v>
        <stp/>
        <stp>##V3_BDSV12</stp>
        <stp>SYK US Equity</stp>
        <stp>PG_OPERATING_INCOME</stp>
        <stp>[Fundamental &amp; Technical Model (1).xlsm]Segments!R95C4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7</stp>
        <stp>EndRow</stp>
        <stp>7</stp>
        <tr r="D95" s="17"/>
      </tp>
      <tp t="s">
        <v>#N/A N/A</v>
        <stp/>
        <stp>##V3_BDSV12</stp>
        <stp>SYK US Equity</stp>
        <stp>PG_OPERATING_INCOME</stp>
        <stp>[Fundamental &amp; Technical Model (1).xlsm]Segments!R81C4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7</stp>
        <stp>EndRow</stp>
        <stp>7</stp>
        <tr r="D81" s="17"/>
      </tp>
      <tp t="s">
        <v>#N/A N/A</v>
        <stp/>
        <stp>##V3_BDSV12</stp>
        <stp>SYK US Equity</stp>
        <stp>PG_OPERATING_INCOME</stp>
        <stp>[Fundamental &amp; Technical Model (1).xlsm]Segments!R92C4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4</stp>
        <stp>EndRow</stp>
        <stp>4</stp>
        <tr r="D92" s="17"/>
      </tp>
      <tp t="s">
        <v>#N/A N/A</v>
        <stp/>
        <stp>##V3_BDSV12</stp>
        <stp>SYK US Equity</stp>
        <stp>PG_OPERATING_INCOME</stp>
        <stp>[Fundamental &amp; Technical Model (1).xlsm]Segments!R78C4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4</stp>
        <stp>EndRow</stp>
        <stp>4</stp>
        <tr r="D78" s="17"/>
      </tp>
      <tp>
        <v>11.934210526315789</v>
        <stp/>
        <stp>##V3_BQLV12</stp>
        <stp>[Fundamental &amp; Technical Model (1).xlsm]Ratios!R53C12</stp>
        <stp>SYK US Equity</stp>
        <stp>EBITDA_TO_TOT_INT_EXP</stp>
        <stp>FPT</stp>
        <stp>A</stp>
        <stp>FPO</stp>
        <stp>-2A</stp>
        <stp>STD</stp>
        <stp>Mixed</stp>
        <stp>CONSOL</stp>
        <stp>Yes</stp>
        <tr r="L53" s="8"/>
      </tp>
      <tp t="s">
        <v>#N/A N/A</v>
        <stp/>
        <stp>##V3_BDSV12</stp>
        <stp>SYK US Equity</stp>
        <stp>PG_OPERATING_INCOME</stp>
        <stp>[Fundamental &amp; Technical Model (1).xlsm]Segments!R93C4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5</stp>
        <stp>EndRow</stp>
        <stp>5</stp>
        <tr r="D93" s="17"/>
      </tp>
      <tp t="s">
        <v>#N/A N/A</v>
        <stp/>
        <stp>##V3_BDSV12</stp>
        <stp>SYK US Equity</stp>
        <stp>PG_OPERATING_INCOME</stp>
        <stp>[Fundamental &amp; Technical Model (1).xlsm]Segments!R79C4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5</stp>
        <stp>EndRow</stp>
        <stp>5</stp>
        <tr r="D79" s="17"/>
      </tp>
      <tp t="s">
        <v>#N/A N/A</v>
        <stp/>
        <stp>##V3_BDSV12</stp>
        <stp>SYK US Equity</stp>
        <stp>PG_OPERATING_INCOME</stp>
        <stp>[Fundamental &amp; Technical Model (1).xlsm]Segments!R90C4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2</stp>
        <stp>EndRow</stp>
        <stp>2</stp>
        <tr r="D90" s="17"/>
      </tp>
      <tp t="s">
        <v>#N/A N/A</v>
        <stp/>
        <stp>##V3_BDSV12</stp>
        <stp>SYK US Equity</stp>
        <stp>PG_OPERATING_INCOME</stp>
        <stp>[Fundamental &amp; Technical Model (1).xlsm]Segments!R76C4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2</stp>
        <stp>EndRow</stp>
        <stp>2</stp>
        <tr r="D76" s="17"/>
      </tp>
      <tp t="s">
        <v>#N/A N/A</v>
        <stp/>
        <stp>##V3_BDSV12</stp>
        <stp>SYK US Equity</stp>
        <stp>PG_OPERATING_INCOME</stp>
        <stp>[Fundamental &amp; Technical Model (1).xlsm]Segments!R91C4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3</stp>
        <stp>EndRow</stp>
        <stp>3</stp>
        <tr r="D91" s="17"/>
      </tp>
      <tp t="s">
        <v>#N/A N/A</v>
        <stp/>
        <stp>##V3_BDSV12</stp>
        <stp>SYK US Equity</stp>
        <stp>PG_OPERATING_INCOME</stp>
        <stp>[Fundamental &amp; Technical Model (1).xlsm]Segments!R77C4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3</stp>
        <stp>EndRow</stp>
        <stp>3</stp>
        <tr r="D77" s="17"/>
      </tp>
      <tp t="s">
        <v>#N/A N/A</v>
        <stp/>
        <stp>##V3_BDSV12</stp>
        <stp>SYK US Equity</stp>
        <stp>PG_OPERATING_INCOME</stp>
        <stp>[Fundamental &amp; Technical Model (1).xlsm]Segments!R89C4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stp>
        <stp>EndRow</stp>
        <stp>1</stp>
        <tr r="D89" s="17"/>
      </tp>
      <tp t="s">
        <v>#N/A N/A</v>
        <stp/>
        <stp>##V3_BDSV12</stp>
        <stp>SYK US Equity</stp>
        <stp>PG_OPERATING_INCOME</stp>
        <stp>[Fundamental &amp; Technical Model (1).xlsm]Segments!R75C4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stp>
        <stp>EndRow</stp>
        <stp>1</stp>
        <tr r="D75" s="17"/>
      </tp>
      <tp t="s">
        <v>#N/A N/A</v>
        <stp/>
        <stp>##V3_BDSV12</stp>
        <stp>SYK US Equity</stp>
        <stp>PG_OPERATING_INCOME</stp>
        <stp>[Fundamental &amp; Technical Model (1).xlsm]Segments!R96C4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8</stp>
        <stp>EndRow</stp>
        <stp>8</stp>
        <tr r="D96" s="17"/>
      </tp>
      <tp t="s">
        <v>#N/A N/A</v>
        <stp/>
        <stp>##V3_BDSV12</stp>
        <stp>SYK US Equity</stp>
        <stp>PG_OPERATING_INCOME</stp>
        <stp>[Fundamental &amp; Technical Model (1).xlsm]Segments!R82C4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8</stp>
        <stp>EndRow</stp>
        <stp>8</stp>
        <tr r="D82" s="17"/>
      </tp>
      <tp t="s">
        <v>#N/A N/A</v>
        <stp/>
        <stp>##V3_BDSV12</stp>
        <stp>SYK US Equity</stp>
        <stp>PG_OPERATING_INCOME</stp>
        <stp>[Fundamental &amp; Technical Model (1).xlsm]Segments!R97C4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9</stp>
        <stp>EndRow</stp>
        <stp>9</stp>
        <tr r="D97" s="17"/>
      </tp>
      <tp t="s">
        <v>#N/A N/A</v>
        <stp/>
        <stp>##V3_BDSV12</stp>
        <stp>SYK US Equity</stp>
        <stp>PG_OPERATING_INCOME</stp>
        <stp>[Fundamental &amp; Technical Model (1).xlsm]Segments!R83C4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9</stp>
        <stp>EndRow</stp>
        <stp>9</stp>
        <tr r="D83" s="17"/>
      </tp>
      <tp>
        <v>39813</v>
        <stp/>
        <stp>##V3_BQLV12</stp>
        <stp>[Fundamental &amp; Technical Model (1).xlsm]Ratios!R14C4</stp>
        <stp>SYK US Equity</stp>
        <stp>IS_EPS().PERIOD_END_DATE</stp>
        <stp>FPT</stp>
        <stp>A</stp>
        <stp>FPO</stp>
        <stp>-10A</stp>
        <stp>STD</stp>
        <stp>Mixed</stp>
        <stp>CONSOL</stp>
        <stp>Yes</stp>
        <tr r="D14" s="8"/>
      </tp>
      <tp>
        <v>4264</v>
        <stp/>
        <stp>##V3_BQLV12</stp>
        <stp>[Fundamental &amp; Technical Model (1).xlsm]Income Statement!R20C13</stp>
        <stp>SYK US Equity</stp>
        <stp>IS_COGS_TO_FE_AND_PP_AND_G/10^6</stp>
        <stp>FPT</stp>
        <stp>A</stp>
        <stp>FPO</stp>
        <stp>-1A</stp>
        <stp>STD</stp>
        <stp>Mixed</stp>
        <stp>CONSOL</stp>
        <stp>Yes</stp>
        <stp>CURRENCY</stp>
        <stp>USD</stp>
        <tr r="M20" s="2"/>
      </tp>
      <tp>
        <v>0.27218702272761641</v>
        <stp/>
        <stp>##V3_BQLV12</stp>
        <stp>[Fundamental &amp; Technical Model (1).xlsm]Ratios!R47C5</stp>
        <stp>SYK US Equity</stp>
        <stp>TOT_DEBT_TO_TOT_CAP</stp>
        <stp>FPT</stp>
        <stp>A</stp>
        <stp>FPO</stp>
        <stp>-9A</stp>
        <stp>STD</stp>
        <stp>Mixed</stp>
        <stp>CONSOL</stp>
        <stp>Yes</stp>
        <tr r="E47" s="8"/>
      </tp>
      <tp>
        <v>0.27292990250337373</v>
        <stp/>
        <stp>##V3_BQLV12</stp>
        <stp>[Fundamental &amp; Technical Model (1).xlsm]Ratios!R46C5</stp>
        <stp>SYK US Equity</stp>
        <stp>TOT_DEBT_TO_TOT_EQY</stp>
        <stp>FPT</stp>
        <stp>A</stp>
        <stp>FPO</stp>
        <stp>-9A</stp>
        <stp>STD</stp>
        <stp>Mixed</stp>
        <stp>CONSOL</stp>
        <stp>Yes</stp>
        <tr r="E46" s="8"/>
      </tp>
      <tp>
        <v>5.9771890916583539</v>
        <stp/>
        <stp>##V3_BQLV12</stp>
        <stp>[Fundamental &amp; Technical Model (1).xlsm]Key Stats!R63C4</stp>
        <stp>SYK US Equity</stp>
        <stp>PX_TO_BOOK_RATIO</stp>
        <stp>FPT=LTM</stp>
        <stp>FPO=0</stp>
        <stp>STD</stp>
        <stp>Mixed</stp>
        <stp>CONSOL</stp>
        <stp>Yes</stp>
        <stp>CURRENCY</stp>
        <stp>USD</stp>
        <tr r="D63" s="23"/>
      </tp>
      <tp t="s">
        <v>2017 Y</v>
        <stp/>
        <stp>##V3_BDPV12</stp>
        <stp>SYK US Equity</stp>
        <stp>FISCAL_YEAR_PERIOD</stp>
        <stp>[Fundamental &amp; Technical Model (1).xlsm]Capital Structure Summary!R12C9</stp>
        <stp>EQY_FUND_RELATIVE_PERIOD</stp>
        <stp>-1FY</stp>
        <tr r="I12" s="21"/>
      </tp>
      <tp t="s">
        <v>2017 Y</v>
        <stp/>
        <stp>##V3_BDPV12</stp>
        <stp>SYK US Equity</stp>
        <stp>FISCAL_YEAR_PERIOD</stp>
        <stp>[Fundamental &amp; Technical Model (1).xlsm]Capital Structure Summary!R26C9</stp>
        <stp>EQY_FUND_RELATIVE_PERIOD</stp>
        <stp>-1FY</stp>
        <tr r="I26" s="21"/>
      </tp>
      <tp t="s">
        <v>2017 Y</v>
        <stp/>
        <stp>##V3_BDPV12</stp>
        <stp>SYK US Equity</stp>
        <stp>FISCAL_YEAR_PERIOD</stp>
        <stp>[Fundamental &amp; Technical Model (1).xlsm]Capital Structure Summary!R36C9</stp>
        <stp>EQY_FUND_RELATIVE_PERIOD</stp>
        <stp>-1FY</stp>
        <tr r="I36" s="21"/>
      </tp>
      <tp>
        <v>1553.9</v>
        <stp/>
        <stp>##V3_BQLV12</stp>
        <stp>[Fundamental &amp; Technical Model (1).xlsm]Income Statement!R26C4</stp>
        <stp>SYK US Equity</stp>
        <stp>IS_OPER_INC/10^6</stp>
        <stp>FPT</stp>
        <stp>A</stp>
        <stp>FPO</stp>
        <stp>-10A</stp>
        <stp>STD</stp>
        <stp>Mixed</stp>
        <stp>CONSOL</stp>
        <stp>Yes</stp>
        <stp>CURRENCY</stp>
        <stp>USD</stp>
        <tr r="D26" s="2"/>
      </tp>
      <tp t="e">
        <v>#N/A</v>
        <stp/>
        <stp>##V3_BDHV12</stp>
        <stp>SYK US Equity</stp>
        <stp>HIGH_CLOSING_PRICE_TO_BOOK_RATIO</stp>
        <stp>-10FY</stp>
        <stp>-10FY</stp>
        <stp>[Fundamental &amp; Technical Model (1).xlsm]Multiples!R41C3</stp>
        <stp>EQY_CONSOLIDATED</stp>
        <stp>Yes</stp>
        <stp>ACCOUNTING_STANDARD_OVERRIDE</stp>
        <stp>Mixed</stp>
        <stp>Per</stp>
        <stp>FY</stp>
        <stp>Days=A</stp>
        <tr r="C41" s="16"/>
        <tr r="C41" s="16"/>
      </tp>
      <tp t="s">
        <v>#N/A N/A</v>
        <stp/>
        <stp>##V3_BDSV12</stp>
        <stp>SYK US Equity</stp>
        <stp>PG_GROSS_PROFIT</stp>
        <stp>[Fundamental &amp; Technical Model (1).xlsm]Segments!R62C13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3</stp>
        <stp>EndRow</stp>
        <stp>3</stp>
        <tr r="M62" s="17"/>
      </tp>
      <tp t="s">
        <v>#N/A N/A</v>
        <stp/>
        <stp>##V3_BDSV12</stp>
        <stp>SYK US Equity</stp>
        <stp>PG_GROSS_PROFIT</stp>
        <stp>[Fundamental &amp; Technical Model (1).xlsm]Segments!R62C12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3</stp>
        <stp>EndRow</stp>
        <stp>3</stp>
        <tr r="L62" s="17"/>
      </tp>
      <tp t="s">
        <v>#N/A N/A</v>
        <stp/>
        <stp>##V3_BDSV12</stp>
        <stp>SYK US Equity</stp>
        <stp>PG_GROSS_PROFIT</stp>
        <stp>[Fundamental &amp; Technical Model (1).xlsm]Segments!R62C11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3</stp>
        <stp>EndRow</stp>
        <stp>3</stp>
        <tr r="K62" s="17"/>
      </tp>
      <tp t="s">
        <v>#N/A N/A</v>
        <stp/>
        <stp>##V3_BDSV12</stp>
        <stp>SYK US Equity</stp>
        <stp>PG_GROSS_PROFIT</stp>
        <stp>[Fundamental &amp; Technical Model (1).xlsm]Segments!R62C10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3</stp>
        <stp>EndRow</stp>
        <stp>3</stp>
        <tr r="J62" s="17"/>
      </tp>
      <tp>
        <v>1167.3</v>
        <stp/>
        <stp>##V3_BQLV12</stp>
        <stp>[Fundamental &amp; Technical Model (1).xlsm]Balance Sheet!R41C4</stp>
        <stp>SYK US Equity</stp>
        <stp>BS_OTHER_ST_LIAB/10^6</stp>
        <stp>FPT</stp>
        <stp>A</stp>
        <stp>FPO</stp>
        <stp>-10A</stp>
        <stp>STD</stp>
        <stp>Mixed</stp>
        <stp>CONSOL</stp>
        <stp>Yes</stp>
        <stp>CURRENCY</stp>
        <stp>USD</stp>
        <tr r="D41" s="3"/>
      </tp>
      <tp>
        <v>0.7210624538865501</v>
        <stp/>
        <stp>##V3_BQLV12</stp>
        <stp>[Fundamental &amp; Technical Model (1).xlsm]Ratios!R31C7</stp>
        <stp>SYK US Equity</stp>
        <stp>ASSET_TURNOVER</stp>
        <stp>FPT</stp>
        <stp>A</stp>
        <stp>FPO</stp>
        <stp>-7A</stp>
        <stp>STD</stp>
        <stp>Mixed</stp>
        <stp>CONSOL</stp>
        <stp>Yes</stp>
        <tr r="G31" s="8"/>
      </tp>
      <tp>
        <v>1995</v>
        <stp/>
        <stp>##V3_BDPV12</stp>
        <stp>SYK US Equity</stp>
        <stp>BS_CONTRACTUAL_OBLIG_YEAR_1</stp>
        <stp>[Fundamental &amp; Technical Model (1).xlsm]Capital Structure Summary!R110C9</stp>
        <stp>EQY_FUND_RELATIVE_PERIOD</stp>
        <stp>-1FY</stp>
        <stp>EQY_FUND_CRNCY</stp>
        <stp>USD</stp>
        <stp>EQY_CONSOLIDATED</stp>
        <stp>Yes</stp>
        <stp>ACCOUNTING_STANDARD_OVERRIDE</stp>
        <stp>Mixed</stp>
        <stp>Fill=--</stp>
        <tr r="I110" s="21"/>
      </tp>
      <tp t="s">
        <v>#N/A N/A</v>
        <stp/>
        <stp>##V3_BDSV12</stp>
        <stp>SYK US Equity</stp>
        <stp>PG_GROSS_PROFIT</stp>
        <stp>[Fundamental &amp; Technical Model (1).xlsm]Segments!R62C14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3</stp>
        <stp>EndRow</stp>
        <stp>3</stp>
        <tr r="N62" s="17"/>
      </tp>
      <tp>
        <v>1047</v>
        <stp/>
        <stp>##V3_BDPV12</stp>
        <stp>SYK US Equity</stp>
        <stp>BS_CONTRACTUAL_OBLIG_YEAR_1</stp>
        <stp>[Fundamental &amp; Technical Model (1).xlsm]Capital Structure Summary!R110C7</stp>
        <stp>EQY_FUND_RELATIVE_PERIOD</stp>
        <stp>-2FY</stp>
        <stp>EQY_FUND_CRNCY</stp>
        <stp>USD</stp>
        <stp>EQY_CONSOLIDATED</stp>
        <stp>Yes</stp>
        <stp>ACCOUNTING_STANDARD_OVERRIDE</stp>
        <stp>Mixed</stp>
        <stp>Fill=--</stp>
        <tr r="G110" s="21"/>
      </tp>
      <tp>
        <v>1658</v>
        <stp/>
        <stp>##V3_BDPV12</stp>
        <stp>SYK US Equity</stp>
        <stp>BS_CONTRACTUAL_OBLIG_YEAR_1</stp>
        <stp>[Fundamental &amp; Technical Model (1).xlsm]Capital Structure Summary!R110C5</stp>
        <stp>EQY_FUND_RELATIVE_PERIOD</stp>
        <stp>-3FY</stp>
        <stp>EQY_FUND_CRNCY</stp>
        <stp>USD</stp>
        <stp>EQY_CONSOLIDATED</stp>
        <stp>Yes</stp>
        <stp>ACCOUNTING_STANDARD_OVERRIDE</stp>
        <stp>Mixed</stp>
        <stp>Fill=--</stp>
        <tr r="E110" s="21"/>
      </tp>
      <tp>
        <v>1516</v>
        <stp/>
        <stp>##V3_BDPV12</stp>
        <stp>SYK US Equity</stp>
        <stp>BS_CONTRACTUAL_OBLIG_YEAR_1</stp>
        <stp>[Fundamental &amp; Technical Model (1).xlsm]Capital Structure Summary!R110C3</stp>
        <stp>EQY_FUND_RELATIVE_PERIOD</stp>
        <stp>-4FY</stp>
        <stp>EQY_FUND_CRNCY</stp>
        <stp>USD</stp>
        <stp>EQY_CONSOLIDATED</stp>
        <stp>Yes</stp>
        <stp>ACCOUNTING_STANDARD_OVERRIDE</stp>
        <stp>Mixed</stp>
        <stp>Fill=--</stp>
        <tr r="C110" s="21"/>
      </tp>
      <tp t="s">
        <v>#N/A N/A</v>
        <stp/>
        <stp>##V3_BDSV12</stp>
        <stp>SYK US Equity</stp>
        <stp>PG_OPERATING_INCOME</stp>
        <stp>[Fundamental &amp; Technical Model (1).xlsm]Segments!R95C5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7</stp>
        <stp>EndRow</stp>
        <stp>7</stp>
        <tr r="E95" s="17"/>
      </tp>
      <tp t="s">
        <v>#N/A N/A</v>
        <stp/>
        <stp>##V3_BDSV12</stp>
        <stp>SYK US Equity</stp>
        <stp>PG_OPERATING_INCOME</stp>
        <stp>[Fundamental &amp; Technical Model (1).xlsm]Segments!R81C5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7</stp>
        <stp>EndRow</stp>
        <stp>7</stp>
        <tr r="E81" s="17"/>
      </tp>
      <tp t="s">
        <v>#N/A N/A</v>
        <stp/>
        <stp>##V3_BDSV12</stp>
        <stp>SYK US Equity</stp>
        <stp>PG_OPERATING_INCOME</stp>
        <stp>[Fundamental &amp; Technical Model (1).xlsm]Segments!R94C5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6</stp>
        <stp>EndRow</stp>
        <stp>6</stp>
        <tr r="E94" s="17"/>
      </tp>
      <tp t="s">
        <v>#N/A N/A</v>
        <stp/>
        <stp>##V3_BDSV12</stp>
        <stp>SYK US Equity</stp>
        <stp>PG_OPERATING_INCOME</stp>
        <stp>[Fundamental &amp; Technical Model (1).xlsm]Segments!R80C5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6</stp>
        <stp>EndRow</stp>
        <stp>6</stp>
        <tr r="E80" s="17"/>
      </tp>
      <tp t="s">
        <v>#N/A N/A</v>
        <stp/>
        <stp>##V3_BDSV12</stp>
        <stp>SYK US Equity</stp>
        <stp>PG_OPERATING_INCOME</stp>
        <stp>[Fundamental &amp; Technical Model (1).xlsm]Segments!R93C5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5</stp>
        <stp>EndRow</stp>
        <stp>5</stp>
        <tr r="E93" s="17"/>
      </tp>
      <tp t="s">
        <v>#N/A N/A</v>
        <stp/>
        <stp>##V3_BDSV12</stp>
        <stp>SYK US Equity</stp>
        <stp>PG_OPERATING_INCOME</stp>
        <stp>[Fundamental &amp; Technical Model (1).xlsm]Segments!R79C5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5</stp>
        <stp>EndRow</stp>
        <stp>5</stp>
        <tr r="E79" s="17"/>
      </tp>
      <tp t="s">
        <v>#N/A N/A</v>
        <stp/>
        <stp>##V3_BDSV12</stp>
        <stp>SYK US Equity</stp>
        <stp>PG_CAPITAL_EXPENDITURES</stp>
        <stp>[Fundamental &amp; Technical Model (1).xlsm]Segments!R183C9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183" s="17"/>
      </tp>
      <tp>
        <v>20.907407407407408</v>
        <stp/>
        <stp>##V3_BQLV12</stp>
        <stp>[Fundamental &amp; Technical Model (1).xlsm]Ratios!R53C11</stp>
        <stp>SYK US Equity</stp>
        <stp>EBITDA_TO_TOT_INT_EXP</stp>
        <stp>FPT</stp>
        <stp>A</stp>
        <stp>FPO</stp>
        <stp>-3A</stp>
        <stp>STD</stp>
        <stp>Mixed</stp>
        <stp>CONSOL</stp>
        <stp>Yes</stp>
        <tr r="K53" s="8"/>
      </tp>
      <tp t="s">
        <v>#N/A N/A</v>
        <stp/>
        <stp>##V3_BDSV12</stp>
        <stp>SYK US Equity</stp>
        <stp>PG_OPERATING_INCOME</stp>
        <stp>[Fundamental &amp; Technical Model (1).xlsm]Segments!R92C5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4</stp>
        <stp>EndRow</stp>
        <stp>4</stp>
        <tr r="E92" s="17"/>
      </tp>
      <tp t="s">
        <v>#N/A N/A</v>
        <stp/>
        <stp>##V3_BDSV12</stp>
        <stp>SYK US Equity</stp>
        <stp>PG_OPERATING_INCOME</stp>
        <stp>[Fundamental &amp; Technical Model (1).xlsm]Segments!R78C5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4</stp>
        <stp>EndRow</stp>
        <stp>4</stp>
        <tr r="E78" s="17"/>
      </tp>
      <tp t="s">
        <v>#N/A N/A</v>
        <stp/>
        <stp>##V3_BDSV12</stp>
        <stp>SYK US Equity</stp>
        <stp>PG_CAPITAL_EXPENDITURES</stp>
        <stp>[Fundamental &amp; Technical Model (1).xlsm]Segments!R183C8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183" s="17"/>
      </tp>
      <tp t="s">
        <v>#N/A N/A</v>
        <stp/>
        <stp>##V3_BDSV12</stp>
        <stp>SYK US Equity</stp>
        <stp>PG_OPERATING_INCOME</stp>
        <stp>[Fundamental &amp; Technical Model (1).xlsm]Segments!R91C5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3</stp>
        <stp>EndRow</stp>
        <stp>3</stp>
        <tr r="E91" s="17"/>
      </tp>
      <tp t="s">
        <v>#N/A N/A</v>
        <stp/>
        <stp>##V3_BDSV12</stp>
        <stp>SYK US Equity</stp>
        <stp>PG_CAPITAL_EXPENDITURES</stp>
        <stp>[Fundamental &amp; Technical Model (1).xlsm]Segments!R184C9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184" s="17"/>
      </tp>
      <tp t="s">
        <v>#N/A N/A</v>
        <stp/>
        <stp>##V3_BDSV12</stp>
        <stp>SYK US Equity</stp>
        <stp>PG_OPERATING_INCOME</stp>
        <stp>[Fundamental &amp; Technical Model (1).xlsm]Segments!R77C5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3</stp>
        <stp>EndRow</stp>
        <stp>3</stp>
        <tr r="E77" s="17"/>
      </tp>
      <tp t="s">
        <v>#N/A N/A</v>
        <stp/>
        <stp>##V3_BDSV12</stp>
        <stp>SYK US Equity</stp>
        <stp>PG_OPERATING_INCOME</stp>
        <stp>[Fundamental &amp; Technical Model (1).xlsm]Segments!R90C5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2</stp>
        <stp>EndRow</stp>
        <stp>2</stp>
        <tr r="E90" s="17"/>
      </tp>
      <tp>
        <v>42735</v>
        <stp/>
        <stp>##V3_BQLV12</stp>
        <stp>[Fundamental &amp; Technical Model (1).xlsm]Balance Sheet!R15C12</stp>
        <stp>SYK US Equity</stp>
        <stp>IS_EPS().PERIOD_END_DATE</stp>
        <stp>FPT</stp>
        <stp>A</stp>
        <stp>FPO</stp>
        <stp>-2A</stp>
        <stp>STD</stp>
        <stp>Mixed</stp>
        <stp>CONSOL</stp>
        <stp>Yes</stp>
        <tr r="L15" s="3"/>
      </tp>
      <tp t="s">
        <v>#N/A N/A</v>
        <stp/>
        <stp>##V3_BDSV12</stp>
        <stp>SYK US Equity</stp>
        <stp>PG_CAPITAL_EXPENDITURES</stp>
        <stp>[Fundamental &amp; Technical Model (1).xlsm]Segments!R180C3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180" s="17"/>
      </tp>
      <tp t="s">
        <v>#N/A N/A</v>
        <stp/>
        <stp>##V3_BDSV12</stp>
        <stp>SYK US Equity</stp>
        <stp>PG_CAPITAL_EXPENDITURES</stp>
        <stp>[Fundamental &amp; Technical Model (1).xlsm]Segments!R182C3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182" s="17"/>
      </tp>
      <tp t="s">
        <v>#N/A N/A</v>
        <stp/>
        <stp>##V3_BDSV12</stp>
        <stp>SYK US Equity</stp>
        <stp>PG_CAPITAL_EXPENDITURES</stp>
        <stp>[Fundamental &amp; Technical Model (1).xlsm]Segments!R184C8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184" s="17"/>
      </tp>
      <tp t="s">
        <v>#N/A N/A</v>
        <stp/>
        <stp>##V3_BDSV12</stp>
        <stp>SYK US Equity</stp>
        <stp>PG_OPERATING_INCOME</stp>
        <stp>[Fundamental &amp; Technical Model (1).xlsm]Segments!R76C5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2</stp>
        <stp>EndRow</stp>
        <stp>2</stp>
        <tr r="E76" s="17"/>
      </tp>
      <tp t="s">
        <v>#N/A N/A</v>
        <stp/>
        <stp>##V3_BDSV12</stp>
        <stp>SYK US Equity</stp>
        <stp>PG_OPERATING_INCOME</stp>
        <stp>[Fundamental &amp; Technical Model (1).xlsm]Segments!R89C5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stp>
        <stp>EndRow</stp>
        <stp>1</stp>
        <tr r="E89" s="17"/>
      </tp>
      <tp t="s">
        <v>#N/A N/A</v>
        <stp/>
        <stp>##V3_BDSV12</stp>
        <stp>SYK US Equity</stp>
        <stp>PG_OPERATING_INCOME</stp>
        <stp>[Fundamental &amp; Technical Model (1).xlsm]Segments!R75C5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stp>
        <stp>EndRow</stp>
        <stp>1</stp>
        <tr r="E75" s="17"/>
      </tp>
      <tp t="s">
        <v>#N/A N/A</v>
        <stp/>
        <stp>##V3_BDSV12</stp>
        <stp>SYK US Equity</stp>
        <stp>PG_CAPITAL_EXPENDITURES</stp>
        <stp>[Fundamental &amp; Technical Model (1).xlsm]Segments!R181C3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181" s="17"/>
      </tp>
      <tp t="s">
        <v>#N/A N/A</v>
        <stp/>
        <stp>##V3_BDSV12</stp>
        <stp>SYK US Equity</stp>
        <stp>PG_CAPITAL_EXPENDITURES</stp>
        <stp>[Fundamental &amp; Technical Model (1).xlsm]Segments!R183C3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183" s="17"/>
      </tp>
      <tp t="s">
        <v>#N/A N/A</v>
        <stp/>
        <stp>##V3_BDSV12</stp>
        <stp>SYK US Equity</stp>
        <stp>PG_CAPITAL_EXPENDITURES</stp>
        <stp>[Fundamental &amp; Technical Model (1).xlsm]Segments!R180C9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180" s="17"/>
      </tp>
      <tp t="s">
        <v>#N/A N/A</v>
        <stp/>
        <stp>##V3_BDSV12</stp>
        <stp>SYK US Equity</stp>
        <stp>PG_CAPITAL_EXPENDITURES</stp>
        <stp>[Fundamental &amp; Technical Model (1).xlsm]Segments!R182C9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182" s="17"/>
      </tp>
      <tp t="s">
        <v>#N/A N/A</v>
        <stp/>
        <stp>##V3_BDSV12</stp>
        <stp>SYK US Equity</stp>
        <stp>PG_CAPITAL_EXPENDITURES</stp>
        <stp>[Fundamental &amp; Technical Model (1).xlsm]Segments!R180C8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180" s="17"/>
      </tp>
      <tp t="s">
        <v>#N/A N/A</v>
        <stp/>
        <stp>##V3_BDSV12</stp>
        <stp>SYK US Equity</stp>
        <stp>PG_CAPITAL_EXPENDITURES</stp>
        <stp>[Fundamental &amp; Technical Model (1).xlsm]Segments!R182C8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182" s="17"/>
      </tp>
      <tp t="s">
        <v>#N/A N/A</v>
        <stp/>
        <stp>##V3_BDSV12</stp>
        <stp>SYK US Equity</stp>
        <stp>PG_CAPITAL_EXPENDITURES</stp>
        <stp>[Fundamental &amp; Technical Model (1).xlsm]Segments!R184C3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184" s="17"/>
      </tp>
      <tp t="s">
        <v>#N/A N/A</v>
        <stp/>
        <stp>##V3_BDSV12</stp>
        <stp>SYK US Equity</stp>
        <stp>PG_OPERATING_INCOME</stp>
        <stp>[Fundamental &amp; Technical Model (1).xlsm]Segments!R97C5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9</stp>
        <stp>EndRow</stp>
        <stp>9</stp>
        <tr r="E97" s="17"/>
      </tp>
      <tp t="s">
        <v>#N/A N/A</v>
        <stp/>
        <stp>##V3_BDSV12</stp>
        <stp>SYK US Equity</stp>
        <stp>PG_CAPITAL_EXPENDITURES</stp>
        <stp>[Fundamental &amp; Technical Model (1).xlsm]Segments!R181C9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181" s="17"/>
      </tp>
      <tp t="s">
        <v>#N/A N/A</v>
        <stp/>
        <stp>##V3_BDSV12</stp>
        <stp>SYK US Equity</stp>
        <stp>PG_OPERATING_INCOME</stp>
        <stp>[Fundamental &amp; Technical Model (1).xlsm]Segments!R83C5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9</stp>
        <stp>EndRow</stp>
        <stp>9</stp>
        <tr r="E83" s="17"/>
      </tp>
      <tp t="s">
        <v>#N/A N/A</v>
        <stp/>
        <stp>##V3_BDSV12</stp>
        <stp>SYK US Equity</stp>
        <stp>PG_OPERATING_INCOME</stp>
        <stp>[Fundamental &amp; Technical Model (1).xlsm]Segments!R96C5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8</stp>
        <stp>EndRow</stp>
        <stp>8</stp>
        <tr r="E96" s="17"/>
      </tp>
      <tp t="s">
        <v>#N/A N/A</v>
        <stp/>
        <stp>##V3_BDSV12</stp>
        <stp>SYK US Equity</stp>
        <stp>PG_CAPITAL_EXPENDITURES</stp>
        <stp>[Fundamental &amp; Technical Model (1).xlsm]Segments!R181C8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181" s="17"/>
      </tp>
      <tp t="s">
        <v>#N/A N/A</v>
        <stp/>
        <stp>##V3_BDSV12</stp>
        <stp>SYK US Equity</stp>
        <stp>PG_OPERATING_INCOME</stp>
        <stp>[Fundamental &amp; Technical Model (1).xlsm]Segments!R82C5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8</stp>
        <stp>EndRow</stp>
        <stp>8</stp>
        <tr r="E82" s="17"/>
      </tp>
      <tp t="e">
        <v>#N/A</v>
        <stp/>
        <stp>##V3_BDHV12</stp>
        <stp>SYK US Equity</stp>
        <stp>WACC_COST_DEBT</stp>
        <stp>-4FY</stp>
        <stp>-4FY</stp>
        <stp>[Fundamental &amp; Technical Model (1).xlsm]Capital Structure Summary!R18C3</stp>
        <stp>Per</stp>
        <stp>FY</stp>
        <tr r="C18" s="21"/>
      </tp>
      <tp>
        <v>2625.1</v>
        <stp/>
        <stp>##V3_BQLV12</stp>
        <stp>[Fundamental &amp; Technical Model (1).xlsm]Income Statement!R23C4</stp>
        <stp>SYK US Equity</stp>
        <stp>IS_SG_AND_A_EXPENSE/10^6</stp>
        <stp>FPT</stp>
        <stp>A</stp>
        <stp>FPO</stp>
        <stp>-10A</stp>
        <stp>STD</stp>
        <stp>Mixed</stp>
        <stp>CONSOL</stp>
        <stp>Yes</stp>
        <stp>CURRENCY</stp>
        <stp>USD</stp>
        <tr r="D23" s="2"/>
      </tp>
      <tp>
        <v>3821</v>
        <stp/>
        <stp>##V3_BQLV12</stp>
        <stp>[Fundamental &amp; Technical Model (1).xlsm]Income Statement!R20C12</stp>
        <stp>SYK US Equity</stp>
        <stp>IS_COGS_TO_FE_AND_PP_AND_G/10^6</stp>
        <stp>FPT</stp>
        <stp>A</stp>
        <stp>FPO</stp>
        <stp>-2A</stp>
        <stp>STD</stp>
        <stp>Mixed</stp>
        <stp>CONSOL</stp>
        <stp>Yes</stp>
        <stp>CURRENCY</stp>
        <stp>USD</stp>
        <tr r="L20" s="2"/>
      </tp>
      <tp>
        <v>12.4588163514338</v>
        <stp/>
        <stp>##V3_BQLV12</stp>
        <stp>[Fundamental &amp; Technical Model (1).xlsm]Ratios!R47C6</stp>
        <stp>SYK US Equity</stp>
        <stp>TOT_DEBT_TO_TOT_CAP</stp>
        <stp>FPT</stp>
        <stp>A</stp>
        <stp>FPO</stp>
        <stp>-8A</stp>
        <stp>STD</stp>
        <stp>Mixed</stp>
        <stp>CONSOL</stp>
        <stp>Yes</stp>
        <tr r="F47" s="8"/>
      </tp>
      <tp>
        <v>14.231948703652078</v>
        <stp/>
        <stp>##V3_BQLV12</stp>
        <stp>[Fundamental &amp; Technical Model (1).xlsm]Ratios!R46C6</stp>
        <stp>SYK US Equity</stp>
        <stp>TOT_DEBT_TO_TOT_EQY</stp>
        <stp>FPT</stp>
        <stp>A</stp>
        <stp>FPO</stp>
        <stp>-8A</stp>
        <stp>STD</stp>
        <stp>Mixed</stp>
        <stp>CONSOL</stp>
        <stp>Yes</stp>
        <tr r="F46" s="8"/>
      </tp>
      <tp>
        <v>4.5513632234835208</v>
        <stp/>
        <stp>##V3_BQLV12</stp>
        <stp>[Fundamental &amp; Technical Model (1).xlsm]Key Stats!R63C6</stp>
        <stp>SYK US Equity</stp>
        <stp>PX_TO_BOOK_RATIO</stp>
        <stp>FPT=LTM</stp>
        <stp>FPO=1</stp>
        <stp>STD</stp>
        <stp>Mixed</stp>
        <stp>CONSOL</stp>
        <stp>Yes</stp>
        <stp>CURRENCY</stp>
        <stp>USD</stp>
        <tr r="F63" s="23"/>
      </tp>
      <tp t="s">
        <v>#N/A N/A</v>
        <stp/>
        <stp>##V3_BDSV12</stp>
        <stp>SYK US Equity</stp>
        <stp>PG_GROSS_PROFIT</stp>
        <stp>[Fundamental &amp; Technical Model (1).xlsm]Segments!R60C8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60" s="17"/>
      </tp>
      <tp t="s">
        <v>#N/A N/A</v>
        <stp/>
        <stp>##V3_BDSV12</stp>
        <stp>SYK US Equity</stp>
        <stp>PG_GROSS_PROFIT</stp>
        <stp>[Fundamental &amp; Technical Model (1).xlsm]Segments!R62C8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62" s="17"/>
      </tp>
      <tp t="s">
        <v>#N/A N/A</v>
        <stp/>
        <stp>##V3_BDSV12</stp>
        <stp>SYK US Equity</stp>
        <stp>PG_GROSS_PROFIT</stp>
        <stp>[Fundamental &amp; Technical Model (1).xlsm]Segments!R64C8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64" s="17"/>
      </tp>
      <tp t="s">
        <v>#N/A N/A</v>
        <stp/>
        <stp>##V3_BDSV12</stp>
        <stp>SYK US Equity</stp>
        <stp>PG_GROSS_PROFIT</stp>
        <stp>[Fundamental &amp; Technical Model (1).xlsm]Segments!R66C8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66" s="17"/>
      </tp>
      <tp t="s">
        <v>#N/A N/A</v>
        <stp/>
        <stp>##V3_BDSV12</stp>
        <stp>SYK US Equity</stp>
        <stp>PG_GROSS_PROFIT</stp>
        <stp>[Fundamental &amp; Technical Model (1).xlsm]Segments!R68C8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68" s="17"/>
      </tp>
      <tp t="s">
        <v>#N/A N/A</v>
        <stp/>
        <stp>##V3_BDSV12</stp>
        <stp>SYK US Equity</stp>
        <stp>PG_GROSS_PROFIT</stp>
        <stp>[Fundamental &amp; Technical Model (1).xlsm]Segments!R60C9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60" s="17"/>
      </tp>
      <tp t="s">
        <v>#N/A N/A</v>
        <stp/>
        <stp>##V3_BDSV12</stp>
        <stp>SYK US Equity</stp>
        <stp>PG_GROSS_PROFIT</stp>
        <stp>[Fundamental &amp; Technical Model (1).xlsm]Segments!R62C9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62" s="17"/>
      </tp>
      <tp t="s">
        <v>#N/A N/A</v>
        <stp/>
        <stp>##V3_BDSV12</stp>
        <stp>SYK US Equity</stp>
        <stp>PG_GROSS_PROFIT</stp>
        <stp>[Fundamental &amp; Technical Model (1).xlsm]Segments!R64C9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64" s="17"/>
      </tp>
      <tp t="s">
        <v>#N/A N/A</v>
        <stp/>
        <stp>##V3_BDSV12</stp>
        <stp>SYK US Equity</stp>
        <stp>PG_GROSS_PROFIT</stp>
        <stp>[Fundamental &amp; Technical Model (1).xlsm]Segments!R66C9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66" s="17"/>
      </tp>
      <tp t="s">
        <v>#N/A N/A</v>
        <stp/>
        <stp>##V3_BDSV12</stp>
        <stp>SYK US Equity</stp>
        <stp>PG_GROSS_PROFIT</stp>
        <stp>[Fundamental &amp; Technical Model (1).xlsm]Segments!R68C9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68" s="17"/>
      </tp>
      <tp t="s">
        <v>#N/A N/A</v>
        <stp/>
        <stp>##V3_BDSV12</stp>
        <stp>SYK US Equity</stp>
        <stp>PG_GROSS_PROFIT</stp>
        <stp>[Fundamental &amp; Technical Model (1).xlsm]Segments!R61C8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61" s="17"/>
      </tp>
      <tp t="s">
        <v>#N/A N/A</v>
        <stp/>
        <stp>##V3_BDSV12</stp>
        <stp>SYK US Equity</stp>
        <stp>PG_GROSS_PROFIT</stp>
        <stp>[Fundamental &amp; Technical Model (1).xlsm]Segments!R65C8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65" s="17"/>
      </tp>
      <tp t="s">
        <v>#N/A N/A</v>
        <stp/>
        <stp>##V3_BDSV12</stp>
        <stp>SYK US Equity</stp>
        <stp>PG_GROSS_PROFIT</stp>
        <stp>[Fundamental &amp; Technical Model (1).xlsm]Segments!R61C9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61" s="17"/>
      </tp>
      <tp t="s">
        <v>#N/A N/A</v>
        <stp/>
        <stp>##V3_BDSV12</stp>
        <stp>SYK US Equity</stp>
        <stp>PG_GROSS_PROFIT</stp>
        <stp>[Fundamental &amp; Technical Model (1).xlsm]Segments!R65C9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65" s="17"/>
      </tp>
      <tp t="s">
        <v>#N/A N/A</v>
        <stp/>
        <stp>##V3_BDSV12</stp>
        <stp>SYK US Equity</stp>
        <stp>PG_GROSS_PROFIT</stp>
        <stp>[Fundamental &amp; Technical Model (1).xlsm]Segments!R67C3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67" s="17"/>
      </tp>
      <tp t="s">
        <v>#N/A N/A</v>
        <stp/>
        <stp>##V3_BDSV12</stp>
        <stp>SYK US Equity</stp>
        <stp>PG_GROSS_PROFIT</stp>
        <stp>[Fundamental &amp; Technical Model (1).xlsm]Segments!R63C8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63" s="17"/>
      </tp>
      <tp t="s">
        <v>#N/A N/A</v>
        <stp/>
        <stp>##V3_BDSV12</stp>
        <stp>SYK US Equity</stp>
        <stp>PG_GROSS_PROFIT</stp>
        <stp>[Fundamental &amp; Technical Model (1).xlsm]Segments!R63C9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63" s="17"/>
      </tp>
      <tp t="s">
        <v>#N/A N/A</v>
        <stp/>
        <stp>##V3_BDSV12</stp>
        <stp>SYK US Equity</stp>
        <stp>PG_GROSS_PROFIT</stp>
        <stp>[Fundamental &amp; Technical Model (1).xlsm]Segments!R68C3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68" s="17"/>
      </tp>
      <tp t="s">
        <v>#N/A N/A</v>
        <stp/>
        <stp>##V3_BDSV12</stp>
        <stp>SYK US Equity</stp>
        <stp>PG_GROSS_PROFIT</stp>
        <stp>[Fundamental &amp; Technical Model (1).xlsm]Segments!R60C3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60" s="17"/>
      </tp>
      <tp t="s">
        <v>#N/A N/A</v>
        <stp/>
        <stp>##V3_BDSV12</stp>
        <stp>SYK US Equity</stp>
        <stp>PG_GROSS_PROFIT</stp>
        <stp>[Fundamental &amp; Technical Model (1).xlsm]Segments!R62C3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62" s="17"/>
      </tp>
      <tp t="s">
        <v>#N/A N/A</v>
        <stp/>
        <stp>##V3_BDSV12</stp>
        <stp>SYK US Equity</stp>
        <stp>PG_GROSS_PROFIT</stp>
        <stp>[Fundamental &amp; Technical Model (1).xlsm]Segments!R64C3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64" s="17"/>
      </tp>
      <tp t="s">
        <v>#N/A N/A</v>
        <stp/>
        <stp>##V3_BDSV12</stp>
        <stp>SYK US Equity</stp>
        <stp>PG_GROSS_PROFIT</stp>
        <stp>[Fundamental &amp; Technical Model (1).xlsm]Segments!R66C3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66" s="17"/>
      </tp>
      <tp>
        <v>20.264485999395802</v>
        <stp/>
        <stp>##V3_BQLV12</stp>
        <stp>[Fundamental &amp; Technical Model (1).xlsm]Ratios!R58C5</stp>
        <stp>SYK US Equity</stp>
        <stp>ALTMAN_Z_SCORE</stp>
        <stp>FPT</stp>
        <stp>A</stp>
        <stp>FPO</stp>
        <stp>-9A</stp>
        <stp>STD</stp>
        <stp>Mixed</stp>
        <stp>CONSOL</stp>
        <stp>Yes</stp>
        <tr r="E58" s="8"/>
      </tp>
      <tp t="s">
        <v>#N/A N/A</v>
        <stp/>
        <stp>##V3_BDSV12</stp>
        <stp>SYK US Equity</stp>
        <stp>PG_GROSS_PROFIT</stp>
        <stp>[Fundamental &amp; Technical Model (1).xlsm]Segments!R61C3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61" s="17"/>
      </tp>
      <tp t="s">
        <v>#N/A N/A</v>
        <stp/>
        <stp>##V3_BDSV12</stp>
        <stp>SYK US Equity</stp>
        <stp>PG_GROSS_PROFIT</stp>
        <stp>[Fundamental &amp; Technical Model (1).xlsm]Segments!R65C3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65" s="17"/>
      </tp>
      <tp t="s">
        <v>#N/A N/A</v>
        <stp/>
        <stp>##V3_BDSV12</stp>
        <stp>SYK US Equity</stp>
        <stp>PG_GROSS_PROFIT</stp>
        <stp>[Fundamental &amp; Technical Model (1).xlsm]Segments!R67C8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67" s="17"/>
      </tp>
      <tp t="s">
        <v>#N/A N/A</v>
        <stp/>
        <stp>##V3_BDSV12</stp>
        <stp>SYK US Equity</stp>
        <stp>PG_GROSS_PROFIT</stp>
        <stp>[Fundamental &amp; Technical Model (1).xlsm]Segments!R63C3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63" s="17"/>
      </tp>
      <tp t="s">
        <v>#N/A N/A</v>
        <stp/>
        <stp>##V3_BDSV12</stp>
        <stp>SYK US Equity</stp>
        <stp>PG_GROSS_PROFIT</stp>
        <stp>[Fundamental &amp; Technical Model (1).xlsm]Segments!R67C9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67" s="17"/>
      </tp>
      <tp t="s">
        <v>#N/A N/A</v>
        <stp/>
        <stp>##V3_BDSV12</stp>
        <stp>SYK US Equity</stp>
        <stp>PG_GROSS_PROFIT</stp>
        <stp>[Fundamental &amp; Technical Model (1).xlsm]Segments!R65C14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6</stp>
        <stp>EndRow</stp>
        <stp>6</stp>
        <tr r="N65" s="17"/>
      </tp>
      <tp t="s">
        <v>#N/A N/A</v>
        <stp/>
        <stp>##V3_BDSV12</stp>
        <stp>SYK US Equity</stp>
        <stp>PG_GROSS_PROFIT</stp>
        <stp>[Fundamental &amp; Technical Model (1).xlsm]Segments!R65C12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6</stp>
        <stp>EndRow</stp>
        <stp>6</stp>
        <tr r="L65" s="17"/>
      </tp>
      <tp t="s">
        <v>#N/A N/A</v>
        <stp/>
        <stp>##V3_BDSV12</stp>
        <stp>SYK US Equity</stp>
        <stp>PG_GROSS_PROFIT</stp>
        <stp>[Fundamental &amp; Technical Model (1).xlsm]Segments!R65C13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6</stp>
        <stp>EndRow</stp>
        <stp>6</stp>
        <tr r="M65" s="17"/>
      </tp>
      <tp t="s">
        <v>#N/A N/A</v>
        <stp/>
        <stp>##V3_BDSV12</stp>
        <stp>SYK US Equity</stp>
        <stp>PG_GROSS_PROFIT</stp>
        <stp>[Fundamental &amp; Technical Model (1).xlsm]Segments!R65C10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6</stp>
        <stp>EndRow</stp>
        <stp>6</stp>
        <tr r="J65" s="17"/>
      </tp>
      <tp t="s">
        <v>#N/A N/A</v>
        <stp/>
        <stp>##V3_BDSV12</stp>
        <stp>SYK US Equity</stp>
        <stp>PG_GROSS_PROFIT</stp>
        <stp>[Fundamental &amp; Technical Model (1).xlsm]Segments!R65C11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6</stp>
        <stp>EndRow</stp>
        <stp>6</stp>
        <tr r="K65" s="17"/>
      </tp>
      <tp t="e">
        <v>#N/A</v>
        <stp/>
        <stp>##V3_BDHV12</stp>
        <stp>SYK US Equity</stp>
        <stp>LOW_EV_TO_T12M_EBIT</stp>
        <stp>-5FY</stp>
        <stp>-5FY</stp>
        <stp>[Fundamental &amp; Technical Model (1).xlsm]Multiples!R30C8</stp>
        <stp>EQY_CONSOLIDATED</stp>
        <stp>Yes</stp>
        <stp>ACCOUNTING_STANDARD_OVERRIDE</stp>
        <stp>Mixed</stp>
        <stp>Per</stp>
        <stp>FY</stp>
        <stp>Days=A</stp>
        <tr r="H30" s="16"/>
        <tr r="H30" s="16"/>
      </tp>
      <tp>
        <v>14.371681415929203</v>
        <stp/>
        <stp>##V3_BQLV12</stp>
        <stp>[Fundamental &amp; Technical Model (1).xlsm]Ratios!R53C10</stp>
        <stp>SYK US Equity</stp>
        <stp>EBITDA_TO_TOT_INT_EXP</stp>
        <stp>FPT</stp>
        <stp>A</stp>
        <stp>FPO</stp>
        <stp>-4A</stp>
        <stp>STD</stp>
        <stp>Mixed</stp>
        <stp>CONSOL</stp>
        <stp>Yes</stp>
        <tr r="J53" s="8"/>
      </tp>
      <tp>
        <v>2.83</v>
        <stp/>
        <stp>##V3_BQLV12</stp>
        <stp>[Fundamental &amp; Technical Model (1).xlsm]Income Statement!R71C4</stp>
        <stp>SYK US Equity</stp>
        <stp>IS_DIL_EPS_CONT_OPS</stp>
        <stp>FPT</stp>
        <stp>A</stp>
        <stp>FPO</stp>
        <stp>-10A</stp>
        <stp>STD</stp>
        <stp>Mixed</stp>
        <stp>CONSOL</stp>
        <stp>Yes</stp>
        <stp>CURRENCY</stp>
        <stp>USD</stp>
        <tr r="D71" s="2"/>
      </tp>
      <tp t="s">
        <v>#N/A</v>
        <stp/>
        <stp>##V3_BQLV12</stp>
        <stp>[Fundamental &amp; Technical Model (1).xlsm]Cash Flow!R40C7</stp>
        <stp>SYK US Equity</stp>
        <stp>IS_SPECIAL_CASH_DIVIDEND_AMOUNT/10^6</stp>
        <stp>FPT</stp>
        <stp>A</stp>
        <stp>FPO</stp>
        <stp>-7A</stp>
        <stp>STD</stp>
        <stp>Mixed</stp>
        <stp>CONSOL</stp>
        <stp>Yes</stp>
        <stp>CURRENCY</stp>
        <stp>USD</stp>
        <tr r="G40" s="4"/>
      </tp>
      <tp t="s">
        <v>#N/A</v>
        <stp/>
        <stp>##V3_BQLV12</stp>
        <stp>[Fundamental &amp; Technical Model (1).xlsm]Cash Flow!R40C6</stp>
        <stp>SYK US Equity</stp>
        <stp>IS_SPECIAL_CASH_DIVIDEND_AMOUNT/10^6</stp>
        <stp>FPT</stp>
        <stp>A</stp>
        <stp>FPO</stp>
        <stp>-8A</stp>
        <stp>STD</stp>
        <stp>Mixed</stp>
        <stp>CONSOL</stp>
        <stp>Yes</stp>
        <stp>CURRENCY</stp>
        <stp>USD</stp>
        <tr r="F40" s="4"/>
      </tp>
      <tp t="s">
        <v>#N/A</v>
        <stp/>
        <stp>##V3_BQLV12</stp>
        <stp>[Fundamental &amp; Technical Model (1).xlsm]Cash Flow!R40C8</stp>
        <stp>SYK US Equity</stp>
        <stp>IS_SPECIAL_CASH_DIVIDEND_AMOUNT/10^6</stp>
        <stp>FPT</stp>
        <stp>A</stp>
        <stp>FPO</stp>
        <stp>-6A</stp>
        <stp>STD</stp>
        <stp>Mixed</stp>
        <stp>CONSOL</stp>
        <stp>Yes</stp>
        <stp>CURRENCY</stp>
        <stp>USD</stp>
        <tr r="H40" s="4"/>
      </tp>
      <tp t="s">
        <v>#N/A</v>
        <stp/>
        <stp>##V3_BQLV12</stp>
        <stp>[Fundamental &amp; Technical Model (1).xlsm]Cash Flow!R40C5</stp>
        <stp>SYK US Equity</stp>
        <stp>IS_SPECIAL_CASH_DIVIDEND_AMOUNT/10^6</stp>
        <stp>FPT</stp>
        <stp>A</stp>
        <stp>FPO</stp>
        <stp>-9A</stp>
        <stp>STD</stp>
        <stp>Mixed</stp>
        <stp>CONSOL</stp>
        <stp>Yes</stp>
        <stp>CURRENCY</stp>
        <stp>USD</stp>
        <tr r="E40" s="4"/>
      </tp>
      <tp t="s">
        <v>#N/A</v>
        <stp/>
        <stp>##V3_BQLV12</stp>
        <stp>[Fundamental &amp; Technical Model (1).xlsm]Cash Flow!R40C9</stp>
        <stp>SYK US Equity</stp>
        <stp>IS_SPECIAL_CASH_DIVIDEND_AMOUNT/10^6</stp>
        <stp>FPT</stp>
        <stp>A</stp>
        <stp>FPO</stp>
        <stp>-5A</stp>
        <stp>STD</stp>
        <stp>Mixed</stp>
        <stp>CONSOL</stp>
        <stp>Yes</stp>
        <stp>CURRENCY</stp>
        <stp>USD</stp>
        <tr r="I40" s="4"/>
      </tp>
      <tp>
        <v>9859</v>
        <stp/>
        <stp>##V3_BDPV12</stp>
        <stp>SYK US Equity</stp>
        <stp>ARDR_DEBT_SCHEDULE_TOTAL_DEBT</stp>
        <stp>[Fundamental &amp; Technical Model (1).xlsm]Capital Structure Summary!R80C11</stp>
        <stp>EQY_FUND_RELATIVE_PERIOD</stp>
        <stp>-0FY</stp>
        <stp>EQY_FUND_CRNCY</stp>
        <stp>USD</stp>
        <stp>EQY_CONSOLIDATED</stp>
        <stp>Yes</stp>
        <stp>ACCOUNTING_STANDARD_OVERRIDE</stp>
        <stp>Mixed</stp>
        <stp>Fill=--</stp>
        <tr r="K80" s="21"/>
      </tp>
      <tp t="e">
        <v>#N/A</v>
        <stp/>
        <stp>##V3_BDHV12</stp>
        <stp>SYK US Equity</stp>
        <stp>WACC_COST_DEBT</stp>
        <stp>-3FY</stp>
        <stp>-3FY</stp>
        <stp>[Fundamental &amp; Technical Model (1).xlsm]Capital Structure Summary!R18C5</stp>
        <stp>Per</stp>
        <stp>FY</stp>
        <tr r="E18" s="21"/>
      </tp>
      <tp>
        <v>107</v>
        <stp/>
        <stp>##V3_BDPV12</stp>
        <stp>SYK US Equity</stp>
        <stp>BS_RENTAL_EXP_YEAR_1</stp>
        <stp>[Fundamental &amp; Technical Model (1).xlsm]Capital Structure Summary!R97C11</stp>
        <stp>EQY_FUND_RELATIVE_PERIOD</stp>
        <stp>-0FY</stp>
        <stp>EQY_FUND_CRNCY</stp>
        <stp>USD</stp>
        <stp>EQY_CONSOLIDATED</stp>
        <stp>Yes</stp>
        <stp>ACCOUNTING_STANDARD_OVERRIDE</stp>
        <stp>Mixed</stp>
        <stp>Fill=--</stp>
        <tr r="K97" s="21"/>
      </tp>
      <tp>
        <v>39813</v>
        <stp/>
        <stp>##V3_BQLV12</stp>
        <stp>[Fundamental &amp; Technical Model (1).xlsm]Income Statement!R15C4</stp>
        <stp>SYK US Equity</stp>
        <stp>IS_EPS().PERIOD_END_DATE</stp>
        <stp>FPT</stp>
        <stp>A</stp>
        <stp>FPO</stp>
        <stp>-10A</stp>
        <stp>STD</stp>
        <stp>Mixed</stp>
        <stp>CONSOL</stp>
        <stp>Yes</stp>
        <tr r="D15" s="2"/>
      </tp>
      <tp>
        <v>15984</v>
        <stp/>
        <stp>##V3_BDPV12</stp>
        <stp>SYK US Equity</stp>
        <stp>BS_CONTRACTUAL_OBLIG_TOTAL</stp>
        <stp>[Fundamental &amp; Technical Model (1).xlsm]Capital Structure Summary!R115C11</stp>
        <stp>EQY_FUND_RELATIVE_PERIOD</stp>
        <stp>-0FY</stp>
        <stp>EQY_FUND_CRNCY</stp>
        <stp>USD</stp>
        <stp>EQY_CONSOLIDATED</stp>
        <stp>Yes</stp>
        <stp>ACCOUNTING_STANDARD_OVERRIDE</stp>
        <stp>Mixed</stp>
        <stp>Fill=--</stp>
        <tr r="K115" s="21"/>
      </tp>
      <tp>
        <v>6914</v>
        <stp/>
        <stp>##V3_BQLV12</stp>
        <stp>[Fundamental &amp; Technical Model (1).xlsm]Balance Sheet!R68C12</stp>
        <stp>SYK US Equity</stp>
        <stp>SHORT_AND_LONG_TERM_DEBT/10^6</stp>
        <stp>FPT</stp>
        <stp>A</stp>
        <stp>FPO</stp>
        <stp>-2A</stp>
        <stp>STD</stp>
        <stp>Mixed</stp>
        <stp>CONSOL</stp>
        <stp>Yes</stp>
        <stp>CURRENCY</stp>
        <stp>USD</stp>
        <tr r="L68" s="3"/>
      </tp>
      <tp>
        <v>7222</v>
        <stp/>
        <stp>##V3_BQLV12</stp>
        <stp>[Fundamental &amp; Technical Model (1).xlsm]Balance Sheet!R68C13</stp>
        <stp>SYK US Equity</stp>
        <stp>SHORT_AND_LONG_TERM_DEBT/10^6</stp>
        <stp>FPT</stp>
        <stp>A</stp>
        <stp>FPO</stp>
        <stp>-1A</stp>
        <stp>STD</stp>
        <stp>Mixed</stp>
        <stp>CONSOL</stp>
        <stp>Yes</stp>
        <stp>CURRENCY</stp>
        <stp>USD</stp>
        <tr r="M68" s="3"/>
      </tp>
      <tp>
        <v>3973</v>
        <stp/>
        <stp>##V3_BQLV12</stp>
        <stp>[Fundamental &amp; Technical Model (1).xlsm]Balance Sheet!R68C10</stp>
        <stp>SYK US Equity</stp>
        <stp>SHORT_AND_LONG_TERM_DEBT/10^6</stp>
        <stp>FPT</stp>
        <stp>A</stp>
        <stp>FPO</stp>
        <stp>-4A</stp>
        <stp>STD</stp>
        <stp>Mixed</stp>
        <stp>CONSOL</stp>
        <stp>Yes</stp>
        <stp>CURRENCY</stp>
        <stp>USD</stp>
        <tr r="J68" s="3"/>
      </tp>
      <tp>
        <v>4022</v>
        <stp/>
        <stp>##V3_BQLV12</stp>
        <stp>[Fundamental &amp; Technical Model (1).xlsm]Balance Sheet!R68C11</stp>
        <stp>SYK US Equity</stp>
        <stp>SHORT_AND_LONG_TERM_DEBT/10^6</stp>
        <stp>FPT</stp>
        <stp>A</stp>
        <stp>FPO</stp>
        <stp>-3A</stp>
        <stp>STD</stp>
        <stp>Mixed</stp>
        <stp>CONSOL</stp>
        <stp>Yes</stp>
        <stp>CURRENCY</stp>
        <stp>USD</stp>
        <tr r="K68" s="3"/>
      </tp>
      <tp>
        <v>9859</v>
        <stp/>
        <stp>##V3_BQLV12</stp>
        <stp>[Fundamental &amp; Technical Model (1).xlsm]Balance Sheet!R68C14</stp>
        <stp>SYK US Equity</stp>
        <stp>SHORT_AND_LONG_TERM_DEBT/10^6</stp>
        <stp>FPT</stp>
        <stp>A</stp>
        <stp>FPO</stp>
        <stp>-0A</stp>
        <stp>STD</stp>
        <stp>Mixed</stp>
        <stp>CONSOL</stp>
        <stp>Yes</stp>
        <stp>CURRENCY</stp>
        <stp>USD</stp>
        <tr r="N68" s="3"/>
      </tp>
      <tp t="s">
        <v>#N/A N/A</v>
        <stp/>
        <stp>##V3_BDSV12</stp>
        <stp>SYK US Equity</stp>
        <stp>PG_ASSETS</stp>
        <stp>[Fundamental &amp; Technical Model (1).xlsm]Segments!R113C4</stp>
        <stp>PG_HIERARCHY_LEVEL=1</stp>
        <stp>NUMBER_OF_PERIODS=-11</stp>
        <stp>REVERSE_PERIOD_ORDER=N</stp>
        <stp>PRODUCT_GEO_OVERRIDE=P</stp>
        <stp>FUND_PER</stp>
        <stp>Y</stp>
        <stp>ACCOUNTING_STANDARD_OVERRIDE</stp>
        <stp>Mixed</stp>
        <stp>EQY_CONSOLIDATED</stp>
        <stp>Yes</stp>
        <stp>EQY_FUND_CRNCY</stp>
        <stp>USD</stp>
        <stp>StartCol</stp>
        <stp>13</stp>
        <stp>EndCol</stp>
        <stp>13</stp>
        <stp>StartRow</stp>
        <stp>10</stp>
        <stp>EndRow</stp>
        <stp>10</stp>
        <tr r="D113" s="17"/>
      </tp>
      <tp>
        <v>17.39071038251366</v>
        <stp/>
        <stp>##V3_BQLV12</stp>
        <stp>[Fundamental &amp; Technical Model (1).xlsm]Ratios!R26C6</stp>
        <stp>SYK US Equity</stp>
        <stp>PROF_MARGIN</stp>
        <stp>FPT</stp>
        <stp>A</stp>
        <stp>FPO</stp>
        <stp>-8A</stp>
        <stp>STD</stp>
        <stp>Mixed</stp>
        <stp>CONSOL</stp>
        <stp>Yes</stp>
        <tr r="F26" s="8"/>
      </tp>
      <tp t="s">
        <v>Orthopaedics</v>
        <stp/>
        <stp>##V3_BDSV12</stp>
        <stp>SYK US Equity</stp>
        <stp>PG_REVENUE</stp>
        <stp>[Fundamental &amp; Technical Model (1).xlsm]Segments!R17C3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17" s="17"/>
        <tr r="C17" s="17"/>
      </tp>
      <tp>
        <v>691</v>
        <stp/>
        <stp>##V3_BDSV12</stp>
        <stp>SYK US Equity</stp>
        <stp>PG_REVENUE</stp>
        <stp>[Fundamental &amp; Technical Model (1).xlsm]Segments!R19C8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19" s="17"/>
        <tr r="H19" s="17"/>
      </tp>
      <tp>
        <v>1569</v>
        <stp/>
        <stp>##V3_BDSV12</stp>
        <stp>SYK US Equity</stp>
        <stp>PG_REVENUE</stp>
        <stp>[Fundamental &amp; Technical Model (1).xlsm]Segments!R18C8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18" s="17"/>
        <tr r="H18" s="17"/>
      </tp>
      <tp>
        <v>1658</v>
        <stp/>
        <stp>##V3_BDSV12</stp>
        <stp>SYK US Equity</stp>
        <stp>PG_REVENUE</stp>
        <stp>[Fundamental &amp; Technical Model (1).xlsm]Segments!R18C9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18" s="17"/>
        <tr r="I18" s="17"/>
      </tp>
      <tp>
        <v>710</v>
        <stp/>
        <stp>##V3_BDSV12</stp>
        <stp>SYK US Equity</stp>
        <stp>PG_REVENUE</stp>
        <stp>[Fundamental &amp; Technical Model (1).xlsm]Segments!R19C9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19" s="17"/>
        <tr r="I19" s="17"/>
      </tp>
      <tp>
        <v>3823</v>
        <stp/>
        <stp>##V3_BDSV12</stp>
        <stp>SYK US Equity</stp>
        <stp>PG_REVENUE</stp>
        <stp>[Fundamental &amp; Technical Model (1).xlsm]Segments!R17C8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17" s="17"/>
        <tr r="H17" s="17"/>
      </tp>
      <tp>
        <v>3949</v>
        <stp/>
        <stp>##V3_BDSV12</stp>
        <stp>SYK US Equity</stp>
        <stp>PG_REVENUE</stp>
        <stp>[Fundamental &amp; Technical Model (1).xlsm]Segments!R17C9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17" s="17"/>
        <tr r="I17" s="17"/>
      </tp>
      <tp t="s">
        <v>Medical</v>
        <stp/>
        <stp>##V3_BDSV12</stp>
        <stp>SYK US Equity</stp>
        <stp>PG_REVENUE</stp>
        <stp>[Fundamental &amp; Technical Model (1).xlsm]Segments!R19C3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19" s="17"/>
        <tr r="C19" s="17"/>
      </tp>
      <tp t="s">
        <v>Neurotech and Spine</v>
        <stp/>
        <stp>##V3_BDSV12</stp>
        <stp>SYK US Equity</stp>
        <stp>PG_REVENUE</stp>
        <stp>[Fundamental &amp; Technical Model (1).xlsm]Segments!R18C3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18" s="17"/>
        <tr r="C18" s="17"/>
      </tp>
      <tp>
        <v>15.193057664255306</v>
        <stp/>
        <stp>##V3_BQLV12</stp>
        <stp>[Fundamental &amp; Technical Model (1).xlsm]Ratios!R28C4</stp>
        <stp>SYK US Equity</stp>
        <stp>FREE_CASH_FLOW_MARGIN</stp>
        <stp>FPT</stp>
        <stp>A</stp>
        <stp>FPO</stp>
        <stp>-10A</stp>
        <stp>STD</stp>
        <stp>Mixed</stp>
        <stp>CONSOL</stp>
        <stp>Yes</stp>
        <tr r="D28" s="8"/>
      </tp>
      <tp>
        <v>14.42899070749432</v>
        <stp/>
        <stp>##V3_BQLV12</stp>
        <stp>[Fundamental &amp; Technical Model (1).xlsm]Ratios!R58C6</stp>
        <stp>SYK US Equity</stp>
        <stp>ALTMAN_Z_SCORE</stp>
        <stp>FPT</stp>
        <stp>A</stp>
        <stp>FPO</stp>
        <stp>-8A</stp>
        <stp>STD</stp>
        <stp>Mixed</stp>
        <stp>CONSOL</stp>
        <stp>Yes</stp>
        <tr r="F58" s="8"/>
      </tp>
      <tp>
        <v>40178</v>
        <stp/>
        <stp>##V3_BQLV12</stp>
        <stp>[Fundamental &amp; Technical Model (1).xlsm]Balance Sheet!R15C5</stp>
        <stp>SYK US Equity</stp>
        <stp>IS_EPS().PERIOD_END_DATE</stp>
        <stp>FPT</stp>
        <stp>A</stp>
        <stp>FPO</stp>
        <stp>-9A</stp>
        <stp>STD</stp>
        <stp>Mixed</stp>
        <stp>CONSOL</stp>
        <stp>Yes</stp>
        <tr r="E15" s="3"/>
      </tp>
      <tp>
        <v>41639</v>
        <stp/>
        <stp>##V3_BQLV12</stp>
        <stp>[Fundamental &amp; Technical Model (1).xlsm]Balance Sheet!R15C9</stp>
        <stp>SYK US Equity</stp>
        <stp>IS_EPS().PERIOD_END_DATE</stp>
        <stp>FPT</stp>
        <stp>A</stp>
        <stp>FPO</stp>
        <stp>-5A</stp>
        <stp>STD</stp>
        <stp>Mixed</stp>
        <stp>CONSOL</stp>
        <stp>Yes</stp>
        <tr r="I15" s="3"/>
      </tp>
      <tp t="s">
        <v>#N/A N/A</v>
        <stp/>
        <stp>##V3_BDSV12</stp>
        <stp>SYK US Equity</stp>
        <stp>PG_GROSS_PROFIT</stp>
        <stp>[Fundamental &amp; Technical Model (1).xlsm]Segments!R64C14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5</stp>
        <stp>EndRow</stp>
        <stp>5</stp>
        <tr r="N64" s="17"/>
      </tp>
      <tp t="s">
        <v>#N/A N/A</v>
        <stp/>
        <stp>##V3_BDSV12</stp>
        <stp>SYK US Equity</stp>
        <stp>PG_GROSS_PROFIT</stp>
        <stp>[Fundamental &amp; Technical Model (1).xlsm]Segments!R64C11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5</stp>
        <stp>EndRow</stp>
        <stp>5</stp>
        <tr r="K64" s="17"/>
      </tp>
      <tp t="s">
        <v>#N/A N/A</v>
        <stp/>
        <stp>##V3_BDSV12</stp>
        <stp>SYK US Equity</stp>
        <stp>PG_GROSS_PROFIT</stp>
        <stp>[Fundamental &amp; Technical Model (1).xlsm]Segments!R64C10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5</stp>
        <stp>EndRow</stp>
        <stp>5</stp>
        <tr r="J64" s="17"/>
      </tp>
      <tp t="s">
        <v>#N/A N/A</v>
        <stp/>
        <stp>##V3_BDSV12</stp>
        <stp>SYK US Equity</stp>
        <stp>PG_GROSS_PROFIT</stp>
        <stp>[Fundamental &amp; Technical Model (1).xlsm]Segments!R64C13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5</stp>
        <stp>EndRow</stp>
        <stp>5</stp>
        <tr r="M64" s="17"/>
      </tp>
      <tp t="s">
        <v>#N/A N/A</v>
        <stp/>
        <stp>##V3_BDSV12</stp>
        <stp>SYK US Equity</stp>
        <stp>PG_GROSS_PROFIT</stp>
        <stp>[Fundamental &amp; Technical Model (1).xlsm]Segments!R64C12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5</stp>
        <stp>EndRow</stp>
        <stp>5</stp>
        <tr r="L64" s="17"/>
      </tp>
      <tp>
        <v>28.899109880622785</v>
        <stp/>
        <stp>##V3_BQLV12</stp>
        <stp>[Fundamental &amp; Technical Model (1).xlsm]Ratios!R23C4</stp>
        <stp>SYK US Equity</stp>
        <stp>EBITDA_MARGIN</stp>
        <stp>FPT</stp>
        <stp>A</stp>
        <stp>FPO</stp>
        <stp>-10A</stp>
        <stp>STD</stp>
        <stp>Mixed</stp>
        <stp>CONSOL</stp>
        <stp>Yes</stp>
        <tr r="D23" s="8"/>
      </tp>
      <tp t="e">
        <v>#N/A</v>
        <stp/>
        <stp>##V3_BDHV12</stp>
        <stp>SYK US Equity</stp>
        <stp>LOW_EV_TO_T12M_EBIT</stp>
        <stp>-4FY</stp>
        <stp>-4FY</stp>
        <stp>[Fundamental &amp; Technical Model (1).xlsm]Multiples!R30C9</stp>
        <stp>EQY_CONSOLIDATED</stp>
        <stp>Yes</stp>
        <stp>ACCOUNTING_STANDARD_OVERRIDE</stp>
        <stp>Mixed</stp>
        <stp>Per</stp>
        <stp>FY</stp>
        <stp>Days=A</stp>
        <tr r="I30" s="16"/>
        <tr r="I30" s="16"/>
      </tp>
      <tp>
        <v>75.489999999999995</v>
        <stp/>
        <stp>##V3_BDPV12</stp>
        <stp>BAX Equity</stp>
        <stp>px_last</stp>
        <stp>[Fundamental &amp; Technical Model (1).xlsm]Public Comparables!R14C5</stp>
        <tr r="E14" s="24"/>
      </tp>
      <tp t="e">
        <v>#N/A</v>
        <stp/>
        <stp>##V3_BDHV12</stp>
        <stp>SYK US Equity</stp>
        <stp>WACC_COST_DEBT</stp>
        <stp>-2FY</stp>
        <stp>-2FY</stp>
        <stp>[Fundamental &amp; Technical Model (1).xlsm]Capital Structure Summary!R18C7</stp>
        <stp>Per</stp>
        <stp>FY</stp>
        <tr r="G18" s="21"/>
      </tp>
      <tp>
        <v>4663</v>
        <stp/>
        <stp>##V3_BQLV12</stp>
        <stp>[Fundamental &amp; Technical Model (1).xlsm]Income Statement!R20C14</stp>
        <stp>SYK US Equity</stp>
        <stp>IS_COGS_TO_FE_AND_PP_AND_G/10^6</stp>
        <stp>FPT</stp>
        <stp>A</stp>
        <stp>FPO</stp>
        <stp>-0A</stp>
        <stp>STD</stp>
        <stp>Mixed</stp>
        <stp>CONSOL</stp>
        <stp>Yes</stp>
        <stp>CURRENCY</stp>
        <stp>USD</stp>
        <tr r="N20" s="2"/>
      </tp>
      <tp>
        <v>3126</v>
        <stp/>
        <stp>##V3_BQLV12</stp>
        <stp>[Fundamental &amp; Technical Model (1).xlsm]Cash Flow!R31C14</stp>
        <stp>SYK US Equity</stp>
        <stp>CF_INCR_LT_BORROW/10^6</stp>
        <stp>FPT</stp>
        <stp>A</stp>
        <stp>FPO</stp>
        <stp>-0A</stp>
        <stp>STD</stp>
        <stp>Mixed</stp>
        <stp>CONSOL</stp>
        <stp>Yes</stp>
        <stp>CURRENCY</stp>
        <stp>USD</stp>
        <tr r="N31" s="4"/>
      </tp>
      <tp>
        <v>2587</v>
        <stp/>
        <stp>##V3_BQLV12</stp>
        <stp>[Fundamental &amp; Technical Model (1).xlsm]Cash Flow!R31C10</stp>
        <stp>SYK US Equity</stp>
        <stp>CF_INCR_LT_BORROW/10^6</stp>
        <stp>FPT</stp>
        <stp>A</stp>
        <stp>FPO</stp>
        <stp>-4A</stp>
        <stp>STD</stp>
        <stp>Mixed</stp>
        <stp>CONSOL</stp>
        <stp>Yes</stp>
        <stp>CURRENCY</stp>
        <stp>USD</stp>
        <tr r="J31" s="4"/>
      </tp>
      <tp>
        <v>2320</v>
        <stp/>
        <stp>##V3_BQLV12</stp>
        <stp>[Fundamental &amp; Technical Model (1).xlsm]Cash Flow!R31C11</stp>
        <stp>SYK US Equity</stp>
        <stp>CF_INCR_LT_BORROW/10^6</stp>
        <stp>FPT</stp>
        <stp>A</stp>
        <stp>FPO</stp>
        <stp>-3A</stp>
        <stp>STD</stp>
        <stp>Mixed</stp>
        <stp>CONSOL</stp>
        <stp>Yes</stp>
        <stp>CURRENCY</stp>
        <stp>USD</stp>
        <tr r="K31" s="4"/>
      </tp>
      <tp>
        <v>3453</v>
        <stp/>
        <stp>##V3_BQLV12</stp>
        <stp>[Fundamental &amp; Technical Model (1).xlsm]Cash Flow!R31C12</stp>
        <stp>SYK US Equity</stp>
        <stp>CF_INCR_LT_BORROW/10^6</stp>
        <stp>FPT</stp>
        <stp>A</stp>
        <stp>FPO</stp>
        <stp>-2A</stp>
        <stp>STD</stp>
        <stp>Mixed</stp>
        <stp>CONSOL</stp>
        <stp>Yes</stp>
        <stp>CURRENCY</stp>
        <stp>USD</stp>
        <tr r="L31" s="4"/>
      </tp>
      <tp>
        <v>499</v>
        <stp/>
        <stp>##V3_BQLV12</stp>
        <stp>[Fundamental &amp; Technical Model (1).xlsm]Cash Flow!R31C13</stp>
        <stp>SYK US Equity</stp>
        <stp>CF_INCR_LT_BORROW/10^6</stp>
        <stp>FPT</stp>
        <stp>A</stp>
        <stp>FPO</stp>
        <stp>-1A</stp>
        <stp>STD</stp>
        <stp>Mixed</stp>
        <stp>CONSOL</stp>
        <stp>Yes</stp>
        <stp>CURRENCY</stp>
        <stp>USD</stp>
        <tr r="M31" s="4"/>
      </tp>
      <tp>
        <v>-200</v>
        <stp/>
        <stp>##V3_BQLV12</stp>
        <stp>[Fundamental &amp; Technical Model (1).xlsm]Cash Flow!R30C13</stp>
        <stp>SYK US Equity</stp>
        <stp>CF_INCR_ST_BORROW/10^6</stp>
        <stp>FPT</stp>
        <stp>A</stp>
        <stp>FPO</stp>
        <stp>-1A</stp>
        <stp>STD</stp>
        <stp>Mixed</stp>
        <stp>CONSOL</stp>
        <stp>Yes</stp>
        <stp>CURRENCY</stp>
        <stp>USD</stp>
        <tr r="M30" s="4"/>
      </tp>
      <tp>
        <v>209</v>
        <stp/>
        <stp>##V3_BQLV12</stp>
        <stp>[Fundamental &amp; Technical Model (1).xlsm]Cash Flow!R30C12</stp>
        <stp>SYK US Equity</stp>
        <stp>CF_INCR_ST_BORROW/10^6</stp>
        <stp>FPT</stp>
        <stp>A</stp>
        <stp>FPO</stp>
        <stp>-2A</stp>
        <stp>STD</stp>
        <stp>Mixed</stp>
        <stp>CONSOL</stp>
        <stp>Yes</stp>
        <stp>CURRENCY</stp>
        <stp>USD</stp>
        <tr r="L30" s="4"/>
      </tp>
      <tp>
        <v>0</v>
        <stp/>
        <stp>##V3_BQLV12</stp>
        <stp>[Fundamental &amp; Technical Model (1).xlsm]Cash Flow!R30C11</stp>
        <stp>SYK US Equity</stp>
        <stp>CF_INCR_ST_BORROW/10^6</stp>
        <stp>FPT</stp>
        <stp>A</stp>
        <stp>FPO</stp>
        <stp>-3A</stp>
        <stp>STD</stp>
        <stp>Mixed</stp>
        <stp>CONSOL</stp>
        <stp>Yes</stp>
        <stp>CURRENCY</stp>
        <stp>USD</stp>
        <tr r="K30" s="4"/>
      </tp>
      <tp>
        <v>0</v>
        <stp/>
        <stp>##V3_BQLV12</stp>
        <stp>[Fundamental &amp; Technical Model (1).xlsm]Cash Flow!R30C10</stp>
        <stp>SYK US Equity</stp>
        <stp>CF_INCR_ST_BORROW/10^6</stp>
        <stp>FPT</stp>
        <stp>A</stp>
        <stp>FPO</stp>
        <stp>-4A</stp>
        <stp>STD</stp>
        <stp>Mixed</stp>
        <stp>CONSOL</stp>
        <stp>Yes</stp>
        <stp>CURRENCY</stp>
        <stp>USD</stp>
        <tr r="J30" s="4"/>
      </tp>
      <tp>
        <v>-1</v>
        <stp/>
        <stp>##V3_BQLV12</stp>
        <stp>[Fundamental &amp; Technical Model (1).xlsm]Cash Flow!R30C14</stp>
        <stp>SYK US Equity</stp>
        <stp>CF_INCR_ST_BORROW/10^6</stp>
        <stp>FPT</stp>
        <stp>A</stp>
        <stp>FPO</stp>
        <stp>-0A</stp>
        <stp>STD</stp>
        <stp>Mixed</stp>
        <stp>CONSOL</stp>
        <stp>Yes</stp>
        <stp>CURRENCY</stp>
        <stp>USD</stp>
        <tr r="N30" s="4"/>
      </tp>
      <tp>
        <v>16.46586345381526</v>
        <stp/>
        <stp>##V3_BQLV12</stp>
        <stp>[Fundamental &amp; Technical Model (1).xlsm]Ratios!R26C5</stp>
        <stp>SYK US Equity</stp>
        <stp>PROF_MARGIN</stp>
        <stp>FPT</stp>
        <stp>A</stp>
        <stp>FPO</stp>
        <stp>-9A</stp>
        <stp>STD</stp>
        <stp>Mixed</stp>
        <stp>CONSOL</stp>
        <stp>Yes</stp>
        <tr r="E26" s="8"/>
      </tp>
      <tp>
        <v>4404</v>
        <stp/>
        <stp>##V3_BDPV12</stp>
        <stp>BDX Equity</stp>
        <stp>Trail_12M_ebitda</stp>
        <stp>[Fundamental &amp; Technical Model (1).xlsm]Public Comparables!R8C11</stp>
        <tr r="K8" s="24"/>
      </tp>
      <tp t="s">
        <v>#N/A N/A</v>
        <stp/>
        <stp>##V3_BDSV12</stp>
        <stp>SYK US Equity</stp>
        <stp>PG_ASSETS</stp>
        <stp>[Fundamental &amp; Technical Model (1).xlsm]Segments!R113C5</stp>
        <stp>PG_HIERARCHY_LEVEL=1</stp>
        <stp>NUMBER_OF_PERIODS=-11</stp>
        <stp>REVERSE_PERIOD_ORDER=N</stp>
        <stp>PRODUCT_GEO_OVERRIDE=P</stp>
        <stp>FUND_PER</stp>
        <stp>Y</stp>
        <stp>ACCOUNTING_STANDARD_OVERRIDE</stp>
        <stp>Mixed</stp>
        <stp>EQY_CONSOLIDATED</stp>
        <stp>Yes</stp>
        <stp>EQY_FUND_CRNCY</stp>
        <stp>USD</stp>
        <stp>StartCol</stp>
        <stp>12</stp>
        <stp>EndCol</stp>
        <stp>12</stp>
        <stp>StartRow</stp>
        <stp>10</stp>
        <stp>EndRow</stp>
        <stp>10</stp>
        <tr r="E113" s="17"/>
      </tp>
      <tp>
        <v>2441</v>
        <stp/>
        <stp>##V3_BQLV12</stp>
        <stp>[Fundamental &amp; Technical Model (1).xlsm]Income Statement!R82C14</stp>
        <stp>SYK US Equity</stp>
        <stp>NORMALIZED_INCOME/10^6</stp>
        <stp>FPT</stp>
        <stp>A</stp>
        <stp>FPO</stp>
        <stp>-0A</stp>
        <stp>STD</stp>
        <stp>Mixed</stp>
        <stp>CONSOL</stp>
        <stp>Yes</stp>
        <stp>CURRENCY</stp>
        <stp>USD</stp>
        <tr r="N82" s="2"/>
      </tp>
      <tp t="s">
        <v>Endoscopy</v>
        <stp/>
        <stp>##V3_BDSV12</stp>
        <stp>SYK US Equity</stp>
        <stp>PG_REVENUE</stp>
        <stp>[Fundamental &amp; Technical Model (1).xlsm]Segments!R21C3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21" s="17"/>
        <tr r="C21" s="17"/>
      </tp>
      <tp t="s">
        <v>MedSurg</v>
        <stp/>
        <stp>##V3_BDSV12</stp>
        <stp>SYK US Equity</stp>
        <stp>PG_REVENUE</stp>
        <stp>[Fundamental &amp; Technical Model (1).xlsm]Segments!R20C3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20" s="17"/>
        <tr r="C20" s="17"/>
      </tp>
      <tp t="s">
        <v>Orthopedic Implants</v>
        <stp/>
        <stp>##V3_BDSV12</stp>
        <stp>SYK US Equity</stp>
        <stp>PG_REVENUE</stp>
        <stp>[Fundamental &amp; Technical Model (1).xlsm]Segments!R23C3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23" s="17"/>
        <tr r="C23" s="17"/>
      </tp>
      <tp t="s">
        <v>Others</v>
        <stp/>
        <stp>##V3_BDSV12</stp>
        <stp>SYK US Equity</stp>
        <stp>PG_REVENUE</stp>
        <stp>[Fundamental &amp; Technical Model (1).xlsm]Segments!R22C3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22" s="17"/>
        <tr r="C22" s="17"/>
      </tp>
      <tp t="s">
        <v>#N/A N/A</v>
        <stp/>
        <stp>##V3_BDSV12</stp>
        <stp>SYK US Equity</stp>
        <stp>PG_REVENUE</stp>
        <stp>[Fundamental &amp; Technical Model (1).xlsm]Segments!R25C8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25" s="17"/>
      </tp>
      <tp t="s">
        <v>#N/A N/A</v>
        <stp/>
        <stp>##V3_BDSV12</stp>
        <stp>SYK US Equity</stp>
        <stp>PG_REVENUE</stp>
        <stp>[Fundamental &amp; Technical Model (1).xlsm]Segments!R24C8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24" s="17"/>
      </tp>
      <tp t="s">
        <v>#N/A N/A</v>
        <stp/>
        <stp>##V3_BDSV12</stp>
        <stp>SYK US Equity</stp>
        <stp>PG_REVENUE</stp>
        <stp>[Fundamental &amp; Technical Model (1).xlsm]Segments!R24C9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24" s="17"/>
      </tp>
      <tp t="s">
        <v>#N/A N/A</v>
        <stp/>
        <stp>##V3_BDSV12</stp>
        <stp>SYK US Equity</stp>
        <stp>PG_REVENUE</stp>
        <stp>[Fundamental &amp; Technical Model (1).xlsm]Segments!R25C9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25" s="17"/>
      </tp>
      <tp>
        <v>1677</v>
        <stp/>
        <stp>##V3_BQLV12</stp>
        <stp>[Fundamental &amp; Technical Model (1).xlsm]Income Statement!R82C10</stp>
        <stp>SYK US Equity</stp>
        <stp>NORMALIZED_INCOME/10^6</stp>
        <stp>FPT</stp>
        <stp>A</stp>
        <stp>FPO</stp>
        <stp>-4A</stp>
        <stp>STD</stp>
        <stp>Mixed</stp>
        <stp>CONSOL</stp>
        <stp>Yes</stp>
        <stp>CURRENCY</stp>
        <stp>USD</stp>
        <tr r="J82" s="2"/>
      </tp>
      <tp>
        <v>1802</v>
        <stp/>
        <stp>##V3_BQLV12</stp>
        <stp>[Fundamental &amp; Technical Model (1).xlsm]Income Statement!R82C11</stp>
        <stp>SYK US Equity</stp>
        <stp>NORMALIZED_INCOME/10^6</stp>
        <stp>FPT</stp>
        <stp>A</stp>
        <stp>FPO</stp>
        <stp>-3A</stp>
        <stp>STD</stp>
        <stp>Mixed</stp>
        <stp>CONSOL</stp>
        <stp>Yes</stp>
        <stp>CURRENCY</stp>
        <stp>USD</stp>
        <tr r="K82" s="2"/>
      </tp>
      <tp>
        <v>1973</v>
        <stp/>
        <stp>##V3_BQLV12</stp>
        <stp>[Fundamental &amp; Technical Model (1).xlsm]Income Statement!R82C12</stp>
        <stp>SYK US Equity</stp>
        <stp>NORMALIZED_INCOME/10^6</stp>
        <stp>FPT</stp>
        <stp>A</stp>
        <stp>FPO</stp>
        <stp>-2A</stp>
        <stp>STD</stp>
        <stp>Mixed</stp>
        <stp>CONSOL</stp>
        <stp>Yes</stp>
        <stp>CURRENCY</stp>
        <stp>USD</stp>
        <tr r="L82" s="2"/>
      </tp>
      <tp>
        <v>2215</v>
        <stp/>
        <stp>##V3_BQLV12</stp>
        <stp>[Fundamental &amp; Technical Model (1).xlsm]Income Statement!R82C13</stp>
        <stp>SYK US Equity</stp>
        <stp>NORMALIZED_INCOME/10^6</stp>
        <stp>FPT</stp>
        <stp>A</stp>
        <stp>FPO</stp>
        <stp>-1A</stp>
        <stp>STD</stp>
        <stp>Mixed</stp>
        <stp>CONSOL</stp>
        <stp>Yes</stp>
        <stp>CURRENCY</stp>
        <stp>USD</stp>
        <tr r="M82" s="2"/>
      </tp>
      <tp t="e">
        <v>#N/A</v>
        <stp/>
        <stp>##V3_BDHV12</stp>
        <stp>SYK US Equity</stp>
        <stp>HIGH_CLOSING_PRICE_TO_CASH_FLOW</stp>
        <stp>-1FY</stp>
        <stp>-1FY</stp>
        <stp>[Fundamental &amp; Technical Model (1).xlsm]Multiples!R53C12</stp>
        <stp>EQY_CONSOLIDATED</stp>
        <stp>Yes</stp>
        <stp>ACCOUNTING_STANDARD_OVERRIDE</stp>
        <stp>Mixed</stp>
        <stp>Per</stp>
        <stp>FY</stp>
        <stp>Days=A</stp>
        <tr r="L53" s="16"/>
        <tr r="L53" s="16"/>
      </tp>
      <tp>
        <v>1111</v>
        <stp/>
        <stp>##V3_BDSV12</stp>
        <stp>SYK US Equity</stp>
        <stp>PG_REVENUE</stp>
        <stp>[Fundamental &amp; Technical Model (1).xlsm]Segments!R21C8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21" s="17"/>
        <tr r="H21" s="17"/>
      </tp>
      <tp>
        <v>3265</v>
        <stp/>
        <stp>##V3_BDSV12</stp>
        <stp>SYK US Equity</stp>
        <stp>PG_REVENUE</stp>
        <stp>[Fundamental &amp; Technical Model (1).xlsm]Segments!R20C8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20" s="17"/>
        <tr r="H20" s="17"/>
      </tp>
      <tp t="s">
        <v>#N/A N/A</v>
        <stp/>
        <stp>##V3_BDSV12</stp>
        <stp>SYK US Equity</stp>
        <stp>PG_REVENUE</stp>
        <stp>[Fundamental &amp; Technical Model (1).xlsm]Segments!R23C8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23" s="17"/>
      </tp>
      <tp t="s">
        <v>#N/A N/A</v>
        <stp/>
        <stp>##V3_BDSV12</stp>
        <stp>SYK US Equity</stp>
        <stp>PG_REVENUE</stp>
        <stp>[Fundamental &amp; Technical Model (1).xlsm]Segments!R22C8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22" s="17"/>
      </tp>
      <tp t="s">
        <v>#N/A N/A</v>
        <stp/>
        <stp>##V3_BDSV12</stp>
        <stp>SYK US Equity</stp>
        <stp>PG_REVENUE</stp>
        <stp>[Fundamental &amp; Technical Model (1).xlsm]Segments!R25C3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25" s="17"/>
      </tp>
      <tp t="s">
        <v>Reconstructive_orthopaedics</v>
        <stp/>
        <stp>##V3_BDSV12</stp>
        <stp>SYK US Equity</stp>
        <stp>PG_REVENUE</stp>
        <stp>[Fundamental &amp; Technical Model (1).xlsm]Segments!R24C3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24" s="17"/>
        <tr r="C24" s="17"/>
      </tp>
      <tp t="e">
        <v>#N/A</v>
        <stp/>
        <stp>##V3_BDHV12</stp>
        <stp>SYK US Equity</stp>
        <stp>HIGH_CLOSING_PRICE_TO_CASH_FLOW</stp>
        <stp>-0FY</stp>
        <stp>-0FY</stp>
        <stp>[Fundamental &amp; Technical Model (1).xlsm]Multiples!R53C13</stp>
        <stp>EQY_CONSOLIDATED</stp>
        <stp>Yes</stp>
        <stp>ACCOUNTING_STANDARD_OVERRIDE</stp>
        <stp>Mixed</stp>
        <stp>Per</stp>
        <stp>FY</stp>
        <stp>Days=A</stp>
        <tr r="M53" s="16"/>
        <tr r="M53" s="16"/>
      </tp>
      <tp>
        <v>1482</v>
        <stp/>
        <stp>##V3_BDSV12</stp>
        <stp>SYK US Equity</stp>
        <stp>PG_REVENUE</stp>
        <stp>[Fundamental &amp; Technical Model (1).xlsm]Segments!R20C9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20" s="17"/>
        <tr r="I20" s="17"/>
      </tp>
      <tp>
        <v>1222</v>
        <stp/>
        <stp>##V3_BDSV12</stp>
        <stp>SYK US Equity</stp>
        <stp>PG_REVENUE</stp>
        <stp>[Fundamental &amp; Technical Model (1).xlsm]Segments!R21C9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21" s="17"/>
        <tr r="I21" s="17"/>
      </tp>
      <tp t="s">
        <v>#N/A N/A</v>
        <stp/>
        <stp>##V3_BDSV12</stp>
        <stp>SYK US Equity</stp>
        <stp>PG_REVENUE</stp>
        <stp>[Fundamental &amp; Technical Model (1).xlsm]Segments!R22C9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22" s="17"/>
      </tp>
      <tp t="s">
        <v>#N/A N/A</v>
        <stp/>
        <stp>##V3_BDSV12</stp>
        <stp>SYK US Equity</stp>
        <stp>PG_REVENUE</stp>
        <stp>[Fundamental &amp; Technical Model (1).xlsm]Segments!R23C9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23" s="17"/>
      </tp>
      <tp t="e">
        <v>#N/A</v>
        <stp/>
        <stp>##V3_BDHV12</stp>
        <stp>SYK US Equity</stp>
        <stp>HIGH_CLOSING_PRICE_TO_CASH_FLOW</stp>
        <stp>-3FY</stp>
        <stp>-3FY</stp>
        <stp>[Fundamental &amp; Technical Model (1).xlsm]Multiples!R53C10</stp>
        <stp>EQY_CONSOLIDATED</stp>
        <stp>Yes</stp>
        <stp>ACCOUNTING_STANDARD_OVERRIDE</stp>
        <stp>Mixed</stp>
        <stp>Per</stp>
        <stp>FY</stp>
        <stp>Days=A</stp>
        <tr r="J53" s="16"/>
        <tr r="J53" s="16"/>
      </tp>
      <tp t="e">
        <v>#N/A</v>
        <stp/>
        <stp>##V3_BDHV12</stp>
        <stp>SYK US Equity</stp>
        <stp>HIGH_CLOSING_PRICE_TO_CASH_FLOW</stp>
        <stp>-2FY</stp>
        <stp>-2FY</stp>
        <stp>[Fundamental &amp; Technical Model (1).xlsm]Multiples!R53C11</stp>
        <stp>EQY_CONSOLIDATED</stp>
        <stp>Yes</stp>
        <stp>ACCOUNTING_STANDARD_OVERRIDE</stp>
        <stp>Mixed</stp>
        <stp>Per</stp>
        <stp>FY</stp>
        <stp>Days=A</stp>
        <tr r="K53" s="16"/>
        <tr r="K53" s="16"/>
      </tp>
      <tp>
        <v>1.1171032357473036</v>
        <stp/>
        <stp>##V3_BDPV12</stp>
        <stp>SYK US Equity</stp>
        <stp>DEGREE_FINANCIAL_LEVERAGE</stp>
        <stp>[Fundamental &amp; Technical Model (1).xlsm]Capital Structure Summary!R66C7</stp>
        <stp>EQY_FUND_RELATIVE_PERIOD</stp>
        <stp>-2FY</stp>
        <stp>EQY_FUND_CRNCY</stp>
        <stp>USD</stp>
        <stp>EQY_CONSOLIDATED</stp>
        <stp>Yes</stp>
        <stp>ACCOUNTING_STANDARD_OVERRIDE</stp>
        <stp>Mixed</stp>
        <stp>Fill=--</stp>
        <tr r="G66" s="21"/>
      </tp>
      <tp>
        <v>1.0616086708499715</v>
        <stp/>
        <stp>##V3_BDPV12</stp>
        <stp>SYK US Equity</stp>
        <stp>DEGREE_FINANCIAL_LEVERAGE</stp>
        <stp>[Fundamental &amp; Technical Model (1).xlsm]Capital Structure Summary!R66C5</stp>
        <stp>EQY_FUND_RELATIVE_PERIOD</stp>
        <stp>-3FY</stp>
        <stp>EQY_FUND_CRNCY</stp>
        <stp>USD</stp>
        <stp>EQY_CONSOLIDATED</stp>
        <stp>Yes</stp>
        <stp>ACCOUNTING_STANDARD_OVERRIDE</stp>
        <stp>Mixed</stp>
        <stp>Fill=--</stp>
        <tr r="E66" s="21"/>
      </tp>
      <tp>
        <v>1.0997352162400706</v>
        <stp/>
        <stp>##V3_BDPV12</stp>
        <stp>SYK US Equity</stp>
        <stp>DEGREE_FINANCIAL_LEVERAGE</stp>
        <stp>[Fundamental &amp; Technical Model (1).xlsm]Capital Structure Summary!R66C3</stp>
        <stp>EQY_FUND_RELATIVE_PERIOD</stp>
        <stp>-4FY</stp>
        <stp>EQY_FUND_CRNCY</stp>
        <stp>USD</stp>
        <stp>EQY_CONSOLIDATED</stp>
        <stp>Yes</stp>
        <stp>ACCOUNTING_STANDARD_OVERRIDE</stp>
        <stp>Mixed</stp>
        <stp>Fill=--</stp>
        <tr r="C66" s="21"/>
      </tp>
      <tp>
        <v>1.1204878048780489</v>
        <stp/>
        <stp>##V3_BDPV12</stp>
        <stp>SYK US Equity</stp>
        <stp>DEGREE_FINANCIAL_LEVERAGE</stp>
        <stp>[Fundamental &amp; Technical Model (1).xlsm]Capital Structure Summary!R66C9</stp>
        <stp>EQY_FUND_RELATIVE_PERIOD</stp>
        <stp>-1FY</stp>
        <stp>EQY_FUND_CRNCY</stp>
        <stp>USD</stp>
        <stp>EQY_CONSOLIDATED</stp>
        <stp>Yes</stp>
        <stp>ACCOUNTING_STANDARD_OVERRIDE</stp>
        <stp>Mixed</stp>
        <stp>Fill=--</stp>
        <tr r="I66" s="21"/>
      </tp>
      <tp>
        <v>17</v>
        <stp/>
        <stp>##V3_BQLV12</stp>
        <stp>[Fundamental &amp; Technical Model (1).xlsm]Balance Sheet!R38C7</stp>
        <stp>SYK US Equity</stp>
        <stp>BS_ST_BORROW/10^6</stp>
        <stp>FPT</stp>
        <stp>A</stp>
        <stp>FPO</stp>
        <stp>-7A</stp>
        <stp>STD</stp>
        <stp>Mixed</stp>
        <stp>CONSOL</stp>
        <stp>Yes</stp>
        <stp>CURRENCY</stp>
        <stp>USD</stp>
        <tr r="G38" s="3"/>
      </tp>
      <tp>
        <v>25</v>
        <stp/>
        <stp>##V3_BQLV12</stp>
        <stp>[Fundamental &amp; Technical Model (1).xlsm]Balance Sheet!R38C6</stp>
        <stp>SYK US Equity</stp>
        <stp>BS_ST_BORROW/10^6</stp>
        <stp>FPT</stp>
        <stp>A</stp>
        <stp>FPO</stp>
        <stp>-8A</stp>
        <stp>STD</stp>
        <stp>Mixed</stp>
        <stp>CONSOL</stp>
        <stp>Yes</stp>
        <stp>CURRENCY</stp>
        <stp>USD</stp>
        <tr r="F38" s="3"/>
      </tp>
      <tp>
        <v>18</v>
        <stp/>
        <stp>##V3_BQLV12</stp>
        <stp>[Fundamental &amp; Technical Model (1).xlsm]Balance Sheet!R38C5</stp>
        <stp>SYK US Equity</stp>
        <stp>BS_ST_BORROW/10^6</stp>
        <stp>FPT</stp>
        <stp>A</stp>
        <stp>FPO</stp>
        <stp>-9A</stp>
        <stp>STD</stp>
        <stp>Mixed</stp>
        <stp>CONSOL</stp>
        <stp>Yes</stp>
        <stp>CURRENCY</stp>
        <stp>USD</stp>
        <tr r="E38" s="3"/>
      </tp>
      <tp>
        <v>25</v>
        <stp/>
        <stp>##V3_BQLV12</stp>
        <stp>[Fundamental &amp; Technical Model (1).xlsm]Balance Sheet!R38C9</stp>
        <stp>SYK US Equity</stp>
        <stp>BS_ST_BORROW/10^6</stp>
        <stp>FPT</stp>
        <stp>A</stp>
        <stp>FPO</stp>
        <stp>-5A</stp>
        <stp>STD</stp>
        <stp>Mixed</stp>
        <stp>CONSOL</stp>
        <stp>Yes</stp>
        <stp>CURRENCY</stp>
        <stp>USD</stp>
        <tr r="I38" s="3"/>
      </tp>
      <tp>
        <v>16</v>
        <stp/>
        <stp>##V3_BQLV12</stp>
        <stp>[Fundamental &amp; Technical Model (1).xlsm]Balance Sheet!R38C8</stp>
        <stp>SYK US Equity</stp>
        <stp>BS_ST_BORROW/10^6</stp>
        <stp>FPT</stp>
        <stp>A</stp>
        <stp>FPO</stp>
        <stp>-6A</stp>
        <stp>STD</stp>
        <stp>Mixed</stp>
        <stp>CONSOL</stp>
        <stp>Yes</stp>
        <stp>CURRENCY</stp>
        <stp>USD</stp>
        <tr r="H38" s="3"/>
      </tp>
      <tp t="s">
        <v>#N/A N/A</v>
        <stp/>
        <stp>##V3_BDSV12</stp>
        <stp>SYK US Equity</stp>
        <stp>PG_GROSS_PROFIT</stp>
        <stp>[Fundamental &amp; Technical Model (1).xlsm]Segments!R67C10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8</stp>
        <stp>EndRow</stp>
        <stp>8</stp>
        <tr r="J67" s="17"/>
      </tp>
      <tp t="s">
        <v>#N/A N/A</v>
        <stp/>
        <stp>##V3_BDSV12</stp>
        <stp>SYK US Equity</stp>
        <stp>PG_GROSS_PROFIT</stp>
        <stp>[Fundamental &amp; Technical Model (1).xlsm]Segments!R67C11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8</stp>
        <stp>EndRow</stp>
        <stp>8</stp>
        <tr r="K67" s="17"/>
      </tp>
      <tp t="s">
        <v>#N/A N/A</v>
        <stp/>
        <stp>##V3_BDSV12</stp>
        <stp>SYK US Equity</stp>
        <stp>PG_GROSS_PROFIT</stp>
        <stp>[Fundamental &amp; Technical Model (1).xlsm]Segments!R67C12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8</stp>
        <stp>EndRow</stp>
        <stp>8</stp>
        <tr r="L67" s="17"/>
      </tp>
      <tp t="s">
        <v>#N/A N/A</v>
        <stp/>
        <stp>##V3_BDSV12</stp>
        <stp>SYK US Equity</stp>
        <stp>PG_GROSS_PROFIT</stp>
        <stp>[Fundamental &amp; Technical Model (1).xlsm]Segments!R67C13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8</stp>
        <stp>EndRow</stp>
        <stp>8</stp>
        <tr r="M67" s="17"/>
      </tp>
      <tp t="s">
        <v>#N/A N/A</v>
        <stp/>
        <stp>##V3_BDSV12</stp>
        <stp>SYK US Equity</stp>
        <stp>PG_GROSS_PROFIT</stp>
        <stp>[Fundamental &amp; Technical Model (1).xlsm]Segments!R67C14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8</stp>
        <stp>EndRow</stp>
        <stp>8</stp>
        <tr r="N67" s="17"/>
      </tp>
      <tp t="e">
        <v>#N/A</v>
        <stp/>
        <stp>##V3_BDHV12</stp>
        <stp>SYK US Equity</stp>
        <stp>WACC_COST_DEBT</stp>
        <stp>-1FY</stp>
        <stp>-1FY</stp>
        <stp>[Fundamental &amp; Technical Model (1).xlsm]Capital Structure Summary!R18C9</stp>
        <stp>Per</stp>
        <stp>FY</stp>
        <tr r="I18" s="21"/>
      </tp>
      <tp t="s">
        <v>--</v>
        <stp/>
        <stp>##V3_BDPV12</stp>
        <stp>SYK US Equity</stp>
        <stp>ARDR_STOCK_OPTION_VAL_EXP_LIFE</stp>
        <stp>[Fundamental &amp; Technical Model (1).xlsm]Supplemental!R28C3</stp>
        <stp>EQY_FUND_RELATIVE_PERIOD</stp>
        <stp>-10FY</stp>
        <stp>EQY_FUND_CRNCY</stp>
        <stp>USD</stp>
        <stp>EQY_CONSOLIDATED</stp>
        <stp>Yes</stp>
        <stp>ACCOUNTING_STANDARD_OVERRIDE</stp>
        <stp>Mixed</stp>
        <stp>Fill=--</stp>
        <tr r="C28" s="19"/>
      </tp>
      <tp>
        <v>39</v>
        <stp/>
        <stp>##V3_BDPV12</stp>
        <stp>SYK US Equity</stp>
        <stp>BS_RENTAL_EXP_YEAR_3</stp>
        <stp>[Fundamental &amp; Technical Model (1).xlsm]Capital Structure Summary!R99C11</stp>
        <stp>EQY_FUND_RELATIVE_PERIOD</stp>
        <stp>-0FY</stp>
        <stp>EQY_FUND_CRNCY</stp>
        <stp>USD</stp>
        <stp>EQY_CONSOLIDATED</stp>
        <stp>Yes</stp>
        <stp>ACCOUNTING_STANDARD_OVERRIDE</stp>
        <stp>Mixed</stp>
        <stp>Fill=--</stp>
        <tr r="K99" s="21"/>
      </tp>
      <tp>
        <v>86480.372759075006</v>
        <stp/>
        <stp>##V3_BDPV12</stp>
        <stp>BDX Equity</stp>
        <stp>curr_entp_val</stp>
        <stp>[Fundamental &amp; Technical Model (1).xlsm]Public Comparables!R8C9</stp>
        <tr r="I8" s="24"/>
      </tp>
      <tp>
        <v>1</v>
        <stp/>
        <stp>##V3_BDPV12</stp>
        <stp>SYK US Equity</stp>
        <stp>BS_STOCK_OPTION_VAL_MODEL</stp>
        <stp>[Fundamental &amp; Technical Model (1).xlsm]Supplemental!R24C4</stp>
        <stp>EQY_FUND_RELATIVE_PERIOD</stp>
        <stp>-9FY</stp>
        <stp>EQY_FUND_CRNCY</stp>
        <stp>USD</stp>
        <stp>EQY_CONSOLIDATED</stp>
        <stp>Yes</stp>
        <stp>ACCOUNTING_STANDARD_OVERRIDE</stp>
        <stp>Mixed</stp>
        <stp>Fill=--</stp>
        <tr r="D24" s="19"/>
      </tp>
      <tp>
        <v>1</v>
        <stp/>
        <stp>##V3_BDPV12</stp>
        <stp>SYK US Equity</stp>
        <stp>BS_STOCK_OPTION_VAL_MODEL</stp>
        <stp>[Fundamental &amp; Technical Model (1).xlsm]Supplemental!R24C5</stp>
        <stp>EQY_FUND_RELATIVE_PERIOD</stp>
        <stp>-8FY</stp>
        <stp>EQY_FUND_CRNCY</stp>
        <stp>USD</stp>
        <stp>EQY_CONSOLIDATED</stp>
        <stp>Yes</stp>
        <stp>ACCOUNTING_STANDARD_OVERRIDE</stp>
        <stp>Mixed</stp>
        <stp>Fill=--</stp>
        <tr r="E24" s="19"/>
      </tp>
      <tp>
        <v>1</v>
        <stp/>
        <stp>##V3_BDPV12</stp>
        <stp>SYK US Equity</stp>
        <stp>BS_STOCK_OPTION_VAL_MODEL</stp>
        <stp>[Fundamental &amp; Technical Model (1).xlsm]Supplemental!R24C8</stp>
        <stp>EQY_FUND_RELATIVE_PERIOD</stp>
        <stp>-5FY</stp>
        <stp>EQY_FUND_CRNCY</stp>
        <stp>USD</stp>
        <stp>EQY_CONSOLIDATED</stp>
        <stp>Yes</stp>
        <stp>ACCOUNTING_STANDARD_OVERRIDE</stp>
        <stp>Mixed</stp>
        <stp>Fill=--</stp>
        <tr r="H24" s="19"/>
      </tp>
      <tp>
        <v>1</v>
        <stp/>
        <stp>##V3_BDPV12</stp>
        <stp>SYK US Equity</stp>
        <stp>BS_STOCK_OPTION_VAL_MODEL</stp>
        <stp>[Fundamental &amp; Technical Model (1).xlsm]Supplemental!R24C9</stp>
        <stp>EQY_FUND_RELATIVE_PERIOD</stp>
        <stp>-4FY</stp>
        <stp>EQY_FUND_CRNCY</stp>
        <stp>USD</stp>
        <stp>EQY_CONSOLIDATED</stp>
        <stp>Yes</stp>
        <stp>ACCOUNTING_STANDARD_OVERRIDE</stp>
        <stp>Mixed</stp>
        <stp>Fill=--</stp>
        <tr r="I24" s="19"/>
      </tp>
      <tp>
        <v>1</v>
        <stp/>
        <stp>##V3_BDPV12</stp>
        <stp>SYK US Equity</stp>
        <stp>BS_STOCK_OPTION_VAL_MODEL</stp>
        <stp>[Fundamental &amp; Technical Model (1).xlsm]Supplemental!R24C6</stp>
        <stp>EQY_FUND_RELATIVE_PERIOD</stp>
        <stp>-7FY</stp>
        <stp>EQY_FUND_CRNCY</stp>
        <stp>USD</stp>
        <stp>EQY_CONSOLIDATED</stp>
        <stp>Yes</stp>
        <stp>ACCOUNTING_STANDARD_OVERRIDE</stp>
        <stp>Mixed</stp>
        <stp>Fill=--</stp>
        <tr r="F24" s="19"/>
      </tp>
      <tp>
        <v>1</v>
        <stp/>
        <stp>##V3_BDPV12</stp>
        <stp>SYK US Equity</stp>
        <stp>BS_STOCK_OPTION_VAL_MODEL</stp>
        <stp>[Fundamental &amp; Technical Model (1).xlsm]Supplemental!R24C7</stp>
        <stp>EQY_FUND_RELATIVE_PERIOD</stp>
        <stp>-6FY</stp>
        <stp>EQY_FUND_CRNCY</stp>
        <stp>USD</stp>
        <stp>EQY_CONSOLIDATED</stp>
        <stp>Yes</stp>
        <stp>ACCOUNTING_STANDARD_OVERRIDE</stp>
        <stp>Mixed</stp>
        <stp>Fill=--</stp>
        <tr r="G24" s="19"/>
      </tp>
      <tp>
        <v>0</v>
        <stp/>
        <stp>##V3_BQLV12</stp>
        <stp>[Fundamental &amp; Technical Model (1).xlsm]Ratios!R48C4</stp>
        <stp>SYK US Equity</stp>
        <stp>LT_DEBT_TO_COM_EQY</stp>
        <stp>FPT</stp>
        <stp>A</stp>
        <stp>FPO</stp>
        <stp>-10A</stp>
        <stp>STD</stp>
        <stp>Mixed</stp>
        <stp>CONSOL</stp>
        <stp>Yes</stp>
        <tr r="D48" s="8"/>
      </tp>
      <tp t="s">
        <v>#N/A N/A</v>
        <stp/>
        <stp>##V3_BDSV12</stp>
        <stp>SYK US Equity</stp>
        <stp>PG_ASSETS</stp>
        <stp>[Fundamental &amp; Technical Model (1).xlsm]Segments!R113C6</stp>
        <stp>PG_HIERARCHY_LEVEL=1</stp>
        <stp>NUMBER_OF_PERIODS=-11</stp>
        <stp>REVERSE_PERIOD_ORDER=N</stp>
        <stp>PRODUCT_GEO_OVERRIDE=P</stp>
        <stp>FUND_PER</stp>
        <stp>Y</stp>
        <stp>ACCOUNTING_STANDARD_OVERRIDE</stp>
        <stp>Mixed</stp>
        <stp>EQY_CONSOLIDATED</stp>
        <stp>Yes</stp>
        <stp>EQY_FUND_CRNCY</stp>
        <stp>USD</stp>
        <stp>StartCol</stp>
        <stp>11</stp>
        <stp>EndCol</stp>
        <stp>11</stp>
        <stp>StartRow</stp>
        <stp>10</stp>
        <stp>EndRow</stp>
        <stp>10</stp>
        <tr r="F113" s="17"/>
      </tp>
      <tp>
        <v>40543</v>
        <stp/>
        <stp>##V3_BQLV12</stp>
        <stp>[Fundamental &amp; Technical Model (1).xlsm]Balance Sheet!R15C6</stp>
        <stp>SYK US Equity</stp>
        <stp>IS_EPS().PERIOD_END_DATE</stp>
        <stp>FPT</stp>
        <stp>A</stp>
        <stp>FPO</stp>
        <stp>-8A</stp>
        <stp>STD</stp>
        <stp>Mixed</stp>
        <stp>CONSOL</stp>
        <stp>Yes</stp>
        <tr r="F15" s="3"/>
      </tp>
      <tp>
        <v>41274</v>
        <stp/>
        <stp>##V3_BQLV12</stp>
        <stp>[Fundamental &amp; Technical Model (1).xlsm]Balance Sheet!R15C8</stp>
        <stp>SYK US Equity</stp>
        <stp>IS_EPS().PERIOD_END_DATE</stp>
        <stp>FPT</stp>
        <stp>A</stp>
        <stp>FPO</stp>
        <stp>-6A</stp>
        <stp>STD</stp>
        <stp>Mixed</stp>
        <stp>CONSOL</stp>
        <stp>Yes</stp>
        <tr r="H15" s="3"/>
      </tp>
      <tp t="s">
        <v>#N/A N/A</v>
        <stp/>
        <stp>##V3_BDSV12</stp>
        <stp>SYK US Equity</stp>
        <stp>PG_GROSS_PROFIT</stp>
        <stp>[Fundamental &amp; Technical Model (1).xlsm]Segments!R66C14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7</stp>
        <stp>EndRow</stp>
        <stp>7</stp>
        <tr r="N66" s="17"/>
      </tp>
      <tp t="s">
        <v>#N/A N/A</v>
        <stp/>
        <stp>##V3_BDSV12</stp>
        <stp>SYK US Equity</stp>
        <stp>PG_GROSS_PROFIT</stp>
        <stp>[Fundamental &amp; Technical Model (1).xlsm]Segments!R66C13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7</stp>
        <stp>EndRow</stp>
        <stp>7</stp>
        <tr r="M66" s="17"/>
      </tp>
      <tp t="s">
        <v>#N/A N/A</v>
        <stp/>
        <stp>##V3_BDSV12</stp>
        <stp>SYK US Equity</stp>
        <stp>PG_GROSS_PROFIT</stp>
        <stp>[Fundamental &amp; Technical Model (1).xlsm]Segments!R66C12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7</stp>
        <stp>EndRow</stp>
        <stp>7</stp>
        <tr r="L66" s="17"/>
      </tp>
      <tp t="s">
        <v>#N/A N/A</v>
        <stp/>
        <stp>##V3_BDSV12</stp>
        <stp>SYK US Equity</stp>
        <stp>PG_GROSS_PROFIT</stp>
        <stp>[Fundamental &amp; Technical Model (1).xlsm]Segments!R66C11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7</stp>
        <stp>EndRow</stp>
        <stp>7</stp>
        <tr r="K66" s="17"/>
      </tp>
      <tp t="s">
        <v>#N/A N/A</v>
        <stp/>
        <stp>##V3_BDSV12</stp>
        <stp>SYK US Equity</stp>
        <stp>PG_GROSS_PROFIT</stp>
        <stp>[Fundamental &amp; Technical Model (1).xlsm]Segments!R66C10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7</stp>
        <stp>EndRow</stp>
        <stp>7</stp>
        <tr r="J66" s="17"/>
      </tp>
      <tp>
        <v>20.5</v>
        <stp/>
        <stp>##V3_BQLV12</stp>
        <stp>[Fundamental &amp; Technical Model (1).xlsm]Balance Sheet!R68C4</stp>
        <stp>SYK US Equity</stp>
        <stp>SHORT_AND_LONG_TERM_DEBT/10^6</stp>
        <stp>FPT</stp>
        <stp>A</stp>
        <stp>FPO</stp>
        <stp>-10A</stp>
        <stp>STD</stp>
        <stp>Mixed</stp>
        <stp>CONSOL</stp>
        <stp>Yes</stp>
        <stp>CURRENCY</stp>
        <stp>USD</stp>
        <tr r="D68" s="3"/>
      </tp>
      <tp>
        <v>42004</v>
        <stp/>
        <stp>##V3_BQLV12</stp>
        <stp>[Fundamental &amp; Technical Model (1).xlsm]Balance Sheet!R15C10</stp>
        <stp>SYK US Equity</stp>
        <stp>IS_EPS().PERIOD_END_DATE</stp>
        <stp>FPT</stp>
        <stp>A</stp>
        <stp>FPO</stp>
        <stp>-4A</stp>
        <stp>STD</stp>
        <stp>Mixed</stp>
        <stp>CONSOL</stp>
        <stp>Yes</stp>
        <tr r="J15" s="3"/>
      </tp>
      <tp>
        <v>43465</v>
        <stp/>
        <stp>##V3_BQLV12</stp>
        <stp>[Fundamental &amp; Technical Model (1).xlsm]Balance Sheet!R15C14</stp>
        <stp>SYK US Equity</stp>
        <stp>IS_EPS().PERIOD_END_DATE</stp>
        <stp>FPT</stp>
        <stp>A</stp>
        <stp>FPO</stp>
        <stp>-0A</stp>
        <stp>STD</stp>
        <stp>Mixed</stp>
        <stp>CONSOL</stp>
        <stp>Yes</stp>
        <tr r="N15" s="3"/>
      </tp>
      <tp t="s">
        <v>#N/A</v>
        <stp/>
        <stp>##V3_BQLV12</stp>
        <stp>[Fundamental &amp; Technical Model (1).xlsm]Cash Flow!R42C7</stp>
        <stp>SYK US Equity</stp>
        <stp>CF_INCR_DECR_INSUR_RSRV/10^6</stp>
        <stp>FPT</stp>
        <stp>A</stp>
        <stp>FPO</stp>
        <stp>-7A</stp>
        <stp>STD</stp>
        <stp>Mixed</stp>
        <stp>CONSOL</stp>
        <stp>Yes</stp>
        <stp>CURRENCY</stp>
        <stp>USD</stp>
        <tr r="G42" s="4"/>
      </tp>
      <tp t="s">
        <v>#N/A</v>
        <stp/>
        <stp>##V3_BQLV12</stp>
        <stp>[Fundamental &amp; Technical Model (1).xlsm]Cash Flow!R42C5</stp>
        <stp>SYK US Equity</stp>
        <stp>CF_INCR_DECR_INSUR_RSRV/10^6</stp>
        <stp>FPT</stp>
        <stp>A</stp>
        <stp>FPO</stp>
        <stp>-9A</stp>
        <stp>STD</stp>
        <stp>Mixed</stp>
        <stp>CONSOL</stp>
        <stp>Yes</stp>
        <stp>CURRENCY</stp>
        <stp>USD</stp>
        <tr r="E42" s="4"/>
      </tp>
      <tp t="s">
        <v>#N/A</v>
        <stp/>
        <stp>##V3_BQLV12</stp>
        <stp>[Fundamental &amp; Technical Model (1).xlsm]Cash Flow!R42C9</stp>
        <stp>SYK US Equity</stp>
        <stp>CF_INCR_DECR_INSUR_RSRV/10^6</stp>
        <stp>FPT</stp>
        <stp>A</stp>
        <stp>FPO</stp>
        <stp>-5A</stp>
        <stp>STD</stp>
        <stp>Mixed</stp>
        <stp>CONSOL</stp>
        <stp>Yes</stp>
        <stp>CURRENCY</stp>
        <stp>USD</stp>
        <tr r="I42" s="4"/>
      </tp>
      <tp t="s">
        <v>#N/A</v>
        <stp/>
        <stp>##V3_BQLV12</stp>
        <stp>[Fundamental &amp; Technical Model (1).xlsm]Cash Flow!R42C6</stp>
        <stp>SYK US Equity</stp>
        <stp>CF_INCR_DECR_INSUR_RSRV/10^6</stp>
        <stp>FPT</stp>
        <stp>A</stp>
        <stp>FPO</stp>
        <stp>-8A</stp>
        <stp>STD</stp>
        <stp>Mixed</stp>
        <stp>CONSOL</stp>
        <stp>Yes</stp>
        <stp>CURRENCY</stp>
        <stp>USD</stp>
        <tr r="F42" s="4"/>
      </tp>
      <tp t="s">
        <v>#N/A</v>
        <stp/>
        <stp>##V3_BQLV12</stp>
        <stp>[Fundamental &amp; Technical Model (1).xlsm]Cash Flow!R42C8</stp>
        <stp>SYK US Equity</stp>
        <stp>CF_INCR_DECR_INSUR_RSRV/10^6</stp>
        <stp>FPT</stp>
        <stp>A</stp>
        <stp>FPO</stp>
        <stp>-6A</stp>
        <stp>STD</stp>
        <stp>Mixed</stp>
        <stp>CONSOL</stp>
        <stp>Yes</stp>
        <stp>CURRENCY</stp>
        <stp>USD</stp>
        <tr r="H42" s="4"/>
      </tp>
      <tp>
        <v>53</v>
        <stp/>
        <stp>##V3_BDPV12</stp>
        <stp>SYK US Equity</stp>
        <stp>BS_RENTAL_EXP_YEAR_2</stp>
        <stp>[Fundamental &amp; Technical Model (1).xlsm]Capital Structure Summary!R98C11</stp>
        <stp>EQY_FUND_RELATIVE_PERIOD</stp>
        <stp>-0FY</stp>
        <stp>EQY_FUND_CRNCY</stp>
        <stp>USD</stp>
        <stp>EQY_CONSOLIDATED</stp>
        <stp>Yes</stp>
        <stp>ACCOUNTING_STANDARD_OVERRIDE</stp>
        <stp>Mixed</stp>
        <stp>Fill=--</stp>
        <tr r="K98" s="21"/>
      </tp>
      <tp t="s">
        <v>#N/A N/A</v>
        <stp/>
        <stp>##V3_BDSV12</stp>
        <stp>SYK US Equity</stp>
        <stp>PG_ASSETS</stp>
        <stp>[Fundamental &amp; Technical Model (1).xlsm]Segments!R113C7</stp>
        <stp>PG_HIERARCHY_LEVEL=1</stp>
        <stp>NUMBER_OF_PERIODS=-11</stp>
        <stp>REVERSE_PERIOD_ORDER=N</stp>
        <stp>PRODUCT_GEO_OVERRIDE=P</stp>
        <stp>FUND_PER</stp>
        <stp>Y</stp>
        <stp>ACCOUNTING_STANDARD_OVERRIDE</stp>
        <stp>Mixed</stp>
        <stp>EQY_CONSOLIDATED</stp>
        <stp>Yes</stp>
        <stp>EQY_FUND_CRNCY</stp>
        <stp>USD</stp>
        <stp>StartCol</stp>
        <stp>10</stp>
        <stp>EndCol</stp>
        <stp>10</stp>
        <stp>StartRow</stp>
        <stp>10</stp>
        <stp>EndRow</stp>
        <stp>10</stp>
        <tr r="G113" s="17"/>
      </tp>
      <tp t="s">
        <v>#N/A N/A</v>
        <stp/>
        <stp>##V3_BDSV12</stp>
        <stp>SYK US Equity</stp>
        <stp>PG_DEPR_AMORTIZATION</stp>
        <stp>[Fundamental &amp; Technical Model (1).xlsm]Segments!R156C13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156" s="17"/>
      </tp>
      <tp t="s">
        <v>#N/A N/A</v>
        <stp/>
        <stp>##V3_BDSV12</stp>
        <stp>SYK US Equity</stp>
        <stp>PG_DEPR_AMORTIZATION</stp>
        <stp>[Fundamental &amp; Technical Model (1).xlsm]Segments!R142C13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142" s="17"/>
      </tp>
      <tp t="e">
        <v>#N/A</v>
        <stp/>
        <stp>##V3_BDHV12</stp>
        <stp>SYK US Equity</stp>
        <stp>PX_TO_CASH_FLOW</stp>
        <stp>-0FY</stp>
        <stp>-0FY</stp>
        <stp>[Fundamental &amp; Technical Model (1).xlsm]Multiples!R51C13</stp>
        <stp>EQY_CONSOLIDATED</stp>
        <stp>Yes</stp>
        <stp>ACCOUNTING_STANDARD_OVERRIDE</stp>
        <stp>Mixed</stp>
        <stp>Per</stp>
        <stp>FY</stp>
        <stp>Days=A</stp>
        <tr r="M51" s="16"/>
        <tr r="M51" s="16"/>
      </tp>
      <tp t="e">
        <v>#N/A</v>
        <stp/>
        <stp>##V3_BDHV12</stp>
        <stp>SYK US Equity</stp>
        <stp>PX_TO_CASH_FLOW</stp>
        <stp>-1FY</stp>
        <stp>-1FY</stp>
        <stp>[Fundamental &amp; Technical Model (1).xlsm]Multiples!R51C12</stp>
        <stp>EQY_CONSOLIDATED</stp>
        <stp>Yes</stp>
        <stp>ACCOUNTING_STANDARD_OVERRIDE</stp>
        <stp>Mixed</stp>
        <stp>Per</stp>
        <stp>FY</stp>
        <stp>Days=A</stp>
        <tr r="L51" s="16"/>
        <tr r="L51" s="16"/>
      </tp>
      <tp t="e">
        <v>#N/A</v>
        <stp/>
        <stp>##V3_BDHV12</stp>
        <stp>SYK US Equity</stp>
        <stp>PX_TO_CASH_FLOW</stp>
        <stp>-2FY</stp>
        <stp>-2FY</stp>
        <stp>[Fundamental &amp; Technical Model (1).xlsm]Multiples!R51C11</stp>
        <stp>EQY_CONSOLIDATED</stp>
        <stp>Yes</stp>
        <stp>ACCOUNTING_STANDARD_OVERRIDE</stp>
        <stp>Mixed</stp>
        <stp>Per</stp>
        <stp>FY</stp>
        <stp>Days=A</stp>
        <tr r="K51" s="16"/>
        <tr r="K51" s="16"/>
      </tp>
      <tp t="e">
        <v>#N/A</v>
        <stp/>
        <stp>##V3_BDHV12</stp>
        <stp>SYK US Equity</stp>
        <stp>PX_TO_CASH_FLOW</stp>
        <stp>-3FY</stp>
        <stp>-3FY</stp>
        <stp>[Fundamental &amp; Technical Model (1).xlsm]Multiples!R51C10</stp>
        <stp>EQY_CONSOLIDATED</stp>
        <stp>Yes</stp>
        <stp>ACCOUNTING_STANDARD_OVERRIDE</stp>
        <stp>Mixed</stp>
        <stp>Per</stp>
        <stp>FY</stp>
        <stp>Days=A</stp>
        <tr r="J51" s="16"/>
        <tr r="J51" s="16"/>
      </tp>
      <tp>
        <v>9.3583250170894487</v>
        <stp/>
        <stp>##V3_BQLV12</stp>
        <stp>[Fundamental &amp; Technical Model (1).xlsm]Ratios!R58C9</stp>
        <stp>SYK US Equity</stp>
        <stp>ALTMAN_Z_SCORE</stp>
        <stp>FPT</stp>
        <stp>A</stp>
        <stp>FPO</stp>
        <stp>-5A</stp>
        <stp>STD</stp>
        <stp>Mixed</stp>
        <stp>CONSOL</stp>
        <stp>Yes</stp>
        <tr r="I58" s="8"/>
      </tp>
      <tp t="e">
        <v>#N/A</v>
        <stp/>
        <stp>##V3_BDHV12</stp>
        <stp>SYK US Equity</stp>
        <stp>HIGH_PRICE_TO_FREE_CASH_FLOW</stp>
        <stp>-3FY</stp>
        <stp>-3FY</stp>
        <stp>[Fundamental &amp; Technical Model (1).xlsm]Multiples!R59C10</stp>
        <stp>EQY_CONSOLIDATED</stp>
        <stp>Yes</stp>
        <stp>ACCOUNTING_STANDARD_OVERRIDE</stp>
        <stp>Mixed</stp>
        <stp>Per</stp>
        <stp>FY</stp>
        <stp>Days=A</stp>
        <tr r="J59" s="16"/>
        <tr r="J59" s="16"/>
      </tp>
      <tp t="e">
        <v>#N/A</v>
        <stp/>
        <stp>##V3_BDHV12</stp>
        <stp>SYK US Equity</stp>
        <stp>HIGH_PRICE_TO_FREE_CASH_FLOW</stp>
        <stp>-2FY</stp>
        <stp>-2FY</stp>
        <stp>[Fundamental &amp; Technical Model (1).xlsm]Multiples!R59C11</stp>
        <stp>EQY_CONSOLIDATED</stp>
        <stp>Yes</stp>
        <stp>ACCOUNTING_STANDARD_OVERRIDE</stp>
        <stp>Mixed</stp>
        <stp>Per</stp>
        <stp>FY</stp>
        <stp>Days=A</stp>
        <tr r="K59" s="16"/>
        <tr r="K59" s="16"/>
      </tp>
      <tp t="e">
        <v>#N/A</v>
        <stp/>
        <stp>##V3_BDHV12</stp>
        <stp>SYK US Equity</stp>
        <stp>HIGH_PRICE_TO_FREE_CASH_FLOW</stp>
        <stp>-1FY</stp>
        <stp>-1FY</stp>
        <stp>[Fundamental &amp; Technical Model (1).xlsm]Multiples!R59C12</stp>
        <stp>EQY_CONSOLIDATED</stp>
        <stp>Yes</stp>
        <stp>ACCOUNTING_STANDARD_OVERRIDE</stp>
        <stp>Mixed</stp>
        <stp>Per</stp>
        <stp>FY</stp>
        <stp>Days=A</stp>
        <tr r="L59" s="16"/>
        <tr r="L59" s="16"/>
      </tp>
      <tp t="e">
        <v>#N/A</v>
        <stp/>
        <stp>##V3_BDHV12</stp>
        <stp>SYK US Equity</stp>
        <stp>LOW_EV_TO_T12M_EBIT</stp>
        <stp>-9FY</stp>
        <stp>-9FY</stp>
        <stp>[Fundamental &amp; Technical Model (1).xlsm]Multiples!R30C4</stp>
        <stp>EQY_CONSOLIDATED</stp>
        <stp>Yes</stp>
        <stp>ACCOUNTING_STANDARD_OVERRIDE</stp>
        <stp>Mixed</stp>
        <stp>Per</stp>
        <stp>FY</stp>
        <stp>Days=A</stp>
        <tr r="D30" s="16"/>
        <tr r="D30" s="16"/>
      </tp>
      <tp t="e">
        <v>#N/A</v>
        <stp/>
        <stp>##V3_BDHV12</stp>
        <stp>SYK US Equity</stp>
        <stp>HIGH_PRICE_TO_FREE_CASH_FLOW</stp>
        <stp>-0FY</stp>
        <stp>-0FY</stp>
        <stp>[Fundamental &amp; Technical Model (1).xlsm]Multiples!R59C13</stp>
        <stp>EQY_CONSOLIDATED</stp>
        <stp>Yes</stp>
        <stp>ACCOUNTING_STANDARD_OVERRIDE</stp>
        <stp>Mixed</stp>
        <stp>Per</stp>
        <stp>FY</stp>
        <stp>Days=A</stp>
        <tr r="M59" s="16"/>
        <tr r="M59" s="16"/>
      </tp>
      <tp>
        <v>4.636515882097509</v>
        <stp/>
        <stp>##V3_BQLV12</stp>
        <stp>[Fundamental &amp; Technical Model (1).xlsm]Ratios!R17C10</stp>
        <stp>SYK US Equity</stp>
        <stp>RETURN_ON_CAP</stp>
        <stp>FPT</stp>
        <stp>A</stp>
        <stp>FPO</stp>
        <stp>-4A</stp>
        <stp>STD</stp>
        <stp>Mixed</stp>
        <stp>CONSOL</stp>
        <stp>Yes</stp>
        <tr r="J17" s="8"/>
      </tp>
      <tp>
        <v>3.78</v>
        <stp/>
        <stp>##V3_BQLV12</stp>
        <stp>[Fundamental &amp; Technical Model (1).xlsm]Income Statement!R67C11</stp>
        <stp>SYK US Equity</stp>
        <stp>IS_DIL_EPS_BEF_XO</stp>
        <stp>FPT</stp>
        <stp>A</stp>
        <stp>FPO</stp>
        <stp>-3A</stp>
        <stp>STD</stp>
        <stp>Mixed</stp>
        <stp>CONSOL</stp>
        <stp>Yes</stp>
        <stp>CURRENCY</stp>
        <stp>USD</stp>
        <tr r="K67" s="2"/>
      </tp>
      <tp>
        <v>1.34</v>
        <stp/>
        <stp>##V3_BQLV12</stp>
        <stp>[Fundamental &amp; Technical Model (1).xlsm]Income Statement!R67C10</stp>
        <stp>SYK US Equity</stp>
        <stp>IS_DIL_EPS_BEF_XO</stp>
        <stp>FPT</stp>
        <stp>A</stp>
        <stp>FPO</stp>
        <stp>-4A</stp>
        <stp>STD</stp>
        <stp>Mixed</stp>
        <stp>CONSOL</stp>
        <stp>Yes</stp>
        <stp>CURRENCY</stp>
        <stp>USD</stp>
        <tr r="J67" s="2"/>
      </tp>
      <tp>
        <v>2.68</v>
        <stp/>
        <stp>##V3_BQLV12</stp>
        <stp>[Fundamental &amp; Technical Model (1).xlsm]Income Statement!R67C13</stp>
        <stp>SYK US Equity</stp>
        <stp>IS_DIL_EPS_BEF_XO</stp>
        <stp>FPT</stp>
        <stp>A</stp>
        <stp>FPO</stp>
        <stp>-1A</stp>
        <stp>STD</stp>
        <stp>Mixed</stp>
        <stp>CONSOL</stp>
        <stp>Yes</stp>
        <stp>CURRENCY</stp>
        <stp>USD</stp>
        <tr r="M67" s="2"/>
      </tp>
      <tp>
        <v>4.3499999999999996</v>
        <stp/>
        <stp>##V3_BQLV12</stp>
        <stp>[Fundamental &amp; Technical Model (1).xlsm]Income Statement!R67C12</stp>
        <stp>SYK US Equity</stp>
        <stp>IS_DIL_EPS_BEF_XO</stp>
        <stp>FPT</stp>
        <stp>A</stp>
        <stp>FPO</stp>
        <stp>-2A</stp>
        <stp>STD</stp>
        <stp>Mixed</stp>
        <stp>CONSOL</stp>
        <stp>Yes</stp>
        <stp>CURRENCY</stp>
        <stp>USD</stp>
        <tr r="L67" s="2"/>
      </tp>
      <tp>
        <v>9.34</v>
        <stp/>
        <stp>##V3_BQLV12</stp>
        <stp>[Fundamental &amp; Technical Model (1).xlsm]Income Statement!R67C14</stp>
        <stp>SYK US Equity</stp>
        <stp>IS_DIL_EPS_BEF_XO</stp>
        <stp>FPT</stp>
        <stp>A</stp>
        <stp>FPO</stp>
        <stp>-0A</stp>
        <stp>STD</stp>
        <stp>Mixed</stp>
        <stp>CONSOL</stp>
        <stp>Yes</stp>
        <stp>CURRENCY</stp>
        <stp>USD</stp>
        <tr r="N67" s="2"/>
      </tp>
      <tp>
        <v>58.640794701986749</v>
        <stp/>
        <stp>##V3_BQLV12</stp>
        <stp>[Fundamental &amp; Technical Model (1).xlsm]Ratios!R40C12</stp>
        <stp>SYK US Equity</stp>
        <stp>ACCT_RCV_DAYS</stp>
        <stp>FPT</stp>
        <stp>A</stp>
        <stp>FPO</stp>
        <stp>-2A</stp>
        <stp>STD</stp>
        <stp>Mixed</stp>
        <stp>CONSOL</stp>
        <stp>Yes</stp>
        <tr r="L40" s="8"/>
      </tp>
      <tp>
        <v>2063</v>
        <stp/>
        <stp>##V3_BQLV12</stp>
        <stp>[Fundamental &amp; Technical Model (1).xlsm]Income Statement!R44C13</stp>
        <stp>SYK US Equity</stp>
        <stp>PRETAX_INC/10^6</stp>
        <stp>FPT</stp>
        <stp>A</stp>
        <stp>FPO</stp>
        <stp>-1A</stp>
        <stp>STD</stp>
        <stp>Mixed</stp>
        <stp>CONSOL</stp>
        <stp>Yes</stp>
        <stp>CURRENCY</stp>
        <stp>USD</stp>
        <tr r="M44" s="2"/>
      </tp>
      <tp>
        <v>7.3</v>
        <stp/>
        <stp>##V3_BDPV12</stp>
        <stp>SYK US Equity</stp>
        <stp>ARDR_STOCK_OPTION_VAL_EXP_LIFE</stp>
        <stp>[Fundamental &amp; Technical Model (1).xlsm]Supplemental!R28C10</stp>
        <stp>EQY_FUND_RELATIVE_PERIOD</stp>
        <stp>-3FY</stp>
        <stp>EQY_FUND_CRNCY</stp>
        <stp>USD</stp>
        <stp>EQY_CONSOLIDATED</stp>
        <stp>Yes</stp>
        <stp>ACCOUNTING_STANDARD_OVERRIDE</stp>
        <stp>Mixed</stp>
        <stp>Fill=--</stp>
        <tr r="J28" s="19"/>
      </tp>
      <tp>
        <v>6.1</v>
        <stp/>
        <stp>##V3_BDPV12</stp>
        <stp>SYK US Equity</stp>
        <stp>ARDR_STOCK_OPTION_VAL_EXP_LIFE</stp>
        <stp>[Fundamental &amp; Technical Model (1).xlsm]Supplemental!R28C11</stp>
        <stp>EQY_FUND_RELATIVE_PERIOD</stp>
        <stp>-2FY</stp>
        <stp>EQY_FUND_CRNCY</stp>
        <stp>USD</stp>
        <stp>EQY_CONSOLIDATED</stp>
        <stp>Yes</stp>
        <stp>ACCOUNTING_STANDARD_OVERRIDE</stp>
        <stp>Mixed</stp>
        <stp>Fill=--</stp>
        <tr r="K28" s="19"/>
      </tp>
      <tp>
        <v>6</v>
        <stp/>
        <stp>##V3_BDPV12</stp>
        <stp>SYK US Equity</stp>
        <stp>ARDR_STOCK_OPTION_VAL_EXP_LIFE</stp>
        <stp>[Fundamental &amp; Technical Model (1).xlsm]Supplemental!R28C12</stp>
        <stp>EQY_FUND_RELATIVE_PERIOD</stp>
        <stp>-1FY</stp>
        <stp>EQY_FUND_CRNCY</stp>
        <stp>USD</stp>
        <stp>EQY_CONSOLIDATED</stp>
        <stp>Yes</stp>
        <stp>ACCOUNTING_STANDARD_OVERRIDE</stp>
        <stp>Mixed</stp>
        <stp>Fill=--</stp>
        <tr r="L28" s="19"/>
      </tp>
      <tp>
        <v>6</v>
        <stp/>
        <stp>##V3_BDPV12</stp>
        <stp>SYK US Equity</stp>
        <stp>ARDR_STOCK_OPTION_VAL_EXP_LIFE</stp>
        <stp>[Fundamental &amp; Technical Model (1).xlsm]Supplemental!R28C13</stp>
        <stp>EQY_FUND_RELATIVE_PERIOD</stp>
        <stp>-0FY</stp>
        <stp>EQY_FUND_CRNCY</stp>
        <stp>USD</stp>
        <stp>EQY_CONSOLIDATED</stp>
        <stp>Yes</stp>
        <stp>ACCOUNTING_STANDARD_OVERRIDE</stp>
        <stp>Mixed</stp>
        <stp>Fill=--</stp>
        <tr r="M28" s="19"/>
      </tp>
      <tp t="s">
        <v>#N/A N/A</v>
        <stp/>
        <stp>##V3_BDSV12</stp>
        <stp>SYK US Equity</stp>
        <stp>PG_DEPR_AMORTIZATION</stp>
        <stp>[Fundamental &amp; Technical Model (1).xlsm]Segments!R142C12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142" s="17"/>
      </tp>
      <tp>
        <v>0</v>
        <stp/>
        <stp>##V3_BDPV12</stp>
        <stp>SYK US Equity</stp>
        <stp>BS_TOTAL_FUT_VAL_CAPITAL_LEASE</stp>
        <stp>[Fundamental &amp; Technical Model (1).xlsm]Capital Structure Summary!R92C11</stp>
        <stp>EQY_FUND_RELATIVE_PERIOD</stp>
        <stp>-0FY</stp>
        <stp>EQY_FUND_CRNCY</stp>
        <stp>USD</stp>
        <stp>EQY_CONSOLIDATED</stp>
        <stp>Yes</stp>
        <stp>ACCOUNTING_STANDARD_OVERRIDE</stp>
        <stp>Mixed</stp>
        <stp>Fill=--</stp>
        <tr r="K92" s="21"/>
      </tp>
      <tp t="s">
        <v>#N/A N/A</v>
        <stp/>
        <stp>##V3_BDSV12</stp>
        <stp>SYK US Equity</stp>
        <stp>PG_DEPR_AMORTIZATION</stp>
        <stp>[Fundamental &amp; Technical Model (1).xlsm]Segments!R156C12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156" s="17"/>
      </tp>
      <tp>
        <v>408.1</v>
        <stp/>
        <stp>##V3_BQLV12</stp>
        <stp>[Fundamental &amp; Technical Model (1).xlsm]Income Statement!R64C4</stp>
        <stp>SYK US Equity</stp>
        <stp>IS_AVG_NUM_SH_FOR_EPS/10^6</stp>
        <stp>FPT</stp>
        <stp>A</stp>
        <stp>FPO</stp>
        <stp>-10A</stp>
        <stp>STD</stp>
        <stp>Mixed</stp>
        <stp>CONSOL</stp>
        <stp>Yes</stp>
        <stp>CURRENCY</stp>
        <stp>USD</stp>
        <tr r="D64" s="2"/>
      </tp>
      <tp>
        <v>43555</v>
        <stp/>
        <stp>##V3_BQLV12</stp>
        <stp>[Fundamental &amp; Technical Model (1).xlsm]Key Stats!R52C5</stp>
        <stp>SYK US Equity</stp>
        <stp>IS_EPS().PERIOD_END_DATE</stp>
        <stp>FPT=LTM</stp>
        <stp>FPO=0</stp>
        <stp>STD</stp>
        <stp>Mixed</stp>
        <stp>CONSOL</stp>
        <stp>Yes</stp>
        <stp>CURRENCY</stp>
        <stp>USD</stp>
        <tr r="E52" s="23"/>
      </tp>
      <tp>
        <v>40908</v>
        <stp/>
        <stp>##V3_BQLV12</stp>
        <stp>[Fundamental &amp; Technical Model (1).xlsm]Balance Sheet!R15C7</stp>
        <stp>SYK US Equity</stp>
        <stp>IS_EPS().PERIOD_END_DATE</stp>
        <stp>FPT</stp>
        <stp>A</stp>
        <stp>FPO</stp>
        <stp>-7A</stp>
        <stp>STD</stp>
        <stp>Mixed</stp>
        <stp>CONSOL</stp>
        <stp>Yes</stp>
        <tr r="G15" s="3"/>
      </tp>
      <tp t="e">
        <v>#N/A</v>
        <stp/>
        <stp>##V3_BDHV12</stp>
        <stp>SYK US Equity</stp>
        <stp>AVERAGE_PRICE_EARNINGS_RATIO</stp>
        <stp>-2FY</stp>
        <stp>-2FY</stp>
        <stp>[Fundamental &amp; Technical Model (1).xlsm]Multiples!R34C11</stp>
        <stp>EQY_CONSOLIDATED</stp>
        <stp>Yes</stp>
        <stp>ACCOUNTING_STANDARD_OVERRIDE</stp>
        <stp>Mixed</stp>
        <stp>Per</stp>
        <stp>FY</stp>
        <stp>Days=A</stp>
        <tr r="K34" s="16"/>
        <tr r="K34" s="16"/>
      </tp>
      <tp t="e">
        <v>#N/A</v>
        <stp/>
        <stp>##V3_BDHV12</stp>
        <stp>SYK US Equity</stp>
        <stp>AVERAGE_PRICE_EARNINGS_RATIO</stp>
        <stp>-3FY</stp>
        <stp>-3FY</stp>
        <stp>[Fundamental &amp; Technical Model (1).xlsm]Multiples!R34C10</stp>
        <stp>EQY_CONSOLIDATED</stp>
        <stp>Yes</stp>
        <stp>ACCOUNTING_STANDARD_OVERRIDE</stp>
        <stp>Mixed</stp>
        <stp>Per</stp>
        <stp>FY</stp>
        <stp>Days=A</stp>
        <tr r="J34" s="16"/>
        <tr r="J34" s="16"/>
      </tp>
      <tp t="e">
        <v>#N/A</v>
        <stp/>
        <stp>##V3_BDHV12</stp>
        <stp>SYK US Equity</stp>
        <stp>AVERAGE_PRICE_EARNINGS_RATIO</stp>
        <stp>-0FY</stp>
        <stp>-0FY</stp>
        <stp>[Fundamental &amp; Technical Model (1).xlsm]Multiples!R34C13</stp>
        <stp>EQY_CONSOLIDATED</stp>
        <stp>Yes</stp>
        <stp>ACCOUNTING_STANDARD_OVERRIDE</stp>
        <stp>Mixed</stp>
        <stp>Per</stp>
        <stp>FY</stp>
        <stp>Days=A</stp>
        <tr r="M34" s="16"/>
        <tr r="M34" s="16"/>
      </tp>
      <tp t="e">
        <v>#N/A</v>
        <stp/>
        <stp>##V3_BDHV12</stp>
        <stp>SYK US Equity</stp>
        <stp>AVERAGE_PRICE_EARNINGS_RATIO</stp>
        <stp>-1FY</stp>
        <stp>-1FY</stp>
        <stp>[Fundamental &amp; Technical Model (1).xlsm]Multiples!R34C12</stp>
        <stp>EQY_CONSOLIDATED</stp>
        <stp>Yes</stp>
        <stp>ACCOUNTING_STANDARD_OVERRIDE</stp>
        <stp>Mixed</stp>
        <stp>Per</stp>
        <stp>FY</stp>
        <stp>Days=A</stp>
        <tr r="L34" s="16"/>
        <tr r="L34" s="16"/>
      </tp>
      <tp t="e">
        <v>#N/A</v>
        <stp/>
        <stp>##V3_BDHV12</stp>
        <stp>SYK US Equity</stp>
        <stp>LOW_EV_TO_T12M_EBIT</stp>
        <stp>-8FY</stp>
        <stp>-8FY</stp>
        <stp>[Fundamental &amp; Technical Model (1).xlsm]Multiples!R30C5</stp>
        <stp>EQY_CONSOLIDATED</stp>
        <stp>Yes</stp>
        <stp>ACCOUNTING_STANDARD_OVERRIDE</stp>
        <stp>Mixed</stp>
        <stp>Per</stp>
        <stp>FY</stp>
        <stp>Days=A</stp>
        <tr r="E30" s="16"/>
        <tr r="E30" s="16"/>
      </tp>
      <tp t="s">
        <v>#N/A N/A</v>
        <stp/>
        <stp>##V3_BDSV12</stp>
        <stp>SYK US Equity</stp>
        <stp>PG_GROSS_PROFIT</stp>
        <stp>[Fundamental &amp; Technical Model (1).xlsm]Segments!R68C11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9</stp>
        <stp>EndRow</stp>
        <stp>9</stp>
        <tr r="K68" s="17"/>
      </tp>
      <tp t="s">
        <v>#N/A N/A</v>
        <stp/>
        <stp>##V3_BDSV12</stp>
        <stp>SYK US Equity</stp>
        <stp>PG_GROSS_PROFIT</stp>
        <stp>[Fundamental &amp; Technical Model (1).xlsm]Segments!R68C10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9</stp>
        <stp>EndRow</stp>
        <stp>9</stp>
        <tr r="J68" s="17"/>
      </tp>
      <tp t="s">
        <v>#N/A N/A</v>
        <stp/>
        <stp>##V3_BDSV12</stp>
        <stp>SYK US Equity</stp>
        <stp>PG_GROSS_PROFIT</stp>
        <stp>[Fundamental &amp; Technical Model (1).xlsm]Segments!R68C13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9</stp>
        <stp>EndRow</stp>
        <stp>9</stp>
        <tr r="M68" s="17"/>
      </tp>
      <tp t="s">
        <v>#N/A N/A</v>
        <stp/>
        <stp>##V3_BDSV12</stp>
        <stp>SYK US Equity</stp>
        <stp>PG_GROSS_PROFIT</stp>
        <stp>[Fundamental &amp; Technical Model (1).xlsm]Segments!R68C12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9</stp>
        <stp>EndRow</stp>
        <stp>9</stp>
        <tr r="L68" s="17"/>
      </tp>
      <tp t="s">
        <v>#N/A N/A</v>
        <stp/>
        <stp>##V3_BDSV12</stp>
        <stp>SYK US Equity</stp>
        <stp>PG_GROSS_PROFIT</stp>
        <stp>[Fundamental &amp; Technical Model (1).xlsm]Segments!R68C14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9</stp>
        <stp>EndRow</stp>
        <stp>9</stp>
        <tr r="N68" s="17"/>
      </tp>
      <tp>
        <v>59.34094108184194</v>
        <stp/>
        <stp>##V3_BQLV12</stp>
        <stp>[Fundamental &amp; Technical Model (1).xlsm]Ratios!R40C11</stp>
        <stp>SYK US Equity</stp>
        <stp>ACCT_RCV_DAYS</stp>
        <stp>FPT</stp>
        <stp>A</stp>
        <stp>FPO</stp>
        <stp>-3A</stp>
        <stp>STD</stp>
        <stp>Mixed</stp>
        <stp>CONSOL</stp>
        <stp>Yes</stp>
        <tr r="K40" s="8"/>
      </tp>
      <tp>
        <v>190.12384479279388</v>
        <stp/>
        <stp>##V3_BQLV12</stp>
        <stp>[Fundamental &amp; Technical Model (1).xlsm]Ratios!R43C10</stp>
        <stp>SYK US Equity</stp>
        <stp>CASH_CONVERSION_CYCLE</stp>
        <stp>FPT</stp>
        <stp>A</stp>
        <stp>FPO</stp>
        <stp>-4A</stp>
        <stp>STD</stp>
        <stp>Mixed</stp>
        <stp>CONSOL</stp>
        <stp>Yes</stp>
        <tr r="J43" s="8"/>
      </tp>
      <tp>
        <v>16.785529715762273</v>
        <stp/>
        <stp>##V3_BQLV12</stp>
        <stp>[Fundamental &amp; Technical Model (1).xlsm]Ratios!R23C10</stp>
        <stp>SYK US Equity</stp>
        <stp>EBITDA_MARGIN</stp>
        <stp>FPT</stp>
        <stp>A</stp>
        <stp>FPO</stp>
        <stp>-4A</stp>
        <stp>STD</stp>
        <stp>Mixed</stp>
        <stp>CONSOL</stp>
        <stp>Yes</stp>
        <tr r="J23" s="8"/>
      </tp>
      <tp t="s">
        <v>#N/A</v>
        <stp/>
        <stp>##V3_BQLV12</stp>
        <stp>[Fundamental &amp; Technical Model (1).xlsm]Cash Flow!R41C10</stp>
        <stp>SYK US Equity</stp>
        <stp>CF_INCR_DECR_DPST/10^6</stp>
        <stp>FPT</stp>
        <stp>A</stp>
        <stp>FPO</stp>
        <stp>-4A</stp>
        <stp>STD</stp>
        <stp>Mixed</stp>
        <stp>CONSOL</stp>
        <stp>Yes</stp>
        <stp>CURRENCY</stp>
        <stp>USD</stp>
        <tr r="J41" s="4"/>
      </tp>
      <tp t="s">
        <v>#N/A</v>
        <stp/>
        <stp>##V3_BQLV12</stp>
        <stp>[Fundamental &amp; Technical Model (1).xlsm]Cash Flow!R41C11</stp>
        <stp>SYK US Equity</stp>
        <stp>CF_INCR_DECR_DPST/10^6</stp>
        <stp>FPT</stp>
        <stp>A</stp>
        <stp>FPO</stp>
        <stp>-3A</stp>
        <stp>STD</stp>
        <stp>Mixed</stp>
        <stp>CONSOL</stp>
        <stp>Yes</stp>
        <stp>CURRENCY</stp>
        <stp>USD</stp>
        <tr r="K41" s="4"/>
      </tp>
      <tp t="s">
        <v>#N/A</v>
        <stp/>
        <stp>##V3_BQLV12</stp>
        <stp>[Fundamental &amp; Technical Model (1).xlsm]Cash Flow!R41C12</stp>
        <stp>SYK US Equity</stp>
        <stp>CF_INCR_DECR_DPST/10^6</stp>
        <stp>FPT</stp>
        <stp>A</stp>
        <stp>FPO</stp>
        <stp>-2A</stp>
        <stp>STD</stp>
        <stp>Mixed</stp>
        <stp>CONSOL</stp>
        <stp>Yes</stp>
        <stp>CURRENCY</stp>
        <stp>USD</stp>
        <tr r="L41" s="4"/>
      </tp>
      <tp>
        <v>4699.8999999999996</v>
        <stp/>
        <stp>##V3_BDPV12</stp>
        <stp>DHR Equity</stp>
        <stp>Trail_12M_ebitda</stp>
        <stp>[Fundamental &amp; Technical Model (1).xlsm]Public Comparables!R9C11</stp>
        <tr r="K9" s="24"/>
      </tp>
      <tp t="s">
        <v>#N/A</v>
        <stp/>
        <stp>##V3_BQLV12</stp>
        <stp>[Fundamental &amp; Technical Model (1).xlsm]Cash Flow!R41C13</stp>
        <stp>SYK US Equity</stp>
        <stp>CF_INCR_DECR_DPST/10^6</stp>
        <stp>FPT</stp>
        <stp>A</stp>
        <stp>FPO</stp>
        <stp>-1A</stp>
        <stp>STD</stp>
        <stp>Mixed</stp>
        <stp>CONSOL</stp>
        <stp>Yes</stp>
        <stp>CURRENCY</stp>
        <stp>USD</stp>
        <tr r="M41" s="4"/>
      </tp>
      <tp>
        <v>11.151757011417802</v>
        <stp/>
        <stp>##V3_BQLV12</stp>
        <stp>[Fundamental &amp; Technical Model (1).xlsm]Ratios!R26C9</stp>
        <stp>SYK US Equity</stp>
        <stp>PROF_MARGIN</stp>
        <stp>FPT</stp>
        <stp>A</stp>
        <stp>FPO</stp>
        <stp>-5A</stp>
        <stp>STD</stp>
        <stp>Mixed</stp>
        <stp>CONSOL</stp>
        <stp>Yes</stp>
        <tr r="I26" s="8"/>
      </tp>
      <tp t="s">
        <v>#N/A</v>
        <stp/>
        <stp>##V3_BQLV12</stp>
        <stp>[Fundamental &amp; Technical Model (1).xlsm]Cash Flow!R41C14</stp>
        <stp>SYK US Equity</stp>
        <stp>CF_INCR_DECR_DPST/10^6</stp>
        <stp>FPT</stp>
        <stp>A</stp>
        <stp>FPO</stp>
        <stp>-0A</stp>
        <stp>STD</stp>
        <stp>Mixed</stp>
        <stp>CONSOL</stp>
        <stp>Yes</stp>
        <stp>CURRENCY</stp>
        <stp>USD</stp>
        <tr r="N41" s="4"/>
      </tp>
      <tp>
        <v>1921</v>
        <stp/>
        <stp>##V3_BQLV12</stp>
        <stp>[Fundamental &amp; Technical Model (1).xlsm]Income Statement!R44C12</stp>
        <stp>SYK US Equity</stp>
        <stp>PRETAX_INC/10^6</stp>
        <stp>FPT</stp>
        <stp>A</stp>
        <stp>FPO</stp>
        <stp>-2A</stp>
        <stp>STD</stp>
        <stp>Mixed</stp>
        <stp>CONSOL</stp>
        <stp>Yes</stp>
        <stp>CURRENCY</stp>
        <stp>USD</stp>
        <tr r="L44" s="2"/>
      </tp>
      <tp t="e">
        <v>#N/A</v>
        <stp/>
        <stp>##V3_BDHV12</stp>
        <stp>SYK US Equity</stp>
        <stp>AVERAGE_PRICE_TO_FREE_CASH_FLOW</stp>
        <stp>-1FY</stp>
        <stp>-1FY</stp>
        <stp>[Fundamental &amp; Technical Model (1).xlsm]Multiples!R58C12</stp>
        <stp>EQY_CONSOLIDATED</stp>
        <stp>Yes</stp>
        <stp>ACCOUNTING_STANDARD_OVERRIDE</stp>
        <stp>Mixed</stp>
        <stp>Per</stp>
        <stp>FY</stp>
        <stp>Days=A</stp>
        <tr r="L58" s="16"/>
        <tr r="L58" s="16"/>
      </tp>
      <tp t="e">
        <v>#N/A</v>
        <stp/>
        <stp>##V3_BDHV12</stp>
        <stp>SYK US Equity</stp>
        <stp>AVERAGE_PRICE_TO_FREE_CASH_FLOW</stp>
        <stp>-0FY</stp>
        <stp>-0FY</stp>
        <stp>[Fundamental &amp; Technical Model (1).xlsm]Multiples!R58C13</stp>
        <stp>EQY_CONSOLIDATED</stp>
        <stp>Yes</stp>
        <stp>ACCOUNTING_STANDARD_OVERRIDE</stp>
        <stp>Mixed</stp>
        <stp>Per</stp>
        <stp>FY</stp>
        <stp>Days=A</stp>
        <tr r="M58" s="16"/>
        <tr r="M58" s="16"/>
      </tp>
      <tp t="e">
        <v>#N/A</v>
        <stp/>
        <stp>##V3_BDHV12</stp>
        <stp>SYK US Equity</stp>
        <stp>AVERAGE_PRICE_TO_FREE_CASH_FLOW</stp>
        <stp>-3FY</stp>
        <stp>-3FY</stp>
        <stp>[Fundamental &amp; Technical Model (1).xlsm]Multiples!R58C10</stp>
        <stp>EQY_CONSOLIDATED</stp>
        <stp>Yes</stp>
        <stp>ACCOUNTING_STANDARD_OVERRIDE</stp>
        <stp>Mixed</stp>
        <stp>Per</stp>
        <stp>FY</stp>
        <stp>Days=A</stp>
        <tr r="J58" s="16"/>
        <tr r="J58" s="16"/>
      </tp>
      <tp t="e">
        <v>#N/A</v>
        <stp/>
        <stp>##V3_BDHV12</stp>
        <stp>SYK US Equity</stp>
        <stp>AVERAGE_PRICE_TO_FREE_CASH_FLOW</stp>
        <stp>-2FY</stp>
        <stp>-2FY</stp>
        <stp>[Fundamental &amp; Technical Model (1).xlsm]Multiples!R58C11</stp>
        <stp>EQY_CONSOLIDATED</stp>
        <stp>Yes</stp>
        <stp>ACCOUNTING_STANDARD_OVERRIDE</stp>
        <stp>Mixed</stp>
        <stp>Per</stp>
        <stp>FY</stp>
        <stp>Days=A</stp>
        <tr r="K58" s="16"/>
        <tr r="K58" s="16"/>
      </tp>
      <tp t="s">
        <v>--</v>
        <stp/>
        <stp>##V3_BDPV12</stp>
        <stp>SYK US Equity</stp>
        <stp>BS_VAR_RT_DEBT</stp>
        <stp>[Fundamental &amp; Technical Model (1).xlsm]Capital Structure Summary!R55C11</stp>
        <stp>EQY_FUND_RELATIVE_PERIOD</stp>
        <stp>-0FY</stp>
        <stp>EQY_FUND_CRNCY</stp>
        <stp>USD</stp>
        <stp>EQY_CONSOLIDATED</stp>
        <stp>Yes</stp>
        <stp>ACCOUNTING_STANDARD_OVERRIDE</stp>
        <stp>Mixed</stp>
        <stp>Fill=--</stp>
        <tr r="K55" s="21"/>
      </tp>
      <tp t="s">
        <v>#N/A N/A</v>
        <stp/>
        <stp>##V3_BDSV12</stp>
        <stp>SYK US Equity</stp>
        <stp>PG_DEPR_AMORTIZATION</stp>
        <stp>[Fundamental &amp; Technical Model (1).xlsm]Segments!R156C11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156" s="17"/>
      </tp>
      <tp t="s">
        <v>#N/A N/A</v>
        <stp/>
        <stp>##V3_BDSV12</stp>
        <stp>SYK US Equity</stp>
        <stp>PG_DEPR_AMORTIZATION</stp>
        <stp>[Fundamental &amp; Technical Model (1).xlsm]Segments!R142C11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142" s="17"/>
      </tp>
      <tp t="e">
        <v>#N/A</v>
        <stp/>
        <stp>##V3_BDHV12</stp>
        <stp>SYK US Equity</stp>
        <stp>DIVIDEND_YIELD</stp>
        <stp>-10FY</stp>
        <stp>-10FY</stp>
        <stp>[Fundamental &amp; Technical Model (1).xlsm]Multiples!R63C3</stp>
        <stp>EQY_CONSOLIDATED</stp>
        <stp>Yes</stp>
        <stp>ACCOUNTING_STANDARD_OVERRIDE</stp>
        <stp>Mixed</stp>
        <stp>Per</stp>
        <stp>FY</stp>
        <stp>Days=A</stp>
        <tr r="C63" s="16"/>
        <tr r="C63" s="16"/>
      </tp>
      <tp t="e">
        <v>#N/A</v>
        <stp/>
        <stp>##V3_BDHV12</stp>
        <stp>SYK US Equity</stp>
        <stp>PX_TO_TANG_BV_PER_SH</stp>
        <stp>-1FY</stp>
        <stp>-1FY</stp>
        <stp>[Fundamental &amp; Technical Model (1).xlsm]Multiples!R45C12</stp>
        <stp>EQY_CONSOLIDATED</stp>
        <stp>Yes</stp>
        <stp>ACCOUNTING_STANDARD_OVERRIDE</stp>
        <stp>Mixed</stp>
        <stp>Per</stp>
        <stp>FY</stp>
        <stp>Days=A</stp>
        <tr r="L45" s="16"/>
      </tp>
      <tp t="e">
        <v>#N/A</v>
        <stp/>
        <stp>##V3_BDHV12</stp>
        <stp>SYK US Equity</stp>
        <stp>PX_TO_TANG_BV_PER_SH</stp>
        <stp>-0FY</stp>
        <stp>-0FY</stp>
        <stp>[Fundamental &amp; Technical Model (1).xlsm]Multiples!R45C13</stp>
        <stp>EQY_CONSOLIDATED</stp>
        <stp>Yes</stp>
        <stp>ACCOUNTING_STANDARD_OVERRIDE</stp>
        <stp>Mixed</stp>
        <stp>Per</stp>
        <stp>FY</stp>
        <stp>Days=A</stp>
        <tr r="M45" s="16"/>
      </tp>
      <tp t="e">
        <v>#N/A</v>
        <stp/>
        <stp>##V3_BDHV12</stp>
        <stp>SYK US Equity</stp>
        <stp>PX_TO_TANG_BV_PER_SH</stp>
        <stp>-3FY</stp>
        <stp>-3FY</stp>
        <stp>[Fundamental &amp; Technical Model (1).xlsm]Multiples!R45C10</stp>
        <stp>EQY_CONSOLIDATED</stp>
        <stp>Yes</stp>
        <stp>ACCOUNTING_STANDARD_OVERRIDE</stp>
        <stp>Mixed</stp>
        <stp>Per</stp>
        <stp>FY</stp>
        <stp>Days=A</stp>
        <tr r="J45" s="16"/>
        <tr r="J45" s="16"/>
      </tp>
      <tp t="e">
        <v>#N/A</v>
        <stp/>
        <stp>##V3_BDHV12</stp>
        <stp>SYK US Equity</stp>
        <stp>PX_TO_TANG_BV_PER_SH</stp>
        <stp>-2FY</stp>
        <stp>-2FY</stp>
        <stp>[Fundamental &amp; Technical Model (1).xlsm]Multiples!R45C11</stp>
        <stp>EQY_CONSOLIDATED</stp>
        <stp>Yes</stp>
        <stp>ACCOUNTING_STANDARD_OVERRIDE</stp>
        <stp>Mixed</stp>
        <stp>Per</stp>
        <stp>FY</stp>
        <stp>Days=A</stp>
        <tr r="K45" s="16"/>
      </tp>
      <tp>
        <v>12.805192535299632</v>
        <stp/>
        <stp>##V3_BQLV12</stp>
        <stp>[Fundamental &amp; Technical Model (1).xlsm]Ratios!R58C7</stp>
        <stp>SYK US Equity</stp>
        <stp>ALTMAN_Z_SCORE</stp>
        <stp>FPT</stp>
        <stp>A</stp>
        <stp>FPO</stp>
        <stp>-7A</stp>
        <stp>STD</stp>
        <stp>Mixed</stp>
        <stp>CONSOL</stp>
        <stp>Yes</stp>
        <tr r="G58" s="8"/>
      </tp>
      <tp>
        <v>2.2741946515286231</v>
        <stp/>
        <stp>##V3_BQLV12</stp>
        <stp>[Fundamental &amp; Technical Model (1).xlsm]Ratios!R38C4</stp>
        <stp>SYK US Equity</stp>
        <stp>QUICK_RATIO</stp>
        <stp>FPT</stp>
        <stp>A</stp>
        <stp>FPO</stp>
        <stp>-10A</stp>
        <stp>STD</stp>
        <stp>Mixed</stp>
        <stp>CONSOL</stp>
        <stp>Yes</stp>
        <tr r="D38" s="8"/>
      </tp>
      <tp t="e">
        <v>#N/A</v>
        <stp/>
        <stp>##V3_BDHV12</stp>
        <stp>SYK US Equity</stp>
        <stp>LOW_EV_TO_T12M_EBIT</stp>
        <stp>-7FY</stp>
        <stp>-7FY</stp>
        <stp>[Fundamental &amp; Technical Model (1).xlsm]Multiples!R30C6</stp>
        <stp>EQY_CONSOLIDATED</stp>
        <stp>Yes</stp>
        <stp>ACCOUNTING_STANDARD_OVERRIDE</stp>
        <stp>Mixed</stp>
        <stp>Per</stp>
        <stp>FY</stp>
        <stp>Days=A</stp>
        <tr r="F30" s="16"/>
        <tr r="F30" s="16"/>
      </tp>
      <tp>
        <v>1751</v>
        <stp/>
        <stp>##V3_BQLV12</stp>
        <stp>[Fundamental &amp; Technical Model (1).xlsm]Balance Sheet!R44C7</stp>
        <stp>SYK US Equity</stp>
        <stp>BS_LT_BORROW/10^6</stp>
        <stp>FPT</stp>
        <stp>A</stp>
        <stp>FPO</stp>
        <stp>-7A</stp>
        <stp>STD</stp>
        <stp>Mixed</stp>
        <stp>CONSOL</stp>
        <stp>Yes</stp>
        <stp>CURRENCY</stp>
        <stp>USD</stp>
        <tr r="G44" s="3"/>
      </tp>
      <tp>
        <v>996</v>
        <stp/>
        <stp>##V3_BQLV12</stp>
        <stp>[Fundamental &amp; Technical Model (1).xlsm]Balance Sheet!R44C6</stp>
        <stp>SYK US Equity</stp>
        <stp>BS_LT_BORROW/10^6</stp>
        <stp>FPT</stp>
        <stp>A</stp>
        <stp>FPO</stp>
        <stp>-8A</stp>
        <stp>STD</stp>
        <stp>Mixed</stp>
        <stp>CONSOL</stp>
        <stp>Yes</stp>
        <stp>CURRENCY</stp>
        <stp>USD</stp>
        <tr r="F44" s="3"/>
      </tp>
      <tp>
        <v>0</v>
        <stp/>
        <stp>##V3_BQLV12</stp>
        <stp>[Fundamental &amp; Technical Model (1).xlsm]Balance Sheet!R44C5</stp>
        <stp>SYK US Equity</stp>
        <stp>BS_LT_BORROW/10^6</stp>
        <stp>FPT</stp>
        <stp>A</stp>
        <stp>FPO</stp>
        <stp>-9A</stp>
        <stp>STD</stp>
        <stp>Mixed</stp>
        <stp>CONSOL</stp>
        <stp>Yes</stp>
        <stp>CURRENCY</stp>
        <stp>USD</stp>
        <tr r="E44" s="3"/>
      </tp>
      <tp>
        <v>2739</v>
        <stp/>
        <stp>##V3_BQLV12</stp>
        <stp>[Fundamental &amp; Technical Model (1).xlsm]Balance Sheet!R44C9</stp>
        <stp>SYK US Equity</stp>
        <stp>BS_LT_BORROW/10^6</stp>
        <stp>FPT</stp>
        <stp>A</stp>
        <stp>FPO</stp>
        <stp>-5A</stp>
        <stp>STD</stp>
        <stp>Mixed</stp>
        <stp>CONSOL</stp>
        <stp>Yes</stp>
        <stp>CURRENCY</stp>
        <stp>USD</stp>
        <tr r="I44" s="3"/>
      </tp>
      <tp>
        <v>1746</v>
        <stp/>
        <stp>##V3_BQLV12</stp>
        <stp>[Fundamental &amp; Technical Model (1).xlsm]Balance Sheet!R44C8</stp>
        <stp>SYK US Equity</stp>
        <stp>BS_LT_BORROW/10^6</stp>
        <stp>FPT</stp>
        <stp>A</stp>
        <stp>FPO</stp>
        <stp>-6A</stp>
        <stp>STD</stp>
        <stp>Mixed</stp>
        <stp>CONSOL</stp>
        <stp>Yes</stp>
        <stp>CURRENCY</stp>
        <stp>USD</stp>
        <tr r="H44" s="3"/>
      </tp>
      <tp>
        <v>60.784133519594143</v>
        <stp/>
        <stp>##V3_BQLV12</stp>
        <stp>[Fundamental &amp; Technical Model (1).xlsm]Ratios!R40C14</stp>
        <stp>SYK US Equity</stp>
        <stp>ACCT_RCV_DAYS</stp>
        <stp>FPT</stp>
        <stp>A</stp>
        <stp>FPO</stp>
        <stp>-0A</stp>
        <stp>STD</stp>
        <stp>Mixed</stp>
        <stp>CONSOL</stp>
        <stp>Yes</stp>
        <tr r="N40" s="8"/>
      </tp>
      <tp>
        <v>65.5</v>
        <stp/>
        <stp>##V3_BQLV12</stp>
        <stp>[Fundamental &amp; Technical Model (1).xlsm]Income Statement!R88C4</stp>
        <stp>SYK US Equity</stp>
        <stp>IS_EXPENSE_STOCK_BASED_COMP/10^6</stp>
        <stp>FPT</stp>
        <stp>A</stp>
        <stp>FPO</stp>
        <stp>-10A</stp>
        <stp>STD</stp>
        <stp>Mixed</stp>
        <stp>CONSOL</stp>
        <stp>Yes</stp>
        <stp>CURRENCY</stp>
        <stp>USD</stp>
        <tr r="D88" s="2"/>
      </tp>
      <tp>
        <v>22.536914786431858</v>
        <stp/>
        <stp>##V3_BQLV12</stp>
        <stp>[Fundamental &amp; Technical Model (1).xlsm]Key Stats!R60C6</stp>
        <stp>SYK US Equity</stp>
        <stp>PE_RATIO</stp>
        <stp>FPT=LTM</stp>
        <stp>FPO=1</stp>
        <stp>STD</stp>
        <stp>Mixed</stp>
        <stp>CONSOL</stp>
        <stp>Yes</stp>
        <stp>CURRENCY</stp>
        <stp>USD</stp>
        <tr r="F60" s="23"/>
      </tp>
      <tp>
        <v>14.993646759847524</v>
        <stp/>
        <stp>##V3_BQLV12</stp>
        <stp>[Fundamental &amp; Technical Model (1).xlsm]Ratios!R26C8</stp>
        <stp>SYK US Equity</stp>
        <stp>PROF_MARGIN</stp>
        <stp>FPT</stp>
        <stp>A</stp>
        <stp>FPO</stp>
        <stp>-6A</stp>
        <stp>STD</stp>
        <stp>Mixed</stp>
        <stp>CONSOL</stp>
        <stp>Yes</stp>
        <tr r="H26" s="8"/>
      </tp>
      <tp>
        <v>1735</v>
        <stp/>
        <stp>##V3_BQLV12</stp>
        <stp>[Fundamental &amp; Technical Model (1).xlsm]Income Statement!R44C11</stp>
        <stp>SYK US Equity</stp>
        <stp>PRETAX_INC/10^6</stp>
        <stp>FPT</stp>
        <stp>A</stp>
        <stp>FPO</stp>
        <stp>-3A</stp>
        <stp>STD</stp>
        <stp>Mixed</stp>
        <stp>CONSOL</stp>
        <stp>Yes</stp>
        <stp>CURRENCY</stp>
        <stp>USD</stp>
        <tr r="K44" s="2"/>
      </tp>
      <tp>
        <v>1967</v>
        <stp/>
        <stp>##V3_BQLV12</stp>
        <stp>[Fundamental &amp; Technical Model (1).xlsm]Balance Sheet!R20C12</stp>
        <stp>SYK US Equity</stp>
        <stp>BS_ACCT_NOTE_RCV/10^6</stp>
        <stp>FPT</stp>
        <stp>A</stp>
        <stp>FPO</stp>
        <stp>-2A</stp>
        <stp>STD</stp>
        <stp>Mixed</stp>
        <stp>CONSOL</stp>
        <stp>Yes</stp>
        <stp>CURRENCY</stp>
        <stp>USD</stp>
        <tr r="L20" s="3"/>
      </tp>
      <tp>
        <v>2198</v>
        <stp/>
        <stp>##V3_BQLV12</stp>
        <stp>[Fundamental &amp; Technical Model (1).xlsm]Balance Sheet!R20C13</stp>
        <stp>SYK US Equity</stp>
        <stp>BS_ACCT_NOTE_RCV/10^6</stp>
        <stp>FPT</stp>
        <stp>A</stp>
        <stp>FPO</stp>
        <stp>-1A</stp>
        <stp>STD</stp>
        <stp>Mixed</stp>
        <stp>CONSOL</stp>
        <stp>Yes</stp>
        <stp>CURRENCY</stp>
        <stp>USD</stp>
        <tr r="M20" s="3"/>
      </tp>
      <tp>
        <v>1572</v>
        <stp/>
        <stp>##V3_BQLV12</stp>
        <stp>[Fundamental &amp; Technical Model (1).xlsm]Balance Sheet!R20C10</stp>
        <stp>SYK US Equity</stp>
        <stp>BS_ACCT_NOTE_RCV/10^6</stp>
        <stp>FPT</stp>
        <stp>A</stp>
        <stp>FPO</stp>
        <stp>-4A</stp>
        <stp>STD</stp>
        <stp>Mixed</stp>
        <stp>CONSOL</stp>
        <stp>Yes</stp>
        <stp>CURRENCY</stp>
        <stp>USD</stp>
        <tr r="J20" s="3"/>
      </tp>
      <tp>
        <v>1662</v>
        <stp/>
        <stp>##V3_BQLV12</stp>
        <stp>[Fundamental &amp; Technical Model (1).xlsm]Balance Sheet!R20C11</stp>
        <stp>SYK US Equity</stp>
        <stp>BS_ACCT_NOTE_RCV/10^6</stp>
        <stp>FPT</stp>
        <stp>A</stp>
        <stp>FPO</stp>
        <stp>-3A</stp>
        <stp>STD</stp>
        <stp>Mixed</stp>
        <stp>CONSOL</stp>
        <stp>Yes</stp>
        <stp>CURRENCY</stp>
        <stp>USD</stp>
        <tr r="K20" s="3"/>
      </tp>
      <tp>
        <v>2332</v>
        <stp/>
        <stp>##V3_BQLV12</stp>
        <stp>[Fundamental &amp; Technical Model (1).xlsm]Balance Sheet!R20C14</stp>
        <stp>SYK US Equity</stp>
        <stp>BS_ACCT_NOTE_RCV/10^6</stp>
        <stp>FPT</stp>
        <stp>A</stp>
        <stp>FPO</stp>
        <stp>-0A</stp>
        <stp>STD</stp>
        <stp>Mixed</stp>
        <stp>CONSOL</stp>
        <stp>Yes</stp>
        <stp>CURRENCY</stp>
        <stp>USD</stp>
        <tr r="N20" s="3"/>
      </tp>
      <tp t="s">
        <v>#N/A N/A</v>
        <stp/>
        <stp>##V3_BDSV12</stp>
        <stp>SYK US Equity</stp>
        <stp>PG_DEPR_AMORTIZATION</stp>
        <stp>[Fundamental &amp; Technical Model (1).xlsm]Segments!R142C10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142" s="17"/>
      </tp>
      <tp t="s">
        <v>#N/A N/A</v>
        <stp/>
        <stp>##V3_BDSV12</stp>
        <stp>SYK US Equity</stp>
        <stp>PG_DEPR_AMORTIZATION</stp>
        <stp>[Fundamental &amp; Technical Model (1).xlsm]Segments!R156C10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156" s="17"/>
      </tp>
      <tp>
        <v>12.443135614454803</v>
        <stp/>
        <stp>##V3_BQLV12</stp>
        <stp>[Fundamental &amp; Technical Model (1).xlsm]Ratios!R58C8</stp>
        <stp>SYK US Equity</stp>
        <stp>ALTMAN_Z_SCORE</stp>
        <stp>FPT</stp>
        <stp>A</stp>
        <stp>FPO</stp>
        <stp>-6A</stp>
        <stp>STD</stp>
        <stp>Mixed</stp>
        <stp>CONSOL</stp>
        <stp>Yes</stp>
        <tr r="H58" s="8"/>
      </tp>
      <tp t="e">
        <v>#N/A</v>
        <stp/>
        <stp>##V3_BDHV12</stp>
        <stp>SYK US Equity</stp>
        <stp>LOW_EV_TO_T12M_EBIT</stp>
        <stp>-6FY</stp>
        <stp>-6FY</stp>
        <stp>[Fundamental &amp; Technical Model (1).xlsm]Multiples!R30C7</stp>
        <stp>EQY_CONSOLIDATED</stp>
        <stp>Yes</stp>
        <stp>ACCOUNTING_STANDARD_OVERRIDE</stp>
        <stp>Mixed</stp>
        <stp>Per</stp>
        <stp>FY</stp>
        <stp>Days=A</stp>
        <tr r="G30" s="16"/>
        <tr r="G30" s="16"/>
      </tp>
      <tp>
        <v>34.68733850129199</v>
        <stp/>
        <stp>##V3_BQLV12</stp>
        <stp>[Fundamental &amp; Technical Model (1).xlsm]Ratios!R22C10</stp>
        <stp>SYK US Equity</stp>
        <stp>ADJ_SG_AND_A_TO_SALES</stp>
        <stp>FPT</stp>
        <stp>A</stp>
        <stp>FPO</stp>
        <stp>-4A</stp>
        <stp>STD</stp>
        <stp>Mixed</stp>
        <stp>CONSOL</stp>
        <stp>Yes</stp>
        <tr r="J22" s="8"/>
      </tp>
      <tp>
        <v>61.082650273224047</v>
        <stp/>
        <stp>##V3_BQLV12</stp>
        <stp>[Fundamental &amp; Technical Model (1).xlsm]Ratios!R40C13</stp>
        <stp>SYK US Equity</stp>
        <stp>ACCT_RCV_DAYS</stp>
        <stp>FPT</stp>
        <stp>A</stp>
        <stp>FPO</stp>
        <stp>-1A</stp>
        <stp>STD</stp>
        <stp>Mixed</stp>
        <stp>CONSOL</stp>
        <stp>Yes</stp>
        <tr r="M40" s="8"/>
      </tp>
      <tp>
        <v>3515</v>
        <stp/>
        <stp>##V3_BDPV12</stp>
        <stp>SYK US Equity</stp>
        <stp>BS_CONTRACTUAL_OBLIG_YEAR_2_5</stp>
        <stp>[Fundamental &amp; Technical Model (1).xlsm]Capital Structure Summary!R113C9</stp>
        <stp>EQY_FUND_RELATIVE_PERIOD</stp>
        <stp>-1FY</stp>
        <stp>EQY_FUND_CRNCY</stp>
        <stp>USD</stp>
        <stp>EQY_CONSOLIDATED</stp>
        <stp>Yes</stp>
        <stp>ACCOUNTING_STANDARD_OVERRIDE</stp>
        <stp>Mixed</stp>
        <stp>Fill=--</stp>
        <tr r="I113" s="21"/>
      </tp>
      <tp>
        <v>1141</v>
        <stp/>
        <stp>##V3_BDPV12</stp>
        <stp>SYK US Equity</stp>
        <stp>BS_CONTRACTUAL_OBLIG_YEAR_4_5</stp>
        <stp>[Fundamental &amp; Technical Model (1).xlsm]Capital Structure Summary!R112C9</stp>
        <stp>EQY_FUND_RELATIVE_PERIOD</stp>
        <stp>-1FY</stp>
        <stp>EQY_FUND_CRNCY</stp>
        <stp>USD</stp>
        <stp>EQY_CONSOLIDATED</stp>
        <stp>Yes</stp>
        <stp>ACCOUNTING_STANDARD_OVERRIDE</stp>
        <stp>Mixed</stp>
        <stp>Fill=--</stp>
        <tr r="I112" s="21"/>
      </tp>
      <tp>
        <v>2865</v>
        <stp/>
        <stp>##V3_BDPV12</stp>
        <stp>SYK US Equity</stp>
        <stp>BS_CONTRACTUAL_OBLIG_YEAR_2_5</stp>
        <stp>[Fundamental &amp; Technical Model (1).xlsm]Capital Structure Summary!R113C7</stp>
        <stp>EQY_FUND_RELATIVE_PERIOD</stp>
        <stp>-2FY</stp>
        <stp>EQY_FUND_CRNCY</stp>
        <stp>USD</stp>
        <stp>EQY_CONSOLIDATED</stp>
        <stp>Yes</stp>
        <stp>ACCOUNTING_STANDARD_OVERRIDE</stp>
        <stp>Mixed</stp>
        <stp>Fill=--</stp>
        <tr r="G113" s="21"/>
      </tp>
      <tp>
        <v>1298</v>
        <stp/>
        <stp>##V3_BDPV12</stp>
        <stp>SYK US Equity</stp>
        <stp>BS_CONTRACTUAL_OBLIG_YEAR_4_5</stp>
        <stp>[Fundamental &amp; Technical Model (1).xlsm]Capital Structure Summary!R112C7</stp>
        <stp>EQY_FUND_RELATIVE_PERIOD</stp>
        <stp>-2FY</stp>
        <stp>EQY_FUND_CRNCY</stp>
        <stp>USD</stp>
        <stp>EQY_CONSOLIDATED</stp>
        <stp>Yes</stp>
        <stp>ACCOUNTING_STANDARD_OVERRIDE</stp>
        <stp>Mixed</stp>
        <stp>Fill=--</stp>
        <tr r="G112" s="21"/>
      </tp>
      <tp>
        <v>3073.5</v>
        <stp/>
        <stp>##V3_BQLV12</stp>
        <stp>[Fundamental &amp; Technical Model (1).xlsm]Key Stats!R27C13</stp>
        <stp>SYK US Equity</stp>
        <stp>NET_INCOME/10^6</stp>
        <stp>FPT</stp>
        <stp>A</stp>
        <stp>FPO</stp>
        <stp>2A</stp>
        <stp>STD</stp>
        <stp>Mixed</stp>
        <stp>CONSOL</stp>
        <stp>Yes</stp>
        <stp>CURRENCY</stp>
        <stp>USD</stp>
        <tr r="M27" s="23"/>
      </tp>
      <tp>
        <v>2542.2857142857142</v>
        <stp/>
        <stp>##V3_BQLV12</stp>
        <stp>[Fundamental &amp; Technical Model (1).xlsm]Key Stats!R27C12</stp>
        <stp>SYK US Equity</stp>
        <stp>NET_INCOME/10^6</stp>
        <stp>FPT</stp>
        <stp>A</stp>
        <stp>FPO</stp>
        <stp>1A</stp>
        <stp>STD</stp>
        <stp>Mixed</stp>
        <stp>CONSOL</stp>
        <stp>Yes</stp>
        <stp>CURRENCY</stp>
        <stp>USD</stp>
        <tr r="L27" s="23"/>
      </tp>
      <tp>
        <v>1856</v>
        <stp/>
        <stp>##V3_BDPV12</stp>
        <stp>SYK US Equity</stp>
        <stp>BS_CONTRACTUAL_OBLIG_YEAR_2_5</stp>
        <stp>[Fundamental &amp; Technical Model (1).xlsm]Capital Structure Summary!R113C3</stp>
        <stp>EQY_FUND_RELATIVE_PERIOD</stp>
        <stp>-4FY</stp>
        <stp>EQY_FUND_CRNCY</stp>
        <stp>USD</stp>
        <stp>EQY_CONSOLIDATED</stp>
        <stp>Yes</stp>
        <stp>ACCOUNTING_STANDARD_OVERRIDE</stp>
        <stp>Mixed</stp>
        <stp>Fill=--</stp>
        <tr r="C113" s="21"/>
      </tp>
      <tp>
        <v>773</v>
        <stp/>
        <stp>##V3_BDPV12</stp>
        <stp>SYK US Equity</stp>
        <stp>BS_CONTRACTUAL_OBLIG_YEAR_4_5</stp>
        <stp>[Fundamental &amp; Technical Model (1).xlsm]Capital Structure Summary!R112C3</stp>
        <stp>EQY_FUND_RELATIVE_PERIOD</stp>
        <stp>-4FY</stp>
        <stp>EQY_FUND_CRNCY</stp>
        <stp>USD</stp>
        <stp>EQY_CONSOLIDATED</stp>
        <stp>Yes</stp>
        <stp>ACCOUNTING_STANDARD_OVERRIDE</stp>
        <stp>Mixed</stp>
        <stp>Fill=--</stp>
        <tr r="C112" s="21"/>
      </tp>
      <tp>
        <v>1482</v>
        <stp/>
        <stp>##V3_BDPV12</stp>
        <stp>SYK US Equity</stp>
        <stp>BS_CONTRACTUAL_OBLIG_YEAR_2_5</stp>
        <stp>[Fundamental &amp; Technical Model (1).xlsm]Capital Structure Summary!R113C5</stp>
        <stp>EQY_FUND_RELATIVE_PERIOD</stp>
        <stp>-3FY</stp>
        <stp>EQY_FUND_CRNCY</stp>
        <stp>USD</stp>
        <stp>EQY_CONSOLIDATED</stp>
        <stp>Yes</stp>
        <stp>ACCOUNTING_STANDARD_OVERRIDE</stp>
        <stp>Mixed</stp>
        <stp>Fill=--</stp>
        <tr r="E113" s="21"/>
      </tp>
      <tp>
        <v>605</v>
        <stp/>
        <stp>##V3_BDPV12</stp>
        <stp>SYK US Equity</stp>
        <stp>BS_CONTRACTUAL_OBLIG_YEAR_4_5</stp>
        <stp>[Fundamental &amp; Technical Model (1).xlsm]Capital Structure Summary!R112C5</stp>
        <stp>EQY_FUND_RELATIVE_PERIOD</stp>
        <stp>-3FY</stp>
        <stp>EQY_FUND_CRNCY</stp>
        <stp>USD</stp>
        <stp>EQY_CONSOLIDATED</stp>
        <stp>Yes</stp>
        <stp>ACCOUNTING_STANDARD_OVERRIDE</stp>
        <stp>Mixed</stp>
        <stp>Fill=--</stp>
        <tr r="E112" s="21"/>
      </tp>
      <tp>
        <v>437</v>
        <stp/>
        <stp>##V3_BQLV12</stp>
        <stp>[Fundamental &amp; Technical Model (1).xlsm]Cash Flow!R50C10</stp>
        <stp>SYK US Equity</stp>
        <stp>CF_CASH_PAID_FOR_TAX/10^6</stp>
        <stp>FPT</stp>
        <stp>A</stp>
        <stp>FPO</stp>
        <stp>-4A</stp>
        <stp>STD</stp>
        <stp>Mixed</stp>
        <stp>CONSOL</stp>
        <stp>Yes</stp>
        <stp>CURRENCY</stp>
        <stp>USD</stp>
        <tr r="J50" s="4"/>
      </tp>
      <tp>
        <v>497</v>
        <stp/>
        <stp>##V3_BQLV12</stp>
        <stp>[Fundamental &amp; Technical Model (1).xlsm]Cash Flow!R50C11</stp>
        <stp>SYK US Equity</stp>
        <stp>CF_CASH_PAID_FOR_TAX/10^6</stp>
        <stp>FPT</stp>
        <stp>A</stp>
        <stp>FPO</stp>
        <stp>-3A</stp>
        <stp>STD</stp>
        <stp>Mixed</stp>
        <stp>CONSOL</stp>
        <stp>Yes</stp>
        <stp>CURRENCY</stp>
        <stp>USD</stp>
        <tr r="K50" s="4"/>
      </tp>
      <tp>
        <v>510</v>
        <stp/>
        <stp>##V3_BQLV12</stp>
        <stp>[Fundamental &amp; Technical Model (1).xlsm]Cash Flow!R50C12</stp>
        <stp>SYK US Equity</stp>
        <stp>CF_CASH_PAID_FOR_TAX/10^6</stp>
        <stp>FPT</stp>
        <stp>A</stp>
        <stp>FPO</stp>
        <stp>-2A</stp>
        <stp>STD</stp>
        <stp>Mixed</stp>
        <stp>CONSOL</stp>
        <stp>Yes</stp>
        <stp>CURRENCY</stp>
        <stp>USD</stp>
        <tr r="L50" s="4"/>
      </tp>
      <tp>
        <v>312</v>
        <stp/>
        <stp>##V3_BQLV12</stp>
        <stp>[Fundamental &amp; Technical Model (1).xlsm]Cash Flow!R50C13</stp>
        <stp>SYK US Equity</stp>
        <stp>CF_CASH_PAID_FOR_TAX/10^6</stp>
        <stp>FPT</stp>
        <stp>A</stp>
        <stp>FPO</stp>
        <stp>-1A</stp>
        <stp>STD</stp>
        <stp>Mixed</stp>
        <stp>CONSOL</stp>
        <stp>Yes</stp>
        <stp>CURRENCY</stp>
        <stp>USD</stp>
        <tr r="M50" s="4"/>
      </tp>
      <tp>
        <v>539</v>
        <stp/>
        <stp>##V3_BQLV12</stp>
        <stp>[Fundamental &amp; Technical Model (1).xlsm]Cash Flow!R50C14</stp>
        <stp>SYK US Equity</stp>
        <stp>CF_CASH_PAID_FOR_TAX/10^6</stp>
        <stp>FPT</stp>
        <stp>A</stp>
        <stp>FPO</stp>
        <stp>-0A</stp>
        <stp>STD</stp>
        <stp>Mixed</stp>
        <stp>CONSOL</stp>
        <stp>Yes</stp>
        <stp>CURRENCY</stp>
        <stp>USD</stp>
        <tr r="N50" s="4"/>
      </tp>
      <tp>
        <v>3488.833333333333</v>
        <stp/>
        <stp>##V3_BQLV12</stp>
        <stp>[Fundamental &amp; Technical Model (1).xlsm]Key Stats!R27C14</stp>
        <stp>SYK US Equity</stp>
        <stp>NET_INCOME/10^6</stp>
        <stp>FPT</stp>
        <stp>A</stp>
        <stp>FPO</stp>
        <stp>3A</stp>
        <stp>STD</stp>
        <stp>Mixed</stp>
        <stp>CONSOL</stp>
        <stp>Yes</stp>
        <stp>CURRENCY</stp>
        <stp>USD</stp>
        <tr r="N27" s="23"/>
      </tp>
      <tp>
        <v>100096.45029424</v>
        <stp/>
        <stp>##V3_BDPV12</stp>
        <stp>DHR Equity</stp>
        <stp>curr_entp_val</stp>
        <stp>[Fundamental &amp; Technical Model (1).xlsm]Public Comparables!R9C9</stp>
        <tr r="I9" s="24"/>
      </tp>
      <tp>
        <v>28.296422612233243</v>
        <stp/>
        <stp>##V3_BQLV12</stp>
        <stp>[Fundamental &amp; Technical Model (1).xlsm]Key Stats!R60C4</stp>
        <stp>SYK US Equity</stp>
        <stp>PE_RATIO</stp>
        <stp>FPT=LTM</stp>
        <stp>FPO=0</stp>
        <stp>STD</stp>
        <stp>Mixed</stp>
        <stp>CONSOL</stp>
        <stp>Yes</stp>
        <stp>CURRENCY</stp>
        <stp>USD</stp>
        <tr r="D60" s="23"/>
      </tp>
      <tp>
        <v>36.205698401667824</v>
        <stp/>
        <stp>##V3_BQLV12</stp>
        <stp>[Fundamental &amp; Technical Model (1).xlsm]Income Statement!R74C11</stp>
        <stp>SYK US Equity</stp>
        <stp>DVD_PAYOUT_RATIO</stp>
        <stp>FPT</stp>
        <stp>A</stp>
        <stp>FPO</stp>
        <stp>-3A</stp>
        <stp>STD</stp>
        <stp>Mixed</stp>
        <stp>CONSOL</stp>
        <stp>Yes</stp>
        <stp>CURRENCY</stp>
        <stp>USD</stp>
        <tr r="K74" s="2"/>
      </tp>
      <tp>
        <v>62.352941176470587</v>
        <stp/>
        <stp>##V3_BQLV12</stp>
        <stp>[Fundamental &amp; Technical Model (1).xlsm]Income Statement!R74C13</stp>
        <stp>SYK US Equity</stp>
        <stp>DVD_PAYOUT_RATIO</stp>
        <stp>FPT</stp>
        <stp>A</stp>
        <stp>FPO</stp>
        <stp>-1A</stp>
        <stp>STD</stp>
        <stp>Mixed</stp>
        <stp>CONSOL</stp>
        <stp>Yes</stp>
        <stp>CURRENCY</stp>
        <stp>USD</stp>
        <tr r="M74" s="2"/>
      </tp>
      <tp>
        <v>34.486945962355797</v>
        <stp/>
        <stp>##V3_BQLV12</stp>
        <stp>[Fundamental &amp; Technical Model (1).xlsm]Income Statement!R74C12</stp>
        <stp>SYK US Equity</stp>
        <stp>DVD_PAYOUT_RATIO</stp>
        <stp>FPT</stp>
        <stp>A</stp>
        <stp>FPO</stp>
        <stp>-2A</stp>
        <stp>STD</stp>
        <stp>Mixed</stp>
        <stp>CONSOL</stp>
        <stp>Yes</stp>
        <stp>CURRENCY</stp>
        <stp>USD</stp>
        <tr r="L74" s="2"/>
      </tp>
      <tp>
        <v>89.708737864077676</v>
        <stp/>
        <stp>##V3_BQLV12</stp>
        <stp>[Fundamental &amp; Technical Model (1).xlsm]Income Statement!R74C10</stp>
        <stp>SYK US Equity</stp>
        <stp>DVD_PAYOUT_RATIO</stp>
        <stp>FPT</stp>
        <stp>A</stp>
        <stp>FPO</stp>
        <stp>-4A</stp>
        <stp>STD</stp>
        <stp>Mixed</stp>
        <stp>CONSOL</stp>
        <stp>Yes</stp>
        <stp>CURRENCY</stp>
        <stp>USD</stp>
        <tr r="J74" s="2"/>
      </tp>
      <tp>
        <v>19.786096256684491</v>
        <stp/>
        <stp>##V3_BQLV12</stp>
        <stp>[Fundamental &amp; Technical Model (1).xlsm]Income Statement!R74C14</stp>
        <stp>SYK US Equity</stp>
        <stp>DVD_PAYOUT_RATIO</stp>
        <stp>FPT</stp>
        <stp>A</stp>
        <stp>FPO</stp>
        <stp>-0A</stp>
        <stp>STD</stp>
        <stp>Mixed</stp>
        <stp>CONSOL</stp>
        <stp>Yes</stp>
        <stp>CURRENCY</stp>
        <stp>USD</stp>
        <tr r="N74" s="2"/>
      </tp>
      <tp>
        <v>1160</v>
        <stp/>
        <stp>##V3_BQLV12</stp>
        <stp>[Fundamental &amp; Technical Model (1).xlsm]Income Statement!R44C10</stp>
        <stp>SYK US Equity</stp>
        <stp>PRETAX_INC/10^6</stp>
        <stp>FPT</stp>
        <stp>A</stp>
        <stp>FPO</stp>
        <stp>-4A</stp>
        <stp>STD</stp>
        <stp>Mixed</stp>
        <stp>CONSOL</stp>
        <stp>Yes</stp>
        <stp>CURRENCY</stp>
        <stp>USD</stp>
        <tr r="J44" s="2"/>
      </tp>
      <tp>
        <v>16.191164078488022</v>
        <stp/>
        <stp>##V3_BQLV12</stp>
        <stp>[Fundamental &amp; Technical Model (1).xlsm]Ratios!R26C7</stp>
        <stp>SYK US Equity</stp>
        <stp>PROF_MARGIN</stp>
        <stp>FPT</stp>
        <stp>A</stp>
        <stp>FPO</stp>
        <stp>-7A</stp>
        <stp>STD</stp>
        <stp>Mixed</stp>
        <stp>CONSOL</stp>
        <stp>Yes</stp>
        <tr r="G26" s="8"/>
      </tp>
      <tp>
        <v>3.39</v>
        <stp/>
        <stp>##V3_BQLV12</stp>
        <stp>[Fundamental &amp; Technical Model (1).xlsm]Income Statement!R67C8</stp>
        <stp>SYK US Equity</stp>
        <stp>IS_DIL_EPS_BEF_XO</stp>
        <stp>FPT</stp>
        <stp>A</stp>
        <stp>FPO</stp>
        <stp>-6A</stp>
        <stp>STD</stp>
        <stp>Mixed</stp>
        <stp>CONSOL</stp>
        <stp>Yes</stp>
        <stp>CURRENCY</stp>
        <stp>USD</stp>
        <tr r="H67" s="2"/>
      </tp>
      <tp>
        <v>2.63</v>
        <stp/>
        <stp>##V3_BQLV12</stp>
        <stp>[Fundamental &amp; Technical Model (1).xlsm]Income Statement!R67C9</stp>
        <stp>SYK US Equity</stp>
        <stp>IS_DIL_EPS_BEF_XO</stp>
        <stp>FPT</stp>
        <stp>A</stp>
        <stp>FPO</stp>
        <stp>-5A</stp>
        <stp>STD</stp>
        <stp>Mixed</stp>
        <stp>CONSOL</stp>
        <stp>Yes</stp>
        <stp>CURRENCY</stp>
        <stp>USD</stp>
        <tr r="I67" s="2"/>
      </tp>
      <tp>
        <v>2.77</v>
        <stp/>
        <stp>##V3_BQLV12</stp>
        <stp>[Fundamental &amp; Technical Model (1).xlsm]Income Statement!R67C5</stp>
        <stp>SYK US Equity</stp>
        <stp>IS_DIL_EPS_BEF_XO</stp>
        <stp>FPT</stp>
        <stp>A</stp>
        <stp>FPO</stp>
        <stp>-9A</stp>
        <stp>STD</stp>
        <stp>Mixed</stp>
        <stp>CONSOL</stp>
        <stp>Yes</stp>
        <stp>CURRENCY</stp>
        <stp>USD</stp>
        <tr r="E67" s="2"/>
      </tp>
      <tp>
        <v>3.19</v>
        <stp/>
        <stp>##V3_BQLV12</stp>
        <stp>[Fundamental &amp; Technical Model (1).xlsm]Income Statement!R67C6</stp>
        <stp>SYK US Equity</stp>
        <stp>IS_DIL_EPS_BEF_XO</stp>
        <stp>FPT</stp>
        <stp>A</stp>
        <stp>FPO</stp>
        <stp>-8A</stp>
        <stp>STD</stp>
        <stp>Mixed</stp>
        <stp>CONSOL</stp>
        <stp>Yes</stp>
        <stp>CURRENCY</stp>
        <stp>USD</stp>
        <tr r="F67" s="2"/>
      </tp>
      <tp>
        <v>3.45</v>
        <stp/>
        <stp>##V3_BQLV12</stp>
        <stp>[Fundamental &amp; Technical Model (1).xlsm]Income Statement!R67C7</stp>
        <stp>SYK US Equity</stp>
        <stp>IS_DIL_EPS_BEF_XO</stp>
        <stp>FPT</stp>
        <stp>A</stp>
        <stp>FPO</stp>
        <stp>-7A</stp>
        <stp>STD</stp>
        <stp>Mixed</stp>
        <stp>CONSOL</stp>
        <stp>Yes</stp>
        <stp>CURRENCY</stp>
        <stp>USD</stp>
        <tr r="G67" s="2"/>
      </tp>
      <tp t="s">
        <v>12/31/2015</v>
        <stp/>
        <stp>##V3_BDPV12</stp>
        <stp>SYK US Equity</stp>
        <stp>LATEST_PERIOD_END_DT_FULL_RECORD</stp>
        <stp>[Fundamental &amp; Technical Model (1).xlsm]Capital Structure Summary!R37C5</stp>
        <stp>EQY_FUND_RELATIVE_PERIOD</stp>
        <stp>-3FY</stp>
        <stp>EQY_CONSOLIDATED</stp>
        <stp>Yes</stp>
        <tr r="E37" s="21"/>
        <tr r="E37" s="21"/>
      </tp>
      <tp t="s">
        <v>12/31/2014</v>
        <stp/>
        <stp>##V3_BDPV12</stp>
        <stp>SYK US Equity</stp>
        <stp>LATEST_PERIOD_END_DT_FULL_RECORD</stp>
        <stp>[Fundamental &amp; Technical Model (1).xlsm]Capital Structure Summary!R37C3</stp>
        <stp>EQY_FUND_RELATIVE_PERIOD</stp>
        <stp>-4FY</stp>
        <stp>EQY_CONSOLIDATED</stp>
        <stp>Yes</stp>
        <tr r="C37" s="21"/>
        <tr r="C37" s="21"/>
      </tp>
      <tp t="s">
        <v>12/31/2016</v>
        <stp/>
        <stp>##V3_BDPV12</stp>
        <stp>SYK US Equity</stp>
        <stp>LATEST_PERIOD_END_DT_FULL_RECORD</stp>
        <stp>[Fundamental &amp; Technical Model (1).xlsm]Capital Structure Summary!R37C7</stp>
        <stp>EQY_FUND_RELATIVE_PERIOD</stp>
        <stp>-2FY</stp>
        <stp>EQY_CONSOLIDATED</stp>
        <stp>Yes</stp>
        <tr r="G37" s="21"/>
        <tr r="G37" s="21"/>
      </tp>
      <tp t="s">
        <v>12/31/2017</v>
        <stp/>
        <stp>##V3_BDPV12</stp>
        <stp>SYK US Equity</stp>
        <stp>LATEST_PERIOD_END_DT_FULL_RECORD</stp>
        <stp>[Fundamental &amp; Technical Model (1).xlsm]Capital Structure Summary!R37C9</stp>
        <stp>EQY_FUND_RELATIVE_PERIOD</stp>
        <stp>-1FY</stp>
        <stp>EQY_CONSOLIDATED</stp>
        <stp>Yes</stp>
        <tr r="I37" s="21"/>
        <tr r="I37" s="21"/>
      </tp>
      <tp>
        <v>0.15732866433216608</v>
        <stp/>
        <stp>##V3_BDPV12</stp>
        <stp>SYK US Equity</stp>
        <stp>FCF_TO_TOTAL_DEBT</stp>
        <stp>[Fundamental &amp; Technical Model (1).xlsm]Capital Structure Summary!R61C5</stp>
        <stp>EQY_FUND_RELATIVE_PERIOD</stp>
        <stp>-3FY</stp>
        <stp>EQY_FUND_CRNCY</stp>
        <stp>USD</stp>
        <stp>EQY_CONSOLIDATED</stp>
        <stp>Yes</stp>
        <stp>ACCOUNTING_STANDARD_OVERRIDE</stp>
        <stp>Mixed</stp>
        <stp>Fill=--</stp>
        <tr r="E61" s="21"/>
      </tp>
      <tp>
        <v>0.38988170148502393</v>
        <stp/>
        <stp>##V3_BDPV12</stp>
        <stp>SYK US Equity</stp>
        <stp>FCF_TO_TOTAL_DEBT</stp>
        <stp>[Fundamental &amp; Technical Model (1).xlsm]Capital Structure Summary!R61C3</stp>
        <stp>EQY_FUND_RELATIVE_PERIOD</stp>
        <stp>-4FY</stp>
        <stp>EQY_FUND_CRNCY</stp>
        <stp>USD</stp>
        <stp>EQY_CONSOLIDATED</stp>
        <stp>Yes</stp>
        <stp>ACCOUNTING_STANDARD_OVERRIDE</stp>
        <stp>Mixed</stp>
        <stp>Fill=--</stp>
        <tr r="C61" s="21"/>
      </tp>
      <tp t="s">
        <v>2013 A</v>
        <stp/>
        <stp>##V3_BQLV12</stp>
        <stp>[Fundamental &amp; Technical Model (1).xlsm]Income Statement!R13C9</stp>
        <stp>SYK US Equity</stp>
        <stp>IS_EPS().PERIOD</stp>
        <stp>FPT</stp>
        <stp>A</stp>
        <stp>FPO</stp>
        <stp>-5A</stp>
        <stp>STD</stp>
        <stp>Mixed</stp>
        <stp>CONSOL</stp>
        <stp>Yes</stp>
        <tr r="I13" s="2"/>
      </tp>
      <tp>
        <v>0.20610355799826438</v>
        <stp/>
        <stp>##V3_BDPV12</stp>
        <stp>SYK US Equity</stp>
        <stp>FCF_TO_TOTAL_DEBT</stp>
        <stp>[Fundamental &amp; Technical Model (1).xlsm]Capital Structure Summary!R61C7</stp>
        <stp>EQY_FUND_RELATIVE_PERIOD</stp>
        <stp>-2FY</stp>
        <stp>EQY_FUND_CRNCY</stp>
        <stp>USD</stp>
        <stp>EQY_CONSOLIDATED</stp>
        <stp>Yes</stp>
        <stp>ACCOUNTING_STANDARD_OVERRIDE</stp>
        <stp>Mixed</stp>
        <stp>Fill=--</stp>
        <tr r="G61" s="21"/>
      </tp>
      <tp>
        <v>0.13306563278870118</v>
        <stp/>
        <stp>##V3_BDPV12</stp>
        <stp>SYK US Equity</stp>
        <stp>FCF_TO_TOTAL_DEBT</stp>
        <stp>[Fundamental &amp; Technical Model (1).xlsm]Capital Structure Summary!R61C9</stp>
        <stp>EQY_FUND_RELATIVE_PERIOD</stp>
        <stp>-1FY</stp>
        <stp>EQY_FUND_CRNCY</stp>
        <stp>USD</stp>
        <stp>EQY_CONSOLIDATED</stp>
        <stp>Yes</stp>
        <stp>ACCOUNTING_STANDARD_OVERRIDE</stp>
        <stp>Mixed</stp>
        <stp>Fill=--</stp>
        <tr r="I61" s="21"/>
      </tp>
      <tp>
        <v>17.084933464320802</v>
        <stp/>
        <stp>##V3_BQLV12</stp>
        <stp>[Fundamental &amp; Technical Model (1).xlsm]Ratios!R26C4</stp>
        <stp>SYK US Equity</stp>
        <stp>PROF_MARGIN</stp>
        <stp>FPT</stp>
        <stp>A</stp>
        <stp>FPO</stp>
        <stp>-10A</stp>
        <stp>STD</stp>
        <stp>Mixed</stp>
        <stp>CONSOL</stp>
        <stp>Yes</stp>
        <tr r="D26" s="8"/>
      </tp>
      <tp>
        <v>60</v>
        <stp/>
        <stp>##V3_BDPV12</stp>
        <stp>SYK US Equity</stp>
        <stp>BS_RENTAL_EXP_BEYOND_YEAR_5</stp>
        <stp>[Fundamental &amp; Technical Model (1).xlsm]Capital Structure Summary!R105C9</stp>
        <stp>EQY_FUND_RELATIVE_PERIOD</stp>
        <stp>-1FY</stp>
        <stp>EQY_FUND_CRNCY</stp>
        <stp>USD</stp>
        <stp>EQY_CONSOLIDATED</stp>
        <stp>Yes</stp>
        <stp>ACCOUNTING_STANDARD_OVERRIDE</stp>
        <stp>Mixed</stp>
        <stp>Fill=--</stp>
        <tr r="I105" s="21"/>
      </tp>
      <tp>
        <v>0.73323550182056763</v>
        <stp/>
        <stp>##V3_BQLV12</stp>
        <stp>[Fundamental &amp; Technical Model (1).xlsm]Ratios!R31C6</stp>
        <stp>SYK US Equity</stp>
        <stp>ASSET_TURNOVER</stp>
        <stp>FPT</stp>
        <stp>A</stp>
        <stp>FPO</stp>
        <stp>-8A</stp>
        <stp>STD</stp>
        <stp>Mixed</stp>
        <stp>CONSOL</stp>
        <stp>Yes</stp>
        <tr r="F31" s="8"/>
      </tp>
      <tp>
        <v>56</v>
        <stp/>
        <stp>##V3_BDPV12</stp>
        <stp>SYK US Equity</stp>
        <stp>BS_RENTAL_EXP_BEYOND_YEAR_5</stp>
        <stp>[Fundamental &amp; Technical Model (1).xlsm]Capital Structure Summary!R105C5</stp>
        <stp>EQY_FUND_RELATIVE_PERIOD</stp>
        <stp>-3FY</stp>
        <stp>EQY_FUND_CRNCY</stp>
        <stp>USD</stp>
        <stp>EQY_CONSOLIDATED</stp>
        <stp>Yes</stp>
        <stp>ACCOUNTING_STANDARD_OVERRIDE</stp>
        <stp>Mixed</stp>
        <stp>Fill=--</stp>
        <tr r="E105" s="21"/>
      </tp>
      <tp>
        <v>34</v>
        <stp/>
        <stp>##V3_BDPV12</stp>
        <stp>SYK US Equity</stp>
        <stp>BS_RENTAL_EXP_BEYOND_YEAR_5</stp>
        <stp>[Fundamental &amp; Technical Model (1).xlsm]Capital Structure Summary!R105C3</stp>
        <stp>EQY_FUND_RELATIVE_PERIOD</stp>
        <stp>-4FY</stp>
        <stp>EQY_FUND_CRNCY</stp>
        <stp>USD</stp>
        <stp>EQY_CONSOLIDATED</stp>
        <stp>Yes</stp>
        <stp>ACCOUNTING_STANDARD_OVERRIDE</stp>
        <stp>Mixed</stp>
        <stp>Fill=--</stp>
        <tr r="C105" s="21"/>
      </tp>
      <tp>
        <v>8.8920650566781667</v>
        <stp/>
        <stp>##V3_BQLV12</stp>
        <stp>[Fundamental &amp; Technical Model (1).xlsm]Ratios!R33C9</stp>
        <stp>SYK US Equity</stp>
        <stp>SALES_TO_NET_FIX_ASSET</stp>
        <stp>FPT</stp>
        <stp>A</stp>
        <stp>FPO</stp>
        <stp>-5A</stp>
        <stp>STD</stp>
        <stp>Mixed</stp>
        <stp>CONSOL</stp>
        <stp>Yes</stp>
        <tr r="I33" s="8"/>
      </tp>
      <tp>
        <v>59</v>
        <stp/>
        <stp>##V3_BDPV12</stp>
        <stp>SYK US Equity</stp>
        <stp>BS_RENTAL_EXP_BEYOND_YEAR_5</stp>
        <stp>[Fundamental &amp; Technical Model (1).xlsm]Capital Structure Summary!R105C7</stp>
        <stp>EQY_FUND_RELATIVE_PERIOD</stp>
        <stp>-2FY</stp>
        <stp>EQY_FUND_CRNCY</stp>
        <stp>USD</stp>
        <stp>EQY_CONSOLIDATED</stp>
        <stp>Yes</stp>
        <stp>ACCOUNTING_STANDARD_OVERRIDE</stp>
        <stp>Mixed</stp>
        <stp>Fill=--</stp>
        <tr r="G105" s="21"/>
      </tp>
      <tp t="s">
        <v>#N/A N/A</v>
        <stp/>
        <stp>##V3_BDSV12</stp>
        <stp>SYK US Equity</stp>
        <stp>PG_CAPITAL_EXPENDITURES</stp>
        <stp>[Fundamental &amp; Technical Model (1).xlsm]Segments!R178C9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178" s="17"/>
      </tp>
      <tp t="s">
        <v>#N/A N/A</v>
        <stp/>
        <stp>##V3_BDSV12</stp>
        <stp>SYK US Equity</stp>
        <stp>PG_CAPITAL_EXPENDITURES</stp>
        <stp>[Fundamental &amp; Technical Model (1).xlsm]Segments!R178C8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178" s="17"/>
      </tp>
      <tp>
        <v>35.290569072994174</v>
        <stp/>
        <stp>##V3_BQLV12</stp>
        <stp>[Fundamental &amp; Technical Model (1).xlsm]Ratios!R22C11</stp>
        <stp>SYK US Equity</stp>
        <stp>ADJ_SG_AND_A_TO_SALES</stp>
        <stp>FPT</stp>
        <stp>A</stp>
        <stp>FPO</stp>
        <stp>-3A</stp>
        <stp>STD</stp>
        <stp>Mixed</stp>
        <stp>CONSOL</stp>
        <stp>Yes</stp>
        <tr r="K22" s="8"/>
      </tp>
      <tp t="s">
        <v>#N/A N/A</v>
        <stp/>
        <stp>##V3_BDSV12</stp>
        <stp>SYK US Equity</stp>
        <stp>PG_CAPITAL_EXPENDITURES</stp>
        <stp>[Fundamental &amp; Technical Model (1).xlsm]Segments!R179C9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179" s="17"/>
      </tp>
      <tp>
        <v>19.39398314041917</v>
        <stp/>
        <stp>##V3_BQLV12</stp>
        <stp>[Fundamental &amp; Technical Model (1).xlsm]Ratios!R17C14</stp>
        <stp>SYK US Equity</stp>
        <stp>RETURN_ON_CAP</stp>
        <stp>FPT</stp>
        <stp>A</stp>
        <stp>FPO</stp>
        <stp>-0A</stp>
        <stp>STD</stp>
        <stp>Mixed</stp>
        <stp>CONSOL</stp>
        <stp>Yes</stp>
        <tr r="N17" s="8"/>
      </tp>
      <tp t="s">
        <v>#N/A N/A</v>
        <stp/>
        <stp>##V3_BDSV12</stp>
        <stp>SYK US Equity</stp>
        <stp>PG_CAPITAL_EXPENDITURES</stp>
        <stp>[Fundamental &amp; Technical Model (1).xlsm]Segments!R179C8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179" s="17"/>
      </tp>
      <tp t="s">
        <v>#N/A N/A</v>
        <stp/>
        <stp>##V3_BDSV12</stp>
        <stp>SYK US Equity</stp>
        <stp>PG_CAPITAL_EXPENDITURES</stp>
        <stp>[Fundamental &amp; Technical Model (1).xlsm]Segments!R177C3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177" s="17"/>
      </tp>
      <tp t="s">
        <v>#N/A N/A</v>
        <stp/>
        <stp>##V3_BDSV12</stp>
        <stp>SYK US Equity</stp>
        <stp>PG_CAPITAL_EXPENDITURES</stp>
        <stp>[Fundamental &amp; Technical Model (1).xlsm]Segments!R176C3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176" s="17"/>
      </tp>
      <tp t="s">
        <v>#N/A N/A</v>
        <stp/>
        <stp>##V3_BDSV12</stp>
        <stp>SYK US Equity</stp>
        <stp>PG_CAPITAL_EXPENDITURES</stp>
        <stp>[Fundamental &amp; Technical Model (1).xlsm]Segments!R178C3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178" s="17"/>
      </tp>
      <tp t="s">
        <v>#N/A N/A</v>
        <stp/>
        <stp>##V3_BDSV12</stp>
        <stp>SYK US Equity</stp>
        <stp>PG_CAPITAL_EXPENDITURES</stp>
        <stp>[Fundamental &amp; Technical Model (1).xlsm]Segments!R177C9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177" s="17"/>
      </tp>
      <tp t="s">
        <v>#N/A N/A</v>
        <stp/>
        <stp>##V3_BDSV12</stp>
        <stp>SYK US Equity</stp>
        <stp>PG_CAPITAL_EXPENDITURES</stp>
        <stp>[Fundamental &amp; Technical Model (1).xlsm]Segments!R177C8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177" s="17"/>
      </tp>
      <tp t="s">
        <v>#N/A N/A</v>
        <stp/>
        <stp>##V3_BDSV12</stp>
        <stp>SYK US Equity</stp>
        <stp>PG_CAPITAL_EXPENDITURES</stp>
        <stp>[Fundamental &amp; Technical Model (1).xlsm]Segments!R179C3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179" s="17"/>
      </tp>
      <tp>
        <v>217.58313481306664</v>
        <stp/>
        <stp>##V3_BQLV12</stp>
        <stp>[Fundamental &amp; Technical Model (1).xlsm]Ratios!R43C13</stp>
        <stp>SYK US Equity</stp>
        <stp>CASH_CONVERSION_CYCLE</stp>
        <stp>FPT</stp>
        <stp>A</stp>
        <stp>FPO</stp>
        <stp>-1A</stp>
        <stp>STD</stp>
        <stp>Mixed</stp>
        <stp>CONSOL</stp>
        <stp>Yes</stp>
        <tr r="M43" s="8"/>
      </tp>
      <tp t="s">
        <v>#N/A N/A</v>
        <stp/>
        <stp>##V3_BDSV12</stp>
        <stp>SYK US Equity</stp>
        <stp>PG_CAPITAL_EXPENDITURES</stp>
        <stp>[Fundamental &amp; Technical Model (1).xlsm]Segments!R176C9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176" s="17"/>
      </tp>
      <tp t="s">
        <v>#N/A N/A</v>
        <stp/>
        <stp>##V3_BDSV12</stp>
        <stp>SYK US Equity</stp>
        <stp>PG_CAPITAL_EXPENDITURES</stp>
        <stp>[Fundamental &amp; Technical Model (1).xlsm]Segments!R176C8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176" s="17"/>
      </tp>
      <tp>
        <v>3.39</v>
        <stp/>
        <stp>##V3_BQLV12</stp>
        <stp>[Fundamental &amp; Technical Model (1).xlsm]Key Stats!R30C4</stp>
        <stp>SYK US Equity</stp>
        <stp>IS_DIL_EPS_BEF_XO</stp>
        <stp>FPT</stp>
        <stp>A</stp>
        <stp>FPO</stp>
        <stp>-6A</stp>
        <stp>STD</stp>
        <stp>Mixed</stp>
        <stp>CONSOL</stp>
        <stp>Yes</stp>
        <stp>CURRENCY</stp>
        <stp>USD</stp>
        <tr r="D30" s="23"/>
      </tp>
      <tp>
        <v>2.63</v>
        <stp/>
        <stp>##V3_BQLV12</stp>
        <stp>[Fundamental &amp; Technical Model (1).xlsm]Key Stats!R30C5</stp>
        <stp>SYK US Equity</stp>
        <stp>IS_DIL_EPS_BEF_XO</stp>
        <stp>FPT</stp>
        <stp>A</stp>
        <stp>FPO</stp>
        <stp>-5A</stp>
        <stp>STD</stp>
        <stp>Mixed</stp>
        <stp>CONSOL</stp>
        <stp>Yes</stp>
        <stp>CURRENCY</stp>
        <stp>USD</stp>
        <tr r="E30" s="23"/>
      </tp>
      <tp>
        <v>1.34</v>
        <stp/>
        <stp>##V3_BQLV12</stp>
        <stp>[Fundamental &amp; Technical Model (1).xlsm]Key Stats!R30C6</stp>
        <stp>SYK US Equity</stp>
        <stp>IS_DIL_EPS_BEF_XO</stp>
        <stp>FPT</stp>
        <stp>A</stp>
        <stp>FPO</stp>
        <stp>-4A</stp>
        <stp>STD</stp>
        <stp>Mixed</stp>
        <stp>CONSOL</stp>
        <stp>Yes</stp>
        <stp>CURRENCY</stp>
        <stp>USD</stp>
        <tr r="F30" s="23"/>
      </tp>
      <tp>
        <v>3.78</v>
        <stp/>
        <stp>##V3_BQLV12</stp>
        <stp>[Fundamental &amp; Technical Model (1).xlsm]Key Stats!R30C7</stp>
        <stp>SYK US Equity</stp>
        <stp>IS_DIL_EPS_BEF_XO</stp>
        <stp>FPT</stp>
        <stp>A</stp>
        <stp>FPO</stp>
        <stp>-3A</stp>
        <stp>STD</stp>
        <stp>Mixed</stp>
        <stp>CONSOL</stp>
        <stp>Yes</stp>
        <stp>CURRENCY</stp>
        <stp>USD</stp>
        <tr r="G30" s="23"/>
      </tp>
      <tp>
        <v>4.3499999999999996</v>
        <stp/>
        <stp>##V3_BQLV12</stp>
        <stp>[Fundamental &amp; Technical Model (1).xlsm]Key Stats!R30C8</stp>
        <stp>SYK US Equity</stp>
        <stp>IS_DIL_EPS_BEF_XO</stp>
        <stp>FPT</stp>
        <stp>A</stp>
        <stp>FPO</stp>
        <stp>-2A</stp>
        <stp>STD</stp>
        <stp>Mixed</stp>
        <stp>CONSOL</stp>
        <stp>Yes</stp>
        <stp>CURRENCY</stp>
        <stp>USD</stp>
        <tr r="H30" s="23"/>
      </tp>
      <tp>
        <v>2.68</v>
        <stp/>
        <stp>##V3_BQLV12</stp>
        <stp>[Fundamental &amp; Technical Model (1).xlsm]Key Stats!R30C9</stp>
        <stp>SYK US Equity</stp>
        <stp>IS_DIL_EPS_BEF_XO</stp>
        <stp>FPT</stp>
        <stp>A</stp>
        <stp>FPO</stp>
        <stp>-1A</stp>
        <stp>STD</stp>
        <stp>Mixed</stp>
        <stp>CONSOL</stp>
        <stp>Yes</stp>
        <stp>CURRENCY</stp>
        <stp>USD</stp>
        <tr r="I30" s="23"/>
      </tp>
      <tp>
        <v>23.617807778849244</v>
        <stp/>
        <stp>##V3_BQLV12</stp>
        <stp>[Fundamental &amp; Technical Model (1).xlsm]Ratios!R23C13</stp>
        <stp>SYK US Equity</stp>
        <stp>EBITDA_MARGIN</stp>
        <stp>FPT</stp>
        <stp>A</stp>
        <stp>FPO</stp>
        <stp>-1A</stp>
        <stp>STD</stp>
        <stp>Mixed</stp>
        <stp>CONSOL</stp>
        <stp>Yes</stp>
        <tr r="M23" s="8"/>
      </tp>
      <tp>
        <v>43550</v>
        <stp/>
        <stp>##V3_BTH</stp>
        <stp>SYK US Equity</stp>
        <stp>SMAVG</stp>
        <stp>3/26/2019</stp>
        <stp>4/25/2019</stp>
        <stp>[Fundamental &amp; Technical Model (1).xlsm]Technical Analysis Data!R34C7</stp>
        <stp>SMAVG</stp>
        <stp>TAPeriod=5</stp>
        <stp>DSClose=PX_LAST</stp>
        <stp>Dir=H</stp>
        <stp>Dts=S</stp>
        <stp>cols=22;rows=2</stp>
        <tr r="G34" s="31"/>
      </tp>
      <tp>
        <v>18.707015130674005</v>
        <stp/>
        <stp>##V3_BQLV12</stp>
        <stp>[Fundamental &amp; Technical Model (1).xlsm]Ratios!R47C7</stp>
        <stp>SYK US Equity</stp>
        <stp>TOT_DEBT_TO_TOT_CAP</stp>
        <stp>FPT</stp>
        <stp>A</stp>
        <stp>FPO</stp>
        <stp>-7A</stp>
        <stp>STD</stp>
        <stp>Mixed</stp>
        <stp>CONSOL</stp>
        <stp>Yes</stp>
        <tr r="G47" s="8"/>
      </tp>
      <tp>
        <v>23.011844331641285</v>
        <stp/>
        <stp>##V3_BQLV12</stp>
        <stp>[Fundamental &amp; Technical Model (1).xlsm]Ratios!R46C7</stp>
        <stp>SYK US Equity</stp>
        <stp>TOT_DEBT_TO_TOT_EQY</stp>
        <stp>FPT</stp>
        <stp>A</stp>
        <stp>FPO</stp>
        <stp>-7A</stp>
        <stp>STD</stp>
        <stp>Mixed</stp>
        <stp>CONSOL</stp>
        <stp>Yes</stp>
        <tr r="G46" s="8"/>
      </tp>
      <tp>
        <v>2291</v>
        <stp/>
        <stp>##V3_BQLV12</stp>
        <stp>[Fundamental &amp; Technical Model (1).xlsm]Balance Sheet!R29C14</stp>
        <stp>SYK US Equity</stp>
        <stp>BS_NET_FIX_ASSET/10^6</stp>
        <stp>FPT</stp>
        <stp>A</stp>
        <stp>FPO</stp>
        <stp>-0A</stp>
        <stp>STD</stp>
        <stp>Mixed</stp>
        <stp>CONSOL</stp>
        <stp>Yes</stp>
        <stp>CURRENCY</stp>
        <stp>USD</stp>
        <tr r="N29" s="3"/>
      </tp>
      <tp>
        <v>1975</v>
        <stp/>
        <stp>##V3_BQLV12</stp>
        <stp>[Fundamental &amp; Technical Model (1).xlsm]Balance Sheet!R29C13</stp>
        <stp>SYK US Equity</stp>
        <stp>BS_NET_FIX_ASSET/10^6</stp>
        <stp>FPT</stp>
        <stp>A</stp>
        <stp>FPO</stp>
        <stp>-1A</stp>
        <stp>STD</stp>
        <stp>Mixed</stp>
        <stp>CONSOL</stp>
        <stp>Yes</stp>
        <stp>CURRENCY</stp>
        <stp>USD</stp>
        <tr r="M29" s="3"/>
      </tp>
      <tp>
        <v>1569</v>
        <stp/>
        <stp>##V3_BQLV12</stp>
        <stp>[Fundamental &amp; Technical Model (1).xlsm]Balance Sheet!R29C12</stp>
        <stp>SYK US Equity</stp>
        <stp>BS_NET_FIX_ASSET/10^6</stp>
        <stp>FPT</stp>
        <stp>A</stp>
        <stp>FPO</stp>
        <stp>-2A</stp>
        <stp>STD</stp>
        <stp>Mixed</stp>
        <stp>CONSOL</stp>
        <stp>Yes</stp>
        <stp>CURRENCY</stp>
        <stp>USD</stp>
        <tr r="L29" s="3"/>
      </tp>
      <tp>
        <v>1199</v>
        <stp/>
        <stp>##V3_BQLV12</stp>
        <stp>[Fundamental &amp; Technical Model (1).xlsm]Balance Sheet!R29C11</stp>
        <stp>SYK US Equity</stp>
        <stp>BS_NET_FIX_ASSET/10^6</stp>
        <stp>FPT</stp>
        <stp>A</stp>
        <stp>FPO</stp>
        <stp>-3A</stp>
        <stp>STD</stp>
        <stp>Mixed</stp>
        <stp>CONSOL</stp>
        <stp>Yes</stp>
        <stp>CURRENCY</stp>
        <stp>USD</stp>
        <tr r="K29" s="3"/>
      </tp>
      <tp>
        <v>1098</v>
        <stp/>
        <stp>##V3_BQLV12</stp>
        <stp>[Fundamental &amp; Technical Model (1).xlsm]Balance Sheet!R29C10</stp>
        <stp>SYK US Equity</stp>
        <stp>BS_NET_FIX_ASSET/10^6</stp>
        <stp>FPT</stp>
        <stp>A</stp>
        <stp>FPO</stp>
        <stp>-4A</stp>
        <stp>STD</stp>
        <stp>Mixed</stp>
        <stp>CONSOL</stp>
        <stp>Yes</stp>
        <stp>CURRENCY</stp>
        <stp>USD</stp>
        <tr r="J29" s="3"/>
      </tp>
      <tp>
        <v>2.234462225530331</v>
        <stp/>
        <stp>##V3_BQLV12</stp>
        <stp>[Fundamental &amp; Technical Model (1).xlsm]Ratios!R34C9</stp>
        <stp>SYK US Equity</stp>
        <stp>INVENT_TURN</stp>
        <stp>FPT</stp>
        <stp>A</stp>
        <stp>FPO</stp>
        <stp>-5A</stp>
        <stp>STD</stp>
        <stp>Mixed</stp>
        <stp>CONSOL</stp>
        <stp>Yes</stp>
        <tr r="I34" s="8"/>
      </tp>
      <tp t="s">
        <v>2015 Y</v>
        <stp/>
        <stp>##V3_BDPV12</stp>
        <stp>SYK US Equity</stp>
        <stp>FISCAL_YEAR_PERIOD</stp>
        <stp>[Fundamental &amp; Technical Model (1).xlsm]Capital Structure Summary!R12C5</stp>
        <stp>EQY_FUND_RELATIVE_PERIOD</stp>
        <stp>-3FY</stp>
        <tr r="E12" s="21"/>
      </tp>
      <tp t="s">
        <v>2015 Y</v>
        <stp/>
        <stp>##V3_BDPV12</stp>
        <stp>SYK US Equity</stp>
        <stp>FISCAL_YEAR_PERIOD</stp>
        <stp>[Fundamental &amp; Technical Model (1).xlsm]Capital Structure Summary!R26C5</stp>
        <stp>EQY_FUND_RELATIVE_PERIOD</stp>
        <stp>-3FY</stp>
        <tr r="E26" s="21"/>
      </tp>
      <tp>
        <v>2.79</v>
        <stp/>
        <stp>##V3_BQLV12</stp>
        <stp>[Fundamental &amp; Technical Model (1).xlsm]Income Statement!R63C5</stp>
        <stp>SYK US Equity</stp>
        <stp>IS_EARN_BEF_XO_ITEMS_PER_SH</stp>
        <stp>FPT</stp>
        <stp>A</stp>
        <stp>FPO</stp>
        <stp>-9A</stp>
        <stp>STD</stp>
        <stp>Mixed</stp>
        <stp>CONSOL</stp>
        <stp>Yes</stp>
        <stp>CURRENCY</stp>
        <stp>USD</stp>
        <tr r="E63" s="2"/>
      </tp>
      <tp t="s">
        <v>2015 Y</v>
        <stp/>
        <stp>##V3_BDPV12</stp>
        <stp>SYK US Equity</stp>
        <stp>FISCAL_YEAR_PERIOD</stp>
        <stp>[Fundamental &amp; Technical Model (1).xlsm]Capital Structure Summary!R36C5</stp>
        <stp>EQY_FUND_RELATIVE_PERIOD</stp>
        <stp>-3FY</stp>
        <tr r="E36" s="21"/>
      </tp>
      <tp t="s">
        <v>12/31/2015</v>
        <stp/>
        <stp>##V3_BDPV12</stp>
        <stp>SYK US Equity</stp>
        <stp>LATEST_PERIOD_END_DT_FULL_RECORD</stp>
        <stp>[Fundamental &amp; Technical Model (1).xlsm]Capital Structure Summary!R27C5</stp>
        <stp>EQY_FUND_RELATIVE_PERIOD</stp>
        <stp>-3FY</stp>
        <stp>EQY_CONSOLIDATED</stp>
        <stp>Yes</stp>
        <tr r="E27" s="21"/>
        <tr r="E27" s="21"/>
      </tp>
      <tp t="s">
        <v>12/31/2014</v>
        <stp/>
        <stp>##V3_BDPV12</stp>
        <stp>SYK US Equity</stp>
        <stp>LATEST_PERIOD_END_DT_FULL_RECORD</stp>
        <stp>[Fundamental &amp; Technical Model (1).xlsm]Capital Structure Summary!R27C3</stp>
        <stp>EQY_FUND_RELATIVE_PERIOD</stp>
        <stp>-4FY</stp>
        <stp>EQY_CONSOLIDATED</stp>
        <stp>Yes</stp>
        <tr r="C27" s="21"/>
        <tr r="C27" s="21"/>
      </tp>
      <tp t="s">
        <v>12/31/2016</v>
        <stp/>
        <stp>##V3_BDPV12</stp>
        <stp>SYK US Equity</stp>
        <stp>LATEST_PERIOD_END_DT_FULL_RECORD</stp>
        <stp>[Fundamental &amp; Technical Model (1).xlsm]Capital Structure Summary!R27C7</stp>
        <stp>EQY_FUND_RELATIVE_PERIOD</stp>
        <stp>-2FY</stp>
        <stp>EQY_CONSOLIDATED</stp>
        <stp>Yes</stp>
        <tr r="G27" s="21"/>
        <tr r="G27" s="21"/>
      </tp>
      <tp t="s">
        <v>12/31/2017</v>
        <stp/>
        <stp>##V3_BDPV12</stp>
        <stp>SYK US Equity</stp>
        <stp>LATEST_PERIOD_END_DT_FULL_RECORD</stp>
        <stp>[Fundamental &amp; Technical Model (1).xlsm]Capital Structure Summary!R27C9</stp>
        <stp>EQY_FUND_RELATIVE_PERIOD</stp>
        <stp>-1FY</stp>
        <stp>EQY_CONSOLIDATED</stp>
        <stp>Yes</stp>
        <tr r="I27" s="21"/>
        <tr r="I27" s="21"/>
      </tp>
      <tp>
        <v>75</v>
        <stp/>
        <stp>##V3_BDPV12</stp>
        <stp>SYK US Equity</stp>
        <stp>IS_EXPENSE_STOCK_BASED_COMP</stp>
        <stp>[Fundamental &amp; Technical Model (1).xlsm]Supplemental!R33C6</stp>
        <stp>EQY_FUND_RELATIVE_PERIOD</stp>
        <stp>-7FY</stp>
        <stp>EQY_FUND_CRNCY</stp>
        <stp>USD</stp>
        <stp>EQY_CONSOLIDATED</stp>
        <stp>Yes</stp>
        <stp>ACCOUNTING_STANDARD_OVERRIDE</stp>
        <stp>Mixed</stp>
        <stp>Fill=--</stp>
        <tr r="F33" s="19"/>
      </tp>
      <tp>
        <v>75</v>
        <stp/>
        <stp>##V3_BDPV12</stp>
        <stp>SYK US Equity</stp>
        <stp>IS_EXPENSE_STOCK_BASED_COMP</stp>
        <stp>[Fundamental &amp; Technical Model (1).xlsm]Supplemental!R33C7</stp>
        <stp>EQY_FUND_RELATIVE_PERIOD</stp>
        <stp>-6FY</stp>
        <stp>EQY_FUND_CRNCY</stp>
        <stp>USD</stp>
        <stp>EQY_CONSOLIDATED</stp>
        <stp>Yes</stp>
        <stp>ACCOUNTING_STANDARD_OVERRIDE</stp>
        <stp>Mixed</stp>
        <stp>Fill=--</stp>
        <tr r="G33" s="19"/>
      </tp>
      <tp>
        <v>62</v>
        <stp/>
        <stp>##V3_BDPV12</stp>
        <stp>SYK US Equity</stp>
        <stp>IS_EXPENSE_STOCK_BASED_COMP</stp>
        <stp>[Fundamental &amp; Technical Model (1).xlsm]Supplemental!R33C4</stp>
        <stp>EQY_FUND_RELATIVE_PERIOD</stp>
        <stp>-9FY</stp>
        <stp>EQY_FUND_CRNCY</stp>
        <stp>USD</stp>
        <stp>EQY_CONSOLIDATED</stp>
        <stp>Yes</stp>
        <stp>ACCOUNTING_STANDARD_OVERRIDE</stp>
        <stp>Mixed</stp>
        <stp>Fill=--</stp>
        <tr r="D33" s="19"/>
      </tp>
      <tp>
        <v>69</v>
        <stp/>
        <stp>##V3_BDPV12</stp>
        <stp>SYK US Equity</stp>
        <stp>IS_EXPENSE_STOCK_BASED_COMP</stp>
        <stp>[Fundamental &amp; Technical Model (1).xlsm]Supplemental!R33C5</stp>
        <stp>EQY_FUND_RELATIVE_PERIOD</stp>
        <stp>-8FY</stp>
        <stp>EQY_FUND_CRNCY</stp>
        <stp>USD</stp>
        <stp>EQY_CONSOLIDATED</stp>
        <stp>Yes</stp>
        <stp>ACCOUNTING_STANDARD_OVERRIDE</stp>
        <stp>Mixed</stp>
        <stp>Fill=--</stp>
        <tr r="E33" s="19"/>
      </tp>
      <tp>
        <v>76</v>
        <stp/>
        <stp>##V3_BDPV12</stp>
        <stp>SYK US Equity</stp>
        <stp>IS_EXPENSE_STOCK_BASED_COMP</stp>
        <stp>[Fundamental &amp; Technical Model (1).xlsm]Supplemental!R33C8</stp>
        <stp>EQY_FUND_RELATIVE_PERIOD</stp>
        <stp>-5FY</stp>
        <stp>EQY_FUND_CRNCY</stp>
        <stp>USD</stp>
        <stp>EQY_CONSOLIDATED</stp>
        <stp>Yes</stp>
        <stp>ACCOUNTING_STANDARD_OVERRIDE</stp>
        <stp>Mixed</stp>
        <stp>Fill=--</stp>
        <tr r="H33" s="19"/>
      </tp>
      <tp>
        <v>77</v>
        <stp/>
        <stp>##V3_BDPV12</stp>
        <stp>SYK US Equity</stp>
        <stp>IS_EXPENSE_STOCK_BASED_COMP</stp>
        <stp>[Fundamental &amp; Technical Model (1).xlsm]Supplemental!R33C9</stp>
        <stp>EQY_FUND_RELATIVE_PERIOD</stp>
        <stp>-4FY</stp>
        <stp>EQY_FUND_CRNCY</stp>
        <stp>USD</stp>
        <stp>EQY_CONSOLIDATED</stp>
        <stp>Yes</stp>
        <stp>ACCOUNTING_STANDARD_OVERRIDE</stp>
        <stp>Mixed</stp>
        <stp>Fill=--</stp>
        <tr r="I33" s="19"/>
      </tp>
      <tp>
        <v>202</v>
        <stp/>
        <stp>##V3_BQLV12</stp>
        <stp>[Fundamental &amp; Technical Model (1).xlsm]Balance Sheet!R75C8</stp>
        <stp>SYK US Equity</stp>
        <stp>BS_OTHER_INV/10^6</stp>
        <stp>FPT</stp>
        <stp>A</stp>
        <stp>FPO</stp>
        <stp>-6A</stp>
        <stp>STD</stp>
        <stp>Mixed</stp>
        <stp>CONSOL</stp>
        <stp>Yes</stp>
        <stp>CURRENCY</stp>
        <stp>USD</stp>
        <tr r="H75" s="3"/>
      </tp>
      <tp>
        <v>227</v>
        <stp/>
        <stp>##V3_BQLV12</stp>
        <stp>[Fundamental &amp; Technical Model (1).xlsm]Balance Sheet!R75C9</stp>
        <stp>SYK US Equity</stp>
        <stp>BS_OTHER_INV/10^6</stp>
        <stp>FPT</stp>
        <stp>A</stp>
        <stp>FPO</stp>
        <stp>-5A</stp>
        <stp>STD</stp>
        <stp>Mixed</stp>
        <stp>CONSOL</stp>
        <stp>Yes</stp>
        <stp>CURRENCY</stp>
        <stp>USD</stp>
        <tr r="I75" s="3"/>
      </tp>
      <tp>
        <v>158</v>
        <stp/>
        <stp>##V3_BQLV12</stp>
        <stp>[Fundamental &amp; Technical Model (1).xlsm]Balance Sheet!R75C6</stp>
        <stp>SYK US Equity</stp>
        <stp>BS_OTHER_INV/10^6</stp>
        <stp>FPT</stp>
        <stp>A</stp>
        <stp>FPO</stp>
        <stp>-8A</stp>
        <stp>STD</stp>
        <stp>Mixed</stp>
        <stp>CONSOL</stp>
        <stp>Yes</stp>
        <stp>CURRENCY</stp>
        <stp>USD</stp>
        <tr r="F75" s="3"/>
      </tp>
      <tp>
        <v>185</v>
        <stp/>
        <stp>##V3_BQLV12</stp>
        <stp>[Fundamental &amp; Technical Model (1).xlsm]Balance Sheet!R75C7</stp>
        <stp>SYK US Equity</stp>
        <stp>BS_OTHER_INV/10^6</stp>
        <stp>FPT</stp>
        <stp>A</stp>
        <stp>FPO</stp>
        <stp>-7A</stp>
        <stp>STD</stp>
        <stp>Mixed</stp>
        <stp>CONSOL</stp>
        <stp>Yes</stp>
        <stp>CURRENCY</stp>
        <stp>USD</stp>
        <tr r="G75" s="3"/>
      </tp>
      <tp>
        <v>-11.5</v>
        <stp/>
        <stp>##V3_BQLV12</stp>
        <stp>[Fundamental &amp; Technical Model (1).xlsm]Balance Sheet!R75C5</stp>
        <stp>SYK US Equity</stp>
        <stp>BS_OTHER_INV/10^6</stp>
        <stp>FPT</stp>
        <stp>A</stp>
        <stp>FPO</stp>
        <stp>-9A</stp>
        <stp>STD</stp>
        <stp>Mixed</stp>
        <stp>CONSOL</stp>
        <stp>Yes</stp>
        <stp>CURRENCY</stp>
        <stp>USD</stp>
        <tr r="E75" s="3"/>
      </tp>
      <tp>
        <v>0.80637616494548592</v>
        <stp/>
        <stp>##V3_BQLV12</stp>
        <stp>[Fundamental &amp; Technical Model (1).xlsm]Ratios!R31C5</stp>
        <stp>SYK US Equity</stp>
        <stp>ASSET_TURNOVER</stp>
        <stp>FPT</stp>
        <stp>A</stp>
        <stp>FPO</stp>
        <stp>-9A</stp>
        <stp>STD</stp>
        <stp>Mixed</stp>
        <stp>CONSOL</stp>
        <stp>Yes</stp>
        <tr r="E31" s="8"/>
      </tp>
      <tp>
        <v>34.82560706401766</v>
        <stp/>
        <stp>##V3_BQLV12</stp>
        <stp>[Fundamental &amp; Technical Model (1).xlsm]Ratios!R22C12</stp>
        <stp>SYK US Equity</stp>
        <stp>ADJ_SG_AND_A_TO_SALES</stp>
        <stp>FPT</stp>
        <stp>A</stp>
        <stp>FPO</stp>
        <stp>-2A</stp>
        <stp>STD</stp>
        <stp>Mixed</stp>
        <stp>CONSOL</stp>
        <stp>Yes</stp>
        <tr r="L22" s="8"/>
      </tp>
      <tp>
        <v>6.785024188602593</v>
        <stp/>
        <stp>##V3_BQLV12</stp>
        <stp>[Fundamental &amp; Technical Model (1).xlsm]Ratios!R17C13</stp>
        <stp>SYK US Equity</stp>
        <stp>RETURN_ON_CAP</stp>
        <stp>FPT</stp>
        <stp>A</stp>
        <stp>FPO</stp>
        <stp>-1A</stp>
        <stp>STD</stp>
        <stp>Mixed</stp>
        <stp>CONSOL</stp>
        <stp>Yes</stp>
        <tr r="M17" s="8"/>
      </tp>
      <tp>
        <v>43465</v>
        <stp/>
        <stp>##V3_BQLV12</stp>
        <stp>[Fundamental &amp; Technical Model (1).xlsm]Key Stats!R13C10</stp>
        <stp>SYK US Equity</stp>
        <stp>IS_EPS().PERIOD_END_DATE</stp>
        <stp>FPT</stp>
        <stp>A</stp>
        <stp>FPO</stp>
        <stp>-0A</stp>
        <stp>STD</stp>
        <stp>Mixed</stp>
        <stp>CONSOL</stp>
        <stp>Yes</stp>
        <stp>CURRENCY</stp>
        <stp>USD</stp>
        <tr r="J13" s="23"/>
      </tp>
      <tp>
        <v>232.78489405589031</v>
        <stp/>
        <stp>##V3_BQLV12</stp>
        <stp>[Fundamental &amp; Technical Model (1).xlsm]Ratios!R43C14</stp>
        <stp>SYK US Equity</stp>
        <stp>CASH_CONVERSION_CYCLE</stp>
        <stp>FPT</stp>
        <stp>A</stp>
        <stp>FPO</stp>
        <stp>-0A</stp>
        <stp>STD</stp>
        <stp>Mixed</stp>
        <stp>CONSOL</stp>
        <stp>Yes</stp>
        <tr r="N43" s="8"/>
      </tp>
      <tp>
        <v>2374</v>
        <stp/>
        <stp>##V3_BDPV12</stp>
        <stp>SYK US Equity</stp>
        <stp>BS_CONTRACTUAL_OBLIG_YEAR_2_3</stp>
        <stp>[Fundamental &amp; Technical Model (1).xlsm]Capital Structure Summary!R111C9</stp>
        <stp>EQY_FUND_RELATIVE_PERIOD</stp>
        <stp>-1FY</stp>
        <stp>EQY_FUND_CRNCY</stp>
        <stp>USD</stp>
        <stp>EQY_CONSOLIDATED</stp>
        <stp>Yes</stp>
        <stp>ACCOUNTING_STANDARD_OVERRIDE</stp>
        <stp>Mixed</stp>
        <stp>Fill=--</stp>
        <tr r="I111" s="21"/>
      </tp>
      <tp>
        <v>1567</v>
        <stp/>
        <stp>##V3_BDPV12</stp>
        <stp>SYK US Equity</stp>
        <stp>BS_CONTRACTUAL_OBLIG_YEAR_2_3</stp>
        <stp>[Fundamental &amp; Technical Model (1).xlsm]Capital Structure Summary!R111C7</stp>
        <stp>EQY_FUND_RELATIVE_PERIOD</stp>
        <stp>-2FY</stp>
        <stp>EQY_FUND_CRNCY</stp>
        <stp>USD</stp>
        <stp>EQY_CONSOLIDATED</stp>
        <stp>Yes</stp>
        <stp>ACCOUNTING_STANDARD_OVERRIDE</stp>
        <stp>Mixed</stp>
        <stp>Fill=--</stp>
        <tr r="G111" s="21"/>
      </tp>
      <tp>
        <v>1083</v>
        <stp/>
        <stp>##V3_BDPV12</stp>
        <stp>SYK US Equity</stp>
        <stp>BS_CONTRACTUAL_OBLIG_YEAR_2_3</stp>
        <stp>[Fundamental &amp; Technical Model (1).xlsm]Capital Structure Summary!R111C3</stp>
        <stp>EQY_FUND_RELATIVE_PERIOD</stp>
        <stp>-4FY</stp>
        <stp>EQY_FUND_CRNCY</stp>
        <stp>USD</stp>
        <stp>EQY_CONSOLIDATED</stp>
        <stp>Yes</stp>
        <stp>ACCOUNTING_STANDARD_OVERRIDE</stp>
        <stp>Mixed</stp>
        <stp>Fill=--</stp>
        <tr r="C111" s="21"/>
      </tp>
      <tp>
        <v>877</v>
        <stp/>
        <stp>##V3_BDPV12</stp>
        <stp>SYK US Equity</stp>
        <stp>BS_CONTRACTUAL_OBLIG_YEAR_2_3</stp>
        <stp>[Fundamental &amp; Technical Model (1).xlsm]Capital Structure Summary!R111C5</stp>
        <stp>EQY_FUND_RELATIVE_PERIOD</stp>
        <stp>-3FY</stp>
        <stp>EQY_FUND_CRNCY</stp>
        <stp>USD</stp>
        <stp>EQY_CONSOLIDATED</stp>
        <stp>Yes</stp>
        <stp>ACCOUNTING_STANDARD_OVERRIDE</stp>
        <stp>Mixed</stp>
        <stp>Fill=--</stp>
        <tr r="E111" s="21"/>
      </tp>
      <tp>
        <v>23.968825821630762</v>
        <stp/>
        <stp>##V3_BQLV12</stp>
        <stp>[Fundamental &amp; Technical Model (1).xlsm]Ratios!R23C14</stp>
        <stp>SYK US Equity</stp>
        <stp>EBITDA_MARGIN</stp>
        <stp>FPT</stp>
        <stp>A</stp>
        <stp>FPO</stp>
        <stp>-0A</stp>
        <stp>STD</stp>
        <stp>Mixed</stp>
        <stp>CONSOL</stp>
        <stp>Yes</stp>
        <tr r="N23" s="8"/>
      </tp>
      <tp>
        <v>58415.181692999999</v>
        <stp/>
        <stp>##V3_BDPV12</stp>
        <stp>SYK US Equity</stp>
        <stp>HISTORICAL_MARKET_CAP</stp>
        <stp>[Fundamental &amp; Technical Model (1).xlsm]Capital Structure Summary!R29C11</stp>
        <stp>EQY_FUND_RELATIVE_PERIOD</stp>
        <stp>-0FY</stp>
        <stp>EQY_FUND_CRNCY</stp>
        <stp>USD</stp>
        <stp>EQY_CONSOLIDATED</stp>
        <stp>Yes</stp>
        <stp>ACCOUNTING_STANDARD_OVERRIDE</stp>
        <stp>Mixed</stp>
        <stp>Fill=--</stp>
        <tr r="K29" s="21"/>
      </tp>
      <tp>
        <v>20.495521693614052</v>
        <stp/>
        <stp>##V3_BQLV12</stp>
        <stp>[Fundamental &amp; Technical Model (1).xlsm]Ratios!R46C8</stp>
        <stp>SYK US Equity</stp>
        <stp>TOT_DEBT_TO_TOT_EQY</stp>
        <stp>FPT</stp>
        <stp>A</stp>
        <stp>FPO</stp>
        <stp>-6A</stp>
        <stp>STD</stp>
        <stp>Mixed</stp>
        <stp>CONSOL</stp>
        <stp>Yes</stp>
        <tr r="H46" s="8"/>
      </tp>
      <tp>
        <v>17.009363838208323</v>
        <stp/>
        <stp>##V3_BQLV12</stp>
        <stp>[Fundamental &amp; Technical Model (1).xlsm]Ratios!R47C8</stp>
        <stp>SYK US Equity</stp>
        <stp>TOT_DEBT_TO_TOT_CAP</stp>
        <stp>FPT</stp>
        <stp>A</stp>
        <stp>FPO</stp>
        <stp>-6A</stp>
        <stp>STD</stp>
        <stp>Mixed</stp>
        <stp>CONSOL</stp>
        <stp>Yes</stp>
        <tr r="H47" s="8"/>
      </tp>
      <tp t="s">
        <v>2014 Y</v>
        <stp/>
        <stp>##V3_BDPV12</stp>
        <stp>SYK US Equity</stp>
        <stp>FISCAL_YEAR_PERIOD</stp>
        <stp>[Fundamental &amp; Technical Model (1).xlsm]Capital Structure Summary!R12C3</stp>
        <stp>EQY_FUND_RELATIVE_PERIOD</stp>
        <stp>-4FY</stp>
        <tr r="C12" s="21"/>
      </tp>
      <tp t="s">
        <v>2014 Y</v>
        <stp/>
        <stp>##V3_BDPV12</stp>
        <stp>SYK US Equity</stp>
        <stp>FISCAL_YEAR_PERIOD</stp>
        <stp>[Fundamental &amp; Technical Model (1).xlsm]Capital Structure Summary!R26C3</stp>
        <stp>EQY_FUND_RELATIVE_PERIOD</stp>
        <stp>-4FY</stp>
        <tr r="C26" s="21"/>
      </tp>
      <tp t="s">
        <v>2014 Y</v>
        <stp/>
        <stp>##V3_BDPV12</stp>
        <stp>SYK US Equity</stp>
        <stp>FISCAL_YEAR_PERIOD</stp>
        <stp>[Fundamental &amp; Technical Model (1).xlsm]Capital Structure Summary!R36C3</stp>
        <stp>EQY_FUND_RELATIVE_PERIOD</stp>
        <stp>-4FY</stp>
        <tr r="C36" s="21"/>
      </tp>
      <tp>
        <v>1553.9</v>
        <stp/>
        <stp>##V3_BQLV12</stp>
        <stp>[Fundamental &amp; Technical Model (1).xlsm]Income Statement!R29C4</stp>
        <stp>SYK US Equity</stp>
        <stp>IS_OPER_INC/10^6</stp>
        <stp>FPT</stp>
        <stp>A</stp>
        <stp>FPO</stp>
        <stp>-10A</stp>
        <stp>STD</stp>
        <stp>Mixed</stp>
        <stp>CONSOL</stp>
        <stp>Yes</stp>
        <stp>CURRENCY</stp>
        <stp>USD</stp>
        <tr r="D29" s="2"/>
      </tp>
      <tp>
        <v>444</v>
        <stp/>
        <stp>##V3_BDPV12</stp>
        <stp>SYK US Equity</stp>
        <stp>ARD_ACC_COMP_POSTRETIRE_OBLIG</stp>
        <stp>[Fundamental &amp; Technical Model (1).xlsm]Balance Sheet!R37C7</stp>
        <stp>EQY_FUND_RELATIVE_PERIOD</stp>
        <stp>-7FY</stp>
        <stp>EQY_FUND_CRNCY</stp>
        <stp>USD</stp>
        <stp>EQY_CONSOLIDATED</stp>
        <stp>Yes</stp>
        <stp>ACCOUNTING_STANDARD_OVERRIDE</stp>
        <stp>Mixed</stp>
        <stp>Fill=0</stp>
        <tr r="G37" s="3"/>
      </tp>
      <tp>
        <v>354.1</v>
        <stp/>
        <stp>##V3_BDPV12</stp>
        <stp>SYK US Equity</stp>
        <stp>ARD_ACC_COMP_POSTRETIRE_OBLIG</stp>
        <stp>[Fundamental &amp; Technical Model (1).xlsm]Balance Sheet!R37C5</stp>
        <stp>EQY_FUND_RELATIVE_PERIOD</stp>
        <stp>-9FY</stp>
        <stp>EQY_FUND_CRNCY</stp>
        <stp>USD</stp>
        <stp>EQY_CONSOLIDATED</stp>
        <stp>Yes</stp>
        <stp>ACCOUNTING_STANDARD_OVERRIDE</stp>
        <stp>Mixed</stp>
        <stp>Fill=0</stp>
        <tr r="E37" s="3"/>
      </tp>
      <tp>
        <v>535</v>
        <stp/>
        <stp>##V3_BDPV12</stp>
        <stp>SYK US Equity</stp>
        <stp>ARD_ACC_COMP_POSTRETIRE_OBLIG</stp>
        <stp>[Fundamental &amp; Technical Model (1).xlsm]Balance Sheet!R37C9</stp>
        <stp>EQY_FUND_RELATIVE_PERIOD</stp>
        <stp>-5FY</stp>
        <stp>EQY_FUND_CRNCY</stp>
        <stp>USD</stp>
        <stp>EQY_CONSOLIDATED</stp>
        <stp>Yes</stp>
        <stp>ACCOUNTING_STANDARD_OVERRIDE</stp>
        <stp>Mixed</stp>
        <stp>Fill=0</stp>
        <tr r="I37" s="3"/>
      </tp>
      <tp>
        <v>418</v>
        <stp/>
        <stp>##V3_BDPV12</stp>
        <stp>SYK US Equity</stp>
        <stp>ARD_ACC_COMP_POSTRETIRE_OBLIG</stp>
        <stp>[Fundamental &amp; Technical Model (1).xlsm]Balance Sheet!R37C6</stp>
        <stp>EQY_FUND_RELATIVE_PERIOD</stp>
        <stp>-8FY</stp>
        <stp>EQY_FUND_CRNCY</stp>
        <stp>USD</stp>
        <stp>EQY_CONSOLIDATED</stp>
        <stp>Yes</stp>
        <stp>ACCOUNTING_STANDARD_OVERRIDE</stp>
        <stp>Mixed</stp>
        <stp>Fill=0</stp>
        <tr r="F37" s="3"/>
      </tp>
      <tp>
        <v>467</v>
        <stp/>
        <stp>##V3_BDPV12</stp>
        <stp>SYK US Equity</stp>
        <stp>ARD_ACC_COMP_POSTRETIRE_OBLIG</stp>
        <stp>[Fundamental &amp; Technical Model (1).xlsm]Balance Sheet!R37C8</stp>
        <stp>EQY_FUND_RELATIVE_PERIOD</stp>
        <stp>-6FY</stp>
        <stp>EQY_FUND_CRNCY</stp>
        <stp>USD</stp>
        <stp>EQY_CONSOLIDATED</stp>
        <stp>Yes</stp>
        <stp>ACCOUNTING_STANDARD_OVERRIDE</stp>
        <stp>Mixed</stp>
        <stp>Fill=0</stp>
        <tr r="H37" s="3"/>
      </tp>
      <tp t="e">
        <v>#N/A</v>
        <stp/>
        <stp>##V3_BDHV12</stp>
        <stp>SYK US Equity</stp>
        <stp>PX_ERN_RATIO_WITH_HIGH_CLOS_PX</stp>
        <stp>-10FY</stp>
        <stp>-10FY</stp>
        <stp>[Fundamental &amp; Technical Model (1).xlsm]Multiples!R35C3</stp>
        <stp>EQY_CONSOLIDATED</stp>
        <stp>Yes</stp>
        <stp>ACCOUNTING_STANDARD_OVERRIDE</stp>
        <stp>Mixed</stp>
        <stp>Per</stp>
        <stp>FY</stp>
        <stp>Days=A</stp>
        <tr r="C35" s="16"/>
        <tr r="C35" s="16"/>
      </tp>
      <tp t="s">
        <v>2009 Y</v>
        <stp/>
        <stp>##V3_BDPV12</stp>
        <stp>SYK US Equity</stp>
        <stp>FISCAL_YEAR_PERIOD</stp>
        <stp>[Fundamental &amp; Technical Model (1).xlsm]Supplemental!R12C4</stp>
        <stp>EQY_FUND_RELATIVE_PERIOD</stp>
        <stp>-9FY</stp>
        <tr r="D12" s="19"/>
      </tp>
      <tp t="s">
        <v>2010 Y</v>
        <stp/>
        <stp>##V3_BDPV12</stp>
        <stp>SYK US Equity</stp>
        <stp>FISCAL_YEAR_PERIOD</stp>
        <stp>[Fundamental &amp; Technical Model (1).xlsm]Supplemental!R12C5</stp>
        <stp>EQY_FUND_RELATIVE_PERIOD</stp>
        <stp>-8FY</stp>
        <tr r="E12" s="19"/>
      </tp>
      <tp t="s">
        <v>2013 Y</v>
        <stp/>
        <stp>##V3_BDPV12</stp>
        <stp>SYK US Equity</stp>
        <stp>FISCAL_YEAR_PERIOD</stp>
        <stp>[Fundamental &amp; Technical Model (1).xlsm]Supplemental!R12C8</stp>
        <stp>EQY_FUND_RELATIVE_PERIOD</stp>
        <stp>-5FY</stp>
        <tr r="H12" s="19"/>
      </tp>
      <tp t="s">
        <v>2014 Y</v>
        <stp/>
        <stp>##V3_BDPV12</stp>
        <stp>SYK US Equity</stp>
        <stp>FISCAL_YEAR_PERIOD</stp>
        <stp>[Fundamental &amp; Technical Model (1).xlsm]Supplemental!R12C9</stp>
        <stp>EQY_FUND_RELATIVE_PERIOD</stp>
        <stp>-4FY</stp>
        <tr r="I12" s="19"/>
      </tp>
      <tp>
        <v>1786.1</v>
        <stp/>
        <stp>##V3_BQLV12</stp>
        <stp>[Fundamental &amp; Technical Model (1).xlsm]Income Statement!R77C4</stp>
        <stp>SYK US Equity</stp>
        <stp>EBITA/10^6</stp>
        <stp>FPT</stp>
        <stp>A</stp>
        <stp>FPO</stp>
        <stp>-10A</stp>
        <stp>STD</stp>
        <stp>Mixed</stp>
        <stp>CONSOL</stp>
        <stp>Yes</stp>
        <stp>CURRENCY</stp>
        <stp>USD</stp>
        <tr r="D77" s="2"/>
      </tp>
      <tp t="s">
        <v>12/31/2015</v>
        <stp/>
        <stp>##V3_BDPV12</stp>
        <stp>SYK US Equity</stp>
        <stp>LATEST_PERIOD_END_DT_FULL_RECORD</stp>
        <stp>[Fundamental &amp; Technical Model (1).xlsm]Capital Structure Summary!R13C5</stp>
        <stp>EQY_FUND_RELATIVE_PERIOD</stp>
        <stp>-3FY</stp>
        <stp>EQY_CONSOLIDATED</stp>
        <stp>Yes</stp>
        <tr r="E13" s="21"/>
        <tr r="E13" s="21"/>
      </tp>
      <tp t="s">
        <v>12/31/2014</v>
        <stp/>
        <stp>##V3_BDPV12</stp>
        <stp>SYK US Equity</stp>
        <stp>LATEST_PERIOD_END_DT_FULL_RECORD</stp>
        <stp>[Fundamental &amp; Technical Model (1).xlsm]Capital Structure Summary!R13C3</stp>
        <stp>EQY_FUND_RELATIVE_PERIOD</stp>
        <stp>-4FY</stp>
        <stp>EQY_CONSOLIDATED</stp>
        <stp>Yes</stp>
        <tr r="C13" s="21"/>
        <tr r="C13" s="21"/>
      </tp>
      <tp t="s">
        <v>12/31/2016</v>
        <stp/>
        <stp>##V3_BDPV12</stp>
        <stp>SYK US Equity</stp>
        <stp>LATEST_PERIOD_END_DT_FULL_RECORD</stp>
        <stp>[Fundamental &amp; Technical Model (1).xlsm]Capital Structure Summary!R13C7</stp>
        <stp>EQY_FUND_RELATIVE_PERIOD</stp>
        <stp>-2FY</stp>
        <stp>EQY_CONSOLIDATED</stp>
        <stp>Yes</stp>
        <tr r="G13" s="21"/>
        <tr r="G13" s="21"/>
      </tp>
      <tp t="s">
        <v>12/31/2017</v>
        <stp/>
        <stp>##V3_BDPV12</stp>
        <stp>SYK US Equity</stp>
        <stp>LATEST_PERIOD_END_DT_FULL_RECORD</stp>
        <stp>[Fundamental &amp; Technical Model (1).xlsm]Capital Structure Summary!R13C9</stp>
        <stp>EQY_FUND_RELATIVE_PERIOD</stp>
        <stp>-1FY</stp>
        <stp>EQY_CONSOLIDATED</stp>
        <stp>Yes</stp>
        <tr r="I13" s="21"/>
        <tr r="I13" s="21"/>
      </tp>
      <tp t="s">
        <v>2011 A</v>
        <stp/>
        <stp>##V3_BQLV12</stp>
        <stp>[Fundamental &amp; Technical Model (1).xlsm]Income Statement!R13C7</stp>
        <stp>SYK US Equity</stp>
        <stp>IS_EPS().PERIOD</stp>
        <stp>FPT</stp>
        <stp>A</stp>
        <stp>FPO</stp>
        <stp>-7A</stp>
        <stp>STD</stp>
        <stp>Mixed</stp>
        <stp>CONSOL</stp>
        <stp>Yes</stp>
        <tr r="G13" s="2"/>
      </tp>
      <tp>
        <v>23.129707362091036</v>
        <stp/>
        <stp>##V3_BQLV12</stp>
        <stp>[Fundamental &amp; Technical Model (1).xlsm]Ratios!R25C4</stp>
        <stp>SYK US Equity</stp>
        <stp>OPER_INC_TO_NET_SALES</stp>
        <stp>FPT</stp>
        <stp>A</stp>
        <stp>FPO</stp>
        <stp>-10A</stp>
        <stp>STD</stp>
        <stp>Mixed</stp>
        <stp>CONSOL</stp>
        <stp>Yes</stp>
        <tr r="D25" s="8"/>
      </tp>
      <tp>
        <v>1129.5</v>
        <stp/>
        <stp>##V3_BQLV12</stp>
        <stp>[Fundamental &amp; Technical Model (1).xlsm]Balance Sheet!R20C4</stp>
        <stp>SYK US Equity</stp>
        <stp>BS_ACCT_NOTE_RCV/10^6</stp>
        <stp>FPT</stp>
        <stp>A</stp>
        <stp>FPO</stp>
        <stp>-10A</stp>
        <stp>STD</stp>
        <stp>Mixed</stp>
        <stp>CONSOL</stp>
        <stp>Yes</stp>
        <stp>CURRENCY</stp>
        <stp>USD</stp>
        <tr r="D20" s="3"/>
      </tp>
      <tp>
        <v>9.0875000000000004</v>
        <stp/>
        <stp>##V3_BQLV12</stp>
        <stp>[Fundamental &amp; Technical Model (1).xlsm]Key Stats!R30C14</stp>
        <stp>SYK US Equity</stp>
        <stp>IS_DIL_EPS_BEF_XO</stp>
        <stp>FPT</stp>
        <stp>A</stp>
        <stp>FPO</stp>
        <stp>3A</stp>
        <stp>STD</stp>
        <stp>Mixed</stp>
        <stp>CONSOL</stp>
        <stp>Yes</stp>
        <stp>CURRENCY</stp>
        <stp>USD</stp>
        <tr r="N30" s="23"/>
      </tp>
      <tp>
        <v>8.0963636363636358</v>
        <stp/>
        <stp>##V3_BQLV12</stp>
        <stp>[Fundamental &amp; Technical Model (1).xlsm]Key Stats!R30C13</stp>
        <stp>SYK US Equity</stp>
        <stp>IS_DIL_EPS_BEF_XO</stp>
        <stp>FPT</stp>
        <stp>A</stp>
        <stp>FPO</stp>
        <stp>2A</stp>
        <stp>STD</stp>
        <stp>Mixed</stp>
        <stp>CONSOL</stp>
        <stp>Yes</stp>
        <stp>CURRENCY</stp>
        <stp>USD</stp>
        <tr r="M30" s="23"/>
      </tp>
      <tp>
        <v>6.7070000000000007</v>
        <stp/>
        <stp>##V3_BQLV12</stp>
        <stp>[Fundamental &amp; Technical Model (1).xlsm]Key Stats!R30C12</stp>
        <stp>SYK US Equity</stp>
        <stp>IS_DIL_EPS_BEF_XO</stp>
        <stp>FPT</stp>
        <stp>A</stp>
        <stp>FPO</stp>
        <stp>1A</stp>
        <stp>STD</stp>
        <stp>Mixed</stp>
        <stp>CONSOL</stp>
        <stp>Yes</stp>
        <stp>CURRENCY</stp>
        <stp>USD</stp>
        <tr r="L30" s="23"/>
      </tp>
      <tp>
        <v>9.8540925266903923</v>
        <stp/>
        <stp>##V3_BQLV12</stp>
        <stp>[Fundamental &amp; Technical Model (1).xlsm]Ratios!R33C7</stp>
        <stp>SYK US Equity</stp>
        <stp>SALES_TO_NET_FIX_ASSET</stp>
        <stp>FPT</stp>
        <stp>A</stp>
        <stp>FPO</stp>
        <stp>-7A</stp>
        <stp>STD</stp>
        <stp>Mixed</stp>
        <stp>CONSOL</stp>
        <stp>Yes</stp>
        <tr r="G33" s="8"/>
      </tp>
      <tp>
        <v>34.828029572484731</v>
        <stp/>
        <stp>##V3_BQLV12</stp>
        <stp>[Fundamental &amp; Technical Model (1).xlsm]Ratios!R22C13</stp>
        <stp>SYK US Equity</stp>
        <stp>ADJ_SG_AND_A_TO_SALES</stp>
        <stp>FPT</stp>
        <stp>A</stp>
        <stp>FPO</stp>
        <stp>-1A</stp>
        <stp>STD</stp>
        <stp>Mixed</stp>
        <stp>CONSOL</stp>
        <stp>Yes</stp>
        <tr r="M22" s="8"/>
      </tp>
      <tp>
        <v>12.708069371264726</v>
        <stp/>
        <stp>##V3_BQLV12</stp>
        <stp>[Fundamental &amp; Technical Model (1).xlsm]Ratios!R17C12</stp>
        <stp>SYK US Equity</stp>
        <stp>RETURN_ON_CAP</stp>
        <stp>FPT</stp>
        <stp>A</stp>
        <stp>FPO</stp>
        <stp>-2A</stp>
        <stp>STD</stp>
        <stp>Mixed</stp>
        <stp>CONSOL</stp>
        <stp>Yes</stp>
        <tr r="L17" s="8"/>
      </tp>
      <tp>
        <v>58.286821705426355</v>
        <stp/>
        <stp>##V3_BQLV12</stp>
        <stp>[Fundamental &amp; Technical Model (1).xlsm]Ratios!R40C10</stp>
        <stp>SYK US Equity</stp>
        <stp>ACCT_RCV_DAYS</stp>
        <stp>FPT</stp>
        <stp>A</stp>
        <stp>FPO</stp>
        <stp>-4A</stp>
        <stp>STD</stp>
        <stp>Mixed</stp>
        <stp>CONSOL</stp>
        <stp>Yes</stp>
        <tr r="J40" s="8"/>
      </tp>
      <tp t="e">
        <v>#N/A</v>
        <stp/>
        <stp>##V3_BDHV12</stp>
        <stp>SYK US Equity</stp>
        <stp>DIVIDEND_YIELD</stp>
        <stp>-3FY</stp>
        <stp>-3FY</stp>
        <stp>[Fundamental &amp; Technical Model (1).xlsm]Multiples!R63C10</stp>
        <stp>EQY_CONSOLIDATED</stp>
        <stp>Yes</stp>
        <stp>ACCOUNTING_STANDARD_OVERRIDE</stp>
        <stp>Mixed</stp>
        <stp>Per</stp>
        <stp>FY</stp>
        <stp>Days=A</stp>
        <tr r="J63" s="16"/>
        <tr r="J63" s="16"/>
      </tp>
      <tp t="e">
        <v>#N/A</v>
        <stp/>
        <stp>##V3_BDHV12</stp>
        <stp>SYK US Equity</stp>
        <stp>DIVIDEND_YIELD</stp>
        <stp>-2FY</stp>
        <stp>-2FY</stp>
        <stp>[Fundamental &amp; Technical Model (1).xlsm]Multiples!R63C11</stp>
        <stp>EQY_CONSOLIDATED</stp>
        <stp>Yes</stp>
        <stp>ACCOUNTING_STANDARD_OVERRIDE</stp>
        <stp>Mixed</stp>
        <stp>Per</stp>
        <stp>FY</stp>
        <stp>Days=A</stp>
        <tr r="K63" s="16"/>
        <tr r="K63" s="16"/>
      </tp>
      <tp>
        <v>195.73029272653474</v>
        <stp/>
        <stp>##V3_BQLV12</stp>
        <stp>[Fundamental &amp; Technical Model (1).xlsm]Ratios!R43C11</stp>
        <stp>SYK US Equity</stp>
        <stp>CASH_CONVERSION_CYCLE</stp>
        <stp>FPT</stp>
        <stp>A</stp>
        <stp>FPO</stp>
        <stp>-3A</stp>
        <stp>STD</stp>
        <stp>Mixed</stp>
        <stp>CONSOL</stp>
        <stp>Yes</stp>
        <tr r="K43" s="8"/>
      </tp>
      <tp t="e">
        <v>#N/A</v>
        <stp/>
        <stp>##V3_BDHV12</stp>
        <stp>SYK US Equity</stp>
        <stp>DIVIDEND_YIELD</stp>
        <stp>-1FY</stp>
        <stp>-1FY</stp>
        <stp>[Fundamental &amp; Technical Model (1).xlsm]Multiples!R63C12</stp>
        <stp>EQY_CONSOLIDATED</stp>
        <stp>Yes</stp>
        <stp>ACCOUNTING_STANDARD_OVERRIDE</stp>
        <stp>Mixed</stp>
        <stp>Per</stp>
        <stp>FY</stp>
        <stp>Days=A</stp>
        <tr r="L63" s="16"/>
        <tr r="L63" s="16"/>
      </tp>
      <tp t="e">
        <v>#N/A</v>
        <stp/>
        <stp>##V3_BDHV12</stp>
        <stp>SYK US Equity</stp>
        <stp>DIVIDEND_YIELD</stp>
        <stp>-0FY</stp>
        <stp>-0FY</stp>
        <stp>[Fundamental &amp; Technical Model (1).xlsm]Multiples!R63C13</stp>
        <stp>EQY_CONSOLIDATED</stp>
        <stp>Yes</stp>
        <stp>ACCOUNTING_STANDARD_OVERRIDE</stp>
        <stp>Mixed</stp>
        <stp>Per</stp>
        <stp>FY</stp>
        <stp>Days=A</stp>
        <tr r="M63" s="16"/>
        <tr r="M63" s="16"/>
      </tp>
      <tp t="e">
        <v>#N/A</v>
        <stp/>
        <stp>##V3_BDHV12</stp>
        <stp>SYK US Equity</stp>
        <stp>AVERAGE_DIVIDEND_YIELD</stp>
        <stp>-1FY</stp>
        <stp>-1FY</stp>
        <stp>[Fundamental &amp; Technical Model (1).xlsm]Multiples!R64C12</stp>
        <stp>EQY_CONSOLIDATED</stp>
        <stp>Yes</stp>
        <stp>ACCOUNTING_STANDARD_OVERRIDE</stp>
        <stp>Mixed</stp>
        <stp>Per</stp>
        <stp>FY</stp>
        <stp>Days=A</stp>
        <tr r="L64" s="16"/>
        <tr r="L64" s="16"/>
      </tp>
      <tp t="e">
        <v>#N/A</v>
        <stp/>
        <stp>##V3_BDHV12</stp>
        <stp>SYK US Equity</stp>
        <stp>AVERAGE_DIVIDEND_YIELD</stp>
        <stp>-0FY</stp>
        <stp>-0FY</stp>
        <stp>[Fundamental &amp; Technical Model (1).xlsm]Multiples!R64C13</stp>
        <stp>EQY_CONSOLIDATED</stp>
        <stp>Yes</stp>
        <stp>ACCOUNTING_STANDARD_OVERRIDE</stp>
        <stp>Mixed</stp>
        <stp>Per</stp>
        <stp>FY</stp>
        <stp>Days=A</stp>
        <tr r="M64" s="16"/>
        <tr r="M64" s="16"/>
      </tp>
      <tp t="e">
        <v>#N/A</v>
        <stp/>
        <stp>##V3_BDHV12</stp>
        <stp>SYK US Equity</stp>
        <stp>AVERAGE_DIVIDEND_YIELD</stp>
        <stp>-3FY</stp>
        <stp>-3FY</stp>
        <stp>[Fundamental &amp; Technical Model (1).xlsm]Multiples!R64C10</stp>
        <stp>EQY_CONSOLIDATED</stp>
        <stp>Yes</stp>
        <stp>ACCOUNTING_STANDARD_OVERRIDE</stp>
        <stp>Mixed</stp>
        <stp>Per</stp>
        <stp>FY</stp>
        <stp>Days=A</stp>
        <tr r="J64" s="16"/>
        <tr r="J64" s="16"/>
      </tp>
      <tp t="e">
        <v>#N/A</v>
        <stp/>
        <stp>##V3_BDHV12</stp>
        <stp>SYK US Equity</stp>
        <stp>AVERAGE_DIVIDEND_YIELD</stp>
        <stp>-2FY</stp>
        <stp>-2FY</stp>
        <stp>[Fundamental &amp; Technical Model (1).xlsm]Multiples!R64C11</stp>
        <stp>EQY_CONSOLIDATED</stp>
        <stp>Yes</stp>
        <stp>ACCOUNTING_STANDARD_OVERRIDE</stp>
        <stp>Mixed</stp>
        <stp>Per</stp>
        <stp>FY</stp>
        <stp>Days=A</stp>
        <tr r="K64" s="16"/>
        <tr r="K64" s="16"/>
      </tp>
      <tp>
        <v>22.702594007641263</v>
        <stp/>
        <stp>##V3_BQLV12</stp>
        <stp>[Fundamental &amp; Technical Model (1).xlsm]Ratios!R23C11</stp>
        <stp>SYK US Equity</stp>
        <stp>EBITDA_MARGIN</stp>
        <stp>FPT</stp>
        <stp>A</stp>
        <stp>FPO</stp>
        <stp>-3A</stp>
        <stp>STD</stp>
        <stp>Mixed</stp>
        <stp>CONSOL</stp>
        <stp>Yes</stp>
        <tr r="K23" s="8"/>
      </tp>
      <tp>
        <v>2.4025641025641025</v>
        <stp/>
        <stp>##V3_BQLV12</stp>
        <stp>[Fundamental &amp; Technical Model (1).xlsm]Ratios!R34C7</stp>
        <stp>SYK US Equity</stp>
        <stp>INVENT_TURN</stp>
        <stp>FPT</stp>
        <stp>A</stp>
        <stp>FPO</stp>
        <stp>-7A</stp>
        <stp>STD</stp>
        <stp>Mixed</stp>
        <stp>CONSOL</stp>
        <stp>Yes</stp>
        <tr r="G34" s="8"/>
      </tp>
      <tp>
        <v>30.55156405438267</v>
        <stp/>
        <stp>##V3_BQLV12</stp>
        <stp>[Fundamental &amp; Technical Model (1).xlsm]Ratios!R46C9</stp>
        <stp>SYK US Equity</stp>
        <stp>TOT_DEBT_TO_TOT_EQY</stp>
        <stp>FPT</stp>
        <stp>A</stp>
        <stp>FPO</stp>
        <stp>-5A</stp>
        <stp>STD</stp>
        <stp>Mixed</stp>
        <stp>CONSOL</stp>
        <stp>Yes</stp>
        <tr r="I46" s="8"/>
      </tp>
      <tp>
        <v>23.401913470493607</v>
        <stp/>
        <stp>##V3_BQLV12</stp>
        <stp>[Fundamental &amp; Technical Model (1).xlsm]Ratios!R47C9</stp>
        <stp>SYK US Equity</stp>
        <stp>TOT_DEBT_TO_TOT_CAP</stp>
        <stp>FPT</stp>
        <stp>A</stp>
        <stp>FPO</stp>
        <stp>-5A</stp>
        <stp>STD</stp>
        <stp>Mixed</stp>
        <stp>CONSOL</stp>
        <stp>Yes</stp>
        <tr r="I47" s="8"/>
      </tp>
      <tp>
        <v>43550</v>
        <stp/>
        <stp>##V3_BTH</stp>
        <stp>SYK US Equity</stp>
        <stp>WMAVG</stp>
        <stp>3/26/2019</stp>
        <stp>4/25/2019</stp>
        <stp>[Fundamental &amp; Technical Model (1).xlsm]Technical Analysis Data!R46C7</stp>
        <stp>WMAVG</stp>
        <stp>TAPeriod=5</stp>
        <stp>DSClose=PX_LAST</stp>
        <stp>Dir=H</stp>
        <stp>Dts=S</stp>
        <stp>cols=22;rows=2</stp>
        <tr r="G46" s="31"/>
      </tp>
      <tp>
        <v>-1197</v>
        <stp/>
        <stp>##V3_BQLV12</stp>
        <stp>[Fundamental &amp; Technical Model (1).xlsm]Cash Flow!R52C11</stp>
        <stp>SYK US Equity</stp>
        <stp>CF_CHNG_NON_CASH_WORK_CAP/10^6</stp>
        <stp>FPT</stp>
        <stp>A</stp>
        <stp>FPO</stp>
        <stp>-3A</stp>
        <stp>STD</stp>
        <stp>Mixed</stp>
        <stp>CONSOL</stp>
        <stp>Yes</stp>
        <stp>CURRENCY</stp>
        <stp>USD</stp>
        <tr r="K52" s="4"/>
      </tp>
      <tp>
        <v>-286</v>
        <stp/>
        <stp>##V3_BQLV12</stp>
        <stp>[Fundamental &amp; Technical Model (1).xlsm]Cash Flow!R18C14</stp>
        <stp>SYK US Equity</stp>
        <stp>CF_CHNG_NON_CASH_WORK_CAP/10^6</stp>
        <stp>FPT</stp>
        <stp>A</stp>
        <stp>FPO</stp>
        <stp>-0A</stp>
        <stp>STD</stp>
        <stp>Mixed</stp>
        <stp>CONSOL</stp>
        <stp>Yes</stp>
        <stp>CURRENCY</stp>
        <stp>USD</stp>
        <tr r="N18" s="4"/>
      </tp>
      <tp>
        <v>818</v>
        <stp/>
        <stp>##V3_BQLV12</stp>
        <stp>[Fundamental &amp; Technical Model (1).xlsm]Cash Flow!R52C10</stp>
        <stp>SYK US Equity</stp>
        <stp>CF_CHNG_NON_CASH_WORK_CAP/10^6</stp>
        <stp>FPT</stp>
        <stp>A</stp>
        <stp>FPO</stp>
        <stp>-4A</stp>
        <stp>STD</stp>
        <stp>Mixed</stp>
        <stp>CONSOL</stp>
        <stp>Yes</stp>
        <stp>CURRENCY</stp>
        <stp>USD</stp>
        <tr r="J52" s="4"/>
      </tp>
      <tp>
        <v>-193</v>
        <stp/>
        <stp>##V3_BQLV12</stp>
        <stp>[Fundamental &amp; Technical Model (1).xlsm]Cash Flow!R52C13</stp>
        <stp>SYK US Equity</stp>
        <stp>CF_CHNG_NON_CASH_WORK_CAP/10^6</stp>
        <stp>FPT</stp>
        <stp>A</stp>
        <stp>FPO</stp>
        <stp>-1A</stp>
        <stp>STD</stp>
        <stp>Mixed</stp>
        <stp>CONSOL</stp>
        <stp>Yes</stp>
        <stp>CURRENCY</stp>
        <stp>USD</stp>
        <tr r="M52" s="4"/>
      </tp>
      <tp>
        <v>-584</v>
        <stp/>
        <stp>##V3_BQLV12</stp>
        <stp>[Fundamental &amp; Technical Model (1).xlsm]Cash Flow!R52C12</stp>
        <stp>SYK US Equity</stp>
        <stp>CF_CHNG_NON_CASH_WORK_CAP/10^6</stp>
        <stp>FPT</stp>
        <stp>A</stp>
        <stp>FPO</stp>
        <stp>-2A</stp>
        <stp>STD</stp>
        <stp>Mixed</stp>
        <stp>CONSOL</stp>
        <stp>Yes</stp>
        <stp>CURRENCY</stp>
        <stp>USD</stp>
        <tr r="L52" s="4"/>
      </tp>
      <tp t="s">
        <v>--</v>
        <stp/>
        <stp>##V3_BDPV12</stp>
        <stp>SYK US Equity</stp>
        <stp>ARDR_STOCK_OPTION_VAL_RFR</stp>
        <stp>[Fundamental &amp; Technical Model (1).xlsm]Supplemental!R27C4</stp>
        <stp>EQY_FUND_RELATIVE_PERIOD</stp>
        <stp>-9FY</stp>
        <stp>EQY_FUND_CRNCY</stp>
        <stp>USD</stp>
        <stp>EQY_CONSOLIDATED</stp>
        <stp>Yes</stp>
        <stp>ACCOUNTING_STANDARD_OVERRIDE</stp>
        <stp>Mixed</stp>
        <stp>Fill=--</stp>
        <tr r="D27" s="19"/>
      </tp>
      <tp>
        <v>3</v>
        <stp/>
        <stp>##V3_BDPV12</stp>
        <stp>SYK US Equity</stp>
        <stp>ARDR_STOCK_OPTION_VAL_RFR</stp>
        <stp>[Fundamental &amp; Technical Model (1).xlsm]Supplemental!R27C5</stp>
        <stp>EQY_FUND_RELATIVE_PERIOD</stp>
        <stp>-8FY</stp>
        <stp>EQY_FUND_CRNCY</stp>
        <stp>USD</stp>
        <stp>EQY_CONSOLIDATED</stp>
        <stp>Yes</stp>
        <stp>ACCOUNTING_STANDARD_OVERRIDE</stp>
        <stp>Mixed</stp>
        <stp>Fill=--</stp>
        <tr r="E27" s="19"/>
      </tp>
      <tp>
        <v>1.3</v>
        <stp/>
        <stp>##V3_BDPV12</stp>
        <stp>SYK US Equity</stp>
        <stp>ARDR_STOCK_OPTION_VAL_RFR</stp>
        <stp>[Fundamental &amp; Technical Model (1).xlsm]Supplemental!R27C8</stp>
        <stp>EQY_FUND_RELATIVE_PERIOD</stp>
        <stp>-5FY</stp>
        <stp>EQY_FUND_CRNCY</stp>
        <stp>USD</stp>
        <stp>EQY_CONSOLIDATED</stp>
        <stp>Yes</stp>
        <stp>ACCOUNTING_STANDARD_OVERRIDE</stp>
        <stp>Mixed</stp>
        <stp>Fill=--</stp>
        <tr r="H27" s="19"/>
      </tp>
      <tp>
        <v>2.1</v>
        <stp/>
        <stp>##V3_BDPV12</stp>
        <stp>SYK US Equity</stp>
        <stp>ARDR_STOCK_OPTION_VAL_RFR</stp>
        <stp>[Fundamental &amp; Technical Model (1).xlsm]Supplemental!R27C9</stp>
        <stp>EQY_FUND_RELATIVE_PERIOD</stp>
        <stp>-4FY</stp>
        <stp>EQY_FUND_CRNCY</stp>
        <stp>USD</stp>
        <stp>EQY_CONSOLIDATED</stp>
        <stp>Yes</stp>
        <stp>ACCOUNTING_STANDARD_OVERRIDE</stp>
        <stp>Mixed</stp>
        <stp>Fill=--</stp>
        <tr r="I27" s="19"/>
      </tp>
      <tp>
        <v>-1197</v>
        <stp/>
        <stp>##V3_BQLV12</stp>
        <stp>[Fundamental &amp; Technical Model (1).xlsm]Cash Flow!R18C11</stp>
        <stp>SYK US Equity</stp>
        <stp>CF_CHNG_NON_CASH_WORK_CAP/10^6</stp>
        <stp>FPT</stp>
        <stp>A</stp>
        <stp>FPO</stp>
        <stp>-3A</stp>
        <stp>STD</stp>
        <stp>Mixed</stp>
        <stp>CONSOL</stp>
        <stp>Yes</stp>
        <stp>CURRENCY</stp>
        <stp>USD</stp>
        <tr r="K18" s="4"/>
      </tp>
      <tp>
        <v>818</v>
        <stp/>
        <stp>##V3_BQLV12</stp>
        <stp>[Fundamental &amp; Technical Model (1).xlsm]Cash Flow!R18C10</stp>
        <stp>SYK US Equity</stp>
        <stp>CF_CHNG_NON_CASH_WORK_CAP/10^6</stp>
        <stp>FPT</stp>
        <stp>A</stp>
        <stp>FPO</stp>
        <stp>-4A</stp>
        <stp>STD</stp>
        <stp>Mixed</stp>
        <stp>CONSOL</stp>
        <stp>Yes</stp>
        <stp>CURRENCY</stp>
        <stp>USD</stp>
        <tr r="J18" s="4"/>
      </tp>
      <tp>
        <v>-286</v>
        <stp/>
        <stp>##V3_BQLV12</stp>
        <stp>[Fundamental &amp; Technical Model (1).xlsm]Cash Flow!R52C14</stp>
        <stp>SYK US Equity</stp>
        <stp>CF_CHNG_NON_CASH_WORK_CAP/10^6</stp>
        <stp>FPT</stp>
        <stp>A</stp>
        <stp>FPO</stp>
        <stp>-0A</stp>
        <stp>STD</stp>
        <stp>Mixed</stp>
        <stp>CONSOL</stp>
        <stp>Yes</stp>
        <stp>CURRENCY</stp>
        <stp>USD</stp>
        <tr r="N52" s="4"/>
      </tp>
      <tp>
        <v>-193</v>
        <stp/>
        <stp>##V3_BQLV12</stp>
        <stp>[Fundamental &amp; Technical Model (1).xlsm]Cash Flow!R18C13</stp>
        <stp>SYK US Equity</stp>
        <stp>CF_CHNG_NON_CASH_WORK_CAP/10^6</stp>
        <stp>FPT</stp>
        <stp>A</stp>
        <stp>FPO</stp>
        <stp>-1A</stp>
        <stp>STD</stp>
        <stp>Mixed</stp>
        <stp>CONSOL</stp>
        <stp>Yes</stp>
        <stp>CURRENCY</stp>
        <stp>USD</stp>
        <tr r="M18" s="4"/>
      </tp>
      <tp>
        <v>3.48</v>
        <stp/>
        <stp>##V3_BQLV12</stp>
        <stp>[Fundamental &amp; Technical Model (1).xlsm]Income Statement!R63C7</stp>
        <stp>SYK US Equity</stp>
        <stp>IS_EARN_BEF_XO_ITEMS_PER_SH</stp>
        <stp>FPT</stp>
        <stp>A</stp>
        <stp>FPO</stp>
        <stp>-7A</stp>
        <stp>STD</stp>
        <stp>Mixed</stp>
        <stp>CONSOL</stp>
        <stp>Yes</stp>
        <stp>CURRENCY</stp>
        <stp>USD</stp>
        <tr r="G63" s="2"/>
      </tp>
      <tp>
        <v>-584</v>
        <stp/>
        <stp>##V3_BQLV12</stp>
        <stp>[Fundamental &amp; Technical Model (1).xlsm]Cash Flow!R18C12</stp>
        <stp>SYK US Equity</stp>
        <stp>CF_CHNG_NON_CASH_WORK_CAP/10^6</stp>
        <stp>FPT</stp>
        <stp>A</stp>
        <stp>FPO</stp>
        <stp>-2A</stp>
        <stp>STD</stp>
        <stp>Mixed</stp>
        <stp>CONSOL</stp>
        <stp>Yes</stp>
        <stp>CURRENCY</stp>
        <stp>USD</stp>
        <tr r="L18" s="4"/>
      </tp>
      <tp>
        <v>2.9</v>
        <stp/>
        <stp>##V3_BDPV12</stp>
        <stp>SYK US Equity</stp>
        <stp>ARDR_STOCK_OPTION_VAL_RFR</stp>
        <stp>[Fundamental &amp; Technical Model (1).xlsm]Supplemental!R27C6</stp>
        <stp>EQY_FUND_RELATIVE_PERIOD</stp>
        <stp>-7FY</stp>
        <stp>EQY_FUND_CRNCY</stp>
        <stp>USD</stp>
        <stp>EQY_CONSOLIDATED</stp>
        <stp>Yes</stp>
        <stp>ACCOUNTING_STANDARD_OVERRIDE</stp>
        <stp>Mixed</stp>
        <stp>Fill=--</stp>
        <tr r="F27" s="19"/>
      </tp>
      <tp>
        <v>1.3</v>
        <stp/>
        <stp>##V3_BDPV12</stp>
        <stp>SYK US Equity</stp>
        <stp>ARDR_STOCK_OPTION_VAL_RFR</stp>
        <stp>[Fundamental &amp; Technical Model (1).xlsm]Supplemental!R27C7</stp>
        <stp>EQY_FUND_RELATIVE_PERIOD</stp>
        <stp>-6FY</stp>
        <stp>EQY_FUND_CRNCY</stp>
        <stp>USD</stp>
        <stp>EQY_CONSOLIDATED</stp>
        <stp>Yes</stp>
        <stp>ACCOUNTING_STANDARD_OVERRIDE</stp>
        <stp>Mixed</stp>
        <stp>Fill=--</stp>
        <tr r="G27" s="19"/>
      </tp>
      <tp t="s">
        <v>#N/A N/A</v>
        <stp/>
        <stp>##V3_BDSV12</stp>
        <stp>SYK US Equity</stp>
        <stp>PG_DEPR_AMORTIZATION</stp>
        <stp>[Fundamental &amp; Technical Model (1).xlsm]Segments!R142C14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142" s="17"/>
      </tp>
      <tp t="s">
        <v>#N/A N/A</v>
        <stp/>
        <stp>##V3_BDSV12</stp>
        <stp>SYK US Equity</stp>
        <stp>PG_DEPR_AMORTIZATION</stp>
        <stp>[Fundamental &amp; Technical Model (1).xlsm]Segments!R156C14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156" s="17"/>
      </tp>
      <tp t="s">
        <v>2012 A</v>
        <stp/>
        <stp>##V3_BQLV12</stp>
        <stp>[Fundamental &amp; Technical Model (1).xlsm]Income Statement!R13C8</stp>
        <stp>SYK US Equity</stp>
        <stp>IS_EPS().PERIOD</stp>
        <stp>FPT</stp>
        <stp>A</stp>
        <stp>FPO</stp>
        <stp>-6A</stp>
        <stp>STD</stp>
        <stp>Mixed</stp>
        <stp>CONSOL</stp>
        <stp>Yes</stp>
        <tr r="H13" s="2"/>
      </tp>
      <tp>
        <v>9.4302832244008723</v>
        <stp/>
        <stp>##V3_BQLV12</stp>
        <stp>[Fundamental &amp; Technical Model (1).xlsm]Ratios!R33C8</stp>
        <stp>SYK US Equity</stp>
        <stp>SALES_TO_NET_FIX_ASSET</stp>
        <stp>FPT</stp>
        <stp>A</stp>
        <stp>FPO</stp>
        <stp>-6A</stp>
        <stp>STD</stp>
        <stp>Mixed</stp>
        <stp>CONSOL</stp>
        <stp>Yes</stp>
        <tr r="H33" s="8"/>
      </tp>
      <tp>
        <v>33.92397617822219</v>
        <stp/>
        <stp>##V3_BQLV12</stp>
        <stp>[Fundamental &amp; Technical Model (1).xlsm]Ratios!R22C14</stp>
        <stp>SYK US Equity</stp>
        <stp>ADJ_SG_AND_A_TO_SALES</stp>
        <stp>FPT</stp>
        <stp>A</stp>
        <stp>FPO</stp>
        <stp>-0A</stp>
        <stp>STD</stp>
        <stp>Mixed</stp>
        <stp>CONSOL</stp>
        <stp>Yes</stp>
        <tr r="N22" s="8"/>
      </tp>
      <tp>
        <v>12.179392372968826</v>
        <stp/>
        <stp>##V3_BQLV12</stp>
        <stp>[Fundamental &amp; Technical Model (1).xlsm]Ratios!R17C11</stp>
        <stp>SYK US Equity</stp>
        <stp>RETURN_ON_CAP</stp>
        <stp>FPT</stp>
        <stp>A</stp>
        <stp>FPO</stp>
        <stp>-3A</stp>
        <stp>STD</stp>
        <stp>Mixed</stp>
        <stp>CONSOL</stp>
        <stp>Yes</stp>
        <tr r="K17" s="8"/>
      </tp>
      <tp>
        <v>197.56116745833174</v>
        <stp/>
        <stp>##V3_BQLV12</stp>
        <stp>[Fundamental &amp; Technical Model (1).xlsm]Ratios!R43C12</stp>
        <stp>SYK US Equity</stp>
        <stp>CASH_CONVERSION_CYCLE</stp>
        <stp>FPT</stp>
        <stp>A</stp>
        <stp>FPO</stp>
        <stp>-2A</stp>
        <stp>STD</stp>
        <stp>Mixed</stp>
        <stp>CONSOL</stp>
        <stp>Yes</stp>
        <tr r="L43" s="8"/>
      </tp>
      <tp>
        <v>24.026490066225165</v>
        <stp/>
        <stp>##V3_BQLV12</stp>
        <stp>[Fundamental &amp; Technical Model (1).xlsm]Ratios!R23C12</stp>
        <stp>SYK US Equity</stp>
        <stp>EBITDA_MARGIN</stp>
        <stp>FPT</stp>
        <stp>A</stp>
        <stp>FPO</stp>
        <stp>-2A</stp>
        <stp>STD</stp>
        <stp>Mixed</stp>
        <stp>CONSOL</stp>
        <stp>Yes</stp>
        <tr r="L23" s="8"/>
      </tp>
      <tp>
        <v>92.7</v>
        <stp/>
        <stp>##V3_BQLV12</stp>
        <stp>[Fundamental &amp; Technical Model (1).xlsm]Balance Sheet!R73C4</stp>
        <stp>SYK US Equity</stp>
        <stp>INVTRY_IN_PROGRESS/10^6</stp>
        <stp>FPT</stp>
        <stp>A</stp>
        <stp>FPO</stp>
        <stp>-10A</stp>
        <stp>STD</stp>
        <stp>Mixed</stp>
        <stp>CONSOL</stp>
        <stp>Yes</stp>
        <stp>CURRENCY</stp>
        <stp>USD</stp>
        <tr r="D73" s="3"/>
      </tp>
      <tp>
        <v>2.1828885400313971</v>
        <stp/>
        <stp>##V3_BQLV12</stp>
        <stp>[Fundamental &amp; Technical Model (1).xlsm]Ratios!R34C8</stp>
        <stp>SYK US Equity</stp>
        <stp>INVENT_TURN</stp>
        <stp>FPT</stp>
        <stp>A</stp>
        <stp>FPO</stp>
        <stp>-6A</stp>
        <stp>STD</stp>
        <stp>Mixed</stp>
        <stp>CONSOL</stp>
        <stp>Yes</stp>
        <tr r="H34" s="8"/>
      </tp>
      <tp t="s">
        <v>2016 Y</v>
        <stp/>
        <stp>##V3_BDPV12</stp>
        <stp>SYK US Equity</stp>
        <stp>FISCAL_YEAR_PERIOD</stp>
        <stp>[Fundamental &amp; Technical Model (1).xlsm]Capital Structure Summary!R12C7</stp>
        <stp>EQY_FUND_RELATIVE_PERIOD</stp>
        <stp>-2FY</stp>
        <tr r="G12" s="21"/>
      </tp>
      <tp t="s">
        <v>2016 Y</v>
        <stp/>
        <stp>##V3_BDPV12</stp>
        <stp>SYK US Equity</stp>
        <stp>FISCAL_YEAR_PERIOD</stp>
        <stp>[Fundamental &amp; Technical Model (1).xlsm]Capital Structure Summary!R26C7</stp>
        <stp>EQY_FUND_RELATIVE_PERIOD</stp>
        <stp>-2FY</stp>
        <tr r="G26" s="21"/>
      </tp>
      <tp>
        <v>3.21</v>
        <stp/>
        <stp>##V3_BQLV12</stp>
        <stp>[Fundamental &amp; Technical Model (1).xlsm]Income Statement!R63C6</stp>
        <stp>SYK US Equity</stp>
        <stp>IS_EARN_BEF_XO_ITEMS_PER_SH</stp>
        <stp>FPT</stp>
        <stp>A</stp>
        <stp>FPO</stp>
        <stp>-8A</stp>
        <stp>STD</stp>
        <stp>Mixed</stp>
        <stp>CONSOL</stp>
        <stp>Yes</stp>
        <stp>CURRENCY</stp>
        <stp>USD</stp>
        <tr r="F63" s="2"/>
      </tp>
      <tp t="s">
        <v>2016 Y</v>
        <stp/>
        <stp>##V3_BDPV12</stp>
        <stp>SYK US Equity</stp>
        <stp>FISCAL_YEAR_PERIOD</stp>
        <stp>[Fundamental &amp; Technical Model (1).xlsm]Capital Structure Summary!R36C7</stp>
        <stp>EQY_FUND_RELATIVE_PERIOD</stp>
        <stp>-2FY</stp>
        <tr r="G36" s="21"/>
      </tp>
      <tp>
        <v>2356</v>
        <stp/>
        <stp>##V3_BQLV12</stp>
        <stp>[Fundamental &amp; Technical Model (1).xlsm]Income Statement!R44C14</stp>
        <stp>SYK US Equity</stp>
        <stp>PRETAX_INC/10^6</stp>
        <stp>FPT</stp>
        <stp>A</stp>
        <stp>FPO</stp>
        <stp>-0A</stp>
        <stp>STD</stp>
        <stp>Mixed</stp>
        <stp>CONSOL</stp>
        <stp>Yes</stp>
        <stp>CURRENCY</stp>
        <stp>USD</stp>
        <tr r="N44" s="2"/>
      </tp>
      <tp t="e">
        <v>#N/A</v>
        <stp/>
        <stp>##V3_BDHV12</stp>
        <stp>SYK US Equity</stp>
        <stp>LOW_CLOSING_PRICE_TO_CASH_FLOW</stp>
        <stp>-10FY</stp>
        <stp>-10FY</stp>
        <stp>[Fundamental &amp; Technical Model (1).xlsm]Multiples!R54C3</stp>
        <stp>EQY_CONSOLIDATED</stp>
        <stp>Yes</stp>
        <stp>ACCOUNTING_STANDARD_OVERRIDE</stp>
        <stp>Mixed</stp>
        <stp>Per</stp>
        <stp>FY</stp>
        <stp>Days=A</stp>
        <tr r="C54" s="16"/>
        <tr r="C54" s="16"/>
      </tp>
      <tp t="s">
        <v>International</v>
        <stp/>
        <stp>##V3_BDSV12</stp>
        <stp>SYK US Equity</stp>
        <stp>PG_REVENUE</stp>
        <stp>[Fundamental &amp; Technical Model (1).xlsm]Segments!R35C3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5</stp>
        <stp>EndRow</stp>
        <stp>5</stp>
        <tr r="C35" s="17"/>
        <tr r="C35" s="17"/>
      </tp>
      <tp t="s">
        <v>Rest of World</v>
        <stp/>
        <stp>##V3_BDSV12</stp>
        <stp>SYK US Equity</stp>
        <stp>PG_REVENUE</stp>
        <stp>[Fundamental &amp; Technical Model (1).xlsm]Segments!R34C3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4</stp>
        <stp>EndRow</stp>
        <stp>4</stp>
        <tr r="C34" s="17"/>
        <tr r="C34" s="17"/>
      </tp>
      <tp t="s">
        <v>#N/A N/A</v>
        <stp/>
        <stp>##V3_BDSV12</stp>
        <stp>SYK US Equity</stp>
        <stp>PG_REVENUE</stp>
        <stp>[Fundamental &amp; Technical Model (1).xlsm]Segments!R37C3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7</stp>
        <stp>EndRow</stp>
        <stp>7</stp>
        <tr r="C37" s="17"/>
      </tp>
      <tp t="s">
        <v>#N/A N/A</v>
        <stp/>
        <stp>##V3_BDSV12</stp>
        <stp>SYK US Equity</stp>
        <stp>PG_REVENUE</stp>
        <stp>[Fundamental &amp; Technical Model (1).xlsm]Segments!R36C3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6</stp>
        <stp>EndRow</stp>
        <stp>6</stp>
        <tr r="C36" s="17"/>
      </tp>
      <tp t="s">
        <v>United States</v>
        <stp/>
        <stp>##V3_BDSV12</stp>
        <stp>SYK US Equity</stp>
        <stp>PG_REVENUE</stp>
        <stp>[Fundamental &amp; Technical Model (1).xlsm]Segments!R31C3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stp>
        <stp>EndRow</stp>
        <stp>1</stp>
        <tr r="C31" s="17"/>
        <tr r="C31" s="17"/>
      </tp>
      <tp t="s">
        <v>Asia Pacific</v>
        <stp/>
        <stp>##V3_BDSV12</stp>
        <stp>SYK US Equity</stp>
        <stp>PG_REVENUE</stp>
        <stp>[Fundamental &amp; Technical Model (1).xlsm]Segments!R33C3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3</stp>
        <stp>EndRow</stp>
        <stp>3</stp>
        <tr r="C33" s="17"/>
        <tr r="C33" s="17"/>
      </tp>
      <tp t="s">
        <v>EMEA</v>
        <stp/>
        <stp>##V3_BDSV12</stp>
        <stp>SYK US Equity</stp>
        <stp>PG_REVENUE</stp>
        <stp>[Fundamental &amp; Technical Model (1).xlsm]Segments!R32C3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2</stp>
        <stp>EndRow</stp>
        <stp>2</stp>
        <tr r="C32" s="17"/>
        <tr r="C32" s="17"/>
      </tp>
      <tp t="s">
        <v>#N/A N/A</v>
        <stp/>
        <stp>##V3_BDSV12</stp>
        <stp>SYK US Equity</stp>
        <stp>PG_REVENUE</stp>
        <stp>[Fundamental &amp; Technical Model (1).xlsm]Segments!R39C3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9</stp>
        <stp>EndRow</stp>
        <stp>9</stp>
        <tr r="C39" s="17"/>
      </tp>
      <tp t="s">
        <v>#N/A N/A</v>
        <stp/>
        <stp>##V3_BDSV12</stp>
        <stp>SYK US Equity</stp>
        <stp>PG_REVENUE</stp>
        <stp>[Fundamental &amp; Technical Model (1).xlsm]Segments!R38C3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8</stp>
        <stp>EndRow</stp>
        <stp>8</stp>
        <tr r="C38" s="17"/>
      </tp>
      <tp t="s">
        <v>#N/A N/A</v>
        <stp/>
        <stp>##V3_BDSV12</stp>
        <stp>SYK US Equity</stp>
        <stp>PG_REVENUE</stp>
        <stp>[Fundamental &amp; Technical Model (1).xlsm]Segments!R39C8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9</stp>
        <stp>EndRow</stp>
        <stp>9</stp>
        <tr r="H39" s="17"/>
      </tp>
      <tp t="s">
        <v>#N/A N/A</v>
        <stp/>
        <stp>##V3_BDSV12</stp>
        <stp>SYK US Equity</stp>
        <stp>PG_REVENUE</stp>
        <stp>[Fundamental &amp; Technical Model (1).xlsm]Segments!R38C8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8</stp>
        <stp>EndRow</stp>
        <stp>8</stp>
        <tr r="H38" s="17"/>
      </tp>
      <tp t="s">
        <v>#N/A N/A</v>
        <stp/>
        <stp>##V3_BDSV12</stp>
        <stp>SYK US Equity</stp>
        <stp>PG_REVENUE</stp>
        <stp>[Fundamental &amp; Technical Model (1).xlsm]Segments!R35C8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5</stp>
        <stp>EndRow</stp>
        <stp>5</stp>
        <tr r="H35" s="17"/>
      </tp>
      <tp>
        <v>397</v>
        <stp/>
        <stp>##V3_BDSV12</stp>
        <stp>SYK US Equity</stp>
        <stp>PG_REVENUE</stp>
        <stp>[Fundamental &amp; Technical Model (1).xlsm]Segments!R34C8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4</stp>
        <stp>EndRow</stp>
        <stp>4</stp>
        <tr r="H34" s="17"/>
        <tr r="H34" s="17"/>
      </tp>
      <tp t="s">
        <v>#N/A N/A</v>
        <stp/>
        <stp>##V3_BDSV12</stp>
        <stp>SYK US Equity</stp>
        <stp>PG_REVENUE</stp>
        <stp>[Fundamental &amp; Technical Model (1).xlsm]Segments!R37C8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7</stp>
        <stp>EndRow</stp>
        <stp>7</stp>
        <tr r="H37" s="17"/>
      </tp>
      <tp t="s">
        <v>#N/A N/A</v>
        <stp/>
        <stp>##V3_BDSV12</stp>
        <stp>SYK US Equity</stp>
        <stp>PG_REVENUE</stp>
        <stp>[Fundamental &amp; Technical Model (1).xlsm]Segments!R36C8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6</stp>
        <stp>EndRow</stp>
        <stp>6</stp>
        <tr r="H36" s="17"/>
      </tp>
      <tp>
        <v>5658</v>
        <stp/>
        <stp>##V3_BDSV12</stp>
        <stp>SYK US Equity</stp>
        <stp>PG_REVENUE</stp>
        <stp>[Fundamental &amp; Technical Model (1).xlsm]Segments!R31C8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stp>
        <stp>EndRow</stp>
        <stp>1</stp>
        <tr r="H31" s="17"/>
        <tr r="H31" s="17"/>
      </tp>
      <tp>
        <v>1336</v>
        <stp/>
        <stp>##V3_BDSV12</stp>
        <stp>SYK US Equity</stp>
        <stp>PG_REVENUE</stp>
        <stp>[Fundamental &amp; Technical Model (1).xlsm]Segments!R33C8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3</stp>
        <stp>EndRow</stp>
        <stp>3</stp>
        <tr r="H33" s="17"/>
        <tr r="H33" s="17"/>
      </tp>
      <tp>
        <v>1266</v>
        <stp/>
        <stp>##V3_BDSV12</stp>
        <stp>SYK US Equity</stp>
        <stp>PG_REVENUE</stp>
        <stp>[Fundamental &amp; Technical Model (1).xlsm]Segments!R32C8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2</stp>
        <stp>EndRow</stp>
        <stp>2</stp>
        <tr r="H32" s="17"/>
        <tr r="H32" s="17"/>
      </tp>
      <tp t="s">
        <v>#N/A N/A</v>
        <stp/>
        <stp>##V3_BDSV12</stp>
        <stp>SYK US Equity</stp>
        <stp>PG_REVENUE</stp>
        <stp>[Fundamental &amp; Technical Model (1).xlsm]Segments!R38C9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8</stp>
        <stp>EndRow</stp>
        <stp>8</stp>
        <tr r="I38" s="17"/>
      </tp>
      <tp t="s">
        <v>#N/A N/A</v>
        <stp/>
        <stp>##V3_BDSV12</stp>
        <stp>SYK US Equity</stp>
        <stp>PG_REVENUE</stp>
        <stp>[Fundamental &amp; Technical Model (1).xlsm]Segments!R39C9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9</stp>
        <stp>EndRow</stp>
        <stp>9</stp>
        <tr r="I39" s="17"/>
      </tp>
      <tp>
        <v>402</v>
        <stp/>
        <stp>##V3_BDSV12</stp>
        <stp>SYK US Equity</stp>
        <stp>PG_REVENUE</stp>
        <stp>[Fundamental &amp; Technical Model (1).xlsm]Segments!R34C9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4</stp>
        <stp>EndRow</stp>
        <stp>4</stp>
        <tr r="I34" s="17"/>
        <tr r="I34" s="17"/>
      </tp>
      <tp t="s">
        <v>#N/A N/A</v>
        <stp/>
        <stp>##V3_BDSV12</stp>
        <stp>SYK US Equity</stp>
        <stp>PG_REVENUE</stp>
        <stp>[Fundamental &amp; Technical Model (1).xlsm]Segments!R35C9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5</stp>
        <stp>EndRow</stp>
        <stp>5</stp>
        <tr r="I35" s="17"/>
      </tp>
      <tp t="s">
        <v>#N/A N/A</v>
        <stp/>
        <stp>##V3_BDSV12</stp>
        <stp>SYK US Equity</stp>
        <stp>PG_REVENUE</stp>
        <stp>[Fundamental &amp; Technical Model (1).xlsm]Segments!R36C9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6</stp>
        <stp>EndRow</stp>
        <stp>6</stp>
        <tr r="I36" s="17"/>
      </tp>
      <tp t="s">
        <v>#N/A N/A</v>
        <stp/>
        <stp>##V3_BDSV12</stp>
        <stp>SYK US Equity</stp>
        <stp>PG_REVENUE</stp>
        <stp>[Fundamental &amp; Technical Model (1).xlsm]Segments!R37C9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7</stp>
        <stp>EndRow</stp>
        <stp>7</stp>
        <tr r="I37" s="17"/>
      </tp>
      <tp>
        <v>5984</v>
        <stp/>
        <stp>##V3_BDSV12</stp>
        <stp>SYK US Equity</stp>
        <stp>PG_REVENUE</stp>
        <stp>[Fundamental &amp; Technical Model (1).xlsm]Segments!R31C9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stp>
        <stp>EndRow</stp>
        <stp>1</stp>
        <tr r="I31" s="17"/>
        <tr r="I31" s="17"/>
      </tp>
      <tp>
        <v>1316</v>
        <stp/>
        <stp>##V3_BDSV12</stp>
        <stp>SYK US Equity</stp>
        <stp>PG_REVENUE</stp>
        <stp>[Fundamental &amp; Technical Model (1).xlsm]Segments!R32C9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2</stp>
        <stp>EndRow</stp>
        <stp>2</stp>
        <tr r="I32" s="17"/>
        <tr r="I32" s="17"/>
      </tp>
      <tp>
        <v>1319</v>
        <stp/>
        <stp>##V3_BDSV12</stp>
        <stp>SYK US Equity</stp>
        <stp>PG_REVENUE</stp>
        <stp>[Fundamental &amp; Technical Model (1).xlsm]Segments!R33C9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3</stp>
        <stp>EndRow</stp>
        <stp>3</stp>
        <tr r="I33" s="17"/>
        <tr r="I33" s="17"/>
      </tp>
      <tp>
        <v>2.8010335917312661E-2</v>
        <stp/>
        <stp>##V3_BQLV12</stp>
        <stp>[Fundamental &amp; Technical Model (1).xlsm]Key Stats!R16C7</stp>
        <stp>SYK US Equity</stp>
        <stp>SALES_GROWTH/100</stp>
        <stp>FPT</stp>
        <stp>A</stp>
        <stp>FPO</stp>
        <stp>-3A</stp>
        <stp>STD</stp>
        <stp>Mixed</stp>
        <stp>CONSOL</stp>
        <stp>Yes</stp>
        <stp>CURRENCY</stp>
        <stp>USD</stp>
        <tr r="G16" s="23"/>
      </tp>
      <tp>
        <v>4.2133140724690016E-2</v>
        <stp/>
        <stp>##V3_BQLV12</stp>
        <stp>[Fundamental &amp; Technical Model (1).xlsm]Key Stats!R16C4</stp>
        <stp>SYK US Equity</stp>
        <stp>SALES_GROWTH/100</stp>
        <stp>FPT</stp>
        <stp>A</stp>
        <stp>FPO</stp>
        <stp>-6A</stp>
        <stp>STD</stp>
        <stp>Mixed</stp>
        <stp>CONSOL</stp>
        <stp>Yes</stp>
        <stp>CURRENCY</stp>
        <stp>USD</stp>
        <tr r="D16" s="23"/>
      </tp>
      <tp>
        <v>7.2497505819753907E-2</v>
        <stp/>
        <stp>##V3_BQLV12</stp>
        <stp>[Fundamental &amp; Technical Model (1).xlsm]Key Stats!R16C6</stp>
        <stp>SYK US Equity</stp>
        <stp>SALES_GROWTH/100</stp>
        <stp>FPT</stp>
        <stp>A</stp>
        <stp>FPO</stp>
        <stp>-4A</stp>
        <stp>STD</stp>
        <stp>Mixed</stp>
        <stp>CONSOL</stp>
        <stp>Yes</stp>
        <stp>CURRENCY</stp>
        <stp>USD</stp>
        <tr r="F16" s="23"/>
      </tp>
      <tp>
        <v>4.2046898463671017E-2</v>
        <stp/>
        <stp>##V3_BQLV12</stp>
        <stp>[Fundamental &amp; Technical Model (1).xlsm]Key Stats!R16C5</stp>
        <stp>SYK US Equity</stp>
        <stp>SALES_GROWTH/100</stp>
        <stp>FPT</stp>
        <stp>A</stp>
        <stp>FPO</stp>
        <stp>-5A</stp>
        <stp>STD</stp>
        <stp>Mixed</stp>
        <stp>CONSOL</stp>
        <stp>Yes</stp>
        <stp>CURRENCY</stp>
        <stp>USD</stp>
        <tr r="E16" s="23"/>
      </tp>
      <tp>
        <v>0.13864870299617937</v>
        <stp/>
        <stp>##V3_BQLV12</stp>
        <stp>[Fundamental &amp; Technical Model (1).xlsm]Key Stats!R16C8</stp>
        <stp>SYK US Equity</stp>
        <stp>SALES_GROWTH/100</stp>
        <stp>FPT</stp>
        <stp>A</stp>
        <stp>FPO</stp>
        <stp>-2A</stp>
        <stp>STD</stp>
        <stp>Mixed</stp>
        <stp>CONSOL</stp>
        <stp>Yes</stp>
        <stp>CURRENCY</stp>
        <stp>USD</stp>
        <tr r="H16" s="23"/>
      </tp>
      <tp>
        <v>9.8807947019867545E-2</v>
        <stp/>
        <stp>##V3_BQLV12</stp>
        <stp>[Fundamental &amp; Technical Model (1).xlsm]Key Stats!R16C9</stp>
        <stp>SYK US Equity</stp>
        <stp>SALES_GROWTH/100</stp>
        <stp>FPT</stp>
        <stp>A</stp>
        <stp>FPO</stp>
        <stp>-1A</stp>
        <stp>STD</stp>
        <stp>Mixed</stp>
        <stp>CONSOL</stp>
        <stp>Yes</stp>
        <stp>CURRENCY</stp>
        <stp>USD</stp>
        <tr r="I16" s="23"/>
      </tp>
      <tp>
        <v>478.5</v>
        <stp/>
        <stp>##V3_BQLV12</stp>
        <stp>[Fundamental &amp; Technical Model (1).xlsm]Cash Flow!R50C4</stp>
        <stp>SYK US Equity</stp>
        <stp>CF_CASH_PAID_FOR_TAX/10^6</stp>
        <stp>FPT</stp>
        <stp>A</stp>
        <stp>FPO</stp>
        <stp>-10A</stp>
        <stp>STD</stp>
        <stp>Mixed</stp>
        <stp>CONSOL</stp>
        <stp>Yes</stp>
        <stp>CURRENCY</stp>
        <stp>USD</stp>
        <tr r="D50" s="4"/>
      </tp>
      <tp>
        <v>5.2602408626126245</v>
        <stp/>
        <stp>##V3_BQLV12</stp>
        <stp>[Fundamental &amp; Technical Model (1).xlsm]Key Stats!R63C5</stp>
        <stp>SYK US Equity</stp>
        <stp>PX_TO_BOOK_RATIO</stp>
        <stp>FPT=A</stp>
        <stp>FPO=1</stp>
        <stp>STD</stp>
        <stp>Mixed</stp>
        <stp>CONSOL</stp>
        <stp>Yes</stp>
        <stp>CURRENCY</stp>
        <stp>USD</stp>
        <tr r="E63" s="23"/>
      </tp>
      <tp>
        <v>20.927462586083895</v>
        <stp/>
        <stp>##V3_BQLV12</stp>
        <stp>[Fundamental &amp; Technical Model (1).xlsm]Key Stats!R60C7</stp>
        <stp>SYK US Equity</stp>
        <stp>PE_RATIO</stp>
        <stp>FPT=A</stp>
        <stp>FPO=2</stp>
        <stp>STD</stp>
        <stp>Mixed</stp>
        <stp>CONSOL</stp>
        <stp>Yes</stp>
        <stp>CURRENCY</stp>
        <stp>USD</stp>
        <tr r="G60" s="23"/>
      </tp>
      <tp>
        <v>5.2598188676303934</v>
        <stp/>
        <stp>##V3_BQLV12</stp>
        <stp>[Fundamental &amp; Technical Model (1).xlsm]Key Stats!R57C6</stp>
        <stp>SYK US Equity</stp>
        <stp>PX_TO_BOOK_RATIO</stp>
        <stp>FPT=A</stp>
        <stp>FPO=1</stp>
        <stp>STD</stp>
        <stp>Mixed</stp>
        <stp>CONSOL</stp>
        <stp>Yes</stp>
        <stp>CURRENCY</stp>
        <stp>USD</stp>
        <tr r="F57" s="23"/>
      </tp>
      <tp t="s">
        <v>#N/A N/A</v>
        <stp/>
        <stp>##V3_BDSV12</stp>
        <stp>SYK US Equity</stp>
        <stp>PG_GROSS_PROFIT</stp>
        <stp>[Fundamental &amp; Technical Model (1).xlsm]Segments!R53C3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53" s="17"/>
      </tp>
      <tp t="s">
        <v>#N/A N/A</v>
        <stp/>
        <stp>##V3_BDSV12</stp>
        <stp>SYK US Equity</stp>
        <stp>PG_GROSS_PROFIT</stp>
        <stp>[Fundamental &amp; Technical Model (1).xlsm]Segments!R54C3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54" s="17"/>
      </tp>
      <tp t="s">
        <v>#N/A N/A</v>
        <stp/>
        <stp>##V3_BDSV12</stp>
        <stp>SYK US Equity</stp>
        <stp>PG_GROSS_PROFIT</stp>
        <stp>[Fundamental &amp; Technical Model (1).xlsm]Segments!R50C8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50" s="17"/>
      </tp>
      <tp t="s">
        <v>#N/A N/A</v>
        <stp/>
        <stp>##V3_BDSV12</stp>
        <stp>SYK US Equity</stp>
        <stp>PG_GROSS_PROFIT</stp>
        <stp>[Fundamental &amp; Technical Model (1).xlsm]Segments!R52C8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52" s="17"/>
      </tp>
      <tp>
        <v>2465</v>
        <stp/>
        <stp>##V3_BQLV12</stp>
        <stp>[Fundamental &amp; Technical Model (1).xlsm]Balance Sheet!R33C6</stp>
        <stp>SYK US Equity</stp>
        <stp>BS_OTHER_ASSETS_DEF_CHRG_OTHER/10^6</stp>
        <stp>FPT</stp>
        <stp>A</stp>
        <stp>FPO</stp>
        <stp>-8A</stp>
        <stp>STD</stp>
        <stp>Mixed</stp>
        <stp>CONSOL</stp>
        <stp>Yes</stp>
        <stp>CURRENCY</stp>
        <stp>USD</stp>
        <tr r="F33" s="3"/>
      </tp>
      <tp t="s">
        <v>#N/A N/A</v>
        <stp/>
        <stp>##V3_BDSV12</stp>
        <stp>SYK US Equity</stp>
        <stp>PG_GROSS_PROFIT</stp>
        <stp>[Fundamental &amp; Technical Model (1).xlsm]Segments!R50C9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50" s="17"/>
      </tp>
      <tp t="s">
        <v>#N/A N/A</v>
        <stp/>
        <stp>##V3_BDSV12</stp>
        <stp>SYK US Equity</stp>
        <stp>PG_GROSS_PROFIT</stp>
        <stp>[Fundamental &amp; Technical Model (1).xlsm]Segments!R52C9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52" s="17"/>
      </tp>
      <tp t="s">
        <v>#N/A N/A</v>
        <stp/>
        <stp>##V3_BDSV12</stp>
        <stp>SYK US Equity</stp>
        <stp>PG_GROSS_PROFIT</stp>
        <stp>[Fundamental &amp; Technical Model (1).xlsm]Segments!R51C8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51" s="17"/>
      </tp>
      <tp t="s">
        <v>#N/A N/A</v>
        <stp/>
        <stp>##V3_BDSV12</stp>
        <stp>SYK US Equity</stp>
        <stp>PG_GROSS_PROFIT</stp>
        <stp>[Fundamental &amp; Technical Model (1).xlsm]Segments!R51C9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51" s="17"/>
      </tp>
      <tp t="e">
        <v>#N/A</v>
        <stp/>
        <stp>##V3_BDHV12</stp>
        <stp>SYK US Equity</stp>
        <stp>HIGH_PRICE_TO_TANGIBLE_BPS</stp>
        <stp>-8FY</stp>
        <stp>-8FY</stp>
        <stp>[Fundamental &amp; Technical Model (1).xlsm]Multiples!R47C5</stp>
        <stp>EQY_CONSOLIDATED</stp>
        <stp>Yes</stp>
        <stp>ACCOUNTING_STANDARD_OVERRIDE</stp>
        <stp>Mixed</stp>
        <stp>Per</stp>
        <stp>FY</stp>
        <stp>Days=A</stp>
        <tr r="E47" s="16"/>
        <tr r="E47" s="16"/>
      </tp>
      <tp t="s">
        <v>#N/A N/A</v>
        <stp/>
        <stp>##V3_BDSV12</stp>
        <stp>SYK US Equity</stp>
        <stp>PG_GROSS_PROFIT</stp>
        <stp>[Fundamental &amp; Technical Model (1).xlsm]Segments!R53C8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53" s="17"/>
      </tp>
      <tp t="s">
        <v>#N/A N/A</v>
        <stp/>
        <stp>##V3_BDSV12</stp>
        <stp>SYK US Equity</stp>
        <stp>PG_GROSS_PROFIT</stp>
        <stp>[Fundamental &amp; Technical Model (1).xlsm]Segments!R53C9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53" s="17"/>
      </tp>
      <tp>
        <v>336.8</v>
        <stp/>
        <stp>##V3_BDPV12</stp>
        <stp>SYK US Equity</stp>
        <stp>ARD_ACC_COMP_POSTRETIRE_OBLIG</stp>
        <stp>[Fundamental &amp; Technical Model (1).xlsm]Balance Sheet!R37C4</stp>
        <stp>EQY_FUND_RELATIVE_PERIOD</stp>
        <stp>-10FY</stp>
        <stp>EQY_FUND_CRNCY</stp>
        <stp>USD</stp>
        <stp>EQY_CONSOLIDATED</stp>
        <stp>Yes</stp>
        <stp>ACCOUNTING_STANDARD_OVERRIDE</stp>
        <stp>Mixed</stp>
        <stp>Fill=0</stp>
        <tr r="D37" s="3"/>
      </tp>
      <tp t="s">
        <v>2008 Y</v>
        <stp/>
        <stp>##V3_BDPV12</stp>
        <stp>SYK US Equity</stp>
        <stp>FISCAL_YEAR_PERIOD</stp>
        <stp>[Fundamental &amp; Technical Model (1).xlsm]Supplemental!R12C3</stp>
        <stp>EQY_FUND_RELATIVE_PERIOD</stp>
        <stp>-10FY</stp>
        <tr r="C12" s="19"/>
      </tp>
      <tp t="s">
        <v>#N/A N/A</v>
        <stp/>
        <stp>##V3_BDSV12</stp>
        <stp>SYK US Equity</stp>
        <stp>PG_GROSS_PROFIT</stp>
        <stp>[Fundamental &amp; Technical Model (1).xlsm]Segments!R54C8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54" s="17"/>
      </tp>
      <tp t="s">
        <v>#N/A N/A</v>
        <stp/>
        <stp>##V3_BDSV12</stp>
        <stp>SYK US Equity</stp>
        <stp>PG_GROSS_PROFIT</stp>
        <stp>[Fundamental &amp; Technical Model (1).xlsm]Segments!R50C3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50" s="17"/>
      </tp>
      <tp t="s">
        <v>#N/A N/A</v>
        <stp/>
        <stp>##V3_BDSV12</stp>
        <stp>SYK US Equity</stp>
        <stp>PG_GROSS_PROFIT</stp>
        <stp>[Fundamental &amp; Technical Model (1).xlsm]Segments!R52C3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52" s="17"/>
      </tp>
      <tp>
        <v>1395</v>
        <stp/>
        <stp>##V3_BQLV12</stp>
        <stp>[Fundamental &amp; Technical Model (1).xlsm]Balance Sheet!R17C8</stp>
        <stp>SYK US Equity</stp>
        <stp>BS_CASH_NEAR_CASH_ITEM/10^6</stp>
        <stp>FPT</stp>
        <stp>A</stp>
        <stp>FPO</stp>
        <stp>-6A</stp>
        <stp>STD</stp>
        <stp>Mixed</stp>
        <stp>CONSOL</stp>
        <stp>Yes</stp>
        <stp>CURRENCY</stp>
        <stp>USD</stp>
        <tr r="H17" s="3"/>
      </tp>
      <tp t="s">
        <v>#N/A N/A</v>
        <stp/>
        <stp>##V3_BDSV12</stp>
        <stp>SYK US Equity</stp>
        <stp>PG_GROSS_PROFIT</stp>
        <stp>[Fundamental &amp; Technical Model (1).xlsm]Segments!R54C9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54" s="17"/>
      </tp>
      <tp t="s">
        <v>#N/A N/A</v>
        <stp/>
        <stp>##V3_BDSV12</stp>
        <stp>SYK US Equity</stp>
        <stp>PG_GROSS_PROFIT</stp>
        <stp>[Fundamental &amp; Technical Model (1).xlsm]Segments!R51C3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51" s="17"/>
      </tp>
      <tp>
        <v>67.514502454261489</v>
        <stp/>
        <stp>##V3_BQLV12</stp>
        <stp>[Fundamental &amp; Technical Model (1).xlsm]Ratios!R21C5</stp>
        <stp>SYK US Equity</stp>
        <stp>GROSS_MARGIN</stp>
        <stp>FPT</stp>
        <stp>A</stp>
        <stp>FPO</stp>
        <stp>-9A</stp>
        <stp>STD</stp>
        <stp>Mixed</stp>
        <stp>CONSOL</stp>
        <stp>Yes</stp>
        <tr r="E21" s="8"/>
      </tp>
      <tp>
        <v>66.722092894357615</v>
        <stp/>
        <stp>##V3_BQLV12</stp>
        <stp>[Fundamental &amp; Technical Model (1).xlsm]Ratios!R21C9</stp>
        <stp>SYK US Equity</stp>
        <stp>GROSS_MARGIN</stp>
        <stp>FPT</stp>
        <stp>A</stp>
        <stp>FPO</stp>
        <stp>-5A</stp>
        <stp>STD</stp>
        <stp>Mixed</stp>
        <stp>CONSOL</stp>
        <stp>Yes</stp>
        <tr r="I21" s="8"/>
      </tp>
      <tp t="s">
        <v>#N/A N/A</v>
        <stp/>
        <stp>##V3_BDSV12</stp>
        <stp>SYK US Equity</stp>
        <stp>PG_GROSS_PROFIT</stp>
        <stp>[Fundamental &amp; Technical Model (1).xlsm]Segments!R46C11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stp>
        <stp>EndRow</stp>
        <stp>1</stp>
        <tr r="K46" s="17"/>
      </tp>
      <tp t="s">
        <v>#N/A N/A</v>
        <stp/>
        <stp>##V3_BDSV12</stp>
        <stp>SYK US Equity</stp>
        <stp>PG_GROSS_PROFIT</stp>
        <stp>[Fundamental &amp; Technical Model (1).xlsm]Segments!R46C10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stp>
        <stp>EndRow</stp>
        <stp>1</stp>
        <tr r="J46" s="17"/>
      </tp>
      <tp t="s">
        <v>#N/A N/A</v>
        <stp/>
        <stp>##V3_BDSV12</stp>
        <stp>SYK US Equity</stp>
        <stp>PG_REVENUE</stp>
        <stp>[Fundamental &amp; Technical Model (1).xlsm]Segments!R40C11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40" s="17"/>
      </tp>
      <tp t="s">
        <v>#N/A N/A</v>
        <stp/>
        <stp>##V3_BDSV12</stp>
        <stp>SYK US Equity</stp>
        <stp>PG_GROSS_PROFIT</stp>
        <stp>[Fundamental &amp; Technical Model (1).xlsm]Segments!R46C13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stp>
        <stp>EndRow</stp>
        <stp>1</stp>
        <tr r="M46" s="17"/>
      </tp>
      <tp t="s">
        <v>#N/A N/A</v>
        <stp/>
        <stp>##V3_BDSV12</stp>
        <stp>SYK US Equity</stp>
        <stp>PG_GROSS_PROFIT</stp>
        <stp>[Fundamental &amp; Technical Model (1).xlsm]Segments!R46C12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stp>
        <stp>EndRow</stp>
        <stp>1</stp>
        <tr r="L46" s="17"/>
      </tp>
      <tp t="s">
        <v>#N/A N/A</v>
        <stp/>
        <stp>##V3_BDSV12</stp>
        <stp>SYK US Equity</stp>
        <stp>PG_ASSETS</stp>
        <stp>[Fundamental &amp; Technical Model (1).xlsm]Segments!R127C8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127" s="17"/>
      </tp>
      <tp t="s">
        <v>#N/A N/A</v>
        <stp/>
        <stp>##V3_BDSV12</stp>
        <stp>SYK US Equity</stp>
        <stp>PG_ASSETS</stp>
        <stp>[Fundamental &amp; Technical Model (1).xlsm]Segments!R113C8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113" s="17"/>
      </tp>
      <tp t="s">
        <v>#N/A N/A</v>
        <stp/>
        <stp>##V3_BDSV12</stp>
        <stp>SYK US Equity</stp>
        <stp>PG_GROSS_PROFIT</stp>
        <stp>[Fundamental &amp; Technical Model (1).xlsm]Segments!R46C14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stp>
        <stp>EndRow</stp>
        <stp>1</stp>
        <tr r="N46" s="17"/>
      </tp>
      <tp t="s">
        <v>#N/A N/A</v>
        <stp/>
        <stp>##V3_BDSV12</stp>
        <stp>SYK US Equity</stp>
        <stp>PG_REVENUE</stp>
        <stp>[Fundamental &amp; Technical Model (1).xlsm]Segments!R26C11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26" s="17"/>
      </tp>
      <tp>
        <v>21.595587024534826</v>
        <stp/>
        <stp>##V3_BQLV12</stp>
        <stp>[Fundamental &amp; Technical Model (1).xlsm]Ratios!R50C7</stp>
        <stp>SYK US Equity</stp>
        <stp>NON_CUR_LIAB_TO_TOT_ASSET</stp>
        <stp>FPT</stp>
        <stp>A</stp>
        <stp>FPO</stp>
        <stp>-7A</stp>
        <stp>STD</stp>
        <stp>Mixed</stp>
        <stp>CONSOL</stp>
        <stp>Yes</stp>
        <tr r="G50" s="8"/>
      </tp>
      <tp>
        <v>-2175.1</v>
        <stp/>
        <stp>##V3_BQLV12</stp>
        <stp>[Fundamental &amp; Technical Model (1).xlsm]Balance Sheet!R69C4</stp>
        <stp>SYK US Equity</stp>
        <stp>NET_DEBT/10^6</stp>
        <stp>FPT</stp>
        <stp>A</stp>
        <stp>FPO</stp>
        <stp>-10A</stp>
        <stp>STD</stp>
        <stp>Mixed</stp>
        <stp>CONSOL</stp>
        <stp>Yes</stp>
        <stp>CURRENCY</stp>
        <stp>USD</stp>
        <tr r="D69" s="3"/>
      </tp>
      <tp>
        <v>3316</v>
        <stp/>
        <stp>##V3_BQLV12</stp>
        <stp>[Fundamental &amp; Technical Model (1).xlsm]Balance Sheet!R17C12</stp>
        <stp>SYK US Equity</stp>
        <stp>BS_CASH_NEAR_CASH_ITEM/10^6</stp>
        <stp>FPT</stp>
        <stp>A</stp>
        <stp>FPO</stp>
        <stp>-2A</stp>
        <stp>STD</stp>
        <stp>Mixed</stp>
        <stp>CONSOL</stp>
        <stp>Yes</stp>
        <stp>CURRENCY</stp>
        <stp>USD</stp>
        <tr r="L17" s="3"/>
      </tp>
      <tp>
        <v>8081</v>
        <stp/>
        <stp>##V3_BQLV12</stp>
        <stp>[Fundamental &amp; Technical Model (1).xlsm]Balance Sheet!R57C12</stp>
        <stp>SYK US Equity</stp>
        <stp>BS_RETAIN_EARN/10^6</stp>
        <stp>FPT</stp>
        <stp>A</stp>
        <stp>FPO</stp>
        <stp>-2A</stp>
        <stp>STD</stp>
        <stp>Mixed</stp>
        <stp>CONSOL</stp>
        <stp>Yes</stp>
        <stp>CURRENCY</stp>
        <stp>USD</stp>
        <tr r="L57" s="3"/>
      </tp>
      <tp>
        <v>2465</v>
        <stp/>
        <stp>##V3_BQLV12</stp>
        <stp>[Fundamental &amp; Technical Model (1).xlsm]Balance Sheet!R23C13</stp>
        <stp>SYK US Equity</stp>
        <stp>BS_INVENTORIES/10^6</stp>
        <stp>FPT</stp>
        <stp>A</stp>
        <stp>FPO</stp>
        <stp>-1A</stp>
        <stp>STD</stp>
        <stp>Mixed</stp>
        <stp>CONSOL</stp>
        <stp>Yes</stp>
        <stp>CURRENCY</stp>
        <stp>USD</stp>
        <tr r="M23" s="3"/>
      </tp>
      <tp>
        <v>18.711039613915144</v>
        <stp/>
        <stp>##V3_BQLV12</stp>
        <stp>[Fundamental &amp; Technical Model (1).xlsm]Ratios!R25C11</stp>
        <stp>SYK US Equity</stp>
        <stp>OPER_INC_TO_NET_SALES</stp>
        <stp>FPT</stp>
        <stp>A</stp>
        <stp>FPO</stp>
        <stp>-3A</stp>
        <stp>STD</stp>
        <stp>Mixed</stp>
        <stp>CONSOL</stp>
        <stp>Yes</stp>
        <tr r="K25" s="8"/>
      </tp>
      <tp>
        <v>12.348484848484848</v>
        <stp/>
        <stp>##V3_BDPV12</stp>
        <stp>SYK US Equity</stp>
        <stp>EBITDA_TO_TOT_INT_EXP</stp>
        <stp>[Fundamental &amp; Technical Model (1).xlsm]Capital Structure Summary!R68C11</stp>
        <stp>EQY_FUND_RELATIVE_PERIOD</stp>
        <stp>-0FY</stp>
        <stp>EQY_FUND_CRNCY</stp>
        <stp>USD</stp>
        <stp>EQY_CONSOLIDATED</stp>
        <stp>Yes</stp>
        <stp>ACCOUNTING_STANDARD_OVERRIDE</stp>
        <stp>Mixed</stp>
        <stp>Fill=--</stp>
        <tr r="K68" s="21"/>
      </tp>
      <tp>
        <v>397.4</v>
        <stp/>
        <stp>##V3_BQLV12</stp>
        <stp>[Fundamental &amp; Technical Model (1).xlsm]Income Statement!R64C5</stp>
        <stp>SYK US Equity</stp>
        <stp>IS_AVG_NUM_SH_FOR_EPS/10^6</stp>
        <stp>FPT</stp>
        <stp>A</stp>
        <stp>FPO</stp>
        <stp>-9A</stp>
        <stp>STD</stp>
        <stp>Mixed</stp>
        <stp>CONSOL</stp>
        <stp>Yes</stp>
        <stp>CURRENCY</stp>
        <stp>USD</stp>
        <tr r="E64" s="2"/>
      </tp>
      <tp>
        <v>386.5</v>
        <stp/>
        <stp>##V3_BQLV12</stp>
        <stp>[Fundamental &amp; Technical Model (1).xlsm]Income Statement!R64C7</stp>
        <stp>SYK US Equity</stp>
        <stp>IS_AVG_NUM_SH_FOR_EPS/10^6</stp>
        <stp>FPT</stp>
        <stp>A</stp>
        <stp>FPO</stp>
        <stp>-7A</stp>
        <stp>STD</stp>
        <stp>Mixed</stp>
        <stp>CONSOL</stp>
        <stp>Yes</stp>
        <stp>CURRENCY</stp>
        <stp>USD</stp>
        <tr r="G64" s="2"/>
      </tp>
      <tp>
        <v>396.4</v>
        <stp/>
        <stp>##V3_BQLV12</stp>
        <stp>[Fundamental &amp; Technical Model (1).xlsm]Income Statement!R64C6</stp>
        <stp>SYK US Equity</stp>
        <stp>IS_AVG_NUM_SH_FOR_EPS/10^6</stp>
        <stp>FPT</stp>
        <stp>A</stp>
        <stp>FPO</stp>
        <stp>-8A</stp>
        <stp>STD</stp>
        <stp>Mixed</stp>
        <stp>CONSOL</stp>
        <stp>Yes</stp>
        <stp>CURRENCY</stp>
        <stp>USD</stp>
        <tr r="F64" s="2"/>
      </tp>
      <tp>
        <v>378.6</v>
        <stp/>
        <stp>##V3_BQLV12</stp>
        <stp>[Fundamental &amp; Technical Model (1).xlsm]Income Statement!R64C9</stp>
        <stp>SYK US Equity</stp>
        <stp>IS_AVG_NUM_SH_FOR_EPS/10^6</stp>
        <stp>FPT</stp>
        <stp>A</stp>
        <stp>FPO</stp>
        <stp>-5A</stp>
        <stp>STD</stp>
        <stp>Mixed</stp>
        <stp>CONSOL</stp>
        <stp>Yes</stp>
        <stp>CURRENCY</stp>
        <stp>USD</stp>
        <tr r="I64" s="2"/>
      </tp>
      <tp>
        <v>380.6</v>
        <stp/>
        <stp>##V3_BQLV12</stp>
        <stp>[Fundamental &amp; Technical Model (1).xlsm]Income Statement!R64C8</stp>
        <stp>SYK US Equity</stp>
        <stp>IS_AVG_NUM_SH_FOR_EPS/10^6</stp>
        <stp>FPT</stp>
        <stp>A</stp>
        <stp>FPO</stp>
        <stp>-6A</stp>
        <stp>STD</stp>
        <stp>Mixed</stp>
        <stp>CONSOL</stp>
        <stp>Yes</stp>
        <stp>CURRENCY</stp>
        <stp>USD</stp>
        <tr r="H64" s="2"/>
      </tp>
      <tp t="s">
        <v>#N/A</v>
        <stp/>
        <stp>##V3_BQLV12</stp>
        <stp>[Fundamental &amp; Technical Model (1).xlsm]Balance Sheet!R25C12</stp>
        <stp>SYK US Equity</stp>
        <stp>BS_RESTRICT_BOND_PROCEED/10^6</stp>
        <stp>FPT</stp>
        <stp>A</stp>
        <stp>FPO</stp>
        <stp>-2A</stp>
        <stp>STD</stp>
        <stp>Mixed</stp>
        <stp>CONSOL</stp>
        <stp>Yes</stp>
        <stp>CURRENCY</stp>
        <stp>USD</stp>
        <tr r="L25" s="3"/>
      </tp>
      <tp t="s">
        <v>#N/A</v>
        <stp/>
        <stp>##V3_BQLV12</stp>
        <stp>[Fundamental &amp; Technical Model (1).xlsm]Balance Sheet!R25C13</stp>
        <stp>SYK US Equity</stp>
        <stp>BS_RESTRICT_BOND_PROCEED/10^6</stp>
        <stp>FPT</stp>
        <stp>A</stp>
        <stp>FPO</stp>
        <stp>-1A</stp>
        <stp>STD</stp>
        <stp>Mixed</stp>
        <stp>CONSOL</stp>
        <stp>Yes</stp>
        <stp>CURRENCY</stp>
        <stp>USD</stp>
        <tr r="M25" s="3"/>
      </tp>
      <tp t="s">
        <v>#N/A</v>
        <stp/>
        <stp>##V3_BQLV12</stp>
        <stp>[Fundamental &amp; Technical Model (1).xlsm]Balance Sheet!R25C10</stp>
        <stp>SYK US Equity</stp>
        <stp>BS_RESTRICT_BOND_PROCEED/10^6</stp>
        <stp>FPT</stp>
        <stp>A</stp>
        <stp>FPO</stp>
        <stp>-4A</stp>
        <stp>STD</stp>
        <stp>Mixed</stp>
        <stp>CONSOL</stp>
        <stp>Yes</stp>
        <stp>CURRENCY</stp>
        <stp>USD</stp>
        <tr r="J25" s="3"/>
      </tp>
      <tp t="s">
        <v>#N/A</v>
        <stp/>
        <stp>##V3_BQLV12</stp>
        <stp>[Fundamental &amp; Technical Model (1).xlsm]Balance Sheet!R25C11</stp>
        <stp>SYK US Equity</stp>
        <stp>BS_RESTRICT_BOND_PROCEED/10^6</stp>
        <stp>FPT</stp>
        <stp>A</stp>
        <stp>FPO</stp>
        <stp>-3A</stp>
        <stp>STD</stp>
        <stp>Mixed</stp>
        <stp>CONSOL</stp>
        <stp>Yes</stp>
        <stp>CURRENCY</stp>
        <stp>USD</stp>
        <tr r="K25" s="3"/>
      </tp>
      <tp t="s">
        <v>#N/A</v>
        <stp/>
        <stp>##V3_BQLV12</stp>
        <stp>[Fundamental &amp; Technical Model (1).xlsm]Balance Sheet!R25C14</stp>
        <stp>SYK US Equity</stp>
        <stp>BS_RESTRICT_BOND_PROCEED/10^6</stp>
        <stp>FPT</stp>
        <stp>A</stp>
        <stp>FPO</stp>
        <stp>-0A</stp>
        <stp>STD</stp>
        <stp>Mixed</stp>
        <stp>CONSOL</stp>
        <stp>Yes</stp>
        <stp>CURRENCY</stp>
        <stp>USD</stp>
        <tr r="N25" s="3"/>
      </tp>
      <tp t="s">
        <v>#N/A N/A</v>
        <stp/>
        <stp>##V3_BDSV12</stp>
        <stp>SYK US Equity</stp>
        <stp>PG_OPERATING_INCOME</stp>
        <stp>[Fundamental &amp; Technical Model (1).xlsm]Segments!R84C13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84" s="17"/>
      </tp>
      <tp t="s">
        <v>#N/A N/A</v>
        <stp/>
        <stp>##V3_BDSV12</stp>
        <stp>SYK US Equity</stp>
        <stp>PG_OPERATING_INCOME</stp>
        <stp>[Fundamental &amp; Technical Model (1).xlsm]Segments!R98C13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98" s="17"/>
      </tp>
      <tp>
        <v>158.40899725274724</v>
        <stp/>
        <stp>##V3_BQLV12</stp>
        <stp>[Fundamental &amp; Technical Model (1).xlsm]Ratios!R41C5</stp>
        <stp>SYK US Equity</stp>
        <stp>INVENT_DAYS</stp>
        <stp>FPT</stp>
        <stp>A</stp>
        <stp>FPO</stp>
        <stp>-9A</stp>
        <stp>STD</stp>
        <stp>Mixed</stp>
        <stp>CONSOL</stp>
        <stp>Yes</stp>
        <tr r="E41" s="8"/>
      </tp>
      <tp>
        <v>8.3000000000000007</v>
        <stp/>
        <stp>##V3_BDPV12</stp>
        <stp>SYK US Equity</stp>
        <stp>BS_OPTIONS_EXERCISABLE</stp>
        <stp>[Fundamental &amp; Technical Model (1).xlsm]Supplemental!R17C10</stp>
        <stp>EQY_FUND_RELATIVE_PERIOD</stp>
        <stp>-3FY</stp>
        <stp>EQY_FUND_CRNCY</stp>
        <stp>USD</stp>
        <stp>EQY_CONSOLIDATED</stp>
        <stp>Yes</stp>
        <stp>ACCOUNTING_STANDARD_OVERRIDE</stp>
        <stp>Mixed</stp>
        <stp>Fill=--</stp>
        <tr r="J17" s="19"/>
      </tp>
      <tp>
        <v>7.8</v>
        <stp/>
        <stp>##V3_BDPV12</stp>
        <stp>SYK US Equity</stp>
        <stp>BS_OPTIONS_EXERCISABLE</stp>
        <stp>[Fundamental &amp; Technical Model (1).xlsm]Supplemental!R17C11</stp>
        <stp>EQY_FUND_RELATIVE_PERIOD</stp>
        <stp>-2FY</stp>
        <stp>EQY_FUND_CRNCY</stp>
        <stp>USD</stp>
        <stp>EQY_CONSOLIDATED</stp>
        <stp>Yes</stp>
        <stp>ACCOUNTING_STANDARD_OVERRIDE</stp>
        <stp>Mixed</stp>
        <stp>Fill=--</stp>
        <tr r="K17" s="19"/>
      </tp>
      <tp>
        <v>7.5</v>
        <stp/>
        <stp>##V3_BDPV12</stp>
        <stp>SYK US Equity</stp>
        <stp>BS_OPTIONS_EXERCISABLE</stp>
        <stp>[Fundamental &amp; Technical Model (1).xlsm]Supplemental!R17C12</stp>
        <stp>EQY_FUND_RELATIVE_PERIOD</stp>
        <stp>-1FY</stp>
        <stp>EQY_FUND_CRNCY</stp>
        <stp>USD</stp>
        <stp>EQY_CONSOLIDATED</stp>
        <stp>Yes</stp>
        <stp>ACCOUNTING_STANDARD_OVERRIDE</stp>
        <stp>Mixed</stp>
        <stp>Fill=--</stp>
        <tr r="L17" s="19"/>
      </tp>
      <tp>
        <v>7.3</v>
        <stp/>
        <stp>##V3_BDPV12</stp>
        <stp>SYK US Equity</stp>
        <stp>BS_OPTIONS_EXERCISABLE</stp>
        <stp>[Fundamental &amp; Technical Model (1).xlsm]Supplemental!R17C13</stp>
        <stp>EQY_FUND_RELATIVE_PERIOD</stp>
        <stp>-0FY</stp>
        <stp>EQY_FUND_CRNCY</stp>
        <stp>USD</stp>
        <stp>EQY_CONSOLIDATED</stp>
        <stp>Yes</stp>
        <stp>ACCOUNTING_STANDARD_OVERRIDE</stp>
        <stp>Mixed</stp>
        <stp>Fill=--</stp>
        <tr r="M17" s="19"/>
      </tp>
      <tp>
        <v>1494.5</v>
        <stp/>
        <stp>##V3_BQLV12</stp>
        <stp>[Fundamental &amp; Technical Model (1).xlsm]Balance Sheet!R18C4</stp>
        <stp>SYK US Equity</stp>
        <stp>BS_MKT_SEC_OTHER_ST_INVEST/10^6</stp>
        <stp>FPT</stp>
        <stp>A</stp>
        <stp>FPO</stp>
        <stp>-10A</stp>
        <stp>STD</stp>
        <stp>Mixed</stp>
        <stp>CONSOL</stp>
        <stp>Yes</stp>
        <stp>CURRENCY</stp>
        <stp>USD</stp>
        <tr r="D18" s="3"/>
      </tp>
      <tp t="s">
        <v>#N/A N/A</v>
        <stp/>
        <stp>##V3_BDSV12</stp>
        <stp>SYK US Equity</stp>
        <stp>PG_ASSETS</stp>
        <stp>[Fundamental &amp; Technical Model (1).xlsm]Segments!R127C4</stp>
        <stp>PG_HIERARCHY_LEVEL=1</stp>
        <stp>NUMBER_OF_PERIODS=-11</stp>
        <stp>REVERSE_PERIOD_ORDER=N</stp>
        <stp>PRODUCT_GEO_OVERRIDE=G</stp>
        <stp>FUND_PER</stp>
        <stp>Y</stp>
        <stp>ACCOUNTING_STANDARD_OVERRIDE</stp>
        <stp>Mixed</stp>
        <stp>EQY_CONSOLIDATED</stp>
        <stp>Yes</stp>
        <stp>EQY_FUND_CRNCY</stp>
        <stp>USD</stp>
        <stp>StartCol</stp>
        <stp>13</stp>
        <stp>EndCol</stp>
        <stp>13</stp>
        <stp>StartRow</stp>
        <stp>10</stp>
        <stp>EndRow</stp>
        <stp>10</stp>
        <tr r="D127" s="17"/>
      </tp>
      <tp>
        <v>5.9396008274296106</v>
        <stp/>
        <stp>##V3_BQLV12</stp>
        <stp>[Fundamental &amp; Technical Model (1).xlsm]Key Stats!R57C4</stp>
        <stp>SYK US Equity</stp>
        <stp>PX_TO_BOOK_RATIO</stp>
        <stp>FPT=A</stp>
        <stp>FPO=0</stp>
        <stp>STD</stp>
        <stp>Mixed</stp>
        <stp>CONSOL</stp>
        <stp>Yes</stp>
        <stp>CURRENCY</stp>
        <stp>USD</stp>
        <tr r="D57" s="23"/>
      </tp>
      <tp t="s">
        <v>#N/A N/A</v>
        <stp/>
        <stp>##V3_BDSV12</stp>
        <stp>SYK US Equity</stp>
        <stp>PG_GROSS_PROFIT</stp>
        <stp>[Fundamental &amp; Technical Model (1).xlsm]Segments!R48C3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48" s="17"/>
      </tp>
      <tp t="s">
        <v>#N/A N/A</v>
        <stp/>
        <stp>##V3_BDSV12</stp>
        <stp>SYK US Equity</stp>
        <stp>PG_GROSS_PROFIT</stp>
        <stp>[Fundamental &amp; Technical Model (1).xlsm]Segments!R47C8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47" s="17"/>
      </tp>
      <tp t="s">
        <v>#N/A N/A</v>
        <stp/>
        <stp>##V3_BDSV12</stp>
        <stp>SYK US Equity</stp>
        <stp>PG_GROSS_PROFIT</stp>
        <stp>[Fundamental &amp; Technical Model (1).xlsm]Segments!R49C3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49" s="17"/>
      </tp>
      <tp>
        <v>4051</v>
        <stp/>
        <stp>##V3_BQLV12</stp>
        <stp>[Fundamental &amp; Technical Model (1).xlsm]Balance Sheet!R33C7</stp>
        <stp>SYK US Equity</stp>
        <stp>BS_OTHER_ASSETS_DEF_CHRG_OTHER/10^6</stp>
        <stp>FPT</stp>
        <stp>A</stp>
        <stp>FPO</stp>
        <stp>-7A</stp>
        <stp>STD</stp>
        <stp>Mixed</stp>
        <stp>CONSOL</stp>
        <stp>Yes</stp>
        <stp>CURRENCY</stp>
        <stp>USD</stp>
        <tr r="G33" s="3"/>
      </tp>
      <tp t="s">
        <v>#N/A N/A</v>
        <stp/>
        <stp>##V3_BDSV12</stp>
        <stp>SYK US Equity</stp>
        <stp>PG_GROSS_PROFIT</stp>
        <stp>[Fundamental &amp; Technical Model (1).xlsm]Segments!R47C9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47" s="17"/>
      </tp>
      <tp t="s">
        <v>#N/A N/A</v>
        <stp/>
        <stp>##V3_BDSV12</stp>
        <stp>SYK US Equity</stp>
        <stp>PG_GROSS_PROFIT</stp>
        <stp>[Fundamental &amp; Technical Model (1).xlsm]Segments!R46C8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46" s="17"/>
      </tp>
      <tp t="s">
        <v>#N/A N/A</v>
        <stp/>
        <stp>##V3_BDSV12</stp>
        <stp>SYK US Equity</stp>
        <stp>PG_GROSS_PROFIT</stp>
        <stp>[Fundamental &amp; Technical Model (1).xlsm]Segments!R46C9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46" s="17"/>
      </tp>
      <tp t="e">
        <v>#N/A</v>
        <stp/>
        <stp>##V3_BDHV12</stp>
        <stp>SYK US Equity</stp>
        <stp>HIGH_PRICE_TO_TANGIBLE_BPS</stp>
        <stp>-9FY</stp>
        <stp>-9FY</stp>
        <stp>[Fundamental &amp; Technical Model (1).xlsm]Multiples!R47C4</stp>
        <stp>EQY_CONSOLIDATED</stp>
        <stp>Yes</stp>
        <stp>ACCOUNTING_STANDARD_OVERRIDE</stp>
        <stp>Mixed</stp>
        <stp>Per</stp>
        <stp>FY</stp>
        <stp>Days=A</stp>
        <tr r="D47" s="16"/>
        <tr r="D47" s="16"/>
      </tp>
      <tp t="s">
        <v>#N/A N/A</v>
        <stp/>
        <stp>##V3_BDSV12</stp>
        <stp>SYK US Equity</stp>
        <stp>PG_GROSS_PROFIT</stp>
        <stp>[Fundamental &amp; Technical Model (1).xlsm]Segments!R48C8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48" s="17"/>
      </tp>
      <tp t="s">
        <v>#N/A N/A</v>
        <stp/>
        <stp>##V3_BDSV12</stp>
        <stp>SYK US Equity</stp>
        <stp>PG_GROSS_PROFIT</stp>
        <stp>[Fundamental &amp; Technical Model (1).xlsm]Segments!R48C9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48" s="17"/>
      </tp>
      <tp t="s">
        <v>#N/A N/A</v>
        <stp/>
        <stp>##V3_BDSV12</stp>
        <stp>SYK US Equity</stp>
        <stp>PG_GROSS_PROFIT</stp>
        <stp>[Fundamental &amp; Technical Model (1).xlsm]Segments!R49C8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49" s="17"/>
      </tp>
      <tp t="s">
        <v>#N/A N/A</v>
        <stp/>
        <stp>##V3_BDSV12</stp>
        <stp>SYK US Equity</stp>
        <stp>PG_GROSS_PROFIT</stp>
        <stp>[Fundamental &amp; Technical Model (1).xlsm]Segments!R47C3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47" s="17"/>
      </tp>
      <tp>
        <v>1339</v>
        <stp/>
        <stp>##V3_BQLV12</stp>
        <stp>[Fundamental &amp; Technical Model (1).xlsm]Balance Sheet!R17C9</stp>
        <stp>SYK US Equity</stp>
        <stp>BS_CASH_NEAR_CASH_ITEM/10^6</stp>
        <stp>FPT</stp>
        <stp>A</stp>
        <stp>FPO</stp>
        <stp>-5A</stp>
        <stp>STD</stp>
        <stp>Mixed</stp>
        <stp>CONSOL</stp>
        <stp>Yes</stp>
        <stp>CURRENCY</stp>
        <stp>USD</stp>
        <tr r="I17" s="3"/>
      </tp>
      <tp t="s">
        <v>#N/A N/A</v>
        <stp/>
        <stp>##V3_BDSV12</stp>
        <stp>SYK US Equity</stp>
        <stp>PG_GROSS_PROFIT</stp>
        <stp>[Fundamental &amp; Technical Model (1).xlsm]Segments!R49C9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49" s="17"/>
      </tp>
      <tp t="s">
        <v>#N/A N/A</v>
        <stp/>
        <stp>##V3_BDSV12</stp>
        <stp>SYK US Equity</stp>
        <stp>PG_GROSS_PROFIT</stp>
        <stp>[Fundamental &amp; Technical Model (1).xlsm]Segments!R46C3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46" s="17"/>
      </tp>
      <tp t="s">
        <v>#N/A N/A</v>
        <stp/>
        <stp>##V3_BDSV12</stp>
        <stp>SYK US Equity</stp>
        <stp>PG_GROSS_PROFIT</stp>
        <stp>[Fundamental &amp; Technical Model (1).xlsm]Segments!R47C12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2</stp>
        <stp>EndRow</stp>
        <stp>2</stp>
        <tr r="L47" s="17"/>
      </tp>
      <tp t="s">
        <v>#N/A N/A</v>
        <stp/>
        <stp>##V3_BDSV12</stp>
        <stp>SYK US Equity</stp>
        <stp>PG_REVENUE</stp>
        <stp>[Fundamental &amp; Technical Model (1).xlsm]Segments!R40C10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40" s="17"/>
      </tp>
      <tp t="s">
        <v>#N/A N/A</v>
        <stp/>
        <stp>##V3_BDSV12</stp>
        <stp>SYK US Equity</stp>
        <stp>PG_GROSS_PROFIT</stp>
        <stp>[Fundamental &amp; Technical Model (1).xlsm]Segments!R47C13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2</stp>
        <stp>EndRow</stp>
        <stp>2</stp>
        <tr r="M47" s="17"/>
      </tp>
      <tp t="s">
        <v>#N/A N/A</v>
        <stp/>
        <stp>##V3_BDSV12</stp>
        <stp>SYK US Equity</stp>
        <stp>PG_GROSS_PROFIT</stp>
        <stp>[Fundamental &amp; Technical Model (1).xlsm]Segments!R47C10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2</stp>
        <stp>EndRow</stp>
        <stp>2</stp>
        <tr r="J47" s="17"/>
      </tp>
      <tp t="s">
        <v>#N/A N/A</v>
        <stp/>
        <stp>##V3_BDSV12</stp>
        <stp>SYK US Equity</stp>
        <stp>PG_GROSS_PROFIT</stp>
        <stp>[Fundamental &amp; Technical Model (1).xlsm]Segments!R47C11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2</stp>
        <stp>EndRow</stp>
        <stp>2</stp>
        <tr r="K47" s="17"/>
      </tp>
      <tp t="s">
        <v>#N/A N/A</v>
        <stp/>
        <stp>##V3_BDSV12</stp>
        <stp>SYK US Equity</stp>
        <stp>PG_ASSETS</stp>
        <stp>[Fundamental &amp; Technical Model (1).xlsm]Segments!R127C9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127" s="17"/>
      </tp>
      <tp t="s">
        <v>#N/A N/A</v>
        <stp/>
        <stp>##V3_BDSV12</stp>
        <stp>SYK US Equity</stp>
        <stp>PG_ASSETS</stp>
        <stp>[Fundamental &amp; Technical Model (1).xlsm]Segments!R113C9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113" s="17"/>
      </tp>
      <tp t="s">
        <v>#N/A N/A</v>
        <stp/>
        <stp>##V3_BDSV12</stp>
        <stp>SYK US Equity</stp>
        <stp>PG_GROSS_PROFIT</stp>
        <stp>[Fundamental &amp; Technical Model (1).xlsm]Segments!R47C14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2</stp>
        <stp>EndRow</stp>
        <stp>2</stp>
        <tr r="N47" s="17"/>
      </tp>
      <tp t="s">
        <v>#N/A N/A</v>
        <stp/>
        <stp>##V3_BDSV12</stp>
        <stp>SYK US Equity</stp>
        <stp>PG_REVENUE</stp>
        <stp>[Fundamental &amp; Technical Model (1).xlsm]Segments!R26C10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26" s="17"/>
      </tp>
      <tp>
        <v>20.695138573375736</v>
        <stp/>
        <stp>##V3_BQLV12</stp>
        <stp>[Fundamental &amp; Technical Model (1).xlsm]Ratios!R50C8</stp>
        <stp>SYK US Equity</stp>
        <stp>NON_CUR_LIAB_TO_TOT_ASSET</stp>
        <stp>FPT</stp>
        <stp>A</stp>
        <stp>FPO</stp>
        <stp>-6A</stp>
        <stp>STD</stp>
        <stp>Mixed</stp>
        <stp>CONSOL</stp>
        <stp>Yes</stp>
        <tr r="H50" s="8"/>
      </tp>
      <tp t="e">
        <v>#N/A</v>
        <stp/>
        <stp>##V3_BDHV12</stp>
        <stp>SYK US Equity</stp>
        <stp>HIGH_EV_TO_T12M_EBIT</stp>
        <stp>-3FY</stp>
        <stp>-3FY</stp>
        <stp>[Fundamental &amp; Technical Model (1).xlsm]Multiples!R29C10</stp>
        <stp>EQY_CONSOLIDATED</stp>
        <stp>Yes</stp>
        <stp>ACCOUNTING_STANDARD_OVERRIDE</stp>
        <stp>Mixed</stp>
        <stp>Per</stp>
        <stp>FY</stp>
        <stp>Days=A</stp>
        <tr r="J29" s="16"/>
        <tr r="J29" s="16"/>
      </tp>
      <tp t="e">
        <v>#N/A</v>
        <stp/>
        <stp>##V3_BDHV12</stp>
        <stp>SYK US Equity</stp>
        <stp>HIGH_EV_TO_T12M_EBIT</stp>
        <stp>-2FY</stp>
        <stp>-2FY</stp>
        <stp>[Fundamental &amp; Technical Model (1).xlsm]Multiples!R29C11</stp>
        <stp>EQY_CONSOLIDATED</stp>
        <stp>Yes</stp>
        <stp>ACCOUNTING_STANDARD_OVERRIDE</stp>
        <stp>Mixed</stp>
        <stp>Per</stp>
        <stp>FY</stp>
        <stp>Days=A</stp>
        <tr r="K29" s="16"/>
        <tr r="K29" s="16"/>
      </tp>
      <tp t="e">
        <v>#N/A</v>
        <stp/>
        <stp>##V3_BDHV12</stp>
        <stp>SYK US Equity</stp>
        <stp>HIGH_EV_TO_T12M_EBIT</stp>
        <stp>-1FY</stp>
        <stp>-1FY</stp>
        <stp>[Fundamental &amp; Technical Model (1).xlsm]Multiples!R29C12</stp>
        <stp>EQY_CONSOLIDATED</stp>
        <stp>Yes</stp>
        <stp>ACCOUNTING_STANDARD_OVERRIDE</stp>
        <stp>Mixed</stp>
        <stp>Per</stp>
        <stp>FY</stp>
        <stp>Days=A</stp>
        <tr r="L29" s="16"/>
        <tr r="L29" s="16"/>
      </tp>
      <tp t="e">
        <v>#N/A</v>
        <stp/>
        <stp>##V3_BDHV12</stp>
        <stp>SYK US Equity</stp>
        <stp>HIGH_EV_TO_T12M_EBIT</stp>
        <stp>-0FY</stp>
        <stp>-0FY</stp>
        <stp>[Fundamental &amp; Technical Model (1).xlsm]Multiples!R29C13</stp>
        <stp>EQY_CONSOLIDATED</stp>
        <stp>Yes</stp>
        <stp>ACCOUNTING_STANDARD_OVERRIDE</stp>
        <stp>Mixed</stp>
        <stp>Per</stp>
        <stp>FY</stp>
        <stp>Days=A</stp>
        <tr r="M29" s="16"/>
        <tr r="M29" s="16"/>
      </tp>
      <tp>
        <v>2542</v>
        <stp/>
        <stp>##V3_BQLV12</stp>
        <stp>[Fundamental &amp; Technical Model (1).xlsm]Balance Sheet!R17C13</stp>
        <stp>SYK US Equity</stp>
        <stp>BS_CASH_NEAR_CASH_ITEM/10^6</stp>
        <stp>FPT</stp>
        <stp>A</stp>
        <stp>FPO</stp>
        <stp>-1A</stp>
        <stp>STD</stp>
        <stp>Mixed</stp>
        <stp>CONSOL</stp>
        <stp>Yes</stp>
        <stp>CURRENCY</stp>
        <stp>USD</stp>
        <tr r="M17" s="3"/>
      </tp>
      <tp>
        <v>8433</v>
        <stp/>
        <stp>##V3_BQLV12</stp>
        <stp>[Fundamental &amp; Technical Model (1).xlsm]Balance Sheet!R57C13</stp>
        <stp>SYK US Equity</stp>
        <stp>BS_RETAIN_EARN/10^6</stp>
        <stp>FPT</stp>
        <stp>A</stp>
        <stp>FPO</stp>
        <stp>-1A</stp>
        <stp>STD</stp>
        <stp>Mixed</stp>
        <stp>CONSOL</stp>
        <stp>Yes</stp>
        <stp>CURRENCY</stp>
        <stp>USD</stp>
        <tr r="M57" s="3"/>
      </tp>
      <tp>
        <v>2030</v>
        <stp/>
        <stp>##V3_BQLV12</stp>
        <stp>[Fundamental &amp; Technical Model (1).xlsm]Balance Sheet!R23C12</stp>
        <stp>SYK US Equity</stp>
        <stp>BS_INVENTORIES/10^6</stp>
        <stp>FPT</stp>
        <stp>A</stp>
        <stp>FPO</stp>
        <stp>-2A</stp>
        <stp>STD</stp>
        <stp>Mixed</stp>
        <stp>CONSOL</stp>
        <stp>Yes</stp>
        <stp>CURRENCY</stp>
        <stp>USD</stp>
        <tr r="L23" s="3"/>
      </tp>
      <tp>
        <v>19.205298013245034</v>
        <stp/>
        <stp>##V3_BQLV12</stp>
        <stp>[Fundamental &amp; Technical Model (1).xlsm]Ratios!R25C12</stp>
        <stp>SYK US Equity</stp>
        <stp>OPER_INC_TO_NET_SALES</stp>
        <stp>FPT</stp>
        <stp>A</stp>
        <stp>FPO</stp>
        <stp>-2A</stp>
        <stp>STD</stp>
        <stp>Mixed</stp>
        <stp>CONSOL</stp>
        <stp>Yes</stp>
        <tr r="L25" s="8"/>
      </tp>
      <tp t="s">
        <v>12/31/2010</v>
        <stp/>
        <stp>##V3_BDPV12</stp>
        <stp>SYK US Equity</stp>
        <stp>LATEST_PERIOD_END_DT_FULL_RECORD</stp>
        <stp>[Fundamental &amp; Technical Model (1).xlsm]Segments!R15C6</stp>
        <stp>EQY_FUND_RELATIVE_PERIOD</stp>
        <stp>-8FY</stp>
        <stp>EQY_CONSOLIDATED</stp>
        <stp>Yes</stp>
        <tr r="F15" s="17"/>
        <tr r="F15" s="17"/>
      </tp>
      <tp t="s">
        <v>12/31/2012</v>
        <stp/>
        <stp>##V3_BDPV12</stp>
        <stp>SYK US Equity</stp>
        <stp>LATEST_PERIOD_END_DT_FULL_RECORD</stp>
        <stp>[Fundamental &amp; Technical Model (1).xlsm]Segments!R15C8</stp>
        <stp>EQY_FUND_RELATIVE_PERIOD</stp>
        <stp>-6FY</stp>
        <stp>EQY_CONSOLIDATED</stp>
        <stp>Yes</stp>
        <tr r="H15" s="17"/>
        <tr r="H15" s="17"/>
      </tp>
      <tp t="s">
        <v>12/31/2009</v>
        <stp/>
        <stp>##V3_BDPV12</stp>
        <stp>SYK US Equity</stp>
        <stp>LATEST_PERIOD_END_DT_FULL_RECORD</stp>
        <stp>[Fundamental &amp; Technical Model (1).xlsm]Segments!R15C5</stp>
        <stp>EQY_FUND_RELATIVE_PERIOD</stp>
        <stp>-9FY</stp>
        <stp>EQY_CONSOLIDATED</stp>
        <stp>Yes</stp>
        <tr r="E15" s="17"/>
        <tr r="E15" s="17"/>
      </tp>
      <tp t="s">
        <v>12/31/2013</v>
        <stp/>
        <stp>##V3_BDPV12</stp>
        <stp>SYK US Equity</stp>
        <stp>LATEST_PERIOD_END_DT_FULL_RECORD</stp>
        <stp>[Fundamental &amp; Technical Model (1).xlsm]Segments!R15C9</stp>
        <stp>EQY_FUND_RELATIVE_PERIOD</stp>
        <stp>-5FY</stp>
        <stp>EQY_CONSOLIDATED</stp>
        <stp>Yes</stp>
        <tr r="I15" s="17"/>
        <tr r="I15" s="17"/>
      </tp>
      <tp t="s">
        <v>12/31/2011</v>
        <stp/>
        <stp>##V3_BDPV12</stp>
        <stp>SYK US Equity</stp>
        <stp>LATEST_PERIOD_END_DT_FULL_RECORD</stp>
        <stp>[Fundamental &amp; Technical Model (1).xlsm]Segments!R15C7</stp>
        <stp>EQY_FUND_RELATIVE_PERIOD</stp>
        <stp>-7FY</stp>
        <stp>EQY_CONSOLIDATED</stp>
        <stp>Yes</stp>
        <tr r="G15" s="17"/>
        <tr r="G15" s="17"/>
      </tp>
      <tp>
        <v>3403.8</v>
        <stp/>
        <stp>##V3_BDPV12</stp>
        <stp>DHR Equity</stp>
        <stp>EBIT</stp>
        <stp>[Fundamental &amp; Technical Model (1).xlsm]Public Comparables!R9C12</stp>
        <tr r="L9" s="24"/>
      </tp>
      <tp t="s">
        <v>#N/A N/A</v>
        <stp/>
        <stp>##V3_BDSV12</stp>
        <stp>SYK US Equity</stp>
        <stp>PG_OPERATING_INCOME</stp>
        <stp>[Fundamental &amp; Technical Model (1).xlsm]Segments!R98C12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98" s="17"/>
      </tp>
      <tp t="s">
        <v>#N/A N/A</v>
        <stp/>
        <stp>##V3_BDSV12</stp>
        <stp>SYK US Equity</stp>
        <stp>PG_OPERATING_INCOME</stp>
        <stp>[Fundamental &amp; Technical Model (1).xlsm]Segments!R84C12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84" s="17"/>
      </tp>
      <tp>
        <v>159.66754155730533</v>
        <stp/>
        <stp>##V3_BQLV12</stp>
        <stp>[Fundamental &amp; Technical Model (1).xlsm]Ratios!R41C6</stp>
        <stp>SYK US Equity</stp>
        <stp>INVENT_DAYS</stp>
        <stp>FPT</stp>
        <stp>A</stp>
        <stp>FPO</stp>
        <stp>-8A</stp>
        <stp>STD</stp>
        <stp>Mixed</stp>
        <stp>CONSOL</stp>
        <stp>Yes</stp>
        <tr r="F41" s="8"/>
      </tp>
      <tp t="s">
        <v>#N/A N/A</v>
        <stp/>
        <stp>##V3_BDSV12</stp>
        <stp>SYK US Equity</stp>
        <stp>PG_ASSETS</stp>
        <stp>[Fundamental &amp; Technical Model (1).xlsm]Segments!R127C5</stp>
        <stp>PG_HIERARCHY_LEVEL=1</stp>
        <stp>NUMBER_OF_PERIODS=-11</stp>
        <stp>REVERSE_PERIOD_ORDER=N</stp>
        <stp>PRODUCT_GEO_OVERRIDE=G</stp>
        <stp>FUND_PER</stp>
        <stp>Y</stp>
        <stp>ACCOUNTING_STANDARD_OVERRIDE</stp>
        <stp>Mixed</stp>
        <stp>EQY_CONSOLIDATED</stp>
        <stp>Yes</stp>
        <stp>EQY_FUND_CRNCY</stp>
        <stp>USD</stp>
        <stp>StartCol</stp>
        <stp>12</stp>
        <stp>EndCol</stp>
        <stp>12</stp>
        <stp>StartRow</stp>
        <stp>10</stp>
        <stp>EndRow</stp>
        <stp>10</stp>
        <tr r="E127" s="17"/>
      </tp>
      <tp>
        <v>3.9880552705317149</v>
        <stp/>
        <stp>##V3_BQLV12</stp>
        <stp>[Fundamental &amp; Technical Model (1).xlsm]Key Stats!R57C8</stp>
        <stp>SYK US Equity</stp>
        <stp>PX_TO_BOOK_RATIO</stp>
        <stp>FPT=A</stp>
        <stp>FPO=3</stp>
        <stp>STD</stp>
        <stp>Mixed</stp>
        <stp>CONSOL</stp>
        <stp>Yes</stp>
        <stp>CURRENCY</stp>
        <stp>USD</stp>
        <tr r="H57" s="23"/>
      </tp>
      <tp>
        <v>1265</v>
        <stp/>
        <stp>##V3_BQLV12</stp>
        <stp>[Fundamental &amp; Technical Model (1).xlsm]Balance Sheet!R23C8</stp>
        <stp>SYK US Equity</stp>
        <stp>BS_INVENTORIES/10^6</stp>
        <stp>FPT</stp>
        <stp>A</stp>
        <stp>FPO</stp>
        <stp>-6A</stp>
        <stp>STD</stp>
        <stp>Mixed</stp>
        <stp>CONSOL</stp>
        <stp>Yes</stp>
        <stp>CURRENCY</stp>
        <stp>USD</stp>
        <tr r="H23" s="3"/>
      </tp>
      <tp t="e">
        <v>#N/A</v>
        <stp/>
        <stp>##V3_BDHV12</stp>
        <stp>SYK US Equity</stp>
        <stp>HIGH_PRICE_TO_TANGIBLE_BPS</stp>
        <stp>-6FY</stp>
        <stp>-6FY</stp>
        <stp>[Fundamental &amp; Technical Model (1).xlsm]Multiples!R47C7</stp>
        <stp>EQY_CONSOLIDATED</stp>
        <stp>Yes</stp>
        <stp>ACCOUNTING_STANDARD_OVERRIDE</stp>
        <stp>Mixed</stp>
        <stp>Per</stp>
        <stp>FY</stp>
        <stp>Days=A</stp>
        <tr r="G47" s="16"/>
        <tr r="G47" s="16"/>
      </tp>
      <tp>
        <v>68.770491803278688</v>
        <stp/>
        <stp>##V3_BQLV12</stp>
        <stp>[Fundamental &amp; Technical Model (1).xlsm]Ratios!R21C6</stp>
        <stp>SYK US Equity</stp>
        <stp>GROSS_MARGIN</stp>
        <stp>FPT</stp>
        <stp>A</stp>
        <stp>FPO</stp>
        <stp>-8A</stp>
        <stp>STD</stp>
        <stp>Mixed</stp>
        <stp>CONSOL</stp>
        <stp>Yes</stp>
        <tr r="F21" s="8"/>
      </tp>
      <tp>
        <v>67.875707519926067</v>
        <stp/>
        <stp>##V3_BQLV12</stp>
        <stp>[Fundamental &amp; Technical Model (1).xlsm]Ratios!R21C8</stp>
        <stp>SYK US Equity</stp>
        <stp>GROSS_MARGIN</stp>
        <stp>FPT</stp>
        <stp>A</stp>
        <stp>FPO</stp>
        <stp>-6A</stp>
        <stp>STD</stp>
        <stp>Mixed</stp>
        <stp>CONSOL</stp>
        <stp>Yes</stp>
        <tr r="H21" s="8"/>
      </tp>
      <tp t="s">
        <v>#N/A N/A</v>
        <stp/>
        <stp>##V3_BDSV12</stp>
        <stp>SYK US Equity</stp>
        <stp>PG_REVENUE</stp>
        <stp>[Fundamental &amp; Technical Model (1).xlsm]Segments!R40C13</stp>
        <stp>PG_HIERARCHY_LEVEL=1</stp>
        <stp>NUMBER_OF_PERIODS=-11</stp>
        <stp>REVERSE_PERIOD_ORDER=N</stp>
        <stp>PRODUCT_GEO_OVERRIDE=G</stp>
        <stp>FUND_PER</stp>
        <stp>Y</stp>
        <stp>ACCOUNTING_STANDARD_OVERRIDE</stp>
        <stp>Mixed</stp>
        <stp>EQY_CONSOLIDATED</stp>
        <stp>Yes</stp>
        <stp>EQY_FUND_CRNCY</stp>
        <stp>USD</stp>
        <stp>StartCol</stp>
        <stp>4</stp>
        <stp>EndCol</stp>
        <stp>4</stp>
        <stp>StartRow</stp>
        <stp>10</stp>
        <stp>EndRow</stp>
        <stp>10</stp>
        <tr r="M40" s="17"/>
      </tp>
      <tp>
        <v>7320</v>
        <stp/>
        <stp>##V3_BDPV12</stp>
        <stp>SYK US Equity</stp>
        <stp>SALES_REV_TURN</stp>
        <stp>[Fundamental &amp; Technical Model (1).xlsm]Segments!R16C6</stp>
        <stp>EQY_FUND_RELATIVE_PERIOD</stp>
        <stp>-8FY</stp>
        <stp>ACCOUNTING_STANDARD_OVERRIDE</stp>
        <stp>Mixed</stp>
        <stp>EQY_CONSOLIDATED</stp>
        <stp>Yes</stp>
        <stp>EQY_FUND_CRNCY</stp>
        <stp>USD</stp>
        <stp>Fill=B</stp>
        <tr r="F16" s="17"/>
      </tp>
      <tp>
        <v>8657</v>
        <stp/>
        <stp>##V3_BDPV12</stp>
        <stp>SYK US Equity</stp>
        <stp>SALES_REV_TURN</stp>
        <stp>[Fundamental &amp; Technical Model (1).xlsm]Segments!R16C8</stp>
        <stp>EQY_FUND_RELATIVE_PERIOD</stp>
        <stp>-6FY</stp>
        <stp>ACCOUNTING_STANDARD_OVERRIDE</stp>
        <stp>Mixed</stp>
        <stp>EQY_CONSOLIDATED</stp>
        <stp>Yes</stp>
        <stp>EQY_FUND_CRNCY</stp>
        <stp>USD</stp>
        <stp>Fill=B</stp>
        <tr r="H16" s="17"/>
      </tp>
      <tp>
        <v>6723</v>
        <stp/>
        <stp>##V3_BDPV12</stp>
        <stp>SYK US Equity</stp>
        <stp>SALES_REV_TURN</stp>
        <stp>[Fundamental &amp; Technical Model (1).xlsm]Segments!R16C5</stp>
        <stp>EQY_FUND_RELATIVE_PERIOD</stp>
        <stp>-9FY</stp>
        <stp>ACCOUNTING_STANDARD_OVERRIDE</stp>
        <stp>Mixed</stp>
        <stp>EQY_CONSOLIDATED</stp>
        <stp>Yes</stp>
        <stp>EQY_FUND_CRNCY</stp>
        <stp>USD</stp>
        <stp>Fill=B</stp>
        <tr r="E16" s="17"/>
      </tp>
      <tp>
        <v>9021</v>
        <stp/>
        <stp>##V3_BDPV12</stp>
        <stp>SYK US Equity</stp>
        <stp>SALES_REV_TURN</stp>
        <stp>[Fundamental &amp; Technical Model (1).xlsm]Segments!R16C9</stp>
        <stp>EQY_FUND_RELATIVE_PERIOD</stp>
        <stp>-5FY</stp>
        <stp>ACCOUNTING_STANDARD_OVERRIDE</stp>
        <stp>Mixed</stp>
        <stp>EQY_CONSOLIDATED</stp>
        <stp>Yes</stp>
        <stp>EQY_FUND_CRNCY</stp>
        <stp>USD</stp>
        <stp>Fill=B</stp>
        <tr r="I16" s="17"/>
      </tp>
      <tp>
        <v>8307</v>
        <stp/>
        <stp>##V3_BDPV12</stp>
        <stp>SYK US Equity</stp>
        <stp>SALES_REV_TURN</stp>
        <stp>[Fundamental &amp; Technical Model (1).xlsm]Segments!R16C7</stp>
        <stp>EQY_FUND_RELATIVE_PERIOD</stp>
        <stp>-7FY</stp>
        <stp>ACCOUNTING_STANDARD_OVERRIDE</stp>
        <stp>Mixed</stp>
        <stp>EQY_CONSOLIDATED</stp>
        <stp>Yes</stp>
        <stp>EQY_FUND_CRNCY</stp>
        <stp>USD</stp>
        <stp>Fill=B</stp>
        <tr r="G16" s="17"/>
      </tp>
      <tp t="s">
        <v>#N/A N/A</v>
        <stp/>
        <stp>##V3_BDSV12</stp>
        <stp>SYK US Equity</stp>
        <stp>PG_REVENUE</stp>
        <stp>[Fundamental &amp; Technical Model (1).xlsm]Segments!R26C13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10</stp>
        <stp>EndRow</stp>
        <stp>10</stp>
        <tr r="M26" s="17"/>
      </tp>
      <tp t="s">
        <v>2014 A</v>
        <stp/>
        <stp>##V3_BQLV12</stp>
        <stp>[Fundamental &amp; Technical Model (1).xlsm]Ratios!R12C10</stp>
        <stp>SYK US Equity</stp>
        <stp>IS_EPS().PERIOD</stp>
        <stp>FPT</stp>
        <stp>A</stp>
        <stp>FPO</stp>
        <stp>-4A</stp>
        <stp>STD</stp>
        <stp>Mixed</stp>
        <stp>CONSOL</stp>
        <stp>Yes</stp>
        <tr r="J12" s="8"/>
      </tp>
      <tp>
        <v>25.655847043130279</v>
        <stp/>
        <stp>##V3_BQLV12</stp>
        <stp>[Fundamental &amp; Technical Model (1).xlsm]Ratios!R50C9</stp>
        <stp>SYK US Equity</stp>
        <stp>NON_CUR_LIAB_TO_TOT_ASSET</stp>
        <stp>FPT</stp>
        <stp>A</stp>
        <stp>FPO</stp>
        <stp>-5A</stp>
        <stp>STD</stp>
        <stp>Mixed</stp>
        <stp>CONSOL</stp>
        <stp>Yes</stp>
        <tr r="I50" s="8"/>
      </tp>
      <tp t="s">
        <v>#N/A N/A</v>
        <stp/>
        <stp>##V3_BDSV12</stp>
        <stp>SYK US Equity</stp>
        <stp>PG_GROSS_PROFIT</stp>
        <stp>[Fundamental &amp; Technical Model (1).xlsm]Segments!R54C11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9</stp>
        <stp>EndRow</stp>
        <stp>9</stp>
        <tr r="K54" s="17"/>
      </tp>
      <tp t="s">
        <v>#N/A N/A</v>
        <stp/>
        <stp>##V3_BDSV12</stp>
        <stp>SYK US Equity</stp>
        <stp>PG_GROSS_PROFIT</stp>
        <stp>[Fundamental &amp; Technical Model (1).xlsm]Segments!R54C10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9</stp>
        <stp>EndRow</stp>
        <stp>9</stp>
        <tr r="J54" s="17"/>
      </tp>
      <tp t="s">
        <v>#N/A N/A</v>
        <stp/>
        <stp>##V3_BDSV12</stp>
        <stp>SYK US Equity</stp>
        <stp>PG_GROSS_PROFIT</stp>
        <stp>[Fundamental &amp; Technical Model (1).xlsm]Segments!R54C13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9</stp>
        <stp>EndRow</stp>
        <stp>9</stp>
        <tr r="M54" s="17"/>
      </tp>
      <tp t="s">
        <v>#N/A N/A</v>
        <stp/>
        <stp>##V3_BDSV12</stp>
        <stp>SYK US Equity</stp>
        <stp>PG_GROSS_PROFIT</stp>
        <stp>[Fundamental &amp; Technical Model (1).xlsm]Segments!R54C12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9</stp>
        <stp>EndRow</stp>
        <stp>9</stp>
        <tr r="L54" s="17"/>
      </tp>
      <tp t="s">
        <v>#N/A N/A</v>
        <stp/>
        <stp>##V3_BDSV12</stp>
        <stp>SYK US Equity</stp>
        <stp>PG_GROSS_PROFIT</stp>
        <stp>[Fundamental &amp; Technical Model (1).xlsm]Segments!R54C14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9</stp>
        <stp>EndRow</stp>
        <stp>9</stp>
        <tr r="N54" s="17"/>
      </tp>
      <tp>
        <v>1795</v>
        <stp/>
        <stp>##V3_BQLV12</stp>
        <stp>[Fundamental &amp; Technical Model (1).xlsm]Balance Sheet!R17C10</stp>
        <stp>SYK US Equity</stp>
        <stp>BS_CASH_NEAR_CASH_ITEM/10^6</stp>
        <stp>FPT</stp>
        <stp>A</stp>
        <stp>FPO</stp>
        <stp>-4A</stp>
        <stp>STD</stp>
        <stp>Mixed</stp>
        <stp>CONSOL</stp>
        <stp>Yes</stp>
        <stp>CURRENCY</stp>
        <stp>USD</stp>
        <tr r="J17" s="3"/>
      </tp>
      <tp>
        <v>7305</v>
        <stp/>
        <stp>##V3_BQLV12</stp>
        <stp>[Fundamental &amp; Technical Model (1).xlsm]Balance Sheet!R57C10</stp>
        <stp>SYK US Equity</stp>
        <stp>BS_RETAIN_EARN/10^6</stp>
        <stp>FPT</stp>
        <stp>A</stp>
        <stp>FPO</stp>
        <stp>-4A</stp>
        <stp>STD</stp>
        <stp>Mixed</stp>
        <stp>CONSOL</stp>
        <stp>Yes</stp>
        <stp>CURRENCY</stp>
        <stp>USD</stp>
        <tr r="J57" s="3"/>
      </tp>
      <tp>
        <v>1639</v>
        <stp/>
        <stp>##V3_BQLV12</stp>
        <stp>[Fundamental &amp; Technical Model (1).xlsm]Balance Sheet!R23C11</stp>
        <stp>SYK US Equity</stp>
        <stp>BS_INVENTORIES/10^6</stp>
        <stp>FPT</stp>
        <stp>A</stp>
        <stp>FPO</stp>
        <stp>-3A</stp>
        <stp>STD</stp>
        <stp>Mixed</stp>
        <stp>CONSOL</stp>
        <stp>Yes</stp>
        <stp>CURRENCY</stp>
        <stp>USD</stp>
        <tr r="K23" s="3"/>
      </tp>
      <tp t="s">
        <v>#N/A N/A</v>
        <stp/>
        <stp>##V3_BDSV12</stp>
        <stp>SYK US Equity</stp>
        <stp>PG_GROSS_PROFIT</stp>
        <stp>[Fundamental &amp; Technical Model (1).xlsm]Segments!R69C9</stp>
        <stp>PG_HIERARCHY_LEVEL=1</stp>
        <stp>NUMBER_OF_PERIODS=-11</stp>
        <stp>REVERSE_PERIOD_ORDER=N</stp>
        <stp>PRODUCT_GEO_OVERRIDE=G</stp>
        <stp>FUND_PER</stp>
        <stp>Y</stp>
        <stp>ACCOUNTING_STANDARD_OVERRIDE</stp>
        <stp>Mixed</stp>
        <stp>EQY_CONSOLIDATED</stp>
        <stp>Yes</stp>
        <stp>EQY_FUND_CRNCY</stp>
        <stp>USD</stp>
        <stp>StartCol</stp>
        <stp>8</stp>
        <stp>EndCol</stp>
        <stp>8</stp>
        <stp>StartRow</stp>
        <stp>10</stp>
        <stp>EndRow</stp>
        <stp>10</stp>
        <tr r="I69" s="17"/>
      </tp>
      <tp t="s">
        <v>#N/A N/A</v>
        <stp/>
        <stp>##V3_BDSV12</stp>
        <stp>SYK US Equity</stp>
        <stp>PG_GROSS_PROFIT</stp>
        <stp>[Fundamental &amp; Technical Model (1).xlsm]Segments!R55C9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10</stp>
        <stp>EndRow</stp>
        <stp>10</stp>
        <tr r="I55" s="17"/>
      </tp>
      <tp>
        <v>18.458694953391191</v>
        <stp/>
        <stp>##V3_BQLV12</stp>
        <stp>[Fundamental &amp; Technical Model (1).xlsm]Ratios!R25C13</stp>
        <stp>SYK US Equity</stp>
        <stp>OPER_INC_TO_NET_SALES</stp>
        <stp>FPT</stp>
        <stp>A</stp>
        <stp>FPO</stp>
        <stp>-1A</stp>
        <stp>STD</stp>
        <stp>Mixed</stp>
        <stp>CONSOL</stp>
        <stp>Yes</stp>
        <tr r="M25" s="8"/>
      </tp>
      <tp>
        <v>387.6</v>
        <stp/>
        <stp>##V3_BQLV12</stp>
        <stp>[Fundamental &amp; Technical Model (1).xlsm]Cash Flow!R16C4</stp>
        <stp>SYK US Equity</stp>
        <stp>CF_DEPR_AMORT/10^6</stp>
        <stp>FPT</stp>
        <stp>A</stp>
        <stp>FPO</stp>
        <stp>-10A</stp>
        <stp>STD</stp>
        <stp>Mixed</stp>
        <stp>CONSOL</stp>
        <stp>Yes</stp>
        <stp>CURRENCY</stp>
        <stp>USD</stp>
        <tr r="D16" s="4"/>
      </tp>
      <tp t="s">
        <v>12/31/2010</v>
        <stp/>
        <stp>##V3_BDPV12</stp>
        <stp>SYK US Equity</stp>
        <stp>LATEST_PERIOD_END_DT_FULL_RECORD</stp>
        <stp>[Fundamental &amp; Technical Model (1).xlsm]Segments!R29C6</stp>
        <stp>EQY_FUND_RELATIVE_PERIOD</stp>
        <stp>-8FY</stp>
        <stp>EQY_CONSOLIDATED</stp>
        <stp>Yes</stp>
        <tr r="F29" s="17"/>
        <tr r="F29" s="17"/>
      </tp>
      <tp t="s">
        <v>12/31/2012</v>
        <stp/>
        <stp>##V3_BDPV12</stp>
        <stp>SYK US Equity</stp>
        <stp>LATEST_PERIOD_END_DT_FULL_RECORD</stp>
        <stp>[Fundamental &amp; Technical Model (1).xlsm]Segments!R29C8</stp>
        <stp>EQY_FUND_RELATIVE_PERIOD</stp>
        <stp>-6FY</stp>
        <stp>EQY_CONSOLIDATED</stp>
        <stp>Yes</stp>
        <tr r="H29" s="17"/>
        <tr r="H29" s="17"/>
      </tp>
      <tp t="s">
        <v>12/31/2009</v>
        <stp/>
        <stp>##V3_BDPV12</stp>
        <stp>SYK US Equity</stp>
        <stp>LATEST_PERIOD_END_DT_FULL_RECORD</stp>
        <stp>[Fundamental &amp; Technical Model (1).xlsm]Segments!R29C5</stp>
        <stp>EQY_FUND_RELATIVE_PERIOD</stp>
        <stp>-9FY</stp>
        <stp>EQY_CONSOLIDATED</stp>
        <stp>Yes</stp>
        <tr r="E29" s="17"/>
        <tr r="E29" s="17"/>
      </tp>
      <tp t="s">
        <v>12/31/2013</v>
        <stp/>
        <stp>##V3_BDPV12</stp>
        <stp>SYK US Equity</stp>
        <stp>LATEST_PERIOD_END_DT_FULL_RECORD</stp>
        <stp>[Fundamental &amp; Technical Model (1).xlsm]Segments!R29C9</stp>
        <stp>EQY_FUND_RELATIVE_PERIOD</stp>
        <stp>-5FY</stp>
        <stp>EQY_CONSOLIDATED</stp>
        <stp>Yes</stp>
        <tr r="I29" s="17"/>
        <tr r="I29" s="17"/>
      </tp>
      <tp t="s">
        <v>12/31/2011</v>
        <stp/>
        <stp>##V3_BDPV12</stp>
        <stp>SYK US Equity</stp>
        <stp>LATEST_PERIOD_END_DT_FULL_RECORD</stp>
        <stp>[Fundamental &amp; Technical Model (1).xlsm]Segments!R29C7</stp>
        <stp>EQY_FUND_RELATIVE_PERIOD</stp>
        <stp>-7FY</stp>
        <stp>EQY_CONSOLIDATED</stp>
        <stp>Yes</stp>
        <tr r="G29" s="17"/>
        <tr r="G29" s="17"/>
      </tp>
      <tp t="s">
        <v>#N/A N/A</v>
        <stp/>
        <stp>##V3_BDSV12</stp>
        <stp>SYK US Equity</stp>
        <stp>PG_OPERATING_INCOME</stp>
        <stp>[Fundamental &amp; Technical Model (1).xlsm]Segments!R84C11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10</stp>
        <stp>EndRow</stp>
        <stp>10</stp>
        <tr r="K84" s="17"/>
      </tp>
      <tp t="s">
        <v>--</v>
        <stp/>
        <stp>##V3_BDPV12</stp>
        <stp>SYK US Equity</stp>
        <stp>IS_STOCK_OPT_EXPENSE_AFTER_TAX</stp>
        <stp>[Fundamental &amp; Technical Model (1).xlsm]Supplemental!R34C10</stp>
        <stp>EQY_FUND_RELATIVE_PERIOD</stp>
        <stp>-3FY</stp>
        <stp>EQY_FUND_CRNCY</stp>
        <stp>USD</stp>
        <stp>EQY_CONSOLIDATED</stp>
        <stp>Yes</stp>
        <stp>ACCOUNTING_STANDARD_OVERRIDE</stp>
        <stp>Mixed</stp>
        <stp>Fill=--</stp>
        <tr r="J34" s="19"/>
      </tp>
      <tp t="s">
        <v>--</v>
        <stp/>
        <stp>##V3_BDPV12</stp>
        <stp>SYK US Equity</stp>
        <stp>IS_STOCK_OPT_EXPENSE_AFTER_TAX</stp>
        <stp>[Fundamental &amp; Technical Model (1).xlsm]Supplemental!R34C11</stp>
        <stp>EQY_FUND_RELATIVE_PERIOD</stp>
        <stp>-2FY</stp>
        <stp>EQY_FUND_CRNCY</stp>
        <stp>USD</stp>
        <stp>EQY_CONSOLIDATED</stp>
        <stp>Yes</stp>
        <stp>ACCOUNTING_STANDARD_OVERRIDE</stp>
        <stp>Mixed</stp>
        <stp>Fill=--</stp>
        <tr r="K34" s="19"/>
      </tp>
      <tp t="s">
        <v>--</v>
        <stp/>
        <stp>##V3_BDPV12</stp>
        <stp>SYK US Equity</stp>
        <stp>IS_STOCK_OPT_EXPENSE_AFTER_TAX</stp>
        <stp>[Fundamental &amp; Technical Model (1).xlsm]Supplemental!R34C12</stp>
        <stp>EQY_FUND_RELATIVE_PERIOD</stp>
        <stp>-1FY</stp>
        <stp>EQY_FUND_CRNCY</stp>
        <stp>USD</stp>
        <stp>EQY_CONSOLIDATED</stp>
        <stp>Yes</stp>
        <stp>ACCOUNTING_STANDARD_OVERRIDE</stp>
        <stp>Mixed</stp>
        <stp>Fill=--</stp>
        <tr r="L34" s="19"/>
      </tp>
      <tp t="s">
        <v>--</v>
        <stp/>
        <stp>##V3_BDPV12</stp>
        <stp>SYK US Equity</stp>
        <stp>IS_STOCK_OPT_EXPENSE_AFTER_TAX</stp>
        <stp>[Fundamental &amp; Technical Model (1).xlsm]Supplemental!R34C13</stp>
        <stp>EQY_FUND_RELATIVE_PERIOD</stp>
        <stp>-0FY</stp>
        <stp>EQY_FUND_CRNCY</stp>
        <stp>USD</stp>
        <stp>EQY_CONSOLIDATED</stp>
        <stp>Yes</stp>
        <stp>ACCOUNTING_STANDARD_OVERRIDE</stp>
        <stp>Mixed</stp>
        <stp>Fill=--</stp>
        <tr r="M34" s="19"/>
      </tp>
      <tp t="s">
        <v>#N/A N/A</v>
        <stp/>
        <stp>##V3_BDSV12</stp>
        <stp>SYK US Equity</stp>
        <stp>PG_OPERATING_INCOME</stp>
        <stp>[Fundamental &amp; Technical Model (1).xlsm]Segments!R98C11</stp>
        <stp>PG_HIERARCHY_LEVEL=1</stp>
        <stp>NUMBER_OF_PERIODS=-11</stp>
        <stp>REVERSE_PERIOD_ORDER=N</stp>
        <stp>PRODUCT_GEO_OVERRIDE=G</stp>
        <stp>FUND_PER</stp>
        <stp>Y</stp>
        <stp>ACCOUNTING_STANDARD_OVERRIDE</stp>
        <stp>Mixed</stp>
        <stp>EQY_CONSOLIDATED</stp>
        <stp>Yes</stp>
        <stp>EQY_FUND_CRNCY</stp>
        <stp>USD</stp>
        <stp>StartCol</stp>
        <stp>6</stp>
        <stp>EndCol</stp>
        <stp>6</stp>
        <stp>StartRow</stp>
        <stp>10</stp>
        <stp>EndRow</stp>
        <stp>10</stp>
        <tr r="K98" s="17"/>
      </tp>
      <tp>
        <v>155.4</v>
        <stp/>
        <stp>##V3_BQLV12</stp>
        <stp>[Fundamental &amp; Technical Model (1).xlsm]Income Statement!R25C4</stp>
        <stp>SYK US Equity</stp>
        <stp>IS_DEPR_EXP/10^6</stp>
        <stp>FPT</stp>
        <stp>A</stp>
        <stp>FPO</stp>
        <stp>-10A</stp>
        <stp>STD</stp>
        <stp>Mixed</stp>
        <stp>CONSOL</stp>
        <stp>Yes</stp>
        <stp>CURRENCY</stp>
        <stp>USD</stp>
        <tr r="D25" s="2"/>
      </tp>
      <tp>
        <v>3.5090342679127726</v>
        <stp/>
        <stp>##V3_BQLV12</stp>
        <stp>[Fundamental &amp; Technical Model (1).xlsm]Ratios!R38C6</stp>
        <stp>SYK US Equity</stp>
        <stp>QUICK_RATIO</stp>
        <stp>FPT</stp>
        <stp>A</stp>
        <stp>FPO</stp>
        <stp>-8A</stp>
        <stp>STD</stp>
        <stp>Mixed</stp>
        <stp>CONSOL</stp>
        <stp>Yes</stp>
        <tr r="F38" s="8"/>
      </tp>
      <tp t="s">
        <v>#N/A N/A</v>
        <stp/>
        <stp>##V3_BDSV12</stp>
        <stp>SYK US Equity</stp>
        <stp>PG_ASSETS</stp>
        <stp>[Fundamental &amp; Technical Model (1).xlsm]Segments!R127C6</stp>
        <stp>PG_HIERARCHY_LEVEL=1</stp>
        <stp>NUMBER_OF_PERIODS=-11</stp>
        <stp>REVERSE_PERIOD_ORDER=N</stp>
        <stp>PRODUCT_GEO_OVERRIDE=G</stp>
        <stp>FUND_PER</stp>
        <stp>Y</stp>
        <stp>ACCOUNTING_STANDARD_OVERRIDE</stp>
        <stp>Mixed</stp>
        <stp>EQY_CONSOLIDATED</stp>
        <stp>Yes</stp>
        <stp>EQY_FUND_CRNCY</stp>
        <stp>USD</stp>
        <stp>StartCol</stp>
        <stp>11</stp>
        <stp>EndCol</stp>
        <stp>11</stp>
        <stp>StartRow</stp>
        <stp>10</stp>
        <stp>EndRow</stp>
        <stp>10</stp>
        <tr r="F127" s="17"/>
      </tp>
      <tp t="e">
        <v>#N/A</v>
        <stp/>
        <stp>##V3_BDHV12</stp>
        <stp>SYK US Equity</stp>
        <stp>AVERAGE_EV_TO_T12M_EBIT</stp>
        <stp>-1FY</stp>
        <stp>-1FY</stp>
        <stp>[Fundamental &amp; Technical Model (1).xlsm]Multiples!R28C12</stp>
        <stp>EQY_CONSOLIDATED</stp>
        <stp>Yes</stp>
        <stp>ACCOUNTING_STANDARD_OVERRIDE</stp>
        <stp>Mixed</stp>
        <stp>Per</stp>
        <stp>FY</stp>
        <stp>Days=A</stp>
        <tr r="L28" s="16"/>
        <tr r="L28" s="16"/>
      </tp>
      <tp t="e">
        <v>#N/A</v>
        <stp/>
        <stp>##V3_BDHV12</stp>
        <stp>SYK US Equity</stp>
        <stp>AVERAGE_EV_TO_T12M_EBIT</stp>
        <stp>-0FY</stp>
        <stp>-0FY</stp>
        <stp>[Fundamental &amp; Technical Model (1).xlsm]Multiples!R28C13</stp>
        <stp>EQY_CONSOLIDATED</stp>
        <stp>Yes</stp>
        <stp>ACCOUNTING_STANDARD_OVERRIDE</stp>
        <stp>Mixed</stp>
        <stp>Per</stp>
        <stp>FY</stp>
        <stp>Days=A</stp>
        <tr r="M28" s="16"/>
        <tr r="M28" s="16"/>
      </tp>
      <tp t="e">
        <v>#N/A</v>
        <stp/>
        <stp>##V3_BDHV12</stp>
        <stp>SYK US Equity</stp>
        <stp>AVERAGE_EV_TO_T12M_EBIT</stp>
        <stp>-3FY</stp>
        <stp>-3FY</stp>
        <stp>[Fundamental &amp; Technical Model (1).xlsm]Multiples!R28C10</stp>
        <stp>EQY_CONSOLIDATED</stp>
        <stp>Yes</stp>
        <stp>ACCOUNTING_STANDARD_OVERRIDE</stp>
        <stp>Mixed</stp>
        <stp>Per</stp>
        <stp>FY</stp>
        <stp>Days=A</stp>
        <tr r="J28" s="16"/>
        <tr r="J28" s="16"/>
      </tp>
      <tp t="e">
        <v>#N/A</v>
        <stp/>
        <stp>##V3_BDHV12</stp>
        <stp>SYK US Equity</stp>
        <stp>AVERAGE_EV_TO_T12M_EBIT</stp>
        <stp>-2FY</stp>
        <stp>-2FY</stp>
        <stp>[Fundamental &amp; Technical Model (1).xlsm]Multiples!R28C11</stp>
        <stp>EQY_CONSOLIDATED</stp>
        <stp>Yes</stp>
        <stp>ACCOUNTING_STANDARD_OVERRIDE</stp>
        <stp>Mixed</stp>
        <stp>Per</stp>
        <stp>FY</stp>
        <stp>Days=A</stp>
        <tr r="K28" s="16"/>
        <tr r="K28" s="16"/>
      </tp>
      <tp>
        <v>43550</v>
        <stp/>
        <stp>##V3_BTH</stp>
        <stp>SYK US Equity</stp>
        <stp>PTPS</stp>
        <stp>3/26/2019</stp>
        <stp>4/25/2019</stp>
        <stp>[Fundamental &amp; Technical Model (1).xlsm]Technical Analysis Data!R76C7</stp>
        <stp>PTPS</stp>
        <stp>StartFactor=0.02</stp>
        <stp>AccelFactor=0.02</stp>
        <stp>MaxFactor=0.2</stp>
        <stp>DSHigh=PX_HIGH</stp>
        <stp>DSLow=PX_LOW</stp>
        <stp>Dir=H</stp>
        <stp>Dts=S</stp>
        <stp>cols=22;rows=2</stp>
        <tr r="G76" s="31"/>
      </tp>
      <tp>
        <v>22.954306691204678</v>
        <stp/>
        <stp>##V3_BQLV12</stp>
        <stp>[Fundamental &amp; Technical Model (1).xlsm]Key Stats!R60C5</stp>
        <stp>SYK US Equity</stp>
        <stp>PE_RATIO</stp>
        <stp>FPT=A</stp>
        <stp>FPO=1</stp>
        <stp>STD</stp>
        <stp>Mixed</stp>
        <stp>CONSOL</stp>
        <stp>Yes</stp>
        <stp>CURRENCY</stp>
        <stp>USD</stp>
        <tr r="E60" s="23"/>
      </tp>
      <tp>
        <v>4.5513632234835208</v>
        <stp/>
        <stp>##V3_BQLV12</stp>
        <stp>[Fundamental &amp; Technical Model (1).xlsm]Key Stats!R63C7</stp>
        <stp>SYK US Equity</stp>
        <stp>PX_TO_BOOK_RATIO</stp>
        <stp>FPT=A</stp>
        <stp>FPO=2</stp>
        <stp>STD</stp>
        <stp>Mixed</stp>
        <stp>CONSOL</stp>
        <stp>Yes</stp>
        <stp>CURRENCY</stp>
        <stp>USD</stp>
        <tr r="G63" s="23"/>
      </tp>
      <tp>
        <v>4.5509980971532284</v>
        <stp/>
        <stp>##V3_BQLV12</stp>
        <stp>[Fundamental &amp; Technical Model (1).xlsm]Key Stats!R57C7</stp>
        <stp>SYK US Equity</stp>
        <stp>PX_TO_BOOK_RATIO</stp>
        <stp>FPT=A</stp>
        <stp>FPO=2</stp>
        <stp>STD</stp>
        <stp>Mixed</stp>
        <stp>CONSOL</stp>
        <stp>Yes</stp>
        <stp>CURRENCY</stp>
        <stp>USD</stp>
        <tr r="G57" s="23"/>
      </tp>
      <tp>
        <v>1422</v>
        <stp/>
        <stp>##V3_BQLV12</stp>
        <stp>[Fundamental &amp; Technical Model (1).xlsm]Balance Sheet!R23C9</stp>
        <stp>SYK US Equity</stp>
        <stp>BS_INVENTORIES/10^6</stp>
        <stp>FPT</stp>
        <stp>A</stp>
        <stp>FPO</stp>
        <stp>-5A</stp>
        <stp>STD</stp>
        <stp>Mixed</stp>
        <stp>CONSOL</stp>
        <stp>Yes</stp>
        <stp>CURRENCY</stp>
        <stp>USD</stp>
        <tr r="I23" s="3"/>
      </tp>
      <tp>
        <v>2272.5</v>
        <stp/>
        <stp>##V3_BQLV12</stp>
        <stp>[Fundamental &amp; Technical Model (1).xlsm]Balance Sheet!R33C5</stp>
        <stp>SYK US Equity</stp>
        <stp>BS_OTHER_ASSETS_DEF_CHRG_OTHER/10^6</stp>
        <stp>FPT</stp>
        <stp>A</stp>
        <stp>FPO</stp>
        <stp>-9A</stp>
        <stp>STD</stp>
        <stp>Mixed</stp>
        <stp>CONSOL</stp>
        <stp>Yes</stp>
        <stp>CURRENCY</stp>
        <stp>USD</stp>
        <tr r="E33" s="3"/>
      </tp>
      <tp t="e">
        <v>#N/A</v>
        <stp/>
        <stp>##V3_BDHV12</stp>
        <stp>SYK US Equity</stp>
        <stp>HIGH_PRICE_TO_TANGIBLE_BPS</stp>
        <stp>-7FY</stp>
        <stp>-7FY</stp>
        <stp>[Fundamental &amp; Technical Model (1).xlsm]Multiples!R47C6</stp>
        <stp>EQY_CONSOLIDATED</stp>
        <stp>Yes</stp>
        <stp>ACCOUNTING_STANDARD_OVERRIDE</stp>
        <stp>Mixed</stp>
        <stp>Per</stp>
        <stp>FY</stp>
        <stp>Days=A</stp>
        <tr r="F47" s="16"/>
        <tr r="F47" s="16"/>
      </tp>
      <tp>
        <v>19893</v>
        <stp/>
        <stp>##V3_BDPV12</stp>
        <stp>DHR Equity</stp>
        <stp>sales_rev_turn</stp>
        <stp>[Fundamental &amp; Technical Model (1).xlsm]Public Comparables!R9C10</stp>
        <tr r="J9" s="24"/>
      </tp>
      <tp>
        <v>15983</v>
        <stp/>
        <stp>##V3_BDPV12</stp>
        <stp>BDX Equity</stp>
        <stp>sales_rev_turn</stp>
        <stp>[Fundamental &amp; Technical Model (1).xlsm]Public Comparables!R8C10</stp>
        <tr r="J8" s="24"/>
      </tp>
      <tp t="s">
        <v>#N/A N/A</v>
        <stp/>
        <stp>##V3_BDSV12</stp>
        <stp>SYK US Equity</stp>
        <stp>PG_REVENUE</stp>
        <stp>[Fundamental &amp; Technical Model (1).xlsm]Segments!R40C12</stp>
        <stp>PG_HIERARCHY_LEVEL=1</stp>
        <stp>NUMBER_OF_PERIODS=-11</stp>
        <stp>REVERSE_PERIOD_ORDER=N</stp>
        <stp>PRODUCT_GEO_OVERRIDE=G</stp>
        <stp>FUND_PER</stp>
        <stp>Y</stp>
        <stp>ACCOUNTING_STANDARD_OVERRIDE</stp>
        <stp>Mixed</stp>
        <stp>EQY_CONSOLIDATED</stp>
        <stp>Yes</stp>
        <stp>EQY_FUND_CRNCY</stp>
        <stp>USD</stp>
        <stp>StartCol</stp>
        <stp>5</stp>
        <stp>EndCol</stp>
        <stp>5</stp>
        <stp>StartRow</stp>
        <stp>10</stp>
        <stp>EndRow</stp>
        <stp>10</stp>
        <tr r="L40" s="17"/>
      </tp>
      <tp t="s">
        <v>#N/A N/A</v>
        <stp/>
        <stp>##V3_BDSV12</stp>
        <stp>SYK US Equity</stp>
        <stp>PG_REVENUE</stp>
        <stp>[Fundamental &amp; Technical Model (1).xlsm]Segments!R26C12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10</stp>
        <stp>EndRow</stp>
        <stp>10</stp>
        <tr r="L26" s="17"/>
      </tp>
      <tp>
        <v>13601</v>
        <stp/>
        <stp>##V3_BDPV12</stp>
        <stp>SYK Equity</stp>
        <stp>sales_rev_turn</stp>
        <stp>[Fundamental &amp; Technical Model (1).xlsm]Public Comparables!R7C10</stp>
        <tr r="J7" s="24"/>
      </tp>
      <tp>
        <v>3379</v>
        <stp/>
        <stp>##V3_BQLV12</stp>
        <stp>[Fundamental &amp; Technical Model (1).xlsm]Balance Sheet!R17C11</stp>
        <stp>SYK US Equity</stp>
        <stp>BS_CASH_NEAR_CASH_ITEM/10^6</stp>
        <stp>FPT</stp>
        <stp>A</stp>
        <stp>FPO</stp>
        <stp>-3A</stp>
        <stp>STD</stp>
        <stp>Mixed</stp>
        <stp>CONSOL</stp>
        <stp>Yes</stp>
        <stp>CURRENCY</stp>
        <stp>USD</stp>
        <tr r="K17" s="3"/>
      </tp>
      <tp>
        <v>7153</v>
        <stp/>
        <stp>##V3_BQLV12</stp>
        <stp>[Fundamental &amp; Technical Model (1).xlsm]Balance Sheet!R57C11</stp>
        <stp>SYK US Equity</stp>
        <stp>BS_RETAIN_EARN/10^6</stp>
        <stp>FPT</stp>
        <stp>A</stp>
        <stp>FPO</stp>
        <stp>-3A</stp>
        <stp>STD</stp>
        <stp>Mixed</stp>
        <stp>CONSOL</stp>
        <stp>Yes</stp>
        <stp>CURRENCY</stp>
        <stp>USD</stp>
        <tr r="K57" s="3"/>
      </tp>
      <tp>
        <v>1588</v>
        <stp/>
        <stp>##V3_BQLV12</stp>
        <stp>[Fundamental &amp; Technical Model (1).xlsm]Balance Sheet!R23C10</stp>
        <stp>SYK US Equity</stp>
        <stp>BS_INVENTORIES/10^6</stp>
        <stp>FPT</stp>
        <stp>A</stp>
        <stp>FPO</stp>
        <stp>-4A</stp>
        <stp>STD</stp>
        <stp>Mixed</stp>
        <stp>CONSOL</stp>
        <stp>Yes</stp>
        <stp>CURRENCY</stp>
        <stp>USD</stp>
        <tr r="J23" s="3"/>
      </tp>
      <tp>
        <v>18.653040217631055</v>
        <stp/>
        <stp>##V3_BQLV12</stp>
        <stp>[Fundamental &amp; Technical Model (1).xlsm]Ratios!R25C14</stp>
        <stp>SYK US Equity</stp>
        <stp>OPER_INC_TO_NET_SALES</stp>
        <stp>FPT</stp>
        <stp>A</stp>
        <stp>FPO</stp>
        <stp>-0A</stp>
        <stp>STD</stp>
        <stp>Mixed</stp>
        <stp>CONSOL</stp>
        <stp>Yes</stp>
        <tr r="N25" s="8"/>
      </tp>
      <tp t="s">
        <v>#N/A N/A</v>
        <stp/>
        <stp>##V3_BDSV12</stp>
        <stp>SYK US Equity</stp>
        <stp>PG_GROSS_PROFIT</stp>
        <stp>[Fundamental &amp; Technical Model (1).xlsm]Segments!R69C8</stp>
        <stp>PG_HIERARCHY_LEVEL=1</stp>
        <stp>NUMBER_OF_PERIODS=-11</stp>
        <stp>REVERSE_PERIOD_ORDER=N</stp>
        <stp>PRODUCT_GEO_OVERRIDE=G</stp>
        <stp>FUND_PER</stp>
        <stp>Y</stp>
        <stp>ACCOUNTING_STANDARD_OVERRIDE</stp>
        <stp>Mixed</stp>
        <stp>EQY_CONSOLIDATED</stp>
        <stp>Yes</stp>
        <stp>EQY_FUND_CRNCY</stp>
        <stp>USD</stp>
        <stp>StartCol</stp>
        <stp>9</stp>
        <stp>EndCol</stp>
        <stp>9</stp>
        <stp>StartRow</stp>
        <stp>10</stp>
        <stp>EndRow</stp>
        <stp>10</stp>
        <tr r="H69" s="17"/>
      </tp>
      <tp t="s">
        <v>#N/A N/A</v>
        <stp/>
        <stp>##V3_BDSV12</stp>
        <stp>SYK US Equity</stp>
        <stp>PG_GROSS_PROFIT</stp>
        <stp>[Fundamental &amp; Technical Model (1).xlsm]Segments!R55C8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10</stp>
        <stp>EndRow</stp>
        <stp>10</stp>
        <tr r="H55" s="17"/>
      </tp>
      <tp>
        <v>432.4</v>
        <stp/>
        <stp>##V3_BQLV12</stp>
        <stp>[Fundamental &amp; Technical Model (1).xlsm]Income Statement!R46C4</stp>
        <stp>SYK US Equity</stp>
        <stp>IS_INC_TAX_EXP/10^6</stp>
        <stp>FPT</stp>
        <stp>A</stp>
        <stp>FPO</stp>
        <stp>-10A</stp>
        <stp>STD</stp>
        <stp>Mixed</stp>
        <stp>CONSOL</stp>
        <stp>Yes</stp>
        <stp>CURRENCY</stp>
        <stp>USD</stp>
        <tr r="D46" s="2"/>
      </tp>
      <tp>
        <v>0</v>
        <stp/>
        <stp>##V3_BDPV12</stp>
        <stp>SYK US Equity</stp>
        <stp>ARD_TOTAL_REVENUES</stp>
        <stp>[Fundamental &amp; Technical Model (1).xlsm]Income Statement!R79C4</stp>
        <stp>EQY FUND RELATIVE PERIOD</stp>
        <stp>-10FY</stp>
        <stp>EQY_FUND_CRNCY</stp>
        <stp>USD</stp>
        <stp>EQY_CONSOLIDATED</stp>
        <stp>Yes</stp>
        <stp>ACCOUNTING_STANDARD_OVERRIDE</stp>
        <stp>Mixed</stp>
        <stp>Fill=0</stp>
        <tr r="D79" s="2"/>
      </tp>
      <tp>
        <v>383</v>
        <stp/>
        <stp>##V3_BQLV12</stp>
        <stp>[Fundamental &amp; Technical Model (1).xlsm]Income Statement!R68C8</stp>
        <stp>SYK US Equity</stp>
        <stp>IS_SH_FOR_DILUTED_EPS/10^6</stp>
        <stp>FPT</stp>
        <stp>A</stp>
        <stp>FPO</stp>
        <stp>-6A</stp>
        <stp>STD</stp>
        <stp>Mixed</stp>
        <stp>CONSOL</stp>
        <stp>Yes</stp>
        <stp>CURRENCY</stp>
        <stp>USD</stp>
        <tr r="H68" s="2"/>
      </tp>
      <tp>
        <v>382.1</v>
        <stp/>
        <stp>##V3_BQLV12</stp>
        <stp>[Fundamental &amp; Technical Model (1).xlsm]Income Statement!R68C9</stp>
        <stp>SYK US Equity</stp>
        <stp>IS_SH_FOR_DILUTED_EPS/10^6</stp>
        <stp>FPT</stp>
        <stp>A</stp>
        <stp>FPO</stp>
        <stp>-5A</stp>
        <stp>STD</stp>
        <stp>Mixed</stp>
        <stp>CONSOL</stp>
        <stp>Yes</stp>
        <stp>CURRENCY</stp>
        <stp>USD</stp>
        <tr r="I68" s="2"/>
      </tp>
      <tp>
        <v>399.5</v>
        <stp/>
        <stp>##V3_BQLV12</stp>
        <stp>[Fundamental &amp; Technical Model (1).xlsm]Income Statement!R68C6</stp>
        <stp>SYK US Equity</stp>
        <stp>IS_SH_FOR_DILUTED_EPS/10^6</stp>
        <stp>FPT</stp>
        <stp>A</stp>
        <stp>FPO</stp>
        <stp>-8A</stp>
        <stp>STD</stp>
        <stp>Mixed</stp>
        <stp>CONSOL</stp>
        <stp>Yes</stp>
        <stp>CURRENCY</stp>
        <stp>USD</stp>
        <tr r="F68" s="2"/>
      </tp>
      <tp>
        <v>389.5</v>
        <stp/>
        <stp>##V3_BQLV12</stp>
        <stp>[Fundamental &amp; Technical Model (1).xlsm]Income Statement!R68C7</stp>
        <stp>SYK US Equity</stp>
        <stp>IS_SH_FOR_DILUTED_EPS/10^6</stp>
        <stp>FPT</stp>
        <stp>A</stp>
        <stp>FPO</stp>
        <stp>-7A</stp>
        <stp>STD</stp>
        <stp>Mixed</stp>
        <stp>CONSOL</stp>
        <stp>Yes</stp>
        <stp>CURRENCY</stp>
        <stp>USD</stp>
        <tr r="G68" s="2"/>
      </tp>
      <tp t="s">
        <v>#N/A N/A</v>
        <stp/>
        <stp>##V3_BDSV12</stp>
        <stp>SYK US Equity</stp>
        <stp>PG_OPERATING_INCOME</stp>
        <stp>[Fundamental &amp; Technical Model (1).xlsm]Segments!R98C10</stp>
        <stp>PG_HIERARCHY_LEVEL=1</stp>
        <stp>NUMBER_OF_PERIODS=-11</stp>
        <stp>REVERSE_PERIOD_ORDER=N</stp>
        <stp>PRODUCT_GEO_OVERRIDE=G</stp>
        <stp>FUND_PER</stp>
        <stp>Y</stp>
        <stp>ACCOUNTING_STANDARD_OVERRIDE</stp>
        <stp>Mixed</stp>
        <stp>EQY_CONSOLIDATED</stp>
        <stp>Yes</stp>
        <stp>EQY_FUND_CRNCY</stp>
        <stp>USD</stp>
        <stp>StartCol</stp>
        <stp>7</stp>
        <stp>EndCol</stp>
        <stp>7</stp>
        <stp>StartRow</stp>
        <stp>10</stp>
        <stp>EndRow</stp>
        <stp>10</stp>
        <tr r="J98" s="17"/>
      </tp>
      <tp>
        <v>399.4</v>
        <stp/>
        <stp>##V3_BQLV12</stp>
        <stp>[Fundamental &amp; Technical Model (1).xlsm]Income Statement!R68C5</stp>
        <stp>SYK US Equity</stp>
        <stp>IS_SH_FOR_DILUTED_EPS/10^6</stp>
        <stp>FPT</stp>
        <stp>A</stp>
        <stp>FPO</stp>
        <stp>-9A</stp>
        <stp>STD</stp>
        <stp>Mixed</stp>
        <stp>CONSOL</stp>
        <stp>Yes</stp>
        <stp>CURRENCY</stp>
        <stp>USD</stp>
        <tr r="E68" s="2"/>
      </tp>
      <tp t="s">
        <v>#N/A N/A</v>
        <stp/>
        <stp>##V3_BDSV12</stp>
        <stp>SYK US Equity</stp>
        <stp>PG_OPERATING_INCOME</stp>
        <stp>[Fundamental &amp; Technical Model (1).xlsm]Segments!R84C10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10</stp>
        <stp>EndRow</stp>
        <stp>10</stp>
        <tr r="J84" s="17"/>
      </tp>
      <tp>
        <v>579</v>
        <stp/>
        <stp>##V3_BQLV12</stp>
        <stp>[Fundamental &amp; Technical Model (1).xlsm]Cash Flow!R50C6</stp>
        <stp>SYK US Equity</stp>
        <stp>CF_CASH_PAID_FOR_TAX/10^6</stp>
        <stp>FPT</stp>
        <stp>A</stp>
        <stp>FPO</stp>
        <stp>-8A</stp>
        <stp>STD</stp>
        <stp>Mixed</stp>
        <stp>CONSOL</stp>
        <stp>Yes</stp>
        <stp>CURRENCY</stp>
        <stp>USD</stp>
        <tr r="F50" s="4"/>
      </tp>
      <tp>
        <v>574</v>
        <stp/>
        <stp>##V3_BQLV12</stp>
        <stp>[Fundamental &amp; Technical Model (1).xlsm]Cash Flow!R50C7</stp>
        <stp>SYK US Equity</stp>
        <stp>CF_CASH_PAID_FOR_TAX/10^6</stp>
        <stp>FPT</stp>
        <stp>A</stp>
        <stp>FPO</stp>
        <stp>-7A</stp>
        <stp>STD</stp>
        <stp>Mixed</stp>
        <stp>CONSOL</stp>
        <stp>Yes</stp>
        <stp>CURRENCY</stp>
        <stp>USD</stp>
        <tr r="G50" s="4"/>
      </tp>
      <tp>
        <v>406</v>
        <stp/>
        <stp>##V3_BQLV12</stp>
        <stp>[Fundamental &amp; Technical Model (1).xlsm]Cash Flow!R50C5</stp>
        <stp>SYK US Equity</stp>
        <stp>CF_CASH_PAID_FOR_TAX/10^6</stp>
        <stp>FPT</stp>
        <stp>A</stp>
        <stp>FPO</stp>
        <stp>-9A</stp>
        <stp>STD</stp>
        <stp>Mixed</stp>
        <stp>CONSOL</stp>
        <stp>Yes</stp>
        <stp>CURRENCY</stp>
        <stp>USD</stp>
        <tr r="E50" s="4"/>
      </tp>
      <tp>
        <v>599</v>
        <stp/>
        <stp>##V3_BQLV12</stp>
        <stp>[Fundamental &amp; Technical Model (1).xlsm]Cash Flow!R50C8</stp>
        <stp>SYK US Equity</stp>
        <stp>CF_CASH_PAID_FOR_TAX/10^6</stp>
        <stp>FPT</stp>
        <stp>A</stp>
        <stp>FPO</stp>
        <stp>-6A</stp>
        <stp>STD</stp>
        <stp>Mixed</stp>
        <stp>CONSOL</stp>
        <stp>Yes</stp>
        <stp>CURRENCY</stp>
        <stp>USD</stp>
        <tr r="H50" s="4"/>
      </tp>
      <tp>
        <v>321</v>
        <stp/>
        <stp>##V3_BQLV12</stp>
        <stp>[Fundamental &amp; Technical Model (1).xlsm]Cash Flow!R50C9</stp>
        <stp>SYK US Equity</stp>
        <stp>CF_CASH_PAID_FOR_TAX/10^6</stp>
        <stp>FPT</stp>
        <stp>A</stp>
        <stp>FPO</stp>
        <stp>-5A</stp>
        <stp>STD</stp>
        <stp>Mixed</stp>
        <stp>CONSOL</stp>
        <stp>Yes</stp>
        <stp>CURRENCY</stp>
        <stp>USD</stp>
        <tr r="I50" s="4"/>
      </tp>
      <tp t="s">
        <v>#N/A N/A</v>
        <stp/>
        <stp>##V3_BDSV12</stp>
        <stp>SYK US Equity</stp>
        <stp>PG_ASSETS</stp>
        <stp>[Fundamental &amp; Technical Model (1).xlsm]Segments!R127C7</stp>
        <stp>PG_HIERARCHY_LEVEL=1</stp>
        <stp>NUMBER_OF_PERIODS=-11</stp>
        <stp>REVERSE_PERIOD_ORDER=N</stp>
        <stp>PRODUCT_GEO_OVERRIDE=G</stp>
        <stp>FUND_PER</stp>
        <stp>Y</stp>
        <stp>ACCOUNTING_STANDARD_OVERRIDE</stp>
        <stp>Mixed</stp>
        <stp>EQY_CONSOLIDATED</stp>
        <stp>Yes</stp>
        <stp>EQY_FUND_CRNCY</stp>
        <stp>USD</stp>
        <stp>StartCol</stp>
        <stp>10</stp>
        <stp>EndCol</stp>
        <stp>10</stp>
        <stp>StartRow</stp>
        <stp>10</stp>
        <stp>EndRow</stp>
        <stp>10</stp>
        <tr r="G127" s="17"/>
      </tp>
      <tp>
        <v>2.8465648854961834</v>
        <stp/>
        <stp>##V3_BQLV12</stp>
        <stp>[Fundamental &amp; Technical Model (1).xlsm]Ratios!R38C5</stp>
        <stp>SYK US Equity</stp>
        <stp>QUICK_RATIO</stp>
        <stp>FPT</stp>
        <stp>A</stp>
        <stp>FPO</stp>
        <stp>-9A</stp>
        <stp>STD</stp>
        <stp>Mixed</stp>
        <stp>CONSOL</stp>
        <stp>Yes</stp>
        <tr r="E38" s="8"/>
      </tp>
      <tp>
        <v>0</v>
        <stp/>
        <stp>##V3_BQLV12</stp>
        <stp>[Fundamental &amp; Technical Model (1).xlsm]Income Statement!R54C11</stp>
        <stp>SYK US Equity</stp>
        <stp>OTHER_ADJUSTMENTS/10^6</stp>
        <stp>FPT</stp>
        <stp>A</stp>
        <stp>FPO</stp>
        <stp>-3A</stp>
        <stp>STD</stp>
        <stp>Mixed</stp>
        <stp>CONSOL</stp>
        <stp>Yes</stp>
        <stp>CURRENCY</stp>
        <stp>USD</stp>
        <tr r="K54" s="2"/>
      </tp>
      <tp>
        <v>0</v>
        <stp/>
        <stp>##V3_BQLV12</stp>
        <stp>[Fundamental &amp; Technical Model (1).xlsm]Income Statement!R54C10</stp>
        <stp>SYK US Equity</stp>
        <stp>OTHER_ADJUSTMENTS/10^6</stp>
        <stp>FPT</stp>
        <stp>A</stp>
        <stp>FPO</stp>
        <stp>-4A</stp>
        <stp>STD</stp>
        <stp>Mixed</stp>
        <stp>CONSOL</stp>
        <stp>Yes</stp>
        <stp>CURRENCY</stp>
        <stp>USD</stp>
        <tr r="J54" s="2"/>
      </tp>
      <tp>
        <v>0</v>
        <stp/>
        <stp>##V3_BQLV12</stp>
        <stp>[Fundamental &amp; Technical Model (1).xlsm]Income Statement!R54C13</stp>
        <stp>SYK US Equity</stp>
        <stp>OTHER_ADJUSTMENTS/10^6</stp>
        <stp>FPT</stp>
        <stp>A</stp>
        <stp>FPO</stp>
        <stp>-1A</stp>
        <stp>STD</stp>
        <stp>Mixed</stp>
        <stp>CONSOL</stp>
        <stp>Yes</stp>
        <stp>CURRENCY</stp>
        <stp>USD</stp>
        <tr r="M54" s="2"/>
      </tp>
      <tp>
        <v>0</v>
        <stp/>
        <stp>##V3_BQLV12</stp>
        <stp>[Fundamental &amp; Technical Model (1).xlsm]Income Statement!R54C12</stp>
        <stp>SYK US Equity</stp>
        <stp>OTHER_ADJUSTMENTS/10^6</stp>
        <stp>FPT</stp>
        <stp>A</stp>
        <stp>FPO</stp>
        <stp>-2A</stp>
        <stp>STD</stp>
        <stp>Mixed</stp>
        <stp>CONSOL</stp>
        <stp>Yes</stp>
        <stp>CURRENCY</stp>
        <stp>USD</stp>
        <tr r="L54" s="2"/>
      </tp>
      <tp>
        <v>21241</v>
        <stp/>
        <stp>##V3_BQLV12</stp>
        <stp>[Fundamental &amp; Technical Model (1).xlsm]Balance Sheet!R77C7</stp>
        <stp>SYK US Equity</stp>
        <stp>NUM_OF_EMPLOYEES</stp>
        <stp>FPT</stp>
        <stp>A</stp>
        <stp>FPO</stp>
        <stp>-7A</stp>
        <stp>STD</stp>
        <stp>Mixed</stp>
        <stp>CONSOL</stp>
        <stp>Yes</stp>
        <stp>CURRENCY</stp>
        <stp>USD</stp>
        <tr r="G77" s="3"/>
      </tp>
      <tp>
        <v>20000</v>
        <stp/>
        <stp>##V3_BQLV12</stp>
        <stp>[Fundamental &amp; Technical Model (1).xlsm]Balance Sheet!R77C6</stp>
        <stp>SYK US Equity</stp>
        <stp>NUM_OF_EMPLOYEES</stp>
        <stp>FPT</stp>
        <stp>A</stp>
        <stp>FPO</stp>
        <stp>-8A</stp>
        <stp>STD</stp>
        <stp>Mixed</stp>
        <stp>CONSOL</stp>
        <stp>Yes</stp>
        <stp>CURRENCY</stp>
        <stp>USD</stp>
        <tr r="F77" s="3"/>
      </tp>
      <tp>
        <v>22000</v>
        <stp/>
        <stp>##V3_BQLV12</stp>
        <stp>[Fundamental &amp; Technical Model (1).xlsm]Balance Sheet!R77C8</stp>
        <stp>SYK US Equity</stp>
        <stp>NUM_OF_EMPLOYEES</stp>
        <stp>FPT</stp>
        <stp>A</stp>
        <stp>FPO</stp>
        <stp>-6A</stp>
        <stp>STD</stp>
        <stp>Mixed</stp>
        <stp>CONSOL</stp>
        <stp>Yes</stp>
        <stp>CURRENCY</stp>
        <stp>USD</stp>
        <tr r="H77" s="3"/>
      </tp>
      <tp>
        <v>18582</v>
        <stp/>
        <stp>##V3_BQLV12</stp>
        <stp>[Fundamental &amp; Technical Model (1).xlsm]Balance Sheet!R77C5</stp>
        <stp>SYK US Equity</stp>
        <stp>NUM_OF_EMPLOYEES</stp>
        <stp>FPT</stp>
        <stp>A</stp>
        <stp>FPO</stp>
        <stp>-9A</stp>
        <stp>STD</stp>
        <stp>Mixed</stp>
        <stp>CONSOL</stp>
        <stp>Yes</stp>
        <stp>CURRENCY</stp>
        <stp>USD</stp>
        <tr r="E77" s="3"/>
      </tp>
      <tp>
        <v>25000</v>
        <stp/>
        <stp>##V3_BQLV12</stp>
        <stp>[Fundamental &amp; Technical Model (1).xlsm]Balance Sheet!R77C9</stp>
        <stp>SYK US Equity</stp>
        <stp>NUM_OF_EMPLOYEES</stp>
        <stp>FPT</stp>
        <stp>A</stp>
        <stp>FPO</stp>
        <stp>-5A</stp>
        <stp>STD</stp>
        <stp>Mixed</stp>
        <stp>CONSOL</stp>
        <stp>Yes</stp>
        <stp>CURRENCY</stp>
        <stp>USD</stp>
        <tr r="I77" s="3"/>
      </tp>
      <tp>
        <v>0</v>
        <stp/>
        <stp>##V3_BQLV12</stp>
        <stp>[Fundamental &amp; Technical Model (1).xlsm]Income Statement!R54C14</stp>
        <stp>SYK US Equity</stp>
        <stp>OTHER_ADJUSTMENTS/10^6</stp>
        <stp>FPT</stp>
        <stp>A</stp>
        <stp>FPO</stp>
        <stp>-0A</stp>
        <stp>STD</stp>
        <stp>Mixed</stp>
        <stp>CONSOL</stp>
        <stp>Yes</stp>
        <stp>CURRENCY</stp>
        <stp>USD</stp>
        <tr r="N54" s="2"/>
      </tp>
      <tp>
        <v>10.181818181818182</v>
        <stp/>
        <stp>##V3_BDPV12</stp>
        <stp>SYK US Equity</stp>
        <stp>EBITDA_LES_CAP_EXPEND_TO_INT_EXP</stp>
        <stp>[Fundamental &amp; Technical Model (1).xlsm]Capital Structure Summary!R67C11</stp>
        <stp>EQY_FUND_RELATIVE_PERIOD</stp>
        <stp>-0FY</stp>
        <stp>EQY_FUND_CRNCY</stp>
        <stp>USD</stp>
        <stp>EQY_CONSOLIDATED</stp>
        <stp>Yes</stp>
        <stp>ACCOUNTING_STANDARD_OVERRIDE</stp>
        <stp>Mixed</stp>
        <stp>Fill=--</stp>
        <tr r="K67" s="21"/>
      </tp>
      <tp>
        <v>11.403309907050556</v>
        <stp/>
        <stp>##V3_BQLV12</stp>
        <stp>[Fundamental &amp; Technical Model (1).xlsm]Ratios!R18C9</stp>
        <stp>SYK US Equity</stp>
        <stp>RETURN_COM_EQY</stp>
        <stp>FPT</stp>
        <stp>A</stp>
        <stp>FPO</stp>
        <stp>-5A</stp>
        <stp>STD</stp>
        <stp>Mixed</stp>
        <stp>CONSOL</stp>
        <stp>Yes</stp>
        <tr r="I18" s="8"/>
      </tp>
      <tp>
        <v>7461</v>
        <stp/>
        <stp>##V3_BQLV12</stp>
        <stp>[Fundamental &amp; Technical Model (1).xlsm]Balance Sheet!R57C8</stp>
        <stp>SYK US Equity</stp>
        <stp>BS_RETAIN_EARN/10^6</stp>
        <stp>FPT</stp>
        <stp>A</stp>
        <stp>FPO</stp>
        <stp>-6A</stp>
        <stp>STD</stp>
        <stp>Mixed</stp>
        <stp>CONSOL</stp>
        <stp>Yes</stp>
        <stp>CURRENCY</stp>
        <stp>USD</stp>
        <tr r="H57" s="3"/>
      </tp>
      <tp t="s">
        <v>#N/A N/A</v>
        <stp/>
        <stp>##V3_BDSV12</stp>
        <stp>SYK US Equity</stp>
        <stp>PG_GROSS_PROFIT</stp>
        <stp>[Fundamental &amp; Technical Model (1).xlsm]Segments!R52C14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7</stp>
        <stp>EndRow</stp>
        <stp>7</stp>
        <tr r="N52" s="17"/>
      </tp>
      <tp>
        <v>7320</v>
        <stp/>
        <stp>##V3_BDPV12</stp>
        <stp>SYK US Equity</stp>
        <stp>SALES_REV_TURN</stp>
        <stp>[Fundamental &amp; Technical Model (1).xlsm]Segments!R30C6</stp>
        <stp>EQY_FUND_RELATIVE_PERIOD</stp>
        <stp>-8FY</stp>
        <stp>ACCOUNTING_STANDARD_OVERRIDE</stp>
        <stp>Mixed</stp>
        <stp>EQY_CONSOLIDATED</stp>
        <stp>Yes</stp>
        <stp>EQY_FUND_CRNCY</stp>
        <stp>USD</stp>
        <stp>Fill=B</stp>
        <tr r="F30" s="17"/>
      </tp>
      <tp>
        <v>8657</v>
        <stp/>
        <stp>##V3_BDPV12</stp>
        <stp>SYK US Equity</stp>
        <stp>SALES_REV_TURN</stp>
        <stp>[Fundamental &amp; Technical Model (1).xlsm]Segments!R30C8</stp>
        <stp>EQY_FUND_RELATIVE_PERIOD</stp>
        <stp>-6FY</stp>
        <stp>ACCOUNTING_STANDARD_OVERRIDE</stp>
        <stp>Mixed</stp>
        <stp>EQY_CONSOLIDATED</stp>
        <stp>Yes</stp>
        <stp>EQY_FUND_CRNCY</stp>
        <stp>USD</stp>
        <stp>Fill=B</stp>
        <tr r="H30" s="17"/>
      </tp>
      <tp>
        <v>6723</v>
        <stp/>
        <stp>##V3_BDPV12</stp>
        <stp>SYK US Equity</stp>
        <stp>SALES_REV_TURN</stp>
        <stp>[Fundamental &amp; Technical Model (1).xlsm]Segments!R30C5</stp>
        <stp>EQY_FUND_RELATIVE_PERIOD</stp>
        <stp>-9FY</stp>
        <stp>ACCOUNTING_STANDARD_OVERRIDE</stp>
        <stp>Mixed</stp>
        <stp>EQY_CONSOLIDATED</stp>
        <stp>Yes</stp>
        <stp>EQY_FUND_CRNCY</stp>
        <stp>USD</stp>
        <stp>Fill=B</stp>
        <tr r="E30" s="17"/>
      </tp>
      <tp>
        <v>9021</v>
        <stp/>
        <stp>##V3_BDPV12</stp>
        <stp>SYK US Equity</stp>
        <stp>SALES_REV_TURN</stp>
        <stp>[Fundamental &amp; Technical Model (1).xlsm]Segments!R30C9</stp>
        <stp>EQY_FUND_RELATIVE_PERIOD</stp>
        <stp>-5FY</stp>
        <stp>ACCOUNTING_STANDARD_OVERRIDE</stp>
        <stp>Mixed</stp>
        <stp>EQY_CONSOLIDATED</stp>
        <stp>Yes</stp>
        <stp>EQY_FUND_CRNCY</stp>
        <stp>USD</stp>
        <stp>Fill=B</stp>
        <tr r="I30" s="17"/>
      </tp>
      <tp>
        <v>8307</v>
        <stp/>
        <stp>##V3_BDPV12</stp>
        <stp>SYK US Equity</stp>
        <stp>SALES_REV_TURN</stp>
        <stp>[Fundamental &amp; Technical Model (1).xlsm]Segments!R30C7</stp>
        <stp>EQY_FUND_RELATIVE_PERIOD</stp>
        <stp>-7FY</stp>
        <stp>ACCOUNTING_STANDARD_OVERRIDE</stp>
        <stp>Mixed</stp>
        <stp>EQY_CONSOLIDATED</stp>
        <stp>Yes</stp>
        <stp>EQY_FUND_CRNCY</stp>
        <stp>USD</stp>
        <stp>Fill=B</stp>
        <tr r="G30" s="17"/>
      </tp>
      <tp t="s">
        <v>#N/A N/A</v>
        <stp/>
        <stp>##V3_BDSV12</stp>
        <stp>SYK US Equity</stp>
        <stp>PG_GROSS_PROFIT</stp>
        <stp>[Fundamental &amp; Technical Model (1).xlsm]Segments!R52C13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7</stp>
        <stp>EndRow</stp>
        <stp>7</stp>
        <tr r="M52" s="17"/>
      </tp>
      <tp>
        <v>41.925081433224754</v>
        <stp/>
        <stp>##V3_BQLV12</stp>
        <stp>[Fundamental &amp; Technical Model (1).xlsm]Ratios!R42C8</stp>
        <stp>SYK US Equity</stp>
        <stp>ACCOUNTS_PAYABLE_TURNOVER_DAYS</stp>
        <stp>FPT</stp>
        <stp>A</stp>
        <stp>FPO</stp>
        <stp>-6A</stp>
        <stp>STD</stp>
        <stp>Mixed</stp>
        <stp>CONSOL</stp>
        <stp>Yes</stp>
        <tr r="H42" s="8"/>
      </tp>
      <tp t="s">
        <v>#N/A N/A</v>
        <stp/>
        <stp>##V3_BDSV12</stp>
        <stp>SYK US Equity</stp>
        <stp>PG_GROSS_PROFIT</stp>
        <stp>[Fundamental &amp; Technical Model (1).xlsm]Segments!R52C12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7</stp>
        <stp>EndRow</stp>
        <stp>7</stp>
        <tr r="L52" s="17"/>
      </tp>
      <tp t="s">
        <v>2016 A</v>
        <stp/>
        <stp>##V3_BQLV12</stp>
        <stp>[Fundamental &amp; Technical Model (1).xlsm]Ratios!R12C12</stp>
        <stp>SYK US Equity</stp>
        <stp>IS_EPS().PERIOD</stp>
        <stp>FPT</stp>
        <stp>A</stp>
        <stp>FPO</stp>
        <stp>-2A</stp>
        <stp>STD</stp>
        <stp>Mixed</stp>
        <stp>CONSOL</stp>
        <stp>Yes</stp>
        <tr r="L12" s="8"/>
      </tp>
      <tp t="s">
        <v>#N/A N/A</v>
        <stp/>
        <stp>##V3_BDSV12</stp>
        <stp>SYK US Equity</stp>
        <stp>PG_GROSS_PROFIT</stp>
        <stp>[Fundamental &amp; Technical Model (1).xlsm]Segments!R52C11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7</stp>
        <stp>EndRow</stp>
        <stp>7</stp>
        <tr r="K52" s="17"/>
      </tp>
      <tp t="s">
        <v>#N/A N/A</v>
        <stp/>
        <stp>##V3_BDSV12</stp>
        <stp>SYK US Equity</stp>
        <stp>PG_GROSS_PROFIT</stp>
        <stp>[Fundamental &amp; Technical Model (1).xlsm]Segments!R52C10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7</stp>
        <stp>EndRow</stp>
        <stp>7</stp>
        <tr r="J52" s="17"/>
      </tp>
      <tp>
        <v>0</v>
        <stp/>
        <stp>##V3_BQLV12</stp>
        <stp>[Fundamental &amp; Technical Model (1).xlsm]Cash Flow!R38C13</stp>
        <stp>SYK US Equity</stp>
        <stp>CF_INCR_CAP_STOCK/10^6</stp>
        <stp>FPT</stp>
        <stp>A</stp>
        <stp>FPO</stp>
        <stp>-1A</stp>
        <stp>STD</stp>
        <stp>Mixed</stp>
        <stp>CONSOL</stp>
        <stp>Yes</stp>
        <stp>CURRENCY</stp>
        <stp>USD</stp>
        <tr r="M38" s="4"/>
      </tp>
      <tp>
        <v>0</v>
        <stp/>
        <stp>##V3_BQLV12</stp>
        <stp>[Fundamental &amp; Technical Model (1).xlsm]Cash Flow!R38C12</stp>
        <stp>SYK US Equity</stp>
        <stp>CF_INCR_CAP_STOCK/10^6</stp>
        <stp>FPT</stp>
        <stp>A</stp>
        <stp>FPO</stp>
        <stp>-2A</stp>
        <stp>STD</stp>
        <stp>Mixed</stp>
        <stp>CONSOL</stp>
        <stp>Yes</stp>
        <stp>CURRENCY</stp>
        <stp>USD</stp>
        <tr r="L38" s="4"/>
      </tp>
      <tp>
        <v>0</v>
        <stp/>
        <stp>##V3_BQLV12</stp>
        <stp>[Fundamental &amp; Technical Model (1).xlsm]Cash Flow!R38C11</stp>
        <stp>SYK US Equity</stp>
        <stp>CF_INCR_CAP_STOCK/10^6</stp>
        <stp>FPT</stp>
        <stp>A</stp>
        <stp>FPO</stp>
        <stp>-3A</stp>
        <stp>STD</stp>
        <stp>Mixed</stp>
        <stp>CONSOL</stp>
        <stp>Yes</stp>
        <stp>CURRENCY</stp>
        <stp>USD</stp>
        <tr r="K38" s="4"/>
      </tp>
      <tp>
        <v>21</v>
        <stp/>
        <stp>##V3_BQLV12</stp>
        <stp>[Fundamental &amp; Technical Model (1).xlsm]Cash Flow!R38C10</stp>
        <stp>SYK US Equity</stp>
        <stp>CF_INCR_CAP_STOCK/10^6</stp>
        <stp>FPT</stp>
        <stp>A</stp>
        <stp>FPO</stp>
        <stp>-4A</stp>
        <stp>STD</stp>
        <stp>Mixed</stp>
        <stp>CONSOL</stp>
        <stp>Yes</stp>
        <stp>CURRENCY</stp>
        <stp>USD</stp>
        <tr r="J38" s="4"/>
      </tp>
      <tp t="s">
        <v>12/31/2010</v>
        <stp/>
        <stp>##V3_BDPV12</stp>
        <stp>SYK US Equity</stp>
        <stp>LATEST_PERIOD_END_DT_FULL_RECORD</stp>
        <stp>[Fundamental &amp; Technical Model (1).xlsm]Segments!R44C6</stp>
        <stp>EQY_FUND_RELATIVE_PERIOD</stp>
        <stp>-8FY</stp>
        <stp>EQY_CONSOLIDATED</stp>
        <stp>Yes</stp>
        <tr r="F44" s="17"/>
        <tr r="F44" s="17"/>
      </tp>
      <tp t="s">
        <v>12/31/2012</v>
        <stp/>
        <stp>##V3_BDPV12</stp>
        <stp>SYK US Equity</stp>
        <stp>LATEST_PERIOD_END_DT_FULL_RECORD</stp>
        <stp>[Fundamental &amp; Technical Model (1).xlsm]Segments!R44C8</stp>
        <stp>EQY_FUND_RELATIVE_PERIOD</stp>
        <stp>-6FY</stp>
        <stp>EQY_CONSOLIDATED</stp>
        <stp>Yes</stp>
        <tr r="H44" s="17"/>
        <tr r="H44" s="17"/>
      </tp>
      <tp t="s">
        <v>12/31/2009</v>
        <stp/>
        <stp>##V3_BDPV12</stp>
        <stp>SYK US Equity</stp>
        <stp>LATEST_PERIOD_END_DT_FULL_RECORD</stp>
        <stp>[Fundamental &amp; Technical Model (1).xlsm]Segments!R44C5</stp>
        <stp>EQY_FUND_RELATIVE_PERIOD</stp>
        <stp>-9FY</stp>
        <stp>EQY_CONSOLIDATED</stp>
        <stp>Yes</stp>
        <tr r="E44" s="17"/>
        <tr r="E44" s="17"/>
      </tp>
      <tp t="s">
        <v>12/31/2013</v>
        <stp/>
        <stp>##V3_BDPV12</stp>
        <stp>SYK US Equity</stp>
        <stp>LATEST_PERIOD_END_DT_FULL_RECORD</stp>
        <stp>[Fundamental &amp; Technical Model (1).xlsm]Segments!R44C9</stp>
        <stp>EQY_FUND_RELATIVE_PERIOD</stp>
        <stp>-5FY</stp>
        <stp>EQY_CONSOLIDATED</stp>
        <stp>Yes</stp>
        <tr r="I44" s="17"/>
        <tr r="I44" s="17"/>
      </tp>
      <tp t="s">
        <v>12/31/2011</v>
        <stp/>
        <stp>##V3_BDPV12</stp>
        <stp>SYK US Equity</stp>
        <stp>LATEST_PERIOD_END_DT_FULL_RECORD</stp>
        <stp>[Fundamental &amp; Technical Model (1).xlsm]Segments!R44C7</stp>
        <stp>EQY_FUND_RELATIVE_PERIOD</stp>
        <stp>-7FY</stp>
        <stp>EQY_CONSOLIDATED</stp>
        <stp>Yes</stp>
        <tr r="G44" s="17"/>
        <tr r="G44" s="17"/>
      </tp>
      <tp>
        <v>0</v>
        <stp/>
        <stp>##V3_BQLV12</stp>
        <stp>[Fundamental &amp; Technical Model (1).xlsm]Cash Flow!R38C14</stp>
        <stp>SYK US Equity</stp>
        <stp>CF_INCR_CAP_STOCK/10^6</stp>
        <stp>FPT</stp>
        <stp>A</stp>
        <stp>FPO</stp>
        <stp>-0A</stp>
        <stp>STD</stp>
        <stp>Mixed</stp>
        <stp>CONSOL</stp>
        <stp>Yes</stp>
        <stp>CURRENCY</stp>
        <stp>USD</stp>
        <tr r="N38" s="4"/>
      </tp>
      <tp>
        <v>76643.521651375006</v>
        <stp/>
        <stp>##V3_BDPV12</stp>
        <stp>SYK Equity</stp>
        <stp>curr_entp_val</stp>
        <stp>[Fundamental &amp; Technical Model (1).xlsm]Public Comparables!R7C9</stp>
        <tr r="I7" s="24"/>
      </tp>
      <tp>
        <v>58.567213114754097</v>
        <stp/>
        <stp>##V3_BQLV12</stp>
        <stp>[Fundamental &amp; Technical Model (1).xlsm]Ratios!R54C4</stp>
        <stp>SYK US Equity</stp>
        <stp>EBITDA_LES_CAP_EXPEND_TO_INT_EXP</stp>
        <stp>FPT</stp>
        <stp>A</stp>
        <stp>FPO</stp>
        <stp>-10A</stp>
        <stp>STD</stp>
        <stp>Mixed</stp>
        <stp>CONSOL</stp>
        <stp>Yes</stp>
        <tr r="D54" s="8"/>
      </tp>
      <tp>
        <v>7849</v>
        <stp/>
        <stp>##V3_BQLV12</stp>
        <stp>[Fundamental &amp; Technical Model (1).xlsm]Balance Sheet!R57C9</stp>
        <stp>SYK US Equity</stp>
        <stp>BS_RETAIN_EARN/10^6</stp>
        <stp>FPT</stp>
        <stp>A</stp>
        <stp>FPO</stp>
        <stp>-5A</stp>
        <stp>STD</stp>
        <stp>Mixed</stp>
        <stp>CONSOL</stp>
        <stp>Yes</stp>
        <stp>CURRENCY</stp>
        <stp>USD</stp>
        <tr r="I57" s="3"/>
      </tp>
      <tp t="s">
        <v>#N/A N/A</v>
        <stp/>
        <stp>##V3_BDSV12</stp>
        <stp>SYK US Equity</stp>
        <stp>PG_REVENUE</stp>
        <stp>[Fundamental &amp; Technical Model (1).xlsm]Segments!R26C14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26" s="17"/>
      </tp>
      <tp>
        <v>38.278729008890352</v>
        <stp/>
        <stp>##V3_BQLV12</stp>
        <stp>[Fundamental &amp; Technical Model (1).xlsm]Ratios!R42C7</stp>
        <stp>SYK US Equity</stp>
        <stp>ACCOUNTS_PAYABLE_TURNOVER_DAYS</stp>
        <stp>FPT</stp>
        <stp>A</stp>
        <stp>FPO</stp>
        <stp>-7A</stp>
        <stp>STD</stp>
        <stp>Mixed</stp>
        <stp>CONSOL</stp>
        <stp>Yes</stp>
        <tr r="G42" s="8"/>
      </tp>
      <tp t="s">
        <v>#N/A N/A</v>
        <stp/>
        <stp>##V3_BDSV12</stp>
        <stp>SYK US Equity</stp>
        <stp>PG_REVENUE</stp>
        <stp>[Fundamental &amp; Technical Model (1).xlsm]Segments!R40C14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40" s="17"/>
      </tp>
      <tp t="s">
        <v>2015 A</v>
        <stp/>
        <stp>##V3_BQLV12</stp>
        <stp>[Fundamental &amp; Technical Model (1).xlsm]Ratios!R12C11</stp>
        <stp>SYK US Equity</stp>
        <stp>IS_EPS().PERIOD</stp>
        <stp>FPT</stp>
        <stp>A</stp>
        <stp>FPO</stp>
        <stp>-3A</stp>
        <stp>STD</stp>
        <stp>Mixed</stp>
        <stp>CONSOL</stp>
        <stp>Yes</stp>
        <tr r="K12" s="8"/>
      </tp>
      <tp t="s">
        <v>#N/A N/A</v>
        <stp/>
        <stp>##V3_BDSV12</stp>
        <stp>SYK US Equity</stp>
        <stp>PG_GROSS_PROFIT</stp>
        <stp>[Fundamental &amp; Technical Model (1).xlsm]Segments!R53C10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8</stp>
        <stp>EndRow</stp>
        <stp>8</stp>
        <tr r="J53" s="17"/>
      </tp>
      <tp t="s">
        <v>#N/A N/A</v>
        <stp/>
        <stp>##V3_BDSV12</stp>
        <stp>SYK US Equity</stp>
        <stp>PG_GROSS_PROFIT</stp>
        <stp>[Fundamental &amp; Technical Model (1).xlsm]Segments!R53C11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8</stp>
        <stp>EndRow</stp>
        <stp>8</stp>
        <tr r="K53" s="17"/>
      </tp>
      <tp t="s">
        <v>#N/A N/A</v>
        <stp/>
        <stp>##V3_BDSV12</stp>
        <stp>SYK US Equity</stp>
        <stp>PG_GROSS_PROFIT</stp>
        <stp>[Fundamental &amp; Technical Model (1).xlsm]Segments!R53C12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8</stp>
        <stp>EndRow</stp>
        <stp>8</stp>
        <tr r="L53" s="17"/>
      </tp>
      <tp t="s">
        <v>#N/A N/A</v>
        <stp/>
        <stp>##V3_BDSV12</stp>
        <stp>SYK US Equity</stp>
        <stp>PG_GROSS_PROFIT</stp>
        <stp>[Fundamental &amp; Technical Model (1).xlsm]Segments!R53C13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8</stp>
        <stp>EndRow</stp>
        <stp>8</stp>
        <tr r="M53" s="17"/>
      </tp>
      <tp t="s">
        <v>#N/A N/A</v>
        <stp/>
        <stp>##V3_BDSV12</stp>
        <stp>SYK US Equity</stp>
        <stp>PG_GROSS_PROFIT</stp>
        <stp>[Fundamental &amp; Technical Model (1).xlsm]Segments!R53C14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8</stp>
        <stp>EndRow</stp>
        <stp>8</stp>
        <tr r="N53" s="17"/>
      </tp>
      <tp>
        <v>1548</v>
        <stp/>
        <stp>##V3_BDPV12</stp>
        <stp>SYK US Equity</stp>
        <stp>BS_TOTAL_AVAIL_LINE_OF_CREDIT</stp>
        <stp>[Fundamental &amp; Technical Model (1).xlsm]Capital Structure Summary!R40C11</stp>
        <stp>EQY_FUND_RELATIVE_PERIOD</stp>
        <stp>-0FY</stp>
        <stp>EQY_FUND_CRNCY</stp>
        <stp>USD</stp>
        <stp>EQY_CONSOLIDATED</stp>
        <stp>Yes</stp>
        <stp>ACCOUNTING_STANDARD_OVERRIDE</stp>
        <stp>Mixed</stp>
        <stp>Fill=--</stp>
        <tr r="K40" s="21"/>
      </tp>
      <tp t="e">
        <v>#N/A</v>
        <stp/>
        <stp>##V3_BDHV12</stp>
        <stp>SYK US Equity</stp>
        <stp>LOW_CLOSING_PRICE_TO_CASH_FLOW</stp>
        <stp>-2FY</stp>
        <stp>-2FY</stp>
        <stp>[Fundamental &amp; Technical Model (1).xlsm]Multiples!R54C11</stp>
        <stp>EQY_CONSOLIDATED</stp>
        <stp>Yes</stp>
        <stp>ACCOUNTING_STANDARD_OVERRIDE</stp>
        <stp>Mixed</stp>
        <stp>Per</stp>
        <stp>FY</stp>
        <stp>Days=A</stp>
        <tr r="K54" s="16"/>
        <tr r="K54" s="16"/>
      </tp>
      <tp t="e">
        <v>#N/A</v>
        <stp/>
        <stp>##V3_BDHV12</stp>
        <stp>SYK US Equity</stp>
        <stp>LOW_CLOSING_PRICE_TO_CASH_FLOW</stp>
        <stp>-3FY</stp>
        <stp>-3FY</stp>
        <stp>[Fundamental &amp; Technical Model (1).xlsm]Multiples!R54C10</stp>
        <stp>EQY_CONSOLIDATED</stp>
        <stp>Yes</stp>
        <stp>ACCOUNTING_STANDARD_OVERRIDE</stp>
        <stp>Mixed</stp>
        <stp>Per</stp>
        <stp>FY</stp>
        <stp>Days=A</stp>
        <tr r="J54" s="16"/>
        <tr r="J54" s="16"/>
      </tp>
      <tp t="e">
        <v>#N/A</v>
        <stp/>
        <stp>##V3_BDHV12</stp>
        <stp>SYK US Equity</stp>
        <stp>LOW_CLOSING_PRICE_TO_CASH_FLOW</stp>
        <stp>-0FY</stp>
        <stp>-0FY</stp>
        <stp>[Fundamental &amp; Technical Model (1).xlsm]Multiples!R54C13</stp>
        <stp>EQY_CONSOLIDATED</stp>
        <stp>Yes</stp>
        <stp>ACCOUNTING_STANDARD_OVERRIDE</stp>
        <stp>Mixed</stp>
        <stp>Per</stp>
        <stp>FY</stp>
        <stp>Days=A</stp>
        <tr r="M54" s="16"/>
        <tr r="M54" s="16"/>
      </tp>
      <tp t="e">
        <v>#N/A</v>
        <stp/>
        <stp>##V3_BDHV12</stp>
        <stp>SYK US Equity</stp>
        <stp>LOW_CLOSING_PRICE_TO_CASH_FLOW</stp>
        <stp>-1FY</stp>
        <stp>-1FY</stp>
        <stp>[Fundamental &amp; Technical Model (1).xlsm]Multiples!R54C12</stp>
        <stp>EQY_CONSOLIDATED</stp>
        <stp>Yes</stp>
        <stp>ACCOUNTING_STANDARD_OVERRIDE</stp>
        <stp>Mixed</stp>
        <stp>Per</stp>
        <stp>FY</stp>
        <stp>Days=A</stp>
        <tr r="L54" s="16"/>
        <tr r="L54" s="16"/>
      </tp>
      <tp>
        <v>43550</v>
        <stp/>
        <stp>##V3_BTH</stp>
        <stp>SYK US Equity</stp>
        <stp>MOMENTUM_x0002__x0003_MOM_MA</stp>
        <stp>3/26/2019</stp>
        <stp>4/25/2019</stp>
        <stp>[Fundamental &amp; Technical Model (1).xlsm]Technical Analysis Data!R27C7</stp>
        <stp>MOM</stp>
        <stp>MomPeriod=10</stp>
        <stp>MAPeriod=5</stp>
        <stp>Current=PX_LAST</stp>
        <stp>Previous=PX_LAST</stp>
        <stp>Dir=H</stp>
        <stp>Dts=S</stp>
        <stp>cols=22;rows=3</stp>
        <tr r="G27" s="31"/>
      </tp>
      <tp t="s">
        <v>12/31/2010</v>
        <stp/>
        <stp>##V3_BDPV12</stp>
        <stp>SYK US Equity</stp>
        <stp>LATEST_PERIOD_END_DT_FULL_RECORD</stp>
        <stp>[Fundamental &amp; Technical Model (1).xlsm]Segments!R58C6</stp>
        <stp>EQY_FUND_RELATIVE_PERIOD</stp>
        <stp>-8FY</stp>
        <stp>EQY_CONSOLIDATED</stp>
        <stp>Yes</stp>
        <tr r="F58" s="17"/>
        <tr r="F58" s="17"/>
      </tp>
      <tp t="s">
        <v>12/31/2012</v>
        <stp/>
        <stp>##V3_BDPV12</stp>
        <stp>SYK US Equity</stp>
        <stp>LATEST_PERIOD_END_DT_FULL_RECORD</stp>
        <stp>[Fundamental &amp; Technical Model (1).xlsm]Segments!R58C8</stp>
        <stp>EQY_FUND_RELATIVE_PERIOD</stp>
        <stp>-6FY</stp>
        <stp>EQY_CONSOLIDATED</stp>
        <stp>Yes</stp>
        <tr r="H58" s="17"/>
        <tr r="H58" s="17"/>
      </tp>
      <tp t="s">
        <v>12/31/2009</v>
        <stp/>
        <stp>##V3_BDPV12</stp>
        <stp>SYK US Equity</stp>
        <stp>LATEST_PERIOD_END_DT_FULL_RECORD</stp>
        <stp>[Fundamental &amp; Technical Model (1).xlsm]Segments!R58C5</stp>
        <stp>EQY_FUND_RELATIVE_PERIOD</stp>
        <stp>-9FY</stp>
        <stp>EQY_CONSOLIDATED</stp>
        <stp>Yes</stp>
        <tr r="E58" s="17"/>
        <tr r="E58" s="17"/>
      </tp>
      <tp t="s">
        <v>12/31/2013</v>
        <stp/>
        <stp>##V3_BDPV12</stp>
        <stp>SYK US Equity</stp>
        <stp>LATEST_PERIOD_END_DT_FULL_RECORD</stp>
        <stp>[Fundamental &amp; Technical Model (1).xlsm]Segments!R58C9</stp>
        <stp>EQY_FUND_RELATIVE_PERIOD</stp>
        <stp>-5FY</stp>
        <stp>EQY_CONSOLIDATED</stp>
        <stp>Yes</stp>
        <tr r="I58" s="17"/>
        <tr r="I58" s="17"/>
      </tp>
      <tp t="s">
        <v>12/31/2011</v>
        <stp/>
        <stp>##V3_BDPV12</stp>
        <stp>SYK US Equity</stp>
        <stp>LATEST_PERIOD_END_DT_FULL_RECORD</stp>
        <stp>[Fundamental &amp; Technical Model (1).xlsm]Segments!R58C7</stp>
        <stp>EQY_FUND_RELATIVE_PERIOD</stp>
        <stp>-7FY</stp>
        <stp>EQY_CONSOLIDATED</stp>
        <stp>Yes</stp>
        <tr r="G58" s="17"/>
        <tr r="G58" s="17"/>
      </tp>
      <tp t="e">
        <v>#N/A</v>
        <stp/>
        <stp>##V3_BDHV12</stp>
        <stp>SYK US Equity</stp>
        <stp>AVERAGE_PRICE_TO_CASH_FLOW</stp>
        <stp>-4FY</stp>
        <stp>-4FY</stp>
        <stp>[Fundamental &amp; Technical Model (1).xlsm]Multiples!R52C9</stp>
        <stp>EQY_CONSOLIDATED</stp>
        <stp>Yes</stp>
        <stp>ACCOUNTING_STANDARD_OVERRIDE</stp>
        <stp>Mixed</stp>
        <stp>Per</stp>
        <stp>FY</stp>
        <stp>Days=A</stp>
        <tr r="I52" s="16"/>
        <tr r="I52" s="16"/>
      </tp>
      <tp>
        <v>18.105943326378139</v>
        <stp/>
        <stp>##V3_BQLV12</stp>
        <stp>[Fundamental &amp; Technical Model (1).xlsm]Ratios!R18C7</stp>
        <stp>SYK US Equity</stp>
        <stp>RETURN_COM_EQY</stp>
        <stp>FPT</stp>
        <stp>A</stp>
        <stp>FPO</stp>
        <stp>-7A</stp>
        <stp>STD</stp>
        <stp>Mixed</stp>
        <stp>CONSOL</stp>
        <stp>Yes</stp>
        <tr r="G18" s="8"/>
      </tp>
      <tp>
        <v>4.755140186915888</v>
        <stp/>
        <stp>##V3_BQLV12</stp>
        <stp>[Fundamental &amp; Technical Model (1).xlsm]Ratios!R37C6</stp>
        <stp>SYK US Equity</stp>
        <stp>CUR_RATIO</stp>
        <stp>FPT</stp>
        <stp>A</stp>
        <stp>FPO</stp>
        <stp>-8A</stp>
        <stp>STD</stp>
        <stp>Mixed</stp>
        <stp>CONSOL</stp>
        <stp>Yes</stp>
        <tr r="F37" s="8"/>
      </tp>
      <tp t="e">
        <v>#N/A</v>
        <stp/>
        <stp>##V3_BDHV12</stp>
        <stp>SYK US Equity</stp>
        <stp>LOW_DIVIDEND_YIELD</stp>
        <stp>-5FY</stp>
        <stp>-5FY</stp>
        <stp>[Fundamental &amp; Technical Model (1).xlsm]Multiples!R66C8</stp>
        <stp>EQY_CONSOLIDATED</stp>
        <stp>Yes</stp>
        <stp>ACCOUNTING_STANDARD_OVERRIDE</stp>
        <stp>Mixed</stp>
        <stp>Per</stp>
        <stp>FY</stp>
        <stp>Days=A</stp>
        <tr r="H66" s="16"/>
        <tr r="H66" s="16"/>
      </tp>
      <tp t="e">
        <v>#N/A</v>
        <stp/>
        <stp>##V3_BDHV12</stp>
        <stp>SYK US Equity</stp>
        <stp>AVG_EV_TO_T12M_EBITDA</stp>
        <stp>-3FY</stp>
        <stp>-3FY</stp>
        <stp>[Fundamental &amp; Technical Model (1).xlsm]Multiples!R22C10</stp>
        <stp>EQY_CONSOLIDATED</stp>
        <stp>Yes</stp>
        <stp>ACCOUNTING_STANDARD_OVERRIDE</stp>
        <stp>Mixed</stp>
        <stp>Per</stp>
        <stp>FY</stp>
        <stp>Days=A</stp>
        <tr r="J22" s="16"/>
        <tr r="J22" s="16"/>
      </tp>
      <tp t="s">
        <v>#N/A N/A</v>
        <stp/>
        <stp>##V3_BDSV12</stp>
        <stp>SYK US Equity</stp>
        <stp>PG_GROSS_PROFIT</stp>
        <stp>[Fundamental &amp; Technical Model (1).xlsm]Segments!R50C14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5</stp>
        <stp>EndRow</stp>
        <stp>5</stp>
        <tr r="N50" s="17"/>
      </tp>
      <tp t="e">
        <v>#N/A</v>
        <stp/>
        <stp>##V3_BDHV12</stp>
        <stp>SYK US Equity</stp>
        <stp>AVG_EV_TO_T12M_EBITDA</stp>
        <stp>-2FY</stp>
        <stp>-2FY</stp>
        <stp>[Fundamental &amp; Technical Model (1).xlsm]Multiples!R22C11</stp>
        <stp>EQY_CONSOLIDATED</stp>
        <stp>Yes</stp>
        <stp>ACCOUNTING_STANDARD_OVERRIDE</stp>
        <stp>Mixed</stp>
        <stp>Per</stp>
        <stp>FY</stp>
        <stp>Days=A</stp>
        <tr r="K22" s="16"/>
        <tr r="K22" s="16"/>
      </tp>
      <tp>
        <v>2.4374178054777289</v>
        <stp/>
        <stp>##V3_BQLV12</stp>
        <stp>[Fundamental &amp; Technical Model (1).xlsm]Ratios!R34C4</stp>
        <stp>SYK US Equity</stp>
        <stp>INVENT_TURN</stp>
        <stp>FPT</stp>
        <stp>A</stp>
        <stp>FPO</stp>
        <stp>-10A</stp>
        <stp>STD</stp>
        <stp>Mixed</stp>
        <stp>CONSOL</stp>
        <stp>Yes</stp>
        <tr r="D34" s="8"/>
      </tp>
      <tp t="e">
        <v>#N/A</v>
        <stp/>
        <stp>##V3_BDHV12</stp>
        <stp>SYK US Equity</stp>
        <stp>AVG_EV_TO_T12M_EBITDA</stp>
        <stp>-1FY</stp>
        <stp>-1FY</stp>
        <stp>[Fundamental &amp; Technical Model (1).xlsm]Multiples!R22C12</stp>
        <stp>EQY_CONSOLIDATED</stp>
        <stp>Yes</stp>
        <stp>ACCOUNTING_STANDARD_OVERRIDE</stp>
        <stp>Mixed</stp>
        <stp>Per</stp>
        <stp>FY</stp>
        <stp>Days=A</stp>
        <tr r="L22" s="16"/>
        <tr r="L22" s="16"/>
      </tp>
      <tp t="s">
        <v>2018 A</v>
        <stp/>
        <stp>##V3_BQLV12</stp>
        <stp>[Fundamental &amp; Technical Model (1).xlsm]Ratios!R12C14</stp>
        <stp>SYK US Equity</stp>
        <stp>IS_EPS().PERIOD</stp>
        <stp>FPT</stp>
        <stp>A</stp>
        <stp>FPO</stp>
        <stp>-0A</stp>
        <stp>STD</stp>
        <stp>Mixed</stp>
        <stp>CONSOL</stp>
        <stp>Yes</stp>
        <tr r="N12" s="8"/>
      </tp>
      <tp t="e">
        <v>#N/A</v>
        <stp/>
        <stp>##V3_BDHV12</stp>
        <stp>SYK US Equity</stp>
        <stp>AVG_EV_TO_T12M_EBITDA</stp>
        <stp>-0FY</stp>
        <stp>-0FY</stp>
        <stp>[Fundamental &amp; Technical Model (1).xlsm]Multiples!R22C13</stp>
        <stp>EQY_CONSOLIDATED</stp>
        <stp>Yes</stp>
        <stp>ACCOUNTING_STANDARD_OVERRIDE</stp>
        <stp>Mixed</stp>
        <stp>Per</stp>
        <stp>FY</stp>
        <stp>Days=A</stp>
        <tr r="M22" s="16"/>
        <tr r="M22" s="16"/>
      </tp>
      <tp t="s">
        <v>#N/A N/A</v>
        <stp/>
        <stp>##V3_BDSV12</stp>
        <stp>SYK US Equity</stp>
        <stp>PG_GROSS_PROFIT</stp>
        <stp>[Fundamental &amp; Technical Model (1).xlsm]Segments!R50C11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5</stp>
        <stp>EndRow</stp>
        <stp>5</stp>
        <tr r="K50" s="17"/>
      </tp>
      <tp t="s">
        <v>#N/A N/A</v>
        <stp/>
        <stp>##V3_BDSV12</stp>
        <stp>SYK US Equity</stp>
        <stp>PG_GROSS_PROFIT</stp>
        <stp>[Fundamental &amp; Technical Model (1).xlsm]Segments!R50C10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5</stp>
        <stp>EndRow</stp>
        <stp>5</stp>
        <tr r="J50" s="17"/>
      </tp>
      <tp>
        <v>58.842636420469773</v>
        <stp/>
        <stp>##V3_BQLV12</stp>
        <stp>[Fundamental &amp; Technical Model (1).xlsm]Ratios!R40C4</stp>
        <stp>SYK US Equity</stp>
        <stp>ACCT_RCV_DAYS</stp>
        <stp>FPT</stp>
        <stp>A</stp>
        <stp>FPO</stp>
        <stp>-10A</stp>
        <stp>STD</stp>
        <stp>Mixed</stp>
        <stp>CONSOL</stp>
        <stp>Yes</stp>
        <tr r="D40" s="8"/>
      </tp>
      <tp t="s">
        <v>#N/A N/A</v>
        <stp/>
        <stp>##V3_BDSV12</stp>
        <stp>SYK US Equity</stp>
        <stp>PG_GROSS_PROFIT</stp>
        <stp>[Fundamental &amp; Technical Model (1).xlsm]Segments!R50C13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5</stp>
        <stp>EndRow</stp>
        <stp>5</stp>
        <tr r="M50" s="17"/>
      </tp>
      <tp t="s">
        <v>#N/A N/A</v>
        <stp/>
        <stp>##V3_BDSV12</stp>
        <stp>SYK US Equity</stp>
        <stp>PG_GROSS_PROFIT</stp>
        <stp>[Fundamental &amp; Technical Model (1).xlsm]Segments!R50C12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5</stp>
        <stp>EndRow</stp>
        <stp>5</stp>
        <tr r="L50" s="17"/>
      </tp>
      <tp t="e">
        <v>#N/A</v>
        <stp/>
        <stp>##V3_BDHV12</stp>
        <stp>SYK US Equity</stp>
        <stp>LOW_EV_TO_T12M_EBITDA</stp>
        <stp>-0FY</stp>
        <stp>-0FY</stp>
        <stp>[Fundamental &amp; Technical Model (1).xlsm]Multiples!R24C13</stp>
        <stp>EQY_CONSOLIDATED</stp>
        <stp>Yes</stp>
        <stp>ACCOUNTING_STANDARD_OVERRIDE</stp>
        <stp>Mixed</stp>
        <stp>Per</stp>
        <stp>FY</stp>
        <stp>Days=A</stp>
        <tr r="M24" s="16"/>
        <tr r="M24" s="16"/>
      </tp>
      <tp t="e">
        <v>#N/A</v>
        <stp/>
        <stp>##V3_BDHV12</stp>
        <stp>SYK US Equity</stp>
        <stp>LOW_EV_TO_T12M_EBITDA</stp>
        <stp>-1FY</stp>
        <stp>-1FY</stp>
        <stp>[Fundamental &amp; Technical Model (1).xlsm]Multiples!R24C12</stp>
        <stp>EQY_CONSOLIDATED</stp>
        <stp>Yes</stp>
        <stp>ACCOUNTING_STANDARD_OVERRIDE</stp>
        <stp>Mixed</stp>
        <stp>Per</stp>
        <stp>FY</stp>
        <stp>Days=A</stp>
        <tr r="L24" s="16"/>
        <tr r="L24" s="16"/>
      </tp>
      <tp t="e">
        <v>#N/A</v>
        <stp/>
        <stp>##V3_BDHV12</stp>
        <stp>SYK US Equity</stp>
        <stp>LOW_EV_TO_T12M_EBITDA</stp>
        <stp>-2FY</stp>
        <stp>-2FY</stp>
        <stp>[Fundamental &amp; Technical Model (1).xlsm]Multiples!R24C11</stp>
        <stp>EQY_CONSOLIDATED</stp>
        <stp>Yes</stp>
        <stp>ACCOUNTING_STANDARD_OVERRIDE</stp>
        <stp>Mixed</stp>
        <stp>Per</stp>
        <stp>FY</stp>
        <stp>Days=A</stp>
        <tr r="K24" s="16"/>
        <tr r="K24" s="16"/>
      </tp>
      <tp t="s">
        <v>2008 A</v>
        <stp/>
        <stp>##V3_BQLV12</stp>
        <stp>[Fundamental &amp; Technical Model (1).xlsm]Balance Sheet!R13C4</stp>
        <stp>SYK US Equity</stp>
        <stp>IS_EPS().PERIOD</stp>
        <stp>FPT</stp>
        <stp>A</stp>
        <stp>FPO</stp>
        <stp>-10A</stp>
        <stp>STD</stp>
        <stp>Mixed</stp>
        <stp>CONSOL</stp>
        <stp>Yes</stp>
        <tr r="D13" s="3"/>
      </tp>
      <tp>
        <v>1344</v>
        <stp/>
        <stp>##V3_BDPV12</stp>
        <stp>SYK US Equity</stp>
        <stp>BS_CONTRACTUAL_OBLIG_YEAR_4_5</stp>
        <stp>[Fundamental &amp; Technical Model (1).xlsm]Capital Structure Summary!R112C11</stp>
        <stp>EQY_FUND_RELATIVE_PERIOD</stp>
        <stp>-0FY</stp>
        <stp>EQY_FUND_CRNCY</stp>
        <stp>USD</stp>
        <stp>EQY_CONSOLIDATED</stp>
        <stp>Yes</stp>
        <stp>ACCOUNTING_STANDARD_OVERRIDE</stp>
        <stp>Mixed</stp>
        <stp>Fill=--</stp>
        <tr r="K112" s="21"/>
      </tp>
      <tp t="e">
        <v>#N/A</v>
        <stp/>
        <stp>##V3_BDHV12</stp>
        <stp>SYK US Equity</stp>
        <stp>LOW_EV_TO_T12M_EBITDA</stp>
        <stp>-3FY</stp>
        <stp>-3FY</stp>
        <stp>[Fundamental &amp; Technical Model (1).xlsm]Multiples!R24C10</stp>
        <stp>EQY_CONSOLIDATED</stp>
        <stp>Yes</stp>
        <stp>ACCOUNTING_STANDARD_OVERRIDE</stp>
        <stp>Mixed</stp>
        <stp>Per</stp>
        <stp>FY</stp>
        <stp>Days=A</stp>
        <tr r="J24" s="16"/>
        <tr r="J24" s="16"/>
      </tp>
      <tp>
        <v>3753</v>
        <stp/>
        <stp>##V3_BDPV12</stp>
        <stp>SYK US Equity</stp>
        <stp>BS_CONTRACTUAL_OBLIG_YEAR_2_5</stp>
        <stp>[Fundamental &amp; Technical Model (1).xlsm]Capital Structure Summary!R113C11</stp>
        <stp>EQY_FUND_RELATIVE_PERIOD</stp>
        <stp>-0FY</stp>
        <stp>EQY_FUND_CRNCY</stp>
        <stp>USD</stp>
        <stp>EQY_CONSOLIDATED</stp>
        <stp>Yes</stp>
        <stp>ACCOUNTING_STANDARD_OVERRIDE</stp>
        <stp>Mixed</stp>
        <stp>Fill=--</stp>
        <tr r="K113" s="21"/>
      </tp>
      <tp>
        <v>2409</v>
        <stp/>
        <stp>##V3_BDPV12</stp>
        <stp>SYK US Equity</stp>
        <stp>BS_CONTRACTUAL_OBLIG_YEAR_2_3</stp>
        <stp>[Fundamental &amp; Technical Model (1).xlsm]Capital Structure Summary!R111C11</stp>
        <stp>EQY_FUND_RELATIVE_PERIOD</stp>
        <stp>-0FY</stp>
        <stp>EQY_FUND_CRNCY</stp>
        <stp>USD</stp>
        <stp>EQY_CONSOLIDATED</stp>
        <stp>Yes</stp>
        <stp>ACCOUNTING_STANDARD_OVERRIDE</stp>
        <stp>Mixed</stp>
        <stp>Fill=--</stp>
        <tr r="K111" s="21"/>
      </tp>
      <tp>
        <v>3616</v>
        <stp/>
        <stp>##V3_BQLV12</stp>
        <stp>[Fundamental &amp; Technical Model (1).xlsm]Balance Sheet!R17C14</stp>
        <stp>SYK US Equity</stp>
        <stp>BS_CASH_NEAR_CASH_ITEM/10^6</stp>
        <stp>FPT</stp>
        <stp>A</stp>
        <stp>FPO</stp>
        <stp>-0A</stp>
        <stp>STD</stp>
        <stp>Mixed</stp>
        <stp>CONSOL</stp>
        <stp>Yes</stp>
        <stp>CURRENCY</stp>
        <stp>USD</stp>
        <tr r="N17" s="3"/>
      </tp>
      <tp>
        <v>10134</v>
        <stp/>
        <stp>##V3_BQLV12</stp>
        <stp>[Fundamental &amp; Technical Model (1).xlsm]Balance Sheet!R57C14</stp>
        <stp>SYK US Equity</stp>
        <stp>BS_RETAIN_EARN/10^6</stp>
        <stp>FPT</stp>
        <stp>A</stp>
        <stp>FPO</stp>
        <stp>-0A</stp>
        <stp>STD</stp>
        <stp>Mixed</stp>
        <stp>CONSOL</stp>
        <stp>Yes</stp>
        <stp>CURRENCY</stp>
        <stp>USD</stp>
        <tr r="N57" s="3"/>
      </tp>
      <tp>
        <v>177.68</v>
        <stp/>
        <stp>##V3_BDPV12</stp>
        <stp>EW Equity</stp>
        <stp>px_last</stp>
        <stp>[Fundamental &amp; Technical Model (1).xlsm]Public Comparables!R12C5</stp>
        <tr r="E12" s="24"/>
      </tp>
      <tp t="e">
        <v>#N/A</v>
        <stp/>
        <stp>##V3_BDHV12</stp>
        <stp>SYK US Equity</stp>
        <stp>AVERAGE_PRICE_TO_TANGIBLE_BPS</stp>
        <stp>-10FY</stp>
        <stp>-10FY</stp>
        <stp>[Fundamental &amp; Technical Model (1).xlsm]Multiples!R46C3</stp>
        <stp>EQY_CONSOLIDATED</stp>
        <stp>Yes</stp>
        <stp>ACCOUNTING_STANDARD_OVERRIDE</stp>
        <stp>Mixed</stp>
        <stp>Per</stp>
        <stp>FY</stp>
        <stp>Days=A</stp>
        <tr r="C46" s="16"/>
        <tr r="C46" s="16"/>
      </tp>
      <tp t="e">
        <v>#N/A</v>
        <stp/>
        <stp>##V3_BDHV12</stp>
        <stp>SYK US Equity</stp>
        <stp>HIGH_EV_TO_T12M_EBIT</stp>
        <stp>-4FY</stp>
        <stp>-4FY</stp>
        <stp>[Fundamental &amp; Technical Model (1).xlsm]Multiples!R29C9</stp>
        <stp>EQY_CONSOLIDATED</stp>
        <stp>Yes</stp>
        <stp>ACCOUNTING_STANDARD_OVERRIDE</stp>
        <stp>Mixed</stp>
        <stp>Per</stp>
        <stp>FY</stp>
        <stp>Days=A</stp>
        <tr r="I29" s="16"/>
        <tr r="I29" s="16"/>
      </tp>
      <tp>
        <v>4.1871840000000002</v>
        <stp/>
        <stp>##V3_BQLV12</stp>
        <stp>[Fundamental &amp; Technical Model (1).xlsm]Income Statement!R71C9</stp>
        <stp>SYK US Equity</stp>
        <stp>IS_DIL_EPS_CONT_OPS</stp>
        <stp>FPT</stp>
        <stp>A</stp>
        <stp>FPO</stp>
        <stp>-5A</stp>
        <stp>STD</stp>
        <stp>Mixed</stp>
        <stp>CONSOL</stp>
        <stp>Yes</stp>
        <stp>CURRENCY</stp>
        <stp>USD</stp>
        <tr r="I71" s="2"/>
      </tp>
      <tp>
        <v>23.920765027322403</v>
        <stp/>
        <stp>##V3_BQLV12</stp>
        <stp>[Fundamental &amp; Technical Model (1).xlsm]Ratios!R24C6</stp>
        <stp>SYK US Equity</stp>
        <stp>EBIT_MARGIN</stp>
        <stp>FPT</stp>
        <stp>A</stp>
        <stp>FPO</stp>
        <stp>-8A</stp>
        <stp>STD</stp>
        <stp>Mixed</stp>
        <stp>CONSOL</stp>
        <stp>Yes</stp>
        <tr r="F24" s="8"/>
      </tp>
      <tp>
        <v>13.639505549949551</v>
        <stp/>
        <stp>##V3_BQLV12</stp>
        <stp>[Fundamental &amp; Technical Model (1).xlsm]Balance Sheet!R65C4</stp>
        <stp>SYK US Equity</stp>
        <stp>BOOK_VAL_PER_SH</stp>
        <stp>FPT</stp>
        <stp>A</stp>
        <stp>FPO</stp>
        <stp>-10A</stp>
        <stp>STD</stp>
        <stp>Mixed</stp>
        <stp>CONSOL</stp>
        <stp>Yes</stp>
        <stp>CURRENCY</stp>
        <stp>USD</stp>
        <tr r="D65" s="3"/>
      </tp>
      <tp>
        <v>11325</v>
        <stp/>
        <stp>##V3_BDPV12</stp>
        <stp>SYK US Equity</stp>
        <stp>SALES_REV_TURN</stp>
        <stp>[Fundamental &amp; Technical Model (1).xlsm]Segments!R30C12</stp>
        <stp>EQY_FUND_RELATIVE_PERIOD</stp>
        <stp>-2FY</stp>
        <stp>ACCOUNTING_STANDARD_OVERRIDE</stp>
        <stp>Mixed</stp>
        <stp>EQY_CONSOLIDATED</stp>
        <stp>Yes</stp>
        <stp>EQY_FUND_CRNCY</stp>
        <stp>USD</stp>
        <stp>Fill=B</stp>
        <tr r="L30" s="17"/>
      </tp>
      <tp>
        <v>9946</v>
        <stp/>
        <stp>##V3_BDPV12</stp>
        <stp>SYK US Equity</stp>
        <stp>SALES_REV_TURN</stp>
        <stp>[Fundamental &amp; Technical Model (1).xlsm]Segments!R16C11</stp>
        <stp>EQY_FUND_RELATIVE_PERIOD</stp>
        <stp>-3FY</stp>
        <stp>ACCOUNTING_STANDARD_OVERRIDE</stp>
        <stp>Mixed</stp>
        <stp>EQY_CONSOLIDATED</stp>
        <stp>Yes</stp>
        <stp>EQY_FUND_CRNCY</stp>
        <stp>USD</stp>
        <stp>Fill=B</stp>
        <tr r="K16" s="17"/>
      </tp>
      <tp>
        <v>12444</v>
        <stp/>
        <stp>##V3_BDPV12</stp>
        <stp>SYK US Equity</stp>
        <stp>SALES_REV_TURN</stp>
        <stp>[Fundamental &amp; Technical Model (1).xlsm]Segments!R16C13</stp>
        <stp>EQY_FUND_RELATIVE_PERIOD</stp>
        <stp>-1FY</stp>
        <stp>ACCOUNTING_STANDARD_OVERRIDE</stp>
        <stp>Mixed</stp>
        <stp>EQY_CONSOLIDATED</stp>
        <stp>Yes</stp>
        <stp>EQY_FUND_CRNCY</stp>
        <stp>USD</stp>
        <stp>Fill=B</stp>
        <tr r="M16" s="17"/>
      </tp>
      <tp>
        <v>9946</v>
        <stp/>
        <stp>##V3_BDPV12</stp>
        <stp>SYK US Equity</stp>
        <stp>SALES_REV_TURN</stp>
        <stp>[Fundamental &amp; Technical Model (1).xlsm]Segments!R30C11</stp>
        <stp>EQY_FUND_RELATIVE_PERIOD</stp>
        <stp>-3FY</stp>
        <stp>ACCOUNTING_STANDARD_OVERRIDE</stp>
        <stp>Mixed</stp>
        <stp>EQY_CONSOLIDATED</stp>
        <stp>Yes</stp>
        <stp>EQY_FUND_CRNCY</stp>
        <stp>USD</stp>
        <stp>Fill=B</stp>
        <tr r="K30" s="17"/>
      </tp>
      <tp>
        <v>12444</v>
        <stp/>
        <stp>##V3_BDPV12</stp>
        <stp>SYK US Equity</stp>
        <stp>SALES_REV_TURN</stp>
        <stp>[Fundamental &amp; Technical Model (1).xlsm]Segments!R30C13</stp>
        <stp>EQY_FUND_RELATIVE_PERIOD</stp>
        <stp>-1FY</stp>
        <stp>ACCOUNTING_STANDARD_OVERRIDE</stp>
        <stp>Mixed</stp>
        <stp>EQY_CONSOLIDATED</stp>
        <stp>Yes</stp>
        <stp>EQY_FUND_CRNCY</stp>
        <stp>USD</stp>
        <stp>Fill=B</stp>
        <tr r="M30" s="17"/>
      </tp>
      <tp>
        <v>11325</v>
        <stp/>
        <stp>##V3_BDPV12</stp>
        <stp>SYK US Equity</stp>
        <stp>SALES_REV_TURN</stp>
        <stp>[Fundamental &amp; Technical Model (1).xlsm]Segments!R16C12</stp>
        <stp>EQY_FUND_RELATIVE_PERIOD</stp>
        <stp>-2FY</stp>
        <stp>ACCOUNTING_STANDARD_OVERRIDE</stp>
        <stp>Mixed</stp>
        <stp>EQY_CONSOLIDATED</stp>
        <stp>Yes</stp>
        <stp>EQY_FUND_CRNCY</stp>
        <stp>USD</stp>
        <stp>Fill=B</stp>
        <tr r="L16" s="17"/>
      </tp>
      <tp>
        <v>9675</v>
        <stp/>
        <stp>##V3_BDPV12</stp>
        <stp>SYK US Equity</stp>
        <stp>SALES_REV_TURN</stp>
        <stp>[Fundamental &amp; Technical Model (1).xlsm]Segments!R30C10</stp>
        <stp>EQY_FUND_RELATIVE_PERIOD</stp>
        <stp>-4FY</stp>
        <stp>ACCOUNTING_STANDARD_OVERRIDE</stp>
        <stp>Mixed</stp>
        <stp>EQY_CONSOLIDATED</stp>
        <stp>Yes</stp>
        <stp>EQY_FUND_CRNCY</stp>
        <stp>USD</stp>
        <stp>Fill=B</stp>
        <tr r="J30" s="17"/>
      </tp>
      <tp>
        <v>13601</v>
        <stp/>
        <stp>##V3_BDPV12</stp>
        <stp>SYK US Equity</stp>
        <stp>SALES_REV_TURN</stp>
        <stp>[Fundamental &amp; Technical Model (1).xlsm]Segments!R30C14</stp>
        <stp>EQY_FUND_RELATIVE_PERIOD</stp>
        <stp>-0FY</stp>
        <stp>ACCOUNTING_STANDARD_OVERRIDE</stp>
        <stp>Mixed</stp>
        <stp>EQY_CONSOLIDATED</stp>
        <stp>Yes</stp>
        <stp>EQY_FUND_CRNCY</stp>
        <stp>USD</stp>
        <stp>Fill=B</stp>
        <tr r="N30" s="17"/>
      </tp>
      <tp>
        <v>9675</v>
        <stp/>
        <stp>##V3_BDPV12</stp>
        <stp>SYK US Equity</stp>
        <stp>SALES_REV_TURN</stp>
        <stp>[Fundamental &amp; Technical Model (1).xlsm]Segments!R16C10</stp>
        <stp>EQY_FUND_RELATIVE_PERIOD</stp>
        <stp>-4FY</stp>
        <stp>ACCOUNTING_STANDARD_OVERRIDE</stp>
        <stp>Mixed</stp>
        <stp>EQY_CONSOLIDATED</stp>
        <stp>Yes</stp>
        <stp>EQY_FUND_CRNCY</stp>
        <stp>USD</stp>
        <stp>Fill=B</stp>
        <tr r="J16" s="17"/>
      </tp>
      <tp>
        <v>13601</v>
        <stp/>
        <stp>##V3_BDPV12</stp>
        <stp>SYK US Equity</stp>
        <stp>SALES_REV_TURN</stp>
        <stp>[Fundamental &amp; Technical Model (1).xlsm]Segments!R16C14</stp>
        <stp>EQY_FUND_RELATIVE_PERIOD</stp>
        <stp>-0FY</stp>
        <stp>ACCOUNTING_STANDARD_OVERRIDE</stp>
        <stp>Mixed</stp>
        <stp>EQY_CONSOLIDATED</stp>
        <stp>Yes</stp>
        <stp>EQY_FUND_CRNCY</stp>
        <stp>USD</stp>
        <stp>Fill=B</stp>
        <tr r="N16" s="17"/>
      </tp>
      <tp t="e">
        <v>#N/A</v>
        <stp/>
        <stp>##V3_BDHV12</stp>
        <stp>SYK US Equity</stp>
        <stp>AVERAGE_PRICE_TO_CASH_FLOW</stp>
        <stp>-5FY</stp>
        <stp>-5FY</stp>
        <stp>[Fundamental &amp; Technical Model (1).xlsm]Multiples!R52C8</stp>
        <stp>EQY_CONSOLIDATED</stp>
        <stp>Yes</stp>
        <stp>ACCOUNTING_STANDARD_OVERRIDE</stp>
        <stp>Mixed</stp>
        <stp>Per</stp>
        <stp>FY</stp>
        <stp>Days=A</stp>
        <tr r="H52" s="16"/>
        <tr r="H52" s="16"/>
      </tp>
      <tp>
        <v>15.945945945945947</v>
        <stp/>
        <stp>##V3_BQLV12</stp>
        <stp>[Fundamental &amp; Technical Model (1).xlsm]Ratios!R18C8</stp>
        <stp>SYK US Equity</stp>
        <stp>RETURN_COM_EQY</stp>
        <stp>FPT</stp>
        <stp>A</stp>
        <stp>FPO</stp>
        <stp>-6A</stp>
        <stp>STD</stp>
        <stp>Mixed</stp>
        <stp>CONSOL</stp>
        <stp>Yes</stp>
        <tr r="H18" s="8"/>
      </tp>
      <tp>
        <v>4.0605135322692574</v>
        <stp/>
        <stp>##V3_BQLV12</stp>
        <stp>[Fundamental &amp; Technical Model (1).xlsm]Ratios!R37C5</stp>
        <stp>SYK US Equity</stp>
        <stp>CUR_RATIO</stp>
        <stp>FPT</stp>
        <stp>A</stp>
        <stp>FPO</stp>
        <stp>-9A</stp>
        <stp>STD</stp>
        <stp>Mixed</stp>
        <stp>CONSOL</stp>
        <stp>Yes</stp>
        <tr r="E37" s="8"/>
      </tp>
      <tp>
        <v>3.3274840000000001</v>
        <stp/>
        <stp>##V3_BQLV12</stp>
        <stp>[Fundamental &amp; Technical Model (1).xlsm]Income Statement!R70C6</stp>
        <stp>SYK US Equity</stp>
        <stp>IS_COMP_EPS_ADJUSTED</stp>
        <stp>FPT</stp>
        <stp>A</stp>
        <stp>FPO</stp>
        <stp>-8A</stp>
        <stp>STD</stp>
        <stp>Mixed</stp>
        <stp>CONSOL</stp>
        <stp>Yes</stp>
        <stp>CURRENCY</stp>
        <stp>USD</stp>
        <tr r="F70" s="2"/>
      </tp>
      <tp>
        <v>4.0731070000000003</v>
        <stp/>
        <stp>##V3_BQLV12</stp>
        <stp>[Fundamental &amp; Technical Model (1).xlsm]Income Statement!R70C8</stp>
        <stp>SYK US Equity</stp>
        <stp>IS_COMP_EPS_ADJUSTED</stp>
        <stp>FPT</stp>
        <stp>A</stp>
        <stp>FPO</stp>
        <stp>-6A</stp>
        <stp>STD</stp>
        <stp>Mixed</stp>
        <stp>CONSOL</stp>
        <stp>Yes</stp>
        <stp>CURRENCY</stp>
        <stp>USD</stp>
        <tr r="H70" s="2"/>
      </tp>
      <tp>
        <v>2.9526590000000001</v>
        <stp/>
        <stp>##V3_BQLV12</stp>
        <stp>[Fundamental &amp; Technical Model (1).xlsm]Income Statement!R70C5</stp>
        <stp>SYK US Equity</stp>
        <stp>IS_COMP_EPS_ADJUSTED</stp>
        <stp>FPT</stp>
        <stp>A</stp>
        <stp>FPO</stp>
        <stp>-9A</stp>
        <stp>STD</stp>
        <stp>Mixed</stp>
        <stp>CONSOL</stp>
        <stp>Yes</stp>
        <stp>CURRENCY</stp>
        <stp>USD</stp>
        <tr r="E70" s="2"/>
      </tp>
      <tp>
        <v>4.2300000000000004</v>
        <stp/>
        <stp>##V3_BQLV12</stp>
        <stp>[Fundamental &amp; Technical Model (1).xlsm]Income Statement!R70C9</stp>
        <stp>SYK US Equity</stp>
        <stp>IS_COMP_EPS_ADJUSTED</stp>
        <stp>FPT</stp>
        <stp>A</stp>
        <stp>FPO</stp>
        <stp>-5A</stp>
        <stp>STD</stp>
        <stp>Mixed</stp>
        <stp>CONSOL</stp>
        <stp>Yes</stp>
        <stp>CURRENCY</stp>
        <stp>USD</stp>
        <tr r="I70" s="2"/>
      </tp>
      <tp>
        <v>3.72</v>
        <stp/>
        <stp>##V3_BQLV12</stp>
        <stp>[Fundamental &amp; Technical Model (1).xlsm]Income Statement!R70C7</stp>
        <stp>SYK US Equity</stp>
        <stp>IS_COMP_EPS_ADJUSTED</stp>
        <stp>FPT</stp>
        <stp>A</stp>
        <stp>FPO</stp>
        <stp>-7A</stp>
        <stp>STD</stp>
        <stp>Mixed</stp>
        <stp>CONSOL</stp>
        <stp>Yes</stp>
        <stp>CURRENCY</stp>
        <stp>USD</stp>
        <tr r="G70" s="2"/>
      </tp>
      <tp>
        <v>165.82509603765948</v>
        <stp/>
        <stp>##V3_BQLV12</stp>
        <stp>[Fundamental &amp; Technical Model (1).xlsm]Ratios!R43C4</stp>
        <stp>SYK US Equity</stp>
        <stp>CASH_CONVERSION_CYCLE</stp>
        <stp>FPT</stp>
        <stp>A</stp>
        <stp>FPO</stp>
        <stp>-10A</stp>
        <stp>STD</stp>
        <stp>Mixed</stp>
        <stp>CONSOL</stp>
        <stp>Yes</stp>
        <tr r="D43" s="8"/>
      </tp>
      <tp t="e">
        <v>#N/A</v>
        <stp/>
        <stp>##V3_BDHV12</stp>
        <stp>SYK US Equity</stp>
        <stp>LOW_DIVIDEND_YIELD</stp>
        <stp>-4FY</stp>
        <stp>-4FY</stp>
        <stp>[Fundamental &amp; Technical Model (1).xlsm]Multiples!R66C9</stp>
        <stp>EQY_CONSOLIDATED</stp>
        <stp>Yes</stp>
        <stp>ACCOUNTING_STANDARD_OVERRIDE</stp>
        <stp>Mixed</stp>
        <stp>Per</stp>
        <stp>FY</stp>
        <stp>Days=A</stp>
        <tr r="I66" s="16"/>
        <tr r="I66" s="16"/>
      </tp>
      <tp t="s">
        <v>#N/A N/A</v>
        <stp/>
        <stp>##V3_BDSV12</stp>
        <stp>SYK US Equity</stp>
        <stp>PG_GROSS_PROFIT</stp>
        <stp>[Fundamental &amp; Technical Model (1).xlsm]Segments!R51C14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6</stp>
        <stp>EndRow</stp>
        <stp>6</stp>
        <tr r="N51" s="17"/>
      </tp>
      <tp t="s">
        <v>#N/A N/A</v>
        <stp/>
        <stp>##V3_BDSV12</stp>
        <stp>SYK US Equity</stp>
        <stp>PG_GROSS_PROFIT</stp>
        <stp>[Fundamental &amp; Technical Model (1).xlsm]Segments!R51C12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6</stp>
        <stp>EndRow</stp>
        <stp>6</stp>
        <tr r="L51" s="17"/>
      </tp>
      <tp t="s">
        <v>2017 A</v>
        <stp/>
        <stp>##V3_BQLV12</stp>
        <stp>[Fundamental &amp; Technical Model (1).xlsm]Ratios!R12C13</stp>
        <stp>SYK US Equity</stp>
        <stp>IS_EPS().PERIOD</stp>
        <stp>FPT</stp>
        <stp>A</stp>
        <stp>FPO</stp>
        <stp>-1A</stp>
        <stp>STD</stp>
        <stp>Mixed</stp>
        <stp>CONSOL</stp>
        <stp>Yes</stp>
        <tr r="M12" s="8"/>
      </tp>
      <tp>
        <v>34.778410889522</v>
        <stp/>
        <stp>##V3_BQLV12</stp>
        <stp>[Fundamental &amp; Technical Model (1).xlsm]Ratios!R42C9</stp>
        <stp>SYK US Equity</stp>
        <stp>ACCOUNTS_PAYABLE_TURNOVER_DAYS</stp>
        <stp>FPT</stp>
        <stp>A</stp>
        <stp>FPO</stp>
        <stp>-5A</stp>
        <stp>STD</stp>
        <stp>Mixed</stp>
        <stp>CONSOL</stp>
        <stp>Yes</stp>
        <tr r="I42" s="8"/>
      </tp>
      <tp t="s">
        <v>#N/A N/A</v>
        <stp/>
        <stp>##V3_BDSV12</stp>
        <stp>SYK US Equity</stp>
        <stp>PG_GROSS_PROFIT</stp>
        <stp>[Fundamental &amp; Technical Model (1).xlsm]Segments!R51C13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6</stp>
        <stp>EndRow</stp>
        <stp>6</stp>
        <tr r="M51" s="17"/>
      </tp>
      <tp t="s">
        <v>#N/A N/A</v>
        <stp/>
        <stp>##V3_BDSV12</stp>
        <stp>SYK US Equity</stp>
        <stp>PG_GROSS_PROFIT</stp>
        <stp>[Fundamental &amp; Technical Model (1).xlsm]Segments!R51C10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6</stp>
        <stp>EndRow</stp>
        <stp>6</stp>
        <tr r="J51" s="17"/>
      </tp>
      <tp t="s">
        <v>#N/A N/A</v>
        <stp/>
        <stp>##V3_BDSV12</stp>
        <stp>SYK US Equity</stp>
        <stp>PG_GROSS_PROFIT</stp>
        <stp>[Fundamental &amp; Technical Model (1).xlsm]Segments!R51C11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6</stp>
        <stp>EndRow</stp>
        <stp>6</stp>
        <tr r="K51" s="17"/>
      </tp>
      <tp>
        <v>2955</v>
        <stp/>
        <stp>##V3_BQLV12</stp>
        <stp>[Fundamental &amp; Technical Model (1).xlsm]Balance Sheet!R23C14</stp>
        <stp>SYK US Equity</stp>
        <stp>BS_INVENTORIES/10^6</stp>
        <stp>FPT</stp>
        <stp>A</stp>
        <stp>FPO</stp>
        <stp>-0A</stp>
        <stp>STD</stp>
        <stp>Mixed</stp>
        <stp>CONSOL</stp>
        <stp>Yes</stp>
        <stp>CURRENCY</stp>
        <stp>USD</stp>
        <tr r="N23" s="3"/>
      </tp>
      <tp t="e">
        <v>#N/A</v>
        <stp/>
        <stp>##V3_BDHV12</stp>
        <stp>SYK US Equity</stp>
        <stp>PX_ERN_RATIO_WITH_HIGH_CLOS_PX</stp>
        <stp>-1FY</stp>
        <stp>-1FY</stp>
        <stp>[Fundamental &amp; Technical Model (1).xlsm]Multiples!R35C12</stp>
        <stp>EQY_CONSOLIDATED</stp>
        <stp>Yes</stp>
        <stp>ACCOUNTING_STANDARD_OVERRIDE</stp>
        <stp>Mixed</stp>
        <stp>Per</stp>
        <stp>FY</stp>
        <stp>Days=A</stp>
        <tr r="L35" s="16"/>
        <tr r="L35" s="16"/>
      </tp>
      <tp t="e">
        <v>#N/A</v>
        <stp/>
        <stp>##V3_BDHV12</stp>
        <stp>SYK US Equity</stp>
        <stp>PX_ERN_RATIO_WITH_HIGH_CLOS_PX</stp>
        <stp>-0FY</stp>
        <stp>-0FY</stp>
        <stp>[Fundamental &amp; Technical Model (1).xlsm]Multiples!R35C13</stp>
        <stp>EQY_CONSOLIDATED</stp>
        <stp>Yes</stp>
        <stp>ACCOUNTING_STANDARD_OVERRIDE</stp>
        <stp>Mixed</stp>
        <stp>Per</stp>
        <stp>FY</stp>
        <stp>Days=A</stp>
        <tr r="M35" s="16"/>
        <tr r="M35" s="16"/>
      </tp>
      <tp t="e">
        <v>#N/A</v>
        <stp/>
        <stp>##V3_BDHV12</stp>
        <stp>SYK US Equity</stp>
        <stp>PX_ERN_RATIO_WITH_HIGH_CLOS_PX</stp>
        <stp>-3FY</stp>
        <stp>-3FY</stp>
        <stp>[Fundamental &amp; Technical Model (1).xlsm]Multiples!R35C10</stp>
        <stp>EQY_CONSOLIDATED</stp>
        <stp>Yes</stp>
        <stp>ACCOUNTING_STANDARD_OVERRIDE</stp>
        <stp>Mixed</stp>
        <stp>Per</stp>
        <stp>FY</stp>
        <stp>Days=A</stp>
        <tr r="J35" s="16"/>
        <tr r="J35" s="16"/>
      </tp>
      <tp t="e">
        <v>#N/A</v>
        <stp/>
        <stp>##V3_BDHV12</stp>
        <stp>SYK US Equity</stp>
        <stp>PX_ERN_RATIO_WITH_HIGH_CLOS_PX</stp>
        <stp>-2FY</stp>
        <stp>-2FY</stp>
        <stp>[Fundamental &amp; Technical Model (1).xlsm]Multiples!R35C11</stp>
        <stp>EQY_CONSOLIDATED</stp>
        <stp>Yes</stp>
        <stp>ACCOUNTING_STANDARD_OVERRIDE</stp>
        <stp>Mixed</stp>
        <stp>Per</stp>
        <stp>FY</stp>
        <stp>Days=A</stp>
        <tr r="K35" s="16"/>
        <tr r="K35" s="16"/>
      </tp>
      <tp>
        <v>12.878552971576227</v>
        <stp/>
        <stp>##V3_BQLV12</stp>
        <stp>[Fundamental &amp; Technical Model (1).xlsm]Ratios!R25C10</stp>
        <stp>SYK US Equity</stp>
        <stp>OPER_INC_TO_NET_SALES</stp>
        <stp>FPT</stp>
        <stp>A</stp>
        <stp>FPO</stp>
        <stp>-4A</stp>
        <stp>STD</stp>
        <stp>Mixed</stp>
        <stp>CONSOL</stp>
        <stp>Yes</stp>
        <tr r="J25" s="8"/>
      </tp>
      <tp>
        <v>1809</v>
        <stp/>
        <stp>##V3_BQLV12</stp>
        <stp>[Fundamental &amp; Technical Model (1).xlsm]Income Statement!R77C6</stp>
        <stp>SYK US Equity</stp>
        <stp>EBITA/10^6</stp>
        <stp>FPT</stp>
        <stp>A</stp>
        <stp>FPO</stp>
        <stp>-8A</stp>
        <stp>STD</stp>
        <stp>Mixed</stp>
        <stp>CONSOL</stp>
        <stp>Yes</stp>
        <stp>CURRENCY</stp>
        <stp>USD</stp>
        <tr r="F77" s="2"/>
      </tp>
      <tp>
        <v>1808</v>
        <stp/>
        <stp>##V3_BQLV12</stp>
        <stp>[Fundamental &amp; Technical Model (1).xlsm]Income Statement!R77C7</stp>
        <stp>SYK US Equity</stp>
        <stp>EBITA/10^6</stp>
        <stp>FPT</stp>
        <stp>A</stp>
        <stp>FPO</stp>
        <stp>-7A</stp>
        <stp>STD</stp>
        <stp>Mixed</stp>
        <stp>CONSOL</stp>
        <stp>Yes</stp>
        <stp>CURRENCY</stp>
        <stp>USD</stp>
        <tr r="G77" s="2"/>
      </tp>
      <tp t="s">
        <v>12/31/2010</v>
        <stp/>
        <stp>##V3_BDPV12</stp>
        <stp>SYK US Equity</stp>
        <stp>LATEST_PERIOD_END_DT_FULL_RECORD</stp>
        <stp>[Fundamental &amp; Technical Model (1).xlsm]Segments!R73C6</stp>
        <stp>EQY_FUND_RELATIVE_PERIOD</stp>
        <stp>-8FY</stp>
        <stp>EQY_CONSOLIDATED</stp>
        <stp>Yes</stp>
        <tr r="F73" s="17"/>
        <tr r="F73" s="17"/>
      </tp>
      <tp t="s">
        <v>12/31/2012</v>
        <stp/>
        <stp>##V3_BDPV12</stp>
        <stp>SYK US Equity</stp>
        <stp>LATEST_PERIOD_END_DT_FULL_RECORD</stp>
        <stp>[Fundamental &amp; Technical Model (1).xlsm]Segments!R73C8</stp>
        <stp>EQY_FUND_RELATIVE_PERIOD</stp>
        <stp>-6FY</stp>
        <stp>EQY_CONSOLIDATED</stp>
        <stp>Yes</stp>
        <tr r="H73" s="17"/>
        <tr r="H73" s="17"/>
      </tp>
      <tp t="s">
        <v>12/31/2009</v>
        <stp/>
        <stp>##V3_BDPV12</stp>
        <stp>SYK US Equity</stp>
        <stp>LATEST_PERIOD_END_DT_FULL_RECORD</stp>
        <stp>[Fundamental &amp; Technical Model (1).xlsm]Segments!R73C5</stp>
        <stp>EQY_FUND_RELATIVE_PERIOD</stp>
        <stp>-9FY</stp>
        <stp>EQY_CONSOLIDATED</stp>
        <stp>Yes</stp>
        <tr r="E73" s="17"/>
        <tr r="E73" s="17"/>
      </tp>
      <tp t="s">
        <v>12/31/2013</v>
        <stp/>
        <stp>##V3_BDPV12</stp>
        <stp>SYK US Equity</stp>
        <stp>LATEST_PERIOD_END_DT_FULL_RECORD</stp>
        <stp>[Fundamental &amp; Technical Model (1).xlsm]Segments!R73C9</stp>
        <stp>EQY_FUND_RELATIVE_PERIOD</stp>
        <stp>-5FY</stp>
        <stp>EQY_CONSOLIDATED</stp>
        <stp>Yes</stp>
        <tr r="I73" s="17"/>
        <tr r="I73" s="17"/>
      </tp>
      <tp t="s">
        <v>12/31/2011</v>
        <stp/>
        <stp>##V3_BDPV12</stp>
        <stp>SYK US Equity</stp>
        <stp>LATEST_PERIOD_END_DT_FULL_RECORD</stp>
        <stp>[Fundamental &amp; Technical Model (1).xlsm]Segments!R73C7</stp>
        <stp>EQY_FUND_RELATIVE_PERIOD</stp>
        <stp>-7FY</stp>
        <stp>EQY_CONSOLIDATED</stp>
        <stp>Yes</stp>
        <tr r="G73" s="17"/>
        <tr r="G73" s="17"/>
      </tp>
      <tp t="e">
        <v>#N/A</v>
        <stp/>
        <stp>##V3_BDHV12</stp>
        <stp>SYK US Equity</stp>
        <stp>HIGH_EV_TO_T12M_EBIT</stp>
        <stp>-5FY</stp>
        <stp>-5FY</stp>
        <stp>[Fundamental &amp; Technical Model (1).xlsm]Multiples!R29C8</stp>
        <stp>EQY_CONSOLIDATED</stp>
        <stp>Yes</stp>
        <stp>ACCOUNTING_STANDARD_OVERRIDE</stp>
        <stp>Mixed</stp>
        <stp>Per</stp>
        <stp>FY</stp>
        <stp>Days=A</stp>
        <tr r="H29" s="16"/>
        <tr r="H29" s="16"/>
      </tp>
      <tp>
        <v>1814</v>
        <stp/>
        <stp>##V3_BQLV12</stp>
        <stp>[Fundamental &amp; Technical Model (1).xlsm]Income Statement!R77C5</stp>
        <stp>SYK US Equity</stp>
        <stp>EBITA/10^6</stp>
        <stp>FPT</stp>
        <stp>A</stp>
        <stp>FPO</stp>
        <stp>-9A</stp>
        <stp>STD</stp>
        <stp>Mixed</stp>
        <stp>CONSOL</stp>
        <stp>Yes</stp>
        <stp>CURRENCY</stp>
        <stp>USD</stp>
        <tr r="E77" s="2"/>
      </tp>
      <tp>
        <v>4.08765</v>
        <stp/>
        <stp>##V3_BQLV12</stp>
        <stp>[Fundamental &amp; Technical Model (1).xlsm]Income Statement!R71C8</stp>
        <stp>SYK US Equity</stp>
        <stp>IS_DIL_EPS_CONT_OPS</stp>
        <stp>FPT</stp>
        <stp>A</stp>
        <stp>FPO</stp>
        <stp>-6A</stp>
        <stp>STD</stp>
        <stp>Mixed</stp>
        <stp>CONSOL</stp>
        <stp>Yes</stp>
        <stp>CURRENCY</stp>
        <stp>USD</stp>
        <tr r="H71" s="2"/>
      </tp>
      <tp t="s">
        <v>#N/A N/A</v>
        <stp/>
        <stp>##V3_BDSV12</stp>
        <stp>SYK US Equity</stp>
        <stp>PG_OPERATING_INCOME</stp>
        <stp>[Fundamental &amp; Technical Model (1).xlsm]Segments!R98C14</stp>
        <stp>PG_HIERARCHY_LEVEL=1</stp>
        <stp>NUMBER_OF_PERIODS=-11</stp>
        <stp>REVERSE_PERIOD_ORDER=N</stp>
        <stp>PRODUCT_GEO_OVERRIDE=G</stp>
        <stp>FUND_PER</stp>
        <stp>Y</stp>
        <stp>ACCOUNTING_STANDARD_OVERRIDE</stp>
        <stp>Mixed</stp>
        <stp>EQY_CONSOLIDATED</stp>
        <stp>Yes</stp>
        <stp>EQY_FUND_CRNCY</stp>
        <stp>USD</stp>
        <stp>StartCol</stp>
        <stp>3</stp>
        <stp>EndCol</stp>
        <stp>3</stp>
        <stp>StartRow</stp>
        <stp>10</stp>
        <stp>EndRow</stp>
        <stp>10</stp>
        <tr r="N98" s="17"/>
      </tp>
      <tp t="s">
        <v>#N/A N/A</v>
        <stp/>
        <stp>##V3_BDSV12</stp>
        <stp>SYK US Equity</stp>
        <stp>PG_OPERATING_INCOME</stp>
        <stp>[Fundamental &amp; Technical Model (1).xlsm]Segments!R84C14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10</stp>
        <stp>EndRow</stp>
        <stp>10</stp>
        <tr r="N84" s="17"/>
      </tp>
      <tp>
        <v>23.709653428528931</v>
        <stp/>
        <stp>##V3_BQLV12</stp>
        <stp>[Fundamental &amp; Technical Model (1).xlsm]Ratios!R24C5</stp>
        <stp>SYK US Equity</stp>
        <stp>EBIT_MARGIN</stp>
        <stp>FPT</stp>
        <stp>A</stp>
        <stp>FPO</stp>
        <stp>-9A</stp>
        <stp>STD</stp>
        <stp>Mixed</stp>
        <stp>CONSOL</stp>
        <stp>Yes</stp>
        <tr r="E24" s="8"/>
      </tp>
      <tp>
        <v>1864</v>
        <stp/>
        <stp>##V3_BQLV12</stp>
        <stp>[Fundamental &amp; Technical Model (1).xlsm]Income Statement!R77C8</stp>
        <stp>SYK US Equity</stp>
        <stp>EBITA/10^6</stp>
        <stp>FPT</stp>
        <stp>A</stp>
        <stp>FPO</stp>
        <stp>-6A</stp>
        <stp>STD</stp>
        <stp>Mixed</stp>
        <stp>CONSOL</stp>
        <stp>Yes</stp>
        <stp>CURRENCY</stp>
        <stp>USD</stp>
        <tr r="H77" s="2"/>
      </tp>
      <tp>
        <v>1394</v>
        <stp/>
        <stp>##V3_BQLV12</stp>
        <stp>[Fundamental &amp; Technical Model (1).xlsm]Income Statement!R77C9</stp>
        <stp>SYK US Equity</stp>
        <stp>EBITA/10^6</stp>
        <stp>FPT</stp>
        <stp>A</stp>
        <stp>FPO</stp>
        <stp>-5A</stp>
        <stp>STD</stp>
        <stp>Mixed</stp>
        <stp>CONSOL</stp>
        <stp>Yes</stp>
        <stp>CURRENCY</stp>
        <stp>USD</stp>
        <tr r="I77" s="2"/>
      </tp>
      <tp>
        <v>14.899999999999999</v>
        <stp/>
        <stp>##V3_BDPV12</stp>
        <stp>SYK US Equity</stp>
        <stp>BS_OPTIONS_OUTSTANDING</stp>
        <stp>[Fundamental &amp; Technical Model (1).xlsm]Supplemental!R16C10</stp>
        <stp>EQY_FUND_RELATIVE_PERIOD</stp>
        <stp>-3FY</stp>
        <stp>EQY_FUND_CRNCY</stp>
        <stp>USD</stp>
        <stp>EQY_CONSOLIDATED</stp>
        <stp>Yes</stp>
        <stp>ACCOUNTING_STANDARD_OVERRIDE</stp>
        <stp>Mixed</stp>
        <stp>Fill=--</stp>
        <tr r="J16" s="19"/>
      </tp>
      <tp>
        <v>14.899999999999999</v>
        <stp/>
        <stp>##V3_BDPV12</stp>
        <stp>SYK US Equity</stp>
        <stp>BS_OPTIONS_OUTSTANDING</stp>
        <stp>[Fundamental &amp; Technical Model (1).xlsm]Supplemental!R16C11</stp>
        <stp>EQY_FUND_RELATIVE_PERIOD</stp>
        <stp>-2FY</stp>
        <stp>EQY_FUND_CRNCY</stp>
        <stp>USD</stp>
        <stp>EQY_CONSOLIDATED</stp>
        <stp>Yes</stp>
        <stp>ACCOUNTING_STANDARD_OVERRIDE</stp>
        <stp>Mixed</stp>
        <stp>Fill=--</stp>
        <tr r="K16" s="19"/>
      </tp>
      <tp>
        <v>14.7</v>
        <stp/>
        <stp>##V3_BDPV12</stp>
        <stp>SYK US Equity</stp>
        <stp>BS_OPTIONS_OUTSTANDING</stp>
        <stp>[Fundamental &amp; Technical Model (1).xlsm]Supplemental!R16C12</stp>
        <stp>EQY_FUND_RELATIVE_PERIOD</stp>
        <stp>-1FY</stp>
        <stp>EQY_FUND_CRNCY</stp>
        <stp>USD</stp>
        <stp>EQY_CONSOLIDATED</stp>
        <stp>Yes</stp>
        <stp>ACCOUNTING_STANDARD_OVERRIDE</stp>
        <stp>Mixed</stp>
        <stp>Fill=--</stp>
        <tr r="L16" s="19"/>
      </tp>
      <tp>
        <v>14.1</v>
        <stp/>
        <stp>##V3_BDPV12</stp>
        <stp>SYK US Equity</stp>
        <stp>BS_OPTIONS_OUTSTANDING</stp>
        <stp>[Fundamental &amp; Technical Model (1).xlsm]Supplemental!R16C13</stp>
        <stp>EQY_FUND_RELATIVE_PERIOD</stp>
        <stp>-0FY</stp>
        <stp>EQY_FUND_CRNCY</stp>
        <stp>USD</stp>
        <stp>EQY_CONSOLIDATED</stp>
        <stp>Yes</stp>
        <stp>ACCOUNTING_STANDARD_OVERRIDE</stp>
        <stp>Mixed</stp>
        <stp>Fill=--</stp>
        <tr r="M16" s="19"/>
      </tp>
      <tp>
        <v>43550</v>
        <stp/>
        <stp>##V3_BTH</stp>
        <stp>SYK US Equity</stp>
        <stp>MAE_MIDDLE_x0002__x0003_MAE_UPPER_x0002__x0003_MAE_LOWER</stp>
        <stp>3/26/2019</stp>
        <stp>4/25/2019</stp>
        <stp>[Fundamental &amp; Technical Model (1).xlsm]Technical Analysis Data!R66C7</stp>
        <stp>MAE</stp>
        <stp>BandPeriod=15</stp>
        <stp>UpperBand=3</stp>
        <stp>LowerBand=3</stp>
        <stp>DSClose=PX_LAST</stp>
        <stp>Dir=H</stp>
        <stp>Dts=S</stp>
        <stp>cols=22;rows=4</stp>
        <tr r="G66" s="31"/>
      </tp>
      <tp>
        <v>0</v>
        <stp/>
        <stp>##V3_BQLV12</stp>
        <stp>[Fundamental &amp; Technical Model (1).xlsm]Ratios!R49C4</stp>
        <stp>SYK US Equity</stp>
        <stp>LT_DEBT_TO_TOT_CAP</stp>
        <stp>FPT</stp>
        <stp>A</stp>
        <stp>FPO</stp>
        <stp>-10A</stp>
        <stp>STD</stp>
        <stp>Mixed</stp>
        <stp>CONSOL</stp>
        <stp>Yes</stp>
        <tr r="D49" s="8"/>
      </tp>
      <tp>
        <v>18.447232915062742</v>
        <stp/>
        <stp>##V3_BQLV12</stp>
        <stp>[Fundamental &amp; Technical Model (1).xlsm]Ratios!R18C5</stp>
        <stp>SYK US Equity</stp>
        <stp>RETURN_COM_EQY</stp>
        <stp>FPT</stp>
        <stp>A</stp>
        <stp>FPO</stp>
        <stp>-9A</stp>
        <stp>STD</stp>
        <stp>Mixed</stp>
        <stp>CONSOL</stp>
        <stp>Yes</stp>
        <tr r="E18" s="8"/>
      </tp>
      <tp t="e">
        <v>#N/A</v>
        <stp/>
        <stp>##V3_BDHV12</stp>
        <stp>SYK US Equity</stp>
        <stp>AVERAGE_PRICE_TO_CASH_FLOW</stp>
        <stp>-6FY</stp>
        <stp>-6FY</stp>
        <stp>[Fundamental &amp; Technical Model (1).xlsm]Multiples!R52C7</stp>
        <stp>EQY_CONSOLIDATED</stp>
        <stp>Yes</stp>
        <stp>ACCOUNTING_STANDARD_OVERRIDE</stp>
        <stp>Mixed</stp>
        <stp>Per</stp>
        <stp>FY</stp>
        <stp>Days=A</stp>
        <tr r="G52" s="16"/>
        <tr r="G52" s="16"/>
      </tp>
      <tp>
        <v>4.3432835820895521</v>
        <stp/>
        <stp>##V3_BQLV12</stp>
        <stp>[Fundamental &amp; Technical Model (1).xlsm]Ratios!R37C8</stp>
        <stp>SYK US Equity</stp>
        <stp>CUR_RATIO</stp>
        <stp>FPT</stp>
        <stp>A</stp>
        <stp>FPO</stp>
        <stp>-6A</stp>
        <stp>STD</stp>
        <stp>Mixed</stp>
        <stp>CONSOL</stp>
        <stp>Yes</stp>
        <tr r="H37" s="8"/>
      </tp>
      <tp>
        <v>0</v>
        <stp/>
        <stp>##V3_BQLV12</stp>
        <stp>[Fundamental &amp; Technical Model (1).xlsm]Key Stats!R44C4</stp>
        <stp>SYK US Equity</stp>
        <stp>BS_PFD_EQY/10^6</stp>
        <stp>STD</stp>
        <stp>Mixed</stp>
        <stp>CONSOL</stp>
        <stp>Yes</stp>
        <stp>CURRENCY</stp>
        <stp>USD</stp>
        <tr r="D44" s="23"/>
      </tp>
      <tp t="e">
        <v>#N/A</v>
        <stp/>
        <stp>##V3_BDHV12</stp>
        <stp>SYK US Equity</stp>
        <stp>LOW_DIVIDEND_YIELD</stp>
        <stp>-7FY</stp>
        <stp>-7FY</stp>
        <stp>[Fundamental &amp; Technical Model (1).xlsm]Multiples!R66C6</stp>
        <stp>EQY_CONSOLIDATED</stp>
        <stp>Yes</stp>
        <stp>ACCOUNTING_STANDARD_OVERRIDE</stp>
        <stp>Mixed</stp>
        <stp>Per</stp>
        <stp>FY</stp>
        <stp>Days=A</stp>
        <tr r="F66" s="16"/>
        <tr r="F66" s="16"/>
      </tp>
      <tp>
        <v>21.620773285625834</v>
        <stp/>
        <stp>##V3_BQLV12</stp>
        <stp>[Fundamental &amp; Technical Model (1).xlsm]Ratios!R17C4</stp>
        <stp>SYK US Equity</stp>
        <stp>RETURN_ON_CAP</stp>
        <stp>FPT</stp>
        <stp>A</stp>
        <stp>FPO</stp>
        <stp>-10A</stp>
        <stp>STD</stp>
        <stp>Mixed</stp>
        <stp>CONSOL</stp>
        <stp>Yes</stp>
        <tr r="D17" s="8"/>
      </tp>
      <tp>
        <v>0</v>
        <stp/>
        <stp>##V3_BQLV12</stp>
        <stp>[Fundamental &amp; Technical Model (1).xlsm]Balance Sheet!R31C7</stp>
        <stp>SYK US Equity</stp>
        <stp>BS_LT_INVEST/10^6</stp>
        <stp>FPT</stp>
        <stp>A</stp>
        <stp>FPO</stp>
        <stp>-7A</stp>
        <stp>STD</stp>
        <stp>Mixed</stp>
        <stp>CONSOL</stp>
        <stp>Yes</stp>
        <stp>CURRENCY</stp>
        <stp>USD</stp>
        <tr r="G31" s="3"/>
      </tp>
      <tp>
        <v>0</v>
        <stp/>
        <stp>##V3_BQLV12</stp>
        <stp>[Fundamental &amp; Technical Model (1).xlsm]Balance Sheet!R31C6</stp>
        <stp>SYK US Equity</stp>
        <stp>BS_LT_INVEST/10^6</stp>
        <stp>FPT</stp>
        <stp>A</stp>
        <stp>FPO</stp>
        <stp>-8A</stp>
        <stp>STD</stp>
        <stp>Mixed</stp>
        <stp>CONSOL</stp>
        <stp>Yes</stp>
        <stp>CURRENCY</stp>
        <stp>USD</stp>
        <tr r="F31" s="3"/>
      </tp>
      <tp>
        <v>0</v>
        <stp/>
        <stp>##V3_BQLV12</stp>
        <stp>[Fundamental &amp; Technical Model (1).xlsm]Balance Sheet!R31C5</stp>
        <stp>SYK US Equity</stp>
        <stp>BS_LT_INVEST/10^6</stp>
        <stp>FPT</stp>
        <stp>A</stp>
        <stp>FPO</stp>
        <stp>-9A</stp>
        <stp>STD</stp>
        <stp>Mixed</stp>
        <stp>CONSOL</stp>
        <stp>Yes</stp>
        <stp>CURRENCY</stp>
        <stp>USD</stp>
        <tr r="E31" s="3"/>
      </tp>
      <tp>
        <v>0</v>
        <stp/>
        <stp>##V3_BQLV12</stp>
        <stp>[Fundamental &amp; Technical Model (1).xlsm]Balance Sheet!R31C9</stp>
        <stp>SYK US Equity</stp>
        <stp>BS_LT_INVEST/10^6</stp>
        <stp>FPT</stp>
        <stp>A</stp>
        <stp>FPO</stp>
        <stp>-5A</stp>
        <stp>STD</stp>
        <stp>Mixed</stp>
        <stp>CONSOL</stp>
        <stp>Yes</stp>
        <stp>CURRENCY</stp>
        <stp>USD</stp>
        <tr r="I31" s="3"/>
      </tp>
      <tp>
        <v>0</v>
        <stp/>
        <stp>##V3_BQLV12</stp>
        <stp>[Fundamental &amp; Technical Model (1).xlsm]Balance Sheet!R31C8</stp>
        <stp>SYK US Equity</stp>
        <stp>BS_LT_INVEST/10^6</stp>
        <stp>FPT</stp>
        <stp>A</stp>
        <stp>FPO</stp>
        <stp>-6A</stp>
        <stp>STD</stp>
        <stp>Mixed</stp>
        <stp>CONSOL</stp>
        <stp>Yes</stp>
        <stp>CURRENCY</stp>
        <stp>USD</stp>
        <tr r="H31" s="3"/>
      </tp>
      <tp t="s">
        <v>#N/A N/A</v>
        <stp/>
        <stp>##V3_BDSV12</stp>
        <stp>SYK US Equity</stp>
        <stp>PG_ASSETS</stp>
        <stp>[Fundamental &amp; Technical Model (1).xlsm]Segments!R127C3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127" s="17"/>
      </tp>
      <tp t="s">
        <v>#N/A N/A</v>
        <stp/>
        <stp>##V3_BDSV12</stp>
        <stp>SYK US Equity</stp>
        <stp>PG_ASSETS</stp>
        <stp>[Fundamental &amp; Technical Model (1).xlsm]Segments!R113C3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113" s="17"/>
      </tp>
      <tp t="e">
        <v>#N/A</v>
        <stp/>
        <stp>##V3_BDHV12</stp>
        <stp>SYK US Equity</stp>
        <stp>LOW_EV_TO_T12M_EBIT</stp>
        <stp>-10FY</stp>
        <stp>-10FY</stp>
        <stp>[Fundamental &amp; Technical Model (1).xlsm]Multiples!R30C3</stp>
        <stp>EQY_CONSOLIDATED</stp>
        <stp>Yes</stp>
        <stp>ACCOUNTING_STANDARD_OVERRIDE</stp>
        <stp>Mixed</stp>
        <stp>Per</stp>
        <stp>FY</stp>
        <stp>Days=A</stp>
        <tr r="C30" s="16"/>
        <tr r="C30" s="16"/>
      </tp>
      <tp>
        <v>16.010335917312663</v>
        <stp/>
        <stp>##V3_BQLV12</stp>
        <stp>[Fundamental &amp; Technical Model (1).xlsm]Ratios!R28C10</stp>
        <stp>SYK US Equity</stp>
        <stp>FREE_CASH_FLOW_MARGIN</stp>
        <stp>FPT</stp>
        <stp>A</stp>
        <stp>FPO</stp>
        <stp>-4A</stp>
        <stp>STD</stp>
        <stp>Mixed</stp>
        <stp>CONSOL</stp>
        <stp>Yes</stp>
        <tr r="J28" s="8"/>
      </tp>
      <tp>
        <v>17.187989061845688</v>
        <stp/>
        <stp>##V3_BQLV12</stp>
        <stp>[Fundamental &amp; Technical Model (1).xlsm]Key Stats!R55C7</stp>
        <stp>SYK US Equity</stp>
        <stp>EV_TO_EBIT</stp>
        <stp>FPT=A</stp>
        <stp>FPO=2</stp>
        <stp>STD</stp>
        <stp>Mixed</stp>
        <stp>CONSOL</stp>
        <stp>Yes</stp>
        <stp>CURRENCY</stp>
        <stp>USD</stp>
        <tr r="G55" s="23"/>
      </tp>
      <tp t="e">
        <v>#N/A</v>
        <stp/>
        <stp>##V3_BDHV12</stp>
        <stp>SYK US Equity</stp>
        <stp>HIGH_EV_TO_T12M_EBIT</stp>
        <stp>-6FY</stp>
        <stp>-6FY</stp>
        <stp>[Fundamental &amp; Technical Model (1).xlsm]Multiples!R29C7</stp>
        <stp>EQY_CONSOLIDATED</stp>
        <stp>Yes</stp>
        <stp>ACCOUNTING_STANDARD_OVERRIDE</stp>
        <stp>Mixed</stp>
        <stp>Per</stp>
        <stp>FY</stp>
        <stp>Days=A</stp>
        <tr r="G29" s="16"/>
        <tr r="G29" s="16"/>
      </tp>
      <tp>
        <v>20.110892919025066</v>
        <stp/>
        <stp>##V3_BQLV12</stp>
        <stp>[Fundamental &amp; Technical Model (1).xlsm]Ratios!R24C8</stp>
        <stp>SYK US Equity</stp>
        <stp>EBIT_MARGIN</stp>
        <stp>FPT</stp>
        <stp>A</stp>
        <stp>FPO</stp>
        <stp>-6A</stp>
        <stp>STD</stp>
        <stp>Mixed</stp>
        <stp>CONSOL</stp>
        <stp>Yes</stp>
        <tr r="H24" s="8"/>
      </tp>
      <tp t="s">
        <v>12/31/2010</v>
        <stp/>
        <stp>##V3_BDPV12</stp>
        <stp>SYK US Equity</stp>
        <stp>LATEST_PERIOD_END_DT_FULL_RECORD</stp>
        <stp>[Fundamental &amp; Technical Model (1).xlsm]Segments!R87C6</stp>
        <stp>EQY_FUND_RELATIVE_PERIOD</stp>
        <stp>-8FY</stp>
        <stp>EQY_CONSOLIDATED</stp>
        <stp>Yes</stp>
        <tr r="F87" s="17"/>
        <tr r="F87" s="17"/>
      </tp>
      <tp t="s">
        <v>12/31/2012</v>
        <stp/>
        <stp>##V3_BDPV12</stp>
        <stp>SYK US Equity</stp>
        <stp>LATEST_PERIOD_END_DT_FULL_RECORD</stp>
        <stp>[Fundamental &amp; Technical Model (1).xlsm]Segments!R87C8</stp>
        <stp>EQY_FUND_RELATIVE_PERIOD</stp>
        <stp>-6FY</stp>
        <stp>EQY_CONSOLIDATED</stp>
        <stp>Yes</stp>
        <tr r="H87" s="17"/>
        <tr r="H87" s="17"/>
      </tp>
      <tp t="s">
        <v>12/31/2009</v>
        <stp/>
        <stp>##V3_BDPV12</stp>
        <stp>SYK US Equity</stp>
        <stp>LATEST_PERIOD_END_DT_FULL_RECORD</stp>
        <stp>[Fundamental &amp; Technical Model (1).xlsm]Segments!R87C5</stp>
        <stp>EQY_FUND_RELATIVE_PERIOD</stp>
        <stp>-9FY</stp>
        <stp>EQY_CONSOLIDATED</stp>
        <stp>Yes</stp>
        <tr r="E87" s="17"/>
        <tr r="E87" s="17"/>
      </tp>
      <tp t="s">
        <v>12/31/2013</v>
        <stp/>
        <stp>##V3_BDPV12</stp>
        <stp>SYK US Equity</stp>
        <stp>LATEST_PERIOD_END_DT_FULL_RECORD</stp>
        <stp>[Fundamental &amp; Technical Model (1).xlsm]Segments!R87C9</stp>
        <stp>EQY_FUND_RELATIVE_PERIOD</stp>
        <stp>-5FY</stp>
        <stp>EQY_CONSOLIDATED</stp>
        <stp>Yes</stp>
        <tr r="I87" s="17"/>
        <tr r="I87" s="17"/>
      </tp>
      <tp t="s">
        <v>12/31/2011</v>
        <stp/>
        <stp>##V3_BDPV12</stp>
        <stp>SYK US Equity</stp>
        <stp>LATEST_PERIOD_END_DT_FULL_RECORD</stp>
        <stp>[Fundamental &amp; Technical Model (1).xlsm]Segments!R87C7</stp>
        <stp>EQY_FUND_RELATIVE_PERIOD</stp>
        <stp>-7FY</stp>
        <stp>EQY_CONSOLIDATED</stp>
        <stp>Yes</stp>
        <tr r="G87" s="17"/>
        <tr r="G87" s="17"/>
      </tp>
      <tp>
        <v>3.71611</v>
        <stp/>
        <stp>##V3_BQLV12</stp>
        <stp>[Fundamental &amp; Technical Model (1).xlsm]Income Statement!R71C7</stp>
        <stp>SYK US Equity</stp>
        <stp>IS_DIL_EPS_CONT_OPS</stp>
        <stp>FPT</stp>
        <stp>A</stp>
        <stp>FPO</stp>
        <stp>-7A</stp>
        <stp>STD</stp>
        <stp>Mixed</stp>
        <stp>CONSOL</stp>
        <stp>Yes</stp>
        <stp>CURRENCY</stp>
        <stp>USD</stp>
        <tr r="G71" s="2"/>
      </tp>
      <tp>
        <v>3211</v>
        <stp/>
        <stp>##V3_BDPV12</stp>
        <stp>SYK Equity</stp>
        <stp>Trail_12M_ebitda</stp>
        <stp>[Fundamental &amp; Technical Model (1).xlsm]Public Comparables!R7C11</stp>
        <tr r="K7" s="24"/>
      </tp>
      <tp>
        <v>0</v>
        <stp/>
        <stp>##V3_BQLV12</stp>
        <stp>[Fundamental &amp; Technical Model (1).xlsm]Income Statement!R32C12</stp>
        <stp>SYK US Equity</stp>
        <stp>IS_INT_INC/10^6</stp>
        <stp>FPT</stp>
        <stp>A</stp>
        <stp>FPO</stp>
        <stp>-2A</stp>
        <stp>STD</stp>
        <stp>Mixed</stp>
        <stp>CONSOL</stp>
        <stp>Yes</stp>
        <stp>CURRENCY</stp>
        <stp>USD</stp>
        <tr r="L32" s="2"/>
      </tp>
      <tp>
        <v>18.490678403090978</v>
        <stp/>
        <stp>##V3_BQLV12</stp>
        <stp>[Fundamental &amp; Technical Model (1).xlsm]Ratios!R18C6</stp>
        <stp>SYK US Equity</stp>
        <stp>RETURN_COM_EQY</stp>
        <stp>FPT</stp>
        <stp>A</stp>
        <stp>FPO</stp>
        <stp>-8A</stp>
        <stp>STD</stp>
        <stp>Mixed</stp>
        <stp>CONSOL</stp>
        <stp>Yes</stp>
        <tr r="F18" s="8"/>
      </tp>
      <tp t="e">
        <v>#N/A</v>
        <stp/>
        <stp>##V3_BDHV12</stp>
        <stp>SYK US Equity</stp>
        <stp>AVERAGE_PRICE_TO_CASH_FLOW</stp>
        <stp>-7FY</stp>
        <stp>-7FY</stp>
        <stp>[Fundamental &amp; Technical Model (1).xlsm]Multiples!R52C6</stp>
        <stp>EQY_CONSOLIDATED</stp>
        <stp>Yes</stp>
        <stp>ACCOUNTING_STANDARD_OVERRIDE</stp>
        <stp>Mixed</stp>
        <stp>Per</stp>
        <stp>FY</stp>
        <stp>Days=A</stp>
        <tr r="F52" s="16"/>
        <tr r="F52" s="16"/>
      </tp>
      <tp>
        <v>3.9168478260869564</v>
        <stp/>
        <stp>##V3_BQLV12</stp>
        <stp>[Fundamental &amp; Technical Model (1).xlsm]Ratios!R37C7</stp>
        <stp>SYK US Equity</stp>
        <stp>CUR_RATIO</stp>
        <stp>FPT</stp>
        <stp>A</stp>
        <stp>FPO</stp>
        <stp>-7A</stp>
        <stp>STD</stp>
        <stp>Mixed</stp>
        <stp>CONSOL</stp>
        <stp>Yes</stp>
        <tr r="G37" s="8"/>
      </tp>
      <tp>
        <v>5655.4</v>
        <stp/>
        <stp>##V3_BQLV12</stp>
        <stp>[Fundamental &amp; Technical Model (1).xlsm]Balance Sheet!R57C5</stp>
        <stp>SYK US Equity</stp>
        <stp>BS_RETAIN_EARN/10^6</stp>
        <stp>FPT</stp>
        <stp>A</stp>
        <stp>FPO</stp>
        <stp>-9A</stp>
        <stp>STD</stp>
        <stp>Mixed</stp>
        <stp>CONSOL</stp>
        <stp>Yes</stp>
        <stp>CURRENCY</stp>
        <stp>USD</stp>
        <tr r="E57" s="3"/>
      </tp>
      <tp t="e">
        <v>#N/A</v>
        <stp/>
        <stp>##V3_BDHV12</stp>
        <stp>SYK US Equity</stp>
        <stp>HIGH_DIVIDEND_YIELD</stp>
        <stp>-10FY</stp>
        <stp>-10FY</stp>
        <stp>[Fundamental &amp; Technical Model (1).xlsm]Multiples!R65C3</stp>
        <stp>EQY_CONSOLIDATED</stp>
        <stp>Yes</stp>
        <stp>ACCOUNTING_STANDARD_OVERRIDE</stp>
        <stp>Mixed</stp>
        <stp>Per</stp>
        <stp>FY</stp>
        <stp>Days=A</stp>
        <tr r="C65" s="16"/>
        <tr r="C65" s="16"/>
      </tp>
      <tp t="e">
        <v>#N/A</v>
        <stp/>
        <stp>##V3_BDHV12</stp>
        <stp>SYK US Equity</stp>
        <stp>LOW_DIVIDEND_YIELD</stp>
        <stp>-6FY</stp>
        <stp>-6FY</stp>
        <stp>[Fundamental &amp; Technical Model (1).xlsm]Multiples!R66C7</stp>
        <stp>EQY_CONSOLIDATED</stp>
        <stp>Yes</stp>
        <stp>ACCOUNTING_STANDARD_OVERRIDE</stp>
        <stp>Mixed</stp>
        <stp>Per</stp>
        <stp>FY</stp>
        <stp>Days=A</stp>
        <tr r="G66" s="16"/>
        <tr r="G66" s="16"/>
      </tp>
      <tp>
        <v>23.129707362091036</v>
        <stp/>
        <stp>##V3_BQLV12</stp>
        <stp>[Fundamental &amp; Technical Model (1).xlsm]Ratios!R24C4</stp>
        <stp>SYK US Equity</stp>
        <stp>EBIT_MARGIN</stp>
        <stp>FPT</stp>
        <stp>A</stp>
        <stp>FPO</stp>
        <stp>-10A</stp>
        <stp>STD</stp>
        <stp>Mixed</stp>
        <stp>CONSOL</stp>
        <stp>Yes</stp>
        <tr r="D24" s="8"/>
      </tp>
      <tp t="e">
        <v>#N/A</v>
        <stp/>
        <stp>##V3_BDHV12</stp>
        <stp>SYK US Equity</stp>
        <stp>PX_ERN_RATIO_WITH_LOW_CLOS_PX</stp>
        <stp>-10FY</stp>
        <stp>-10FY</stp>
        <stp>[Fundamental &amp; Technical Model (1).xlsm]Multiples!R36C3</stp>
        <stp>EQY_CONSOLIDATED</stp>
        <stp>Yes</stp>
        <stp>ACCOUNTING_STANDARD_OVERRIDE</stp>
        <stp>Mixed</stp>
        <stp>Per</stp>
        <stp>FY</stp>
        <stp>Days=A</stp>
        <tr r="C36" s="16"/>
        <tr r="C36" s="16"/>
      </tp>
      <tp>
        <v>15.46304256157114</v>
        <stp/>
        <stp>##V3_BQLV12</stp>
        <stp>[Fundamental &amp; Technical Model (1).xlsm]Key Stats!R55C8</stp>
        <stp>SYK US Equity</stp>
        <stp>EV_TO_EBIT</stp>
        <stp>FPT=A</stp>
        <stp>FPO=3</stp>
        <stp>STD</stp>
        <stp>Mixed</stp>
        <stp>CONSOL</stp>
        <stp>Yes</stp>
        <stp>CURRENCY</stp>
        <stp>USD</stp>
        <tr r="H55" s="23"/>
      </tp>
      <tp>
        <v>23.799999999999997</v>
        <stp/>
        <stp>##V3_BDPV12</stp>
        <stp>SYK US Equity</stp>
        <stp>BS_OPTIONS_OUTSTANDING</stp>
        <stp>[Fundamental &amp; Technical Model (1).xlsm]Supplemental!R16C3</stp>
        <stp>EQY_FUND_RELATIVE_PERIOD</stp>
        <stp>-10FY</stp>
        <stp>EQY_FUND_CRNCY</stp>
        <stp>USD</stp>
        <stp>EQY_CONSOLIDATED</stp>
        <stp>Yes</stp>
        <stp>ACCOUNTING_STANDARD_OVERRIDE</stp>
        <stp>Mixed</stp>
        <stp>Fill=--</stp>
        <tr r="C16" s="19"/>
      </tp>
      <tp t="e">
        <v>#N/A</v>
        <stp/>
        <stp>##V3_BDHV12</stp>
        <stp>SYK US Equity</stp>
        <stp>HIGH_EV_TO_T12M_EBIT</stp>
        <stp>-7FY</stp>
        <stp>-7FY</stp>
        <stp>[Fundamental &amp; Technical Model (1).xlsm]Multiples!R29C6</stp>
        <stp>EQY_CONSOLIDATED</stp>
        <stp>Yes</stp>
        <stp>ACCOUNTING_STANDARD_OVERRIDE</stp>
        <stp>Mixed</stp>
        <stp>Per</stp>
        <stp>FY</stp>
        <stp>Days=A</stp>
        <tr r="F29" s="16"/>
        <tr r="F29" s="16"/>
      </tp>
      <tp>
        <v>-100</v>
        <stp/>
        <stp>##V3_BQLV12</stp>
        <stp>[Fundamental &amp; Technical Model (1).xlsm]Cash Flow!R39C10</stp>
        <stp>SYK US Equity</stp>
        <stp>CF_DECR_CAP_STOCK/10^6</stp>
        <stp>FPT</stp>
        <stp>A</stp>
        <stp>FPO</stp>
        <stp>-4A</stp>
        <stp>STD</stp>
        <stp>Mixed</stp>
        <stp>CONSOL</stp>
        <stp>Yes</stp>
        <stp>CURRENCY</stp>
        <stp>USD</stp>
        <tr r="J39" s="4"/>
      </tp>
      <tp>
        <v>3.3578350000000001</v>
        <stp/>
        <stp>##V3_BQLV12</stp>
        <stp>[Fundamental &amp; Technical Model (1).xlsm]Income Statement!R71C6</stp>
        <stp>SYK US Equity</stp>
        <stp>IS_DIL_EPS_CONT_OPS</stp>
        <stp>FPT</stp>
        <stp>A</stp>
        <stp>FPO</stp>
        <stp>-8A</stp>
        <stp>STD</stp>
        <stp>Mixed</stp>
        <stp>CONSOL</stp>
        <stp>Yes</stp>
        <stp>CURRENCY</stp>
        <stp>USD</stp>
        <tr r="F71" s="2"/>
      </tp>
      <tp>
        <v>-700</v>
        <stp/>
        <stp>##V3_BQLV12</stp>
        <stp>[Fundamental &amp; Technical Model (1).xlsm]Cash Flow!R39C11</stp>
        <stp>SYK US Equity</stp>
        <stp>CF_DECR_CAP_STOCK/10^6</stp>
        <stp>FPT</stp>
        <stp>A</stp>
        <stp>FPO</stp>
        <stp>-3A</stp>
        <stp>STD</stp>
        <stp>Mixed</stp>
        <stp>CONSOL</stp>
        <stp>Yes</stp>
        <stp>CURRENCY</stp>
        <stp>USD</stp>
        <tr r="K39" s="4"/>
      </tp>
      <tp>
        <v>-13</v>
        <stp/>
        <stp>##V3_BQLV12</stp>
        <stp>[Fundamental &amp; Technical Model (1).xlsm]Cash Flow!R39C12</stp>
        <stp>SYK US Equity</stp>
        <stp>CF_DECR_CAP_STOCK/10^6</stp>
        <stp>FPT</stp>
        <stp>A</stp>
        <stp>FPO</stp>
        <stp>-2A</stp>
        <stp>STD</stp>
        <stp>Mixed</stp>
        <stp>CONSOL</stp>
        <stp>Yes</stp>
        <stp>CURRENCY</stp>
        <stp>USD</stp>
        <tr r="L39" s="4"/>
      </tp>
      <tp>
        <v>-230</v>
        <stp/>
        <stp>##V3_BQLV12</stp>
        <stp>[Fundamental &amp; Technical Model (1).xlsm]Cash Flow!R39C13</stp>
        <stp>SYK US Equity</stp>
        <stp>CF_DECR_CAP_STOCK/10^6</stp>
        <stp>FPT</stp>
        <stp>A</stp>
        <stp>FPO</stp>
        <stp>-1A</stp>
        <stp>STD</stp>
        <stp>Mixed</stp>
        <stp>CONSOL</stp>
        <stp>Yes</stp>
        <stp>CURRENCY</stp>
        <stp>USD</stp>
        <tr r="M39" s="4"/>
      </tp>
      <tp>
        <v>-300</v>
        <stp/>
        <stp>##V3_BQLV12</stp>
        <stp>[Fundamental &amp; Technical Model (1).xlsm]Cash Flow!R39C14</stp>
        <stp>SYK US Equity</stp>
        <stp>CF_DECR_CAP_STOCK/10^6</stp>
        <stp>FPT</stp>
        <stp>A</stp>
        <stp>FPO</stp>
        <stp>-0A</stp>
        <stp>STD</stp>
        <stp>Mixed</stp>
        <stp>CONSOL</stp>
        <stp>Yes</stp>
        <stp>CURRENCY</stp>
        <stp>USD</stp>
        <tr r="N39" s="4"/>
      </tp>
      <tp>
        <v>20.296135789093537</v>
        <stp/>
        <stp>##V3_BQLV12</stp>
        <stp>[Fundamental &amp; Technical Model (1).xlsm]Ratios!R24C7</stp>
        <stp>SYK US Equity</stp>
        <stp>EBIT_MARGIN</stp>
        <stp>FPT</stp>
        <stp>A</stp>
        <stp>FPO</stp>
        <stp>-7A</stp>
        <stp>STD</stp>
        <stp>Mixed</stp>
        <stp>CONSOL</stp>
        <stp>Yes</stp>
        <tr r="G24" s="8"/>
      </tp>
      <tp>
        <v>0</v>
        <stp/>
        <stp>##V3_BQLV12</stp>
        <stp>[Fundamental &amp; Technical Model (1).xlsm]Income Statement!R32C13</stp>
        <stp>SYK US Equity</stp>
        <stp>IS_INT_INC/10^6</stp>
        <stp>FPT</stp>
        <stp>A</stp>
        <stp>FPO</stp>
        <stp>-1A</stp>
        <stp>STD</stp>
        <stp>Mixed</stp>
        <stp>CONSOL</stp>
        <stp>Yes</stp>
        <stp>CURRENCY</stp>
        <stp>USD</stp>
        <tr r="M32" s="2"/>
      </tp>
      <tp>
        <v>30</v>
        <stp/>
        <stp>##V3_BDPV12</stp>
        <stp>SYK US Equity</stp>
        <stp>BS_RENTAL_EXP_YEAR_4</stp>
        <stp>[Fundamental &amp; Technical Model (1).xlsm]Capital Structure Summary!R100C11</stp>
        <stp>EQY_FUND_RELATIVE_PERIOD</stp>
        <stp>-0FY</stp>
        <stp>EQY_FUND_CRNCY</stp>
        <stp>USD</stp>
        <stp>EQY_CONSOLIDATED</stp>
        <stp>Yes</stp>
        <stp>ACCOUNTING_STANDARD_OVERRIDE</stp>
        <stp>Mixed</stp>
        <stp>Fill=--</stp>
        <tr r="K100" s="21"/>
      </tp>
      <tp>
        <v>24</v>
        <stp/>
        <stp>##V3_BDPV12</stp>
        <stp>SYK US Equity</stp>
        <stp>BS_RENTAL_EXP_YEAR_5</stp>
        <stp>[Fundamental &amp; Technical Model (1).xlsm]Capital Structure Summary!R101C11</stp>
        <stp>EQY_FUND_RELATIVE_PERIOD</stp>
        <stp>-0FY</stp>
        <stp>EQY_FUND_CRNCY</stp>
        <stp>USD</stp>
        <stp>EQY_CONSOLIDATED</stp>
        <stp>Yes</stp>
        <stp>ACCOUNTING_STANDARD_OVERRIDE</stp>
        <stp>Mixed</stp>
        <stp>Fill=--</stp>
        <tr r="K101" s="21"/>
      </tp>
      <tp>
        <v>69885.66512564171</v>
        <stp/>
        <stp>##V3_BQLV12</stp>
        <stp>[Fundamental &amp; Technical Model (1).xlsm]Key Stats!R37C4</stp>
        <stp>SYK US Equity</stp>
        <stp>CUR_MKT_CAP/10^6</stp>
        <stp>CURRENCY</stp>
        <stp>USD</stp>
        <stp>ExcelFill=B</stp>
        <tr r="D37" s="23"/>
      </tp>
      <tp t="e">
        <v>#N/A</v>
        <stp/>
        <stp>##V3_BDHV12</stp>
        <stp>SYK US Equity</stp>
        <stp>WACC_COST_EQUITY</stp>
        <stp>-0FY</stp>
        <stp>-0FY</stp>
        <stp>[Fundamental &amp; Technical Model (1).xlsm]Capital Structure Summary!R15C11</stp>
        <stp>Per</stp>
        <stp>FY</stp>
        <tr r="K15" s="21"/>
      </tp>
      <tp>
        <v>6171</v>
        <stp/>
        <stp>##V3_BQLV12</stp>
        <stp>[Fundamental &amp; Technical Model (1).xlsm]Balance Sheet!R57C6</stp>
        <stp>SYK US Equity</stp>
        <stp>BS_RETAIN_EARN/10^6</stp>
        <stp>FPT</stp>
        <stp>A</stp>
        <stp>FPO</stp>
        <stp>-8A</stp>
        <stp>STD</stp>
        <stp>Mixed</stp>
        <stp>CONSOL</stp>
        <stp>Yes</stp>
        <stp>CURRENCY</stp>
        <stp>USD</stp>
        <tr r="F57" s="3"/>
      </tp>
      <tp t="e">
        <v>#N/A</v>
        <stp/>
        <stp>##V3_BDHV12</stp>
        <stp>SYK US Equity</stp>
        <stp>AVERAGE_PRICE_TO_CASH_FLOW</stp>
        <stp>-8FY</stp>
        <stp>-8FY</stp>
        <stp>[Fundamental &amp; Technical Model (1).xlsm]Multiples!R52C5</stp>
        <stp>EQY_CONSOLIDATED</stp>
        <stp>Yes</stp>
        <stp>ACCOUNTING_STANDARD_OVERRIDE</stp>
        <stp>Mixed</stp>
        <stp>Per</stp>
        <stp>FY</stp>
        <stp>Days=A</stp>
        <tr r="E52" s="16"/>
        <tr r="E52" s="16"/>
      </tp>
      <tp>
        <v>63.655737704918032</v>
        <stp/>
        <stp>##V3_BQLV12</stp>
        <stp>[Fundamental &amp; Technical Model (1).xlsm]Ratios!R53C4</stp>
        <stp>SYK US Equity</stp>
        <stp>EBITDA_TO_TOT_INT_EXP</stp>
        <stp>FPT</stp>
        <stp>A</stp>
        <stp>FPO</stp>
        <stp>-10A</stp>
        <stp>STD</stp>
        <stp>Mixed</stp>
        <stp>CONSOL</stp>
        <stp>Yes</stp>
        <tr r="D53" s="8"/>
      </tp>
      <tp>
        <v>37.427708333333335</v>
        <stp/>
        <stp>##V3_BQLV12</stp>
        <stp>[Fundamental &amp; Technical Model (1).xlsm]Ratios!R42C6</stp>
        <stp>SYK US Equity</stp>
        <stp>ACCOUNTS_PAYABLE_TURNOVER_DAYS</stp>
        <stp>FPT</stp>
        <stp>A</stp>
        <stp>FPO</stp>
        <stp>-8A</stp>
        <stp>STD</stp>
        <stp>Mixed</stp>
        <stp>CONSOL</stp>
        <stp>Yes</stp>
        <tr r="F42" s="8"/>
      </tp>
      <tp t="e">
        <v>#N/A</v>
        <stp/>
        <stp>##V3_BDHV12</stp>
        <stp>SYK US Equity</stp>
        <stp>LOW_DIVIDEND_YIELD</stp>
        <stp>-9FY</stp>
        <stp>-9FY</stp>
        <stp>[Fundamental &amp; Technical Model (1).xlsm]Multiples!R66C4</stp>
        <stp>EQY_CONSOLIDATED</stp>
        <stp>Yes</stp>
        <stp>ACCOUNTING_STANDARD_OVERRIDE</stp>
        <stp>Mixed</stp>
        <stp>Per</stp>
        <stp>FY</stp>
        <stp>Days=A</stp>
        <tr r="D66" s="16"/>
        <tr r="D66" s="16"/>
      </tp>
      <tp>
        <v>0.37915919137366599</v>
        <stp/>
        <stp>##V3_BQLV12</stp>
        <stp>[Fundamental &amp; Technical Model (1).xlsm]Ratios!R46C4</stp>
        <stp>SYK US Equity</stp>
        <stp>TOT_DEBT_TO_TOT_EQY</stp>
        <stp>FPT</stp>
        <stp>A</stp>
        <stp>FPO</stp>
        <stp>-10A</stp>
        <stp>STD</stp>
        <stp>Mixed</stp>
        <stp>CONSOL</stp>
        <stp>Yes</stp>
        <tr r="D46" s="8"/>
      </tp>
      <tp t="s">
        <v>#N/A N/A</v>
        <stp/>
        <stp>##V3_BDSV12</stp>
        <stp>SYK US Equity</stp>
        <stp>PG_CAPITAL_EXPENDITURES</stp>
        <stp>[Fundamental &amp; Technical Model (1).xlsm]Segments!R169C3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8</stp>
        <stp>EndRow</stp>
        <stp>8</stp>
        <tr r="C169" s="17"/>
      </tp>
      <tp t="s">
        <v>MedSurg Equipment</v>
        <stp/>
        <stp>##V3_BDSV12</stp>
        <stp>SYK US Equity</stp>
        <stp>PG_CAPITAL_EXPENDITURES</stp>
        <stp>[Fundamental &amp; Technical Model (1).xlsm]Segments!R165C3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4</stp>
        <stp>EndRow</stp>
        <stp>4</stp>
        <tr r="C165" s="17"/>
        <tr r="C165" s="17"/>
      </tp>
      <tp t="s">
        <v>Orthopedic Implants</v>
        <stp/>
        <stp>##V3_BDSV12</stp>
        <stp>SYK US Equity</stp>
        <stp>PG_CAPITAL_EXPENDITURES</stp>
        <stp>[Fundamental &amp; Technical Model (1).xlsm]Segments!R167C3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6</stp>
        <stp>EndRow</stp>
        <stp>6</stp>
        <tr r="C167" s="17"/>
        <tr r="C167" s="17"/>
      </tp>
      <tp t="s">
        <v>Orthopaedics</v>
        <stp/>
        <stp>##V3_BDSV12</stp>
        <stp>SYK US Equity</stp>
        <stp>PG_CAPITAL_EXPENDITURES</stp>
        <stp>[Fundamental &amp; Technical Model (1).xlsm]Segments!R163C3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2</stp>
        <stp>EndRow</stp>
        <stp>2</stp>
        <tr r="C163" s="17"/>
        <tr r="C163" s="17"/>
      </tp>
      <tp t="s">
        <v>Others</v>
        <stp/>
        <stp>##V3_BDSV12</stp>
        <stp>SYK US Equity</stp>
        <stp>PG_CAPITAL_EXPENDITURES</stp>
        <stp>[Fundamental &amp; Technical Model (1).xlsm]Segments!R166C3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5</stp>
        <stp>EndRow</stp>
        <stp>5</stp>
        <tr r="C166" s="17"/>
        <tr r="C166" s="17"/>
      </tp>
      <tp t="s">
        <v>Neurotech and Spine</v>
        <stp/>
        <stp>##V3_BDSV12</stp>
        <stp>SYK US Equity</stp>
        <stp>PG_CAPITAL_EXPENDITURES</stp>
        <stp>[Fundamental &amp; Technical Model (1).xlsm]Segments!R162C3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stp>
        <stp>EndRow</stp>
        <stp>1</stp>
        <tr r="C162" s="17"/>
        <tr r="C162" s="17"/>
      </tp>
      <tp t="s">
        <v>#N/A N/A</v>
        <stp/>
        <stp>##V3_BDSV12</stp>
        <stp>SYK US Equity</stp>
        <stp>PG_CAPITAL_EXPENDITURES</stp>
        <stp>[Fundamental &amp; Technical Model (1).xlsm]Segments!R168C9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7</stp>
        <stp>EndRow</stp>
        <stp>7</stp>
        <tr r="I168" s="17"/>
      </tp>
      <tp t="s">
        <v>#N/A N/A</v>
        <stp/>
        <stp>##V3_BDSV12</stp>
        <stp>SYK US Equity</stp>
        <stp>PG_CAPITAL_EXPENDITURES</stp>
        <stp>[Fundamental &amp; Technical Model (1).xlsm]Segments!R168C8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7</stp>
        <stp>EndRow</stp>
        <stp>7</stp>
        <tr r="H168" s="17"/>
      </tp>
      <tp t="s">
        <v>Others</v>
        <stp/>
        <stp>##V3_BDSV12</stp>
        <stp>SYK US Equity</stp>
        <stp>PG_CAPITAL_EXPENDITURES</stp>
        <stp>[Fundamental &amp; Technical Model (1).xlsm]Segments!R164C3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3</stp>
        <stp>EndRow</stp>
        <stp>3</stp>
        <tr r="C164" s="17"/>
        <tr r="C164" s="17"/>
      </tp>
      <tp>
        <v>-59</v>
        <stp/>
        <stp>##V3_BDSV12</stp>
        <stp>SYK US Equity</stp>
        <stp>PG_CAPITAL_EXPENDITURES</stp>
        <stp>[Fundamental &amp; Technical Model (1).xlsm]Segments!R165C9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4</stp>
        <stp>EndRow</stp>
        <stp>4</stp>
        <tr r="I165" s="17"/>
        <tr r="I165" s="17"/>
      </tp>
      <tp t="s">
        <v>#N/A N/A</v>
        <stp/>
        <stp>##V3_BDSV12</stp>
        <stp>SYK US Equity</stp>
        <stp>PG_CAPITAL_EXPENDITURES</stp>
        <stp>[Fundamental &amp; Technical Model (1).xlsm]Segments!R167C9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6</stp>
        <stp>EndRow</stp>
        <stp>6</stp>
        <tr r="I167" s="17"/>
      </tp>
      <tp>
        <v>-89</v>
        <stp/>
        <stp>##V3_BDSV12</stp>
        <stp>SYK US Equity</stp>
        <stp>PG_CAPITAL_EXPENDITURES</stp>
        <stp>[Fundamental &amp; Technical Model (1).xlsm]Segments!R163C9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2</stp>
        <stp>EndRow</stp>
        <stp>2</stp>
        <tr r="I163" s="17"/>
        <tr r="I163" s="17"/>
      </tp>
      <tp t="s">
        <v>#N/A N/A</v>
        <stp/>
        <stp>##V3_BDSV12</stp>
        <stp>SYK US Equity</stp>
        <stp>PG_CAPITAL_EXPENDITURES</stp>
        <stp>[Fundamental &amp; Technical Model (1).xlsm]Segments!R169C9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8</stp>
        <stp>EndRow</stp>
        <stp>8</stp>
        <tr r="I169" s="17"/>
      </tp>
      <tp>
        <v>-51</v>
        <stp/>
        <stp>##V3_BDSV12</stp>
        <stp>SYK US Equity</stp>
        <stp>PG_CAPITAL_EXPENDITURES</stp>
        <stp>[Fundamental &amp; Technical Model (1).xlsm]Segments!R165C8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4</stp>
        <stp>EndRow</stp>
        <stp>4</stp>
        <tr r="H165" s="17"/>
        <tr r="H165" s="17"/>
      </tp>
      <tp t="s">
        <v>#N/A N/A</v>
        <stp/>
        <stp>##V3_BDSV12</stp>
        <stp>SYK US Equity</stp>
        <stp>PG_CAPITAL_EXPENDITURES</stp>
        <stp>[Fundamental &amp; Technical Model (1).xlsm]Segments!R167C8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6</stp>
        <stp>EndRow</stp>
        <stp>6</stp>
        <tr r="H167" s="17"/>
      </tp>
      <tp>
        <v>-87</v>
        <stp/>
        <stp>##V3_BDSV12</stp>
        <stp>SYK US Equity</stp>
        <stp>PG_CAPITAL_EXPENDITURES</stp>
        <stp>[Fundamental &amp; Technical Model (1).xlsm]Segments!R163C8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2</stp>
        <stp>EndRow</stp>
        <stp>2</stp>
        <tr r="H163" s="17"/>
        <tr r="H163" s="17"/>
      </tp>
      <tp t="s">
        <v>#N/A N/A</v>
        <stp/>
        <stp>##V3_BDSV12</stp>
        <stp>SYK US Equity</stp>
        <stp>PG_CAPITAL_EXPENDITURES</stp>
        <stp>[Fundamental &amp; Technical Model (1).xlsm]Segments!R169C8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8</stp>
        <stp>EndRow</stp>
        <stp>8</stp>
        <tr r="H169" s="17"/>
      </tp>
      <tp t="s">
        <v>#N/A N/A</v>
        <stp/>
        <stp>##V3_BDSV12</stp>
        <stp>SYK US Equity</stp>
        <stp>PG_CAPITAL_EXPENDITURES</stp>
        <stp>[Fundamental &amp; Technical Model (1).xlsm]Segments!R166C9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5</stp>
        <stp>EndRow</stp>
        <stp>5</stp>
        <tr r="I166" s="17"/>
      </tp>
      <tp>
        <v>-16</v>
        <stp/>
        <stp>##V3_BDSV12</stp>
        <stp>SYK US Equity</stp>
        <stp>PG_CAPITAL_EXPENDITURES</stp>
        <stp>[Fundamental &amp; Technical Model (1).xlsm]Segments!R162C9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1</stp>
        <stp>EndRow</stp>
        <stp>1</stp>
        <tr r="I162" s="17"/>
        <tr r="I162" s="17"/>
      </tp>
      <tp t="s">
        <v>#N/A N/A</v>
        <stp/>
        <stp>##V3_BDSV12</stp>
        <stp>SYK US Equity</stp>
        <stp>PG_CAPITAL_EXPENDITURES</stp>
        <stp>[Fundamental &amp; Technical Model (1).xlsm]Segments!R166C8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5</stp>
        <stp>EndRow</stp>
        <stp>5</stp>
        <tr r="H166" s="17"/>
      </tp>
      <tp>
        <v>-53</v>
        <stp/>
        <stp>##V3_BDSV12</stp>
        <stp>SYK US Equity</stp>
        <stp>PG_CAPITAL_EXPENDITURES</stp>
        <stp>[Fundamental &amp; Technical Model (1).xlsm]Segments!R162C8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1</stp>
        <stp>EndRow</stp>
        <stp>1</stp>
        <tr r="H162" s="17"/>
        <tr r="H162" s="17"/>
      </tp>
      <tp>
        <v>15205</v>
        <stp/>
        <stp>##V3_BQLV12</stp>
        <stp>[Fundamental &amp; Technical Model (1).xlsm]Balance Sheet!R33C14</stp>
        <stp>SYK US Equity</stp>
        <stp>BS_OTHER_ASSETS_DEF_CHRG_OTHER/10^6</stp>
        <stp>FPT</stp>
        <stp>A</stp>
        <stp>FPO</stp>
        <stp>-0A</stp>
        <stp>STD</stp>
        <stp>Mixed</stp>
        <stp>CONSOL</stp>
        <stp>Yes</stp>
        <stp>CURRENCY</stp>
        <stp>USD</stp>
        <tr r="N33" s="3"/>
      </tp>
      <tp>
        <v>-31</v>
        <stp/>
        <stp>##V3_BDSV12</stp>
        <stp>SYK US Equity</stp>
        <stp>PG_CAPITAL_EXPENDITURES</stp>
        <stp>[Fundamental &amp; Technical Model (1).xlsm]Segments!R164C9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3</stp>
        <stp>EndRow</stp>
        <stp>3</stp>
        <tr r="I164" s="17"/>
        <tr r="I164" s="17"/>
      </tp>
      <tp>
        <v>-19</v>
        <stp/>
        <stp>##V3_BDSV12</stp>
        <stp>SYK US Equity</stp>
        <stp>PG_CAPITAL_EXPENDITURES</stp>
        <stp>[Fundamental &amp; Technical Model (1).xlsm]Segments!R164C8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3</stp>
        <stp>EndRow</stp>
        <stp>3</stp>
        <tr r="H164" s="17"/>
        <tr r="H164" s="17"/>
      </tp>
      <tp t="s">
        <v>Reconstructive_orthopaedics</v>
        <stp/>
        <stp>##V3_BDSV12</stp>
        <stp>SYK US Equity</stp>
        <stp>PG_CAPITAL_EXPENDITURES</stp>
        <stp>[Fundamental &amp; Technical Model (1).xlsm]Segments!R168C3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7</stp>
        <stp>EndRow</stp>
        <stp>7</stp>
        <tr r="C168" s="17"/>
        <tr r="C168" s="17"/>
      </tp>
      <tp>
        <v>125.253</v>
        <stp/>
        <stp>##V3_BDPV12</stp>
        <stp>ZBH Equity</stp>
        <stp>px_last</stp>
        <stp>[Fundamental &amp; Technical Model (1).xlsm]Public Comparables!R13C5</stp>
        <tr r="E13" s="24"/>
      </tp>
      <tp>
        <v>26.18460628932597</v>
        <stp/>
        <stp>##V3_BQLV12</stp>
        <stp>[Fundamental &amp; Technical Model (1).xlsm]Key Stats!R55C4</stp>
        <stp>SYK US Equity</stp>
        <stp>EV_TO_EBIT</stp>
        <stp>FPT=A</stp>
        <stp>FPO=0</stp>
        <stp>STD</stp>
        <stp>Mixed</stp>
        <stp>CONSOL</stp>
        <stp>Yes</stp>
        <stp>CURRENCY</stp>
        <stp>USD</stp>
        <tr r="D55" s="23"/>
      </tp>
      <tp>
        <v>2.81</v>
        <stp/>
        <stp>##V3_BQLV12</stp>
        <stp>[Fundamental &amp; Technical Model (1).xlsm]Income Statement!R63C4</stp>
        <stp>SYK US Equity</stp>
        <stp>IS_EARN_BEF_XO_ITEMS_PER_SH</stp>
        <stp>FPT</stp>
        <stp>A</stp>
        <stp>FPO</stp>
        <stp>-10A</stp>
        <stp>STD</stp>
        <stp>Mixed</stp>
        <stp>CONSOL</stp>
        <stp>Yes</stp>
        <stp>CURRENCY</stp>
        <stp>USD</stp>
        <tr r="D63" s="2"/>
      </tp>
      <tp>
        <v>2.9758089999999999</v>
        <stp/>
        <stp>##V3_BQLV12</stp>
        <stp>[Fundamental &amp; Technical Model (1).xlsm]Income Statement!R71C5</stp>
        <stp>SYK US Equity</stp>
        <stp>IS_DIL_EPS_CONT_OPS</stp>
        <stp>FPT</stp>
        <stp>A</stp>
        <stp>FPO</stp>
        <stp>-9A</stp>
        <stp>STD</stp>
        <stp>Mixed</stp>
        <stp>CONSOL</stp>
        <stp>Yes</stp>
        <stp>CURRENCY</stp>
        <stp>USD</stp>
        <tr r="E71" s="2"/>
      </tp>
      <tp t="e">
        <v>#N/A</v>
        <stp/>
        <stp>##V3_BDHV12</stp>
        <stp>SYK US Equity</stp>
        <stp>HIGH_EV_TO_T12M_EBIT</stp>
        <stp>-8FY</stp>
        <stp>-8FY</stp>
        <stp>[Fundamental &amp; Technical Model (1).xlsm]Multiples!R29C5</stp>
        <stp>EQY_CONSOLIDATED</stp>
        <stp>Yes</stp>
        <stp>ACCOUNTING_STANDARD_OVERRIDE</stp>
        <stp>Mixed</stp>
        <stp>Per</stp>
        <stp>FY</stp>
        <stp>Days=A</stp>
        <tr r="E29" s="16"/>
        <tr r="E29" s="16"/>
      </tp>
      <tp>
        <v>0</v>
        <stp/>
        <stp>##V3_BQLV12</stp>
        <stp>[Fundamental &amp; Technical Model (1).xlsm]Income Statement!R32C10</stp>
        <stp>SYK US Equity</stp>
        <stp>IS_INT_INC/10^6</stp>
        <stp>FPT</stp>
        <stp>A</stp>
        <stp>FPO</stp>
        <stp>-4A</stp>
        <stp>STD</stp>
        <stp>Mixed</stp>
        <stp>CONSOL</stp>
        <stp>Yes</stp>
        <stp>CURRENCY</stp>
        <stp>USD</stp>
        <tr r="J32" s="2"/>
      </tp>
      <tp t="e">
        <v>#N/A</v>
        <stp/>
        <stp>##V3_BDHV12</stp>
        <stp>SYK US Equity</stp>
        <stp>AVERAGE_DIVIDEND_YIELD</stp>
        <stp>-10FY</stp>
        <stp>-10FY</stp>
        <stp>[Fundamental &amp; Technical Model (1).xlsm]Multiples!R64C3</stp>
        <stp>EQY_CONSOLIDATED</stp>
        <stp>Yes</stp>
        <stp>ACCOUNTING_STANDARD_OVERRIDE</stp>
        <stp>Mixed</stp>
        <stp>Per</stp>
        <stp>FY</stp>
        <stp>Days=A</stp>
        <tr r="C64" s="16"/>
        <tr r="C64" s="16"/>
      </tp>
      <tp>
        <v>3.1369966127211142</v>
        <stp/>
        <stp>##V3_BQLV12</stp>
        <stp>[Fundamental &amp; Technical Model (1).xlsm]Ratios!R37C9</stp>
        <stp>SYK US Equity</stp>
        <stp>CUR_RATIO</stp>
        <stp>FPT</stp>
        <stp>A</stp>
        <stp>FPO</stp>
        <stp>-5A</stp>
        <stp>STD</stp>
        <stp>Mixed</stp>
        <stp>CONSOL</stp>
        <stp>Yes</stp>
        <tr r="I37" s="8"/>
      </tp>
      <tp>
        <v>20164</v>
        <stp/>
        <stp>##V3_BQLV12</stp>
        <stp>[Fundamental &amp; Technical Model (1).xlsm]Key Stats!R47C4</stp>
        <stp>SYK US Equity</stp>
        <stp>BS_TOT_CAP/10^6</stp>
        <stp>STD</stp>
        <stp>Mixed</stp>
        <stp>CONSOL</stp>
        <stp>Yes</stp>
        <stp>CURRENCY</stp>
        <stp>USD</stp>
        <tr r="D47" s="23"/>
      </tp>
      <tp t="s">
        <v>#N/A</v>
        <stp/>
        <stp>##V3_BQLV12</stp>
        <stp>[Fundamental &amp; Technical Model (1).xlsm]Balance Sheet!R25C4</stp>
        <stp>SYK US Equity</stp>
        <stp>BS_RESTRICT_BOND_PROCEED/10^6</stp>
        <stp>FPT</stp>
        <stp>A</stp>
        <stp>FPO</stp>
        <stp>-10A</stp>
        <stp>STD</stp>
        <stp>Mixed</stp>
        <stp>CONSOL</stp>
        <stp>Yes</stp>
        <stp>CURRENCY</stp>
        <stp>USD</stp>
        <tr r="D25" s="3"/>
      </tp>
      <tp>
        <v>6623</v>
        <stp/>
        <stp>##V3_BQLV12</stp>
        <stp>[Fundamental &amp; Technical Model (1).xlsm]Balance Sheet!R57C7</stp>
        <stp>SYK US Equity</stp>
        <stp>BS_RETAIN_EARN/10^6</stp>
        <stp>FPT</stp>
        <stp>A</stp>
        <stp>FPO</stp>
        <stp>-7A</stp>
        <stp>STD</stp>
        <stp>Mixed</stp>
        <stp>CONSOL</stp>
        <stp>Yes</stp>
        <stp>CURRENCY</stp>
        <stp>USD</stp>
        <tr r="G57" s="3"/>
      </tp>
      <tp t="e">
        <v>#N/A</v>
        <stp/>
        <stp>##V3_BDHV12</stp>
        <stp>SYK US Equity</stp>
        <stp>AVERAGE_PRICE_TO_CASH_FLOW</stp>
        <stp>-9FY</stp>
        <stp>-9FY</stp>
        <stp>[Fundamental &amp; Technical Model (1).xlsm]Multiples!R52C4</stp>
        <stp>EQY_CONSOLIDATED</stp>
        <stp>Yes</stp>
        <stp>ACCOUNTING_STANDARD_OVERRIDE</stp>
        <stp>Mixed</stp>
        <stp>Per</stp>
        <stp>FY</stp>
        <stp>Days=A</stp>
        <tr r="D52" s="16"/>
        <tr r="D52" s="16"/>
      </tp>
      <tp>
        <v>39.827185760934555</v>
        <stp/>
        <stp>##V3_BQLV12</stp>
        <stp>[Fundamental &amp; Technical Model (1).xlsm]Ratios!R42C5</stp>
        <stp>SYK US Equity</stp>
        <stp>ACCOUNTS_PAYABLE_TURNOVER_DAYS</stp>
        <stp>FPT</stp>
        <stp>A</stp>
        <stp>FPO</stp>
        <stp>-9A</stp>
        <stp>STD</stp>
        <stp>Mixed</stp>
        <stp>CONSOL</stp>
        <stp>Yes</stp>
        <tr r="E42" s="8"/>
      </tp>
      <tp t="e">
        <v>#N/A</v>
        <stp/>
        <stp>##V3_BDHV12</stp>
        <stp>SYK US Equity</stp>
        <stp>LOW_DIVIDEND_YIELD</stp>
        <stp>-8FY</stp>
        <stp>-8FY</stp>
        <stp>[Fundamental &amp; Technical Model (1).xlsm]Multiples!R66C5</stp>
        <stp>EQY_CONSOLIDATED</stp>
        <stp>Yes</stp>
        <stp>ACCOUNTING_STANDARD_OVERRIDE</stp>
        <stp>Mixed</stp>
        <stp>Per</stp>
        <stp>FY</stp>
        <stp>Days=A</stp>
        <tr r="E66" s="16"/>
        <tr r="E66" s="16"/>
      </tp>
      <tp t="s">
        <v>#N/A N/A</v>
        <stp/>
        <stp>##V3_BDSV12</stp>
        <stp>SYK US Equity</stp>
        <stp>PG_CAPITAL_EXPENDITURES</stp>
        <stp>[Fundamental &amp; Technical Model (1).xlsm]Segments!R170C9</stp>
        <stp>PG_HIERARCHY_LEVEL=1</stp>
        <stp>NUMBER_OF_PERIODS=-11</stp>
        <stp>REVERSE_PERIOD_ORDER=N</stp>
        <stp>PRODUCT_GEO_OVERRIDE=P</stp>
        <stp>FUND_PER</stp>
        <stp>Y</stp>
        <stp>ACCOUNTING_STANDARD_OVERRIDE</stp>
        <stp>Mixed</stp>
        <stp>EQY_CONSOLIDATED</stp>
        <stp>Yes</stp>
        <stp>EQY_FUND_CRNCY</stp>
        <stp>USD</stp>
        <stp>StartCol</stp>
        <stp>8</stp>
        <stp>EndCol</stp>
        <stp>8</stp>
        <stp>StartRow</stp>
        <stp>9</stp>
        <stp>EndRow</stp>
        <stp>9</stp>
        <tr r="I170" s="17"/>
      </tp>
      <tp t="s">
        <v>#N/A N/A</v>
        <stp/>
        <stp>##V3_BDSV12</stp>
        <stp>SYK US Equity</stp>
        <stp>PG_CAPITAL_EXPENDITURES</stp>
        <stp>[Fundamental &amp; Technical Model (1).xlsm]Segments!R170C8</stp>
        <stp>PG_HIERARCHY_LEVEL=1</stp>
        <stp>NUMBER_OF_PERIODS=-11</stp>
        <stp>REVERSE_PERIOD_ORDER=N</stp>
        <stp>PRODUCT_GEO_OVERRIDE=P</stp>
        <stp>FUND_PER</stp>
        <stp>Y</stp>
        <stp>ACCOUNTING_STANDARD_OVERRIDE</stp>
        <stp>Mixed</stp>
        <stp>EQY_CONSOLIDATED</stp>
        <stp>Yes</stp>
        <stp>EQY_FUND_CRNCY</stp>
        <stp>USD</stp>
        <stp>StartCol</stp>
        <stp>9</stp>
        <stp>EndCol</stp>
        <stp>9</stp>
        <stp>StartRow</stp>
        <stp>9</stp>
        <stp>EndRow</stp>
        <stp>9</stp>
        <tr r="H170" s="17"/>
      </tp>
      <tp t="s">
        <v>#N/A N/A</v>
        <stp/>
        <stp>##V3_BDSV12</stp>
        <stp>SYK US Equity</stp>
        <stp>PG_CAPITAL_EXPENDITURES</stp>
        <stp>[Fundamental &amp; Technical Model (1).xlsm]Segments!R170C3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9</stp>
        <stp>EndRow</stp>
        <stp>9</stp>
        <tr r="C170" s="17"/>
      </tp>
      <tp>
        <v>19.217741203506062</v>
        <stp/>
        <stp>##V3_BQLV12</stp>
        <stp>[Fundamental &amp; Technical Model (1).xlsm]Key Stats!R55C6</stp>
        <stp>SYK US Equity</stp>
        <stp>EV_TO_EBIT</stp>
        <stp>FPT=A</stp>
        <stp>FPO=1</stp>
        <stp>STD</stp>
        <stp>Mixed</stp>
        <stp>CONSOL</stp>
        <stp>Yes</stp>
        <stp>CURRENCY</stp>
        <stp>USD</stp>
        <tr r="F55" s="23"/>
      </tp>
      <tp t="s">
        <v>#N/A N/A</v>
        <stp/>
        <stp>##V3_BDSV12</stp>
        <stp>SYK US Equity</stp>
        <stp>PG_GROSS_PROFIT</stp>
        <stp>[Fundamental &amp; Technical Model (1).xlsm]Segments!R69C3</stp>
        <stp>PG_HIERARCHY_LEVEL=1</stp>
        <stp>NUMBER_OF_PERIODS=-11</stp>
        <stp>REVERSE_PERIOD_ORDER=N</stp>
        <stp>PRODUCT_GEO_OVERRIDE=G</stp>
        <stp>FUND_PER</stp>
        <stp>Y</stp>
        <stp>ACCOUNTING_STANDARD_OVERRIDE</stp>
        <stp>Mixed</stp>
        <stp>EQY_CONSOLIDATED</stp>
        <stp>Yes</stp>
        <stp>EQY_FUND_CRNCY</stp>
        <stp>USD</stp>
        <stp>StartCol</stp>
        <stp>1</stp>
        <stp>EndCol</stp>
        <stp>1</stp>
        <stp>StartRow</stp>
        <stp>10</stp>
        <stp>EndRow</stp>
        <stp>10</stp>
        <tr r="C69" s="17"/>
      </tp>
      <tp t="s">
        <v>#N/A N/A</v>
        <stp/>
        <stp>##V3_BDSV12</stp>
        <stp>SYK US Equity</stp>
        <stp>PG_GROSS_PROFIT</stp>
        <stp>[Fundamental &amp; Technical Model (1).xlsm]Segments!R55C3</stp>
        <stp>PG_HIERARCHY_LEVEL=1</stp>
        <stp>NUMBER_OF_PERIODS=-11</stp>
        <stp>REVERSE_PERIOD_ORDER=N</stp>
        <stp>PRODUCT_GEO_OVERRIDE=P</stp>
        <stp>FUND_PER</stp>
        <stp>Y</stp>
        <stp>ACCOUNTING_STANDARD_OVERRIDE</stp>
        <stp>Mixed</stp>
        <stp>EQY_CONSOLIDATED</stp>
        <stp>Yes</stp>
        <stp>EQY_FUND_CRNCY</stp>
        <stp>USD</stp>
        <stp>StartCol</stp>
        <stp>1</stp>
        <stp>EndCol</stp>
        <stp>1</stp>
        <stp>StartRow</stp>
        <stp>10</stp>
        <stp>EndRow</stp>
        <stp>10</stp>
        <tr r="C55" s="17"/>
      </tp>
      <tp>
        <v>1.0558846252897245E-2</v>
        <stp/>
        <stp>##V3_BQLV12</stp>
        <stp>[Fundamental &amp; Technical Model (1).xlsm]Ratios!R55C4</stp>
        <stp>SYK US Equity</stp>
        <stp>TOT_DEBT_TO_EBITDA</stp>
        <stp>FPT</stp>
        <stp>A</stp>
        <stp>FPO</stp>
        <stp>-10A</stp>
        <stp>STD</stp>
        <stp>Mixed</stp>
        <stp>CONSOL</stp>
        <stp>Yes</stp>
        <tr r="D55" s="8"/>
      </tp>
      <tp>
        <v>13.92306839596497</v>
        <stp/>
        <stp>##V3_BQLV12</stp>
        <stp>[Fundamental &amp; Technical Model (1).xlsm]Ratios!R24C9</stp>
        <stp>SYK US Equity</stp>
        <stp>EBIT_MARGIN</stp>
        <stp>FPT</stp>
        <stp>A</stp>
        <stp>FPO</stp>
        <stp>-5A</stp>
        <stp>STD</stp>
        <stp>Mixed</stp>
        <stp>CONSOL</stp>
        <stp>Yes</stp>
        <tr r="I24" s="8"/>
      </tp>
      <tp t="e">
        <v>#N/A</v>
        <stp/>
        <stp>##V3_BDHV12</stp>
        <stp>SYK US Equity</stp>
        <stp>HIGH_EV_TO_T12M_EBIT</stp>
        <stp>-9FY</stp>
        <stp>-9FY</stp>
        <stp>[Fundamental &amp; Technical Model (1).xlsm]Multiples!R29C4</stp>
        <stp>EQY_CONSOLIDATED</stp>
        <stp>Yes</stp>
        <stp>ACCOUNTING_STANDARD_OVERRIDE</stp>
        <stp>Mixed</stp>
        <stp>Per</stp>
        <stp>FY</stp>
        <stp>Days=A</stp>
        <tr r="D29" s="16"/>
        <tr r="D29" s="16"/>
      </tp>
      <tp>
        <v>5.7</v>
        <stp/>
        <stp>##V3_BQLV12</stp>
        <stp>[Fundamental &amp; Technical Model (1).xlsm]Cash Flow!R49C4</stp>
        <stp>SYK US Equity</stp>
        <stp>CF_ACT_CASH_PAID_FOR_INT_DEBT/10^6</stp>
        <stp>FPT</stp>
        <stp>A</stp>
        <stp>FPO</stp>
        <stp>-10A</stp>
        <stp>STD</stp>
        <stp>Mixed</stp>
        <stp>CONSOL</stp>
        <stp>Yes</stp>
        <stp>CURRENCY</stp>
        <stp>USD</stp>
        <tr r="D49" s="4"/>
      </tp>
      <tp>
        <v>701.5</v>
        <stp/>
        <stp>##V3_BQLV12</stp>
        <stp>[Fundamental &amp; Technical Model (1).xlsm]Balance Sheet!R26C4</stp>
        <stp>SYK US Equity</stp>
        <stp>BS_OTHER_CUR_ASSET/10^6</stp>
        <stp>FPT</stp>
        <stp>A</stp>
        <stp>FPO</stp>
        <stp>-10A</stp>
        <stp>STD</stp>
        <stp>Mixed</stp>
        <stp>CONSOL</stp>
        <stp>Yes</stp>
        <stp>CURRENCY</stp>
        <stp>USD</stp>
        <tr r="D26" s="3"/>
      </tp>
      <tp>
        <v>0</v>
        <stp/>
        <stp>##V3_BQLV12</stp>
        <stp>[Fundamental &amp; Technical Model (1).xlsm]Income Statement!R32C11</stp>
        <stp>SYK US Equity</stp>
        <stp>IS_INT_INC/10^6</stp>
        <stp>FPT</stp>
        <stp>A</stp>
        <stp>FPO</stp>
        <stp>-3A</stp>
        <stp>STD</stp>
        <stp>Mixed</stp>
        <stp>CONSOL</stp>
        <stp>Yes</stp>
        <stp>CURRENCY</stp>
        <stp>USD</stp>
        <tr r="K32" s="2"/>
      </tp>
      <tp>
        <v>13.81773828193065</v>
        <stp/>
        <stp>##V3_BQLV12</stp>
        <stp>[Fundamental &amp; Technical Model (1).xlsm]Income Statement!R74C4</stp>
        <stp>SYK US Equity</stp>
        <stp>DVD_PAYOUT_RATIO</stp>
        <stp>FPT</stp>
        <stp>A</stp>
        <stp>FPO</stp>
        <stp>-10A</stp>
        <stp>STD</stp>
        <stp>Mixed</stp>
        <stp>CONSOL</stp>
        <stp>Yes</stp>
        <stp>CURRENCY</stp>
        <stp>USD</stp>
        <tr r="D74" s="2"/>
      </tp>
      <tp>
        <v>-1.1203193407159413</v>
        <stp/>
        <stp>##V3_BQLV12</stp>
        <stp>[Fundamental &amp; Technical Model (1).xlsm]Ratios!R56C4</stp>
        <stp>SYK US Equity</stp>
        <stp>NET_DEBT_TO_EBITDA</stp>
        <stp>FPT</stp>
        <stp>A</stp>
        <stp>FPO</stp>
        <stp>-10A</stp>
        <stp>STD</stp>
        <stp>Mixed</stp>
        <stp>CONSOL</stp>
        <stp>Yes</stp>
        <tr r="D56" s="8"/>
      </tp>
      <tp>
        <v>1057</v>
        <stp/>
        <stp>##V3_BQLV12</stp>
        <stp>[Fundamental &amp; Technical Model (1).xlsm]Balance Sheet!R23C6</stp>
        <stp>SYK US Equity</stp>
        <stp>BS_INVENTORIES/10^6</stp>
        <stp>FPT</stp>
        <stp>A</stp>
        <stp>FPO</stp>
        <stp>-8A</stp>
        <stp>STD</stp>
        <stp>Mixed</stp>
        <stp>CONSOL</stp>
        <stp>Yes</stp>
        <stp>CURRENCY</stp>
        <stp>USD</stp>
        <tr r="F23" s="3"/>
      </tp>
      <tp>
        <v>0</v>
        <stp/>
        <stp>##V3_BQLV12</stp>
        <stp>[Fundamental &amp; Technical Model (1).xlsm]Key Stats!R40C4</stp>
        <stp>SYK US Equity</stp>
        <stp>BS_PFD_EQY/10^6</stp>
        <stp>STD</stp>
        <stp>Mixed</stp>
        <stp>CONSOL</stp>
        <stp>Yes</stp>
        <stp>CURRENCY</stp>
        <stp>USD</stp>
        <tr r="D40" s="23"/>
      </tp>
      <tp t="e">
        <v>#N/A</v>
        <stp/>
        <stp>##V3_BDHV12</stp>
        <stp>SYK US Equity</stp>
        <stp>HIGH_PRICE_TO_TANGIBLE_BPS</stp>
        <stp>-4FY</stp>
        <stp>-4FY</stp>
        <stp>[Fundamental &amp; Technical Model (1).xlsm]Multiples!R47C9</stp>
        <stp>EQY_CONSOLIDATED</stp>
        <stp>Yes</stp>
        <stp>ACCOUNTING_STANDARD_OVERRIDE</stp>
        <stp>Mixed</stp>
        <stp>Per</stp>
        <stp>FY</stp>
        <stp>Days=A</stp>
        <tr r="I47" s="16"/>
        <tr r="I47" s="16"/>
      </tp>
      <tp>
        <v>0.37772700471698112</v>
        <stp/>
        <stp>##V3_BQLV12</stp>
        <stp>[Fundamental &amp; Technical Model (1).xlsm]Ratios!R47C4</stp>
        <stp>SYK US Equity</stp>
        <stp>TOT_DEBT_TO_TOT_CAP</stp>
        <stp>FPT</stp>
        <stp>A</stp>
        <stp>FPO</stp>
        <stp>-10A</stp>
        <stp>STD</stp>
        <stp>Mixed</stp>
        <stp>CONSOL</stp>
        <stp>Yes</stp>
        <tr r="D47" s="8"/>
      </tp>
      <tp t="e">
        <v>#N/A</v>
        <stp/>
        <stp>##V3_BDHV12</stp>
        <stp>SYK US Equity</stp>
        <stp>LOW_PRICE_TO_FREE_CASH_FLOW</stp>
        <stp>-10FY</stp>
        <stp>-10FY</stp>
        <stp>[Fundamental &amp; Technical Model (1).xlsm]Multiples!R60C3</stp>
        <stp>EQY_CONSOLIDATED</stp>
        <stp>Yes</stp>
        <stp>ACCOUNTING_STANDARD_OVERRIDE</stp>
        <stp>Mixed</stp>
        <stp>Per</stp>
        <stp>FY</stp>
        <stp>Days=A</stp>
        <tr r="C60" s="16"/>
        <tr r="C60" s="16"/>
      </tp>
      <tp>
        <v>66.161068977970388</v>
        <stp/>
        <stp>##V3_BQLV12</stp>
        <stp>[Fundamental &amp; Technical Model (1).xlsm]Ratios!R21C7</stp>
        <stp>SYK US Equity</stp>
        <stp>GROSS_MARGIN</stp>
        <stp>FPT</stp>
        <stp>A</stp>
        <stp>FPO</stp>
        <stp>-7A</stp>
        <stp>STD</stp>
        <stp>Mixed</stp>
        <stp>CONSOL</stp>
        <stp>Yes</stp>
        <tr r="G21" s="8"/>
      </tp>
      <tp t="s">
        <v>#N/A</v>
        <stp/>
        <stp>##V3_BQLV12</stp>
        <stp>[Fundamental &amp; Technical Model (1).xlsm]Ratios!R22C4</stp>
        <stp>SYK US Equity</stp>
        <stp>ADJ_SG_AND_A_TO_SALES</stp>
        <stp>FPT</stp>
        <stp>A</stp>
        <stp>FPO</stp>
        <stp>-10A</stp>
        <stp>STD</stp>
        <stp>Mixed</stp>
        <stp>CONSOL</stp>
        <stp>Yes</stp>
        <tr r="D22" s="8"/>
      </tp>
      <tp t="s">
        <v>--</v>
        <stp/>
        <stp>##V3_BDPV12</stp>
        <stp>SYK US Equity</stp>
        <stp>IS_STOCK_OPT_EXPENSE_AFTER_TAX</stp>
        <stp>[Fundamental &amp; Technical Model (1).xlsm]Supplemental!R34C3</stp>
        <stp>EQY_FUND_RELATIVE_PERIOD</stp>
        <stp>-10FY</stp>
        <stp>EQY_FUND_CRNCY</stp>
        <stp>USD</stp>
        <stp>EQY_CONSOLIDATED</stp>
        <stp>Yes</stp>
        <stp>ACCOUNTING_STANDARD_OVERRIDE</stp>
        <stp>Mixed</stp>
        <stp>Fill=--</stp>
        <tr r="C34" s="19"/>
      </tp>
      <tp>
        <v>-13.2</v>
        <stp/>
        <stp>##V3_BQLV12</stp>
        <stp>[Fundamental &amp; Technical Model (1).xlsm]Income Statement!R58C4</stp>
        <stp>SYK US Equity</stp>
        <stp>IS_TAX_EFF_ON_ABNORMAL_ITEM/10^6</stp>
        <stp>FPT</stp>
        <stp>A</stp>
        <stp>FPO</stp>
        <stp>-10A</stp>
        <stp>STD</stp>
        <stp>Mixed</stp>
        <stp>CONSOL</stp>
        <stp>Yes</stp>
        <stp>CURRENCY</stp>
        <stp>USD</stp>
        <tr r="D58" s="2"/>
      </tp>
      <tp>
        <v>11005</v>
        <stp/>
        <stp>##V3_BQLV12</stp>
        <stp>[Fundamental &amp; Technical Model (1).xlsm]Balance Sheet!R33C12</stp>
        <stp>SYK US Equity</stp>
        <stp>BS_OTHER_ASSETS_DEF_CHRG_OTHER/10^6</stp>
        <stp>FPT</stp>
        <stp>A</stp>
        <stp>FPO</stp>
        <stp>-2A</stp>
        <stp>STD</stp>
        <stp>Mixed</stp>
        <stp>CONSOL</stp>
        <stp>Yes</stp>
        <stp>CURRENCY</stp>
        <stp>USD</stp>
        <tr r="L33" s="3"/>
      </tp>
      <tp>
        <v>14.984192338798618</v>
        <stp/>
        <stp>##V3_BQLV12</stp>
        <stp>[Fundamental &amp; Technical Model (1).xlsm]Ratios!R28C14</stp>
        <stp>SYK US Equity</stp>
        <stp>FREE_CASH_FLOW_MARGIN</stp>
        <stp>FPT</stp>
        <stp>A</stp>
        <stp>FPO</stp>
        <stp>-0A</stp>
        <stp>STD</stp>
        <stp>Mixed</stp>
        <stp>CONSOL</stp>
        <stp>Yes</stp>
        <tr r="N28" s="8"/>
      </tp>
      <tp t="s">
        <v>#N/A</v>
        <stp/>
        <stp>##V3_BQLV12</stp>
        <stp>[Fundamental &amp; Technical Model (1).xlsm]Income Statement!R17C8</stp>
        <stp>SYK US Equity</stp>
        <stp>IS_OTHER_REVENUE_GAAP/10^6</stp>
        <stp>FPT</stp>
        <stp>A</stp>
        <stp>FPO</stp>
        <stp>-6A</stp>
        <stp>STD</stp>
        <stp>Mixed</stp>
        <stp>CONSOL</stp>
        <stp>Yes</stp>
        <stp>CURRENCY</stp>
        <stp>USD</stp>
        <tr r="H17" s="2"/>
      </tp>
      <tp t="s">
        <v>#N/A</v>
        <stp/>
        <stp>##V3_BQLV12</stp>
        <stp>[Fundamental &amp; Technical Model (1).xlsm]Income Statement!R17C9</stp>
        <stp>SYK US Equity</stp>
        <stp>IS_OTHER_REVENUE_GAAP/10^6</stp>
        <stp>FPT</stp>
        <stp>A</stp>
        <stp>FPO</stp>
        <stp>-5A</stp>
        <stp>STD</stp>
        <stp>Mixed</stp>
        <stp>CONSOL</stp>
        <stp>Yes</stp>
        <stp>CURRENCY</stp>
        <stp>USD</stp>
        <tr r="I17" s="2"/>
      </tp>
      <tp t="s">
        <v>#N/A</v>
        <stp/>
        <stp>##V3_BQLV12</stp>
        <stp>[Fundamental &amp; Technical Model (1).xlsm]Income Statement!R17C6</stp>
        <stp>SYK US Equity</stp>
        <stp>IS_OTHER_REVENUE_GAAP/10^6</stp>
        <stp>FPT</stp>
        <stp>A</stp>
        <stp>FPO</stp>
        <stp>-8A</stp>
        <stp>STD</stp>
        <stp>Mixed</stp>
        <stp>CONSOL</stp>
        <stp>Yes</stp>
        <stp>CURRENCY</stp>
        <stp>USD</stp>
        <tr r="F17" s="2"/>
      </tp>
      <tp t="s">
        <v>#N/A</v>
        <stp/>
        <stp>##V3_BQLV12</stp>
        <stp>[Fundamental &amp; Technical Model (1).xlsm]Income Statement!R17C7</stp>
        <stp>SYK US Equity</stp>
        <stp>IS_OTHER_REVENUE_GAAP/10^6</stp>
        <stp>FPT</stp>
        <stp>A</stp>
        <stp>FPO</stp>
        <stp>-7A</stp>
        <stp>STD</stp>
        <stp>Mixed</stp>
        <stp>CONSOL</stp>
        <stp>Yes</stp>
        <stp>CURRENCY</stp>
        <stp>USD</stp>
        <tr r="G17" s="2"/>
      </tp>
      <tp t="s">
        <v>#N/A</v>
        <stp/>
        <stp>##V3_BQLV12</stp>
        <stp>[Fundamental &amp; Technical Model (1).xlsm]Income Statement!R17C5</stp>
        <stp>SYK US Equity</stp>
        <stp>IS_OTHER_REVENUE_GAAP/10^6</stp>
        <stp>FPT</stp>
        <stp>A</stp>
        <stp>FPO</stp>
        <stp>-9A</stp>
        <stp>STD</stp>
        <stp>Mixed</stp>
        <stp>CONSOL</stp>
        <stp>Yes</stp>
        <stp>CURRENCY</stp>
        <stp>USD</stp>
        <tr r="E17" s="2"/>
      </tp>
      <tp>
        <v>3.0463752665245201</v>
        <stp/>
        <stp>##V3_BQLV12</stp>
        <stp>[Fundamental &amp; Technical Model (1).xlsm]Ratios!R38C8</stp>
        <stp>SYK US Equity</stp>
        <stp>QUICK_RATIO</stp>
        <stp>FPT</stp>
        <stp>A</stp>
        <stp>FPO</stp>
        <stp>-6A</stp>
        <stp>STD</stp>
        <stp>Mixed</stp>
        <stp>CONSOL</stp>
        <stp>Yes</stp>
        <tr r="H38" s="8"/>
      </tp>
      <tp>
        <v>163.35026648900734</v>
        <stp/>
        <stp>##V3_BQLV12</stp>
        <stp>[Fundamental &amp; Technical Model (1).xlsm]Ratios!R41C9</stp>
        <stp>SYK US Equity</stp>
        <stp>INVENT_DAYS</stp>
        <stp>FPT</stp>
        <stp>A</stp>
        <stp>FPO</stp>
        <stp>-5A</stp>
        <stp>STD</stp>
        <stp>Mixed</stp>
        <stp>CONSOL</stp>
        <stp>Yes</stp>
        <tr r="I41" s="8"/>
      </tp>
      <tp t="e">
        <v>#N/A</v>
        <stp/>
        <stp>##V3_BDHV12</stp>
        <stp>SYK US Equity</stp>
        <stp>LOW_CLOSING_PRICE_TO_BOOK_RATIO</stp>
        <stp>-3FY</stp>
        <stp>-3FY</stp>
        <stp>[Fundamental &amp; Technical Model (1).xlsm]Multiples!R42C10</stp>
        <stp>EQY_CONSOLIDATED</stp>
        <stp>Yes</stp>
        <stp>ACCOUNTING_STANDARD_OVERRIDE</stp>
        <stp>Mixed</stp>
        <stp>Per</stp>
        <stp>FY</stp>
        <stp>Days=A</stp>
        <tr r="J42" s="16"/>
        <tr r="J42" s="16"/>
      </tp>
      <tp t="e">
        <v>#N/A</v>
        <stp/>
        <stp>##V3_BDHV12</stp>
        <stp>SYK US Equity</stp>
        <stp>LOW_CLOSING_PRICE_TO_BOOK_RATIO</stp>
        <stp>-2FY</stp>
        <stp>-2FY</stp>
        <stp>[Fundamental &amp; Technical Model (1).xlsm]Multiples!R42C11</stp>
        <stp>EQY_CONSOLIDATED</stp>
        <stp>Yes</stp>
        <stp>ACCOUNTING_STANDARD_OVERRIDE</stp>
        <stp>Mixed</stp>
        <stp>Per</stp>
        <stp>FY</stp>
        <stp>Days=A</stp>
        <tr r="K42" s="16"/>
        <tr r="K42" s="16"/>
      </tp>
      <tp t="e">
        <v>#N/A</v>
        <stp/>
        <stp>##V3_BDHV12</stp>
        <stp>SYK US Equity</stp>
        <stp>LOW_CLOSING_PRICE_TO_BOOK_RATIO</stp>
        <stp>-1FY</stp>
        <stp>-1FY</stp>
        <stp>[Fundamental &amp; Technical Model (1).xlsm]Multiples!R42C12</stp>
        <stp>EQY_CONSOLIDATED</stp>
        <stp>Yes</stp>
        <stp>ACCOUNTING_STANDARD_OVERRIDE</stp>
        <stp>Mixed</stp>
        <stp>Per</stp>
        <stp>FY</stp>
        <stp>Days=A</stp>
        <tr r="L42" s="16"/>
        <tr r="L42" s="16"/>
      </tp>
      <tp t="e">
        <v>#N/A</v>
        <stp/>
        <stp>##V3_BDHV12</stp>
        <stp>SYK US Equity</stp>
        <stp>LOW_CLOSING_PRICE_TO_BOOK_RATIO</stp>
        <stp>-0FY</stp>
        <stp>-0FY</stp>
        <stp>[Fundamental &amp; Technical Model (1).xlsm]Multiples!R42C13</stp>
        <stp>EQY_CONSOLIDATED</stp>
        <stp>Yes</stp>
        <stp>ACCOUNTING_STANDARD_OVERRIDE</stp>
        <stp>Mixed</stp>
        <stp>Per</stp>
        <stp>FY</stp>
        <stp>Days=A</stp>
        <tr r="M42" s="16"/>
        <tr r="M42" s="16"/>
      </tp>
      <tp>
        <v>1283</v>
        <stp/>
        <stp>##V3_BQLV12</stp>
        <stp>[Fundamental &amp; Technical Model (1).xlsm]Balance Sheet!R23C7</stp>
        <stp>SYK US Equity</stp>
        <stp>BS_INVENTORIES/10^6</stp>
        <stp>FPT</stp>
        <stp>A</stp>
        <stp>FPO</stp>
        <stp>-7A</stp>
        <stp>STD</stp>
        <stp>Mixed</stp>
        <stp>CONSOL</stp>
        <stp>Yes</stp>
        <stp>CURRENCY</stp>
        <stp>USD</stp>
        <tr r="G23" s="3"/>
      </tp>
      <tp t="e">
        <v>#N/A</v>
        <stp/>
        <stp>##V3_BDHV12</stp>
        <stp>SYK US Equity</stp>
        <stp>HIGH_PRICE_TO_TANGIBLE_BPS</stp>
        <stp>-5FY</stp>
        <stp>-5FY</stp>
        <stp>[Fundamental &amp; Technical Model (1).xlsm]Multiples!R47C8</stp>
        <stp>EQY_CONSOLIDATED</stp>
        <stp>Yes</stp>
        <stp>ACCOUNTING_STANDARD_OVERRIDE</stp>
        <stp>Mixed</stp>
        <stp>Per</stp>
        <stp>FY</stp>
        <stp>Days=A</stp>
        <tr r="H47" s="16"/>
        <tr r="H47" s="16"/>
      </tp>
      <tp>
        <v>658.7</v>
        <stp/>
        <stp>##V3_BQLV12</stp>
        <stp>[Fundamental &amp; Technical Model (1).xlsm]Balance Sheet!R17C5</stp>
        <stp>SYK US Equity</stp>
        <stp>BS_CASH_NEAR_CASH_ITEM/10^6</stp>
        <stp>FPT</stp>
        <stp>A</stp>
        <stp>FPO</stp>
        <stp>-9A</stp>
        <stp>STD</stp>
        <stp>Mixed</stp>
        <stp>CONSOL</stp>
        <stp>Yes</stp>
        <stp>CURRENCY</stp>
        <stp>USD</stp>
        <tr r="E17" s="3"/>
      </tp>
      <tp t="e">
        <v>#N/A</v>
        <stp/>
        <stp>##V3_BDHV12</stp>
        <stp>SYK US Equity</stp>
        <stp>PX_TO_FREE_CASH_FLOW</stp>
        <stp>-0FY</stp>
        <stp>-0FY</stp>
        <stp>[Fundamental &amp; Technical Model (1).xlsm]Multiples!R57C13</stp>
        <stp>EQY_CONSOLIDATED</stp>
        <stp>Yes</stp>
        <stp>ACCOUNTING_STANDARD_OVERRIDE</stp>
        <stp>Mixed</stp>
        <stp>Per</stp>
        <stp>FY</stp>
        <stp>Days=A</stp>
        <tr r="M57" s="16"/>
        <tr r="M57" s="16"/>
      </tp>
      <tp t="e">
        <v>#N/A</v>
        <stp/>
        <stp>##V3_BDHV12</stp>
        <stp>SYK US Equity</stp>
        <stp>PX_TO_FREE_CASH_FLOW</stp>
        <stp>-1FY</stp>
        <stp>-1FY</stp>
        <stp>[Fundamental &amp; Technical Model (1).xlsm]Multiples!R57C12</stp>
        <stp>EQY_CONSOLIDATED</stp>
        <stp>Yes</stp>
        <stp>ACCOUNTING_STANDARD_OVERRIDE</stp>
        <stp>Mixed</stp>
        <stp>Per</stp>
        <stp>FY</stp>
        <stp>Days=A</stp>
        <tr r="L57" s="16"/>
        <tr r="L57" s="16"/>
      </tp>
      <tp t="e">
        <v>#N/A</v>
        <stp/>
        <stp>##V3_BDHV12</stp>
        <stp>SYK US Equity</stp>
        <stp>PX_TO_FREE_CASH_FLOW</stp>
        <stp>-2FY</stp>
        <stp>-2FY</stp>
        <stp>[Fundamental &amp; Technical Model (1).xlsm]Multiples!R57C11</stp>
        <stp>EQY_CONSOLIDATED</stp>
        <stp>Yes</stp>
        <stp>ACCOUNTING_STANDARD_OVERRIDE</stp>
        <stp>Mixed</stp>
        <stp>Per</stp>
        <stp>FY</stp>
        <stp>Days=A</stp>
        <tr r="K57" s="16"/>
        <tr r="K57" s="16"/>
      </tp>
      <tp t="e">
        <v>#N/A</v>
        <stp/>
        <stp>##V3_BDHV12</stp>
        <stp>SYK US Equity</stp>
        <stp>PX_TO_FREE_CASH_FLOW</stp>
        <stp>-3FY</stp>
        <stp>-3FY</stp>
        <stp>[Fundamental &amp; Technical Model (1).xlsm]Multiples!R57C10</stp>
        <stp>EQY_CONSOLIDATED</stp>
        <stp>Yes</stp>
        <stp>ACCOUNTING_STANDARD_OVERRIDE</stp>
        <stp>Mixed</stp>
        <stp>Per</stp>
        <stp>FY</stp>
        <stp>Days=A</stp>
        <tr r="J57" s="16"/>
        <tr r="J57" s="16"/>
      </tp>
      <tp>
        <v>12229</v>
        <stp/>
        <stp>##V3_BQLV12</stp>
        <stp>[Fundamental &amp; Technical Model (1).xlsm]Balance Sheet!R33C13</stp>
        <stp>SYK US Equity</stp>
        <stp>BS_OTHER_ASSETS_DEF_CHRG_OTHER/10^6</stp>
        <stp>FPT</stp>
        <stp>A</stp>
        <stp>FPO</stp>
        <stp>-1A</stp>
        <stp>STD</stp>
        <stp>Mixed</stp>
        <stp>CONSOL</stp>
        <stp>Yes</stp>
        <stp>CURRENCY</stp>
        <stp>USD</stp>
        <tr r="M33" s="3"/>
      </tp>
      <tp>
        <v>7.7225972356155577</v>
        <stp/>
        <stp>##V3_BQLV12</stp>
        <stp>[Fundamental &amp; Technical Model (1).xlsm]Ratios!R28C13</stp>
        <stp>SYK US Equity</stp>
        <stp>FREE_CASH_FLOW_MARGIN</stp>
        <stp>FPT</stp>
        <stp>A</stp>
        <stp>FPO</stp>
        <stp>-1A</stp>
        <stp>STD</stp>
        <stp>Mixed</stp>
        <stp>CONSOL</stp>
        <stp>Yes</stp>
        <tr r="M28" s="8"/>
      </tp>
      <tp>
        <v>1497</v>
        <stp/>
        <stp>##V3_BDPV12</stp>
        <stp>BDX Equity</stp>
        <stp>EBIT</stp>
        <stp>[Fundamental &amp; Technical Model (1).xlsm]Public Comparables!R8C12</stp>
        <tr r="L8" s="24"/>
      </tp>
      <tp>
        <v>2.6277173913043477</v>
        <stp/>
        <stp>##V3_BQLV12</stp>
        <stp>[Fundamental &amp; Technical Model (1).xlsm]Ratios!R38C7</stp>
        <stp>SYK US Equity</stp>
        <stp>QUICK_RATIO</stp>
        <stp>FPT</stp>
        <stp>A</stp>
        <stp>FPO</stp>
        <stp>-7A</stp>
        <stp>STD</stp>
        <stp>Mixed</stp>
        <stp>CONSOL</stp>
        <stp>Yes</stp>
        <tr r="G38" s="8"/>
      </tp>
      <tp>
        <v>1373</v>
        <stp/>
        <stp>##V3_BDPV12</stp>
        <stp>SYK US Equity</stp>
        <stp>BS_YEAR_1_PRINCIPAL</stp>
        <stp>[Fundamental &amp; Technical Model (1).xlsm]Capital Structure Summary!R71C11</stp>
        <stp>EQY_FUND_RELATIVE_PERIOD</stp>
        <stp>-0FY</stp>
        <stp>EQY_FUND_CRNCY</stp>
        <stp>USD</stp>
        <stp>EQY_CONSOLIDATED</stp>
        <stp>Yes</stp>
        <stp>ACCOUNTING_STANDARD_OVERRIDE</stp>
        <stp>Mixed</stp>
        <stp>Fill=--</stp>
        <tr r="K71" s="21"/>
      </tp>
      <tp>
        <v>844</v>
        <stp/>
        <stp>##V3_BDPV12</stp>
        <stp>SYK US Equity</stp>
        <stp>BS_YEAR_2_PRINCIPAL</stp>
        <stp>[Fundamental &amp; Technical Model (1).xlsm]Capital Structure Summary!R72C11</stp>
        <stp>EQY_FUND_RELATIVE_PERIOD</stp>
        <stp>-0FY</stp>
        <stp>EQY_FUND_CRNCY</stp>
        <stp>USD</stp>
        <stp>EQY_CONSOLIDATED</stp>
        <stp>Yes</stp>
        <stp>ACCOUNTING_STANDARD_OVERRIDE</stp>
        <stp>Mixed</stp>
        <stp>Fill=--</stp>
        <tr r="K72" s="21"/>
      </tp>
      <tp>
        <v>750</v>
        <stp/>
        <stp>##V3_BDPV12</stp>
        <stp>SYK US Equity</stp>
        <stp>BS_YEAR_3_PRINCIPAL</stp>
        <stp>[Fundamental &amp; Technical Model (1).xlsm]Capital Structure Summary!R73C11</stp>
        <stp>EQY_FUND_RELATIVE_PERIOD</stp>
        <stp>-0FY</stp>
        <stp>EQY_FUND_CRNCY</stp>
        <stp>USD</stp>
        <stp>EQY_CONSOLIDATED</stp>
        <stp>Yes</stp>
        <stp>ACCOUNTING_STANDARD_OVERRIDE</stp>
        <stp>Mixed</stp>
        <stp>Fill=--</stp>
        <tr r="K73" s="21"/>
      </tp>
      <tp>
        <v>0</v>
        <stp/>
        <stp>##V3_BDPV12</stp>
        <stp>SYK US Equity</stp>
        <stp>BS_YEAR_4_PRINCIPAL</stp>
        <stp>[Fundamental &amp; Technical Model (1).xlsm]Capital Structure Summary!R74C11</stp>
        <stp>EQY_FUND_RELATIVE_PERIOD</stp>
        <stp>-0FY</stp>
        <stp>EQY_FUND_CRNCY</stp>
        <stp>USD</stp>
        <stp>EQY_CONSOLIDATED</stp>
        <stp>Yes</stp>
        <stp>ACCOUNTING_STANDARD_OVERRIDE</stp>
        <stp>Mixed</stp>
        <stp>Fill=--</stp>
        <tr r="K74" s="21"/>
      </tp>
      <tp>
        <v>630</v>
        <stp/>
        <stp>##V3_BDPV12</stp>
        <stp>SYK US Equity</stp>
        <stp>BS_YEAR_5_PRINCIPAL</stp>
        <stp>[Fundamental &amp; Technical Model (1).xlsm]Capital Structure Summary!R75C11</stp>
        <stp>EQY_FUND_RELATIVE_PERIOD</stp>
        <stp>-0FY</stp>
        <stp>EQY_FUND_CRNCY</stp>
        <stp>USD</stp>
        <stp>EQY_CONSOLIDATED</stp>
        <stp>Yes</stp>
        <stp>ACCOUNTING_STANDARD_OVERRIDE</stp>
        <stp>Mixed</stp>
        <stp>Fill=--</stp>
        <tr r="K75" s="21"/>
      </tp>
      <tp>
        <v>4110</v>
        <stp/>
        <stp>##V3_BQLV12</stp>
        <stp>[Fundamental &amp; Technical Model (1).xlsm]Balance Sheet!R33C8</stp>
        <stp>SYK US Equity</stp>
        <stp>BS_OTHER_ASSETS_DEF_CHRG_OTHER/10^6</stp>
        <stp>FPT</stp>
        <stp>A</stp>
        <stp>FPO</stp>
        <stp>-6A</stp>
        <stp>STD</stp>
        <stp>Mixed</stp>
        <stp>CONSOL</stp>
        <stp>Yes</stp>
        <stp>CURRENCY</stp>
        <stp>USD</stp>
        <tr r="H33" s="3"/>
      </tp>
      <tp>
        <v>963.8</v>
        <stp/>
        <stp>##V3_BQLV12</stp>
        <stp>[Fundamental &amp; Technical Model (1).xlsm]Balance Sheet!R29C4</stp>
        <stp>SYK US Equity</stp>
        <stp>BS_NET_FIX_ASSET/10^6</stp>
        <stp>FPT</stp>
        <stp>A</stp>
        <stp>FPO</stp>
        <stp>-10A</stp>
        <stp>STD</stp>
        <stp>Mixed</stp>
        <stp>CONSOL</stp>
        <stp>Yes</stp>
        <stp>CURRENCY</stp>
        <stp>USD</stp>
        <tr r="D29" s="3"/>
      </tp>
      <tp>
        <v>1758</v>
        <stp/>
        <stp>##V3_BQLV12</stp>
        <stp>[Fundamental &amp; Technical Model (1).xlsm]Balance Sheet!R17C6</stp>
        <stp>SYK US Equity</stp>
        <stp>BS_CASH_NEAR_CASH_ITEM/10^6</stp>
        <stp>FPT</stp>
        <stp>A</stp>
        <stp>FPO</stp>
        <stp>-8A</stp>
        <stp>STD</stp>
        <stp>Mixed</stp>
        <stp>CONSOL</stp>
        <stp>Yes</stp>
        <stp>CURRENCY</stp>
        <stp>USD</stp>
        <tr r="F17" s="3"/>
      </tp>
      <tp>
        <v>-</v>
        <stp/>
        <stp>##V3_BQLV12</stp>
        <stp>[Fundamental &amp; Technical Model (1).xlsm]Balance Sheet!R56C7</stp>
        <stp>SYK US Equity</stp>
        <stp>-BS_AMT_OF_TSY_STOCK/10^6</stp>
        <stp>FPT</stp>
        <stp>A</stp>
        <stp>FPO</stp>
        <stp>-7A</stp>
        <stp>STD</stp>
        <stp>Mixed</stp>
        <stp>CONSOL</stp>
        <stp>Yes</stp>
        <stp>CURRENCY</stp>
        <stp>USD</stp>
        <tr r="G56" s="3"/>
      </tp>
      <tp>
        <v>-</v>
        <stp/>
        <stp>##V3_BQLV12</stp>
        <stp>[Fundamental &amp; Technical Model (1).xlsm]Balance Sheet!R56C6</stp>
        <stp>SYK US Equity</stp>
        <stp>-BS_AMT_OF_TSY_STOCK/10^6</stp>
        <stp>FPT</stp>
        <stp>A</stp>
        <stp>FPO</stp>
        <stp>-8A</stp>
        <stp>STD</stp>
        <stp>Mixed</stp>
        <stp>CONSOL</stp>
        <stp>Yes</stp>
        <stp>CURRENCY</stp>
        <stp>USD</stp>
        <tr r="F56" s="3"/>
      </tp>
      <tp>
        <v>-</v>
        <stp/>
        <stp>##V3_BQLV12</stp>
        <stp>[Fundamental &amp; Technical Model (1).xlsm]Balance Sheet!R56C5</stp>
        <stp>SYK US Equity</stp>
        <stp>-BS_AMT_OF_TSY_STOCK/10^6</stp>
        <stp>FPT</stp>
        <stp>A</stp>
        <stp>FPO</stp>
        <stp>-9A</stp>
        <stp>STD</stp>
        <stp>Mixed</stp>
        <stp>CONSOL</stp>
        <stp>Yes</stp>
        <stp>CURRENCY</stp>
        <stp>USD</stp>
        <tr r="E56" s="3"/>
      </tp>
      <tp>
        <v>-</v>
        <stp/>
        <stp>##V3_BQLV12</stp>
        <stp>[Fundamental &amp; Technical Model (1).xlsm]Balance Sheet!R56C9</stp>
        <stp>SYK US Equity</stp>
        <stp>-BS_AMT_OF_TSY_STOCK/10^6</stp>
        <stp>FPT</stp>
        <stp>A</stp>
        <stp>FPO</stp>
        <stp>-5A</stp>
        <stp>STD</stp>
        <stp>Mixed</stp>
        <stp>CONSOL</stp>
        <stp>Yes</stp>
        <stp>CURRENCY</stp>
        <stp>USD</stp>
        <tr r="I56" s="3"/>
      </tp>
      <tp>
        <v>-</v>
        <stp/>
        <stp>##V3_BQLV12</stp>
        <stp>[Fundamental &amp; Technical Model (1).xlsm]Balance Sheet!R56C8</stp>
        <stp>SYK US Equity</stp>
        <stp>-BS_AMT_OF_TSY_STOCK/10^6</stp>
        <stp>FPT</stp>
        <stp>A</stp>
        <stp>FPO</stp>
        <stp>-6A</stp>
        <stp>STD</stp>
        <stp>Mixed</stp>
        <stp>CONSOL</stp>
        <stp>Yes</stp>
        <stp>CURRENCY</stp>
        <stp>USD</stp>
        <tr r="H56" s="3"/>
      </tp>
      <tp t="s">
        <v>#N/A N/A</v>
        <stp/>
        <stp>##V3_BDSV12</stp>
        <stp>SYK US Equity</stp>
        <stp>PG_GROSS_PROFIT</stp>
        <stp>[Fundamental &amp; Technical Model (1).xlsm]Segments!R48C13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3</stp>
        <stp>EndRow</stp>
        <stp>3</stp>
        <tr r="M48" s="17"/>
      </tp>
      <tp t="s">
        <v>#N/A N/A</v>
        <stp/>
        <stp>##V3_BDSV12</stp>
        <stp>SYK US Equity</stp>
        <stp>PG_GROSS_PROFIT</stp>
        <stp>[Fundamental &amp; Technical Model (1).xlsm]Segments!R48C12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3</stp>
        <stp>EndRow</stp>
        <stp>3</stp>
        <tr r="L48" s="17"/>
      </tp>
      <tp t="s">
        <v>#N/A N/A</v>
        <stp/>
        <stp>##V3_BDSV12</stp>
        <stp>SYK US Equity</stp>
        <stp>PG_GROSS_PROFIT</stp>
        <stp>[Fundamental &amp; Technical Model (1).xlsm]Segments!R48C11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3</stp>
        <stp>EndRow</stp>
        <stp>3</stp>
        <tr r="K48" s="17"/>
      </tp>
      <tp t="s">
        <v>#N/A N/A</v>
        <stp/>
        <stp>##V3_BDSV12</stp>
        <stp>SYK US Equity</stp>
        <stp>PG_GROSS_PROFIT</stp>
        <stp>[Fundamental &amp; Technical Model (1).xlsm]Segments!R48C10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3</stp>
        <stp>EndRow</stp>
        <stp>3</stp>
        <tr r="J48" s="17"/>
      </tp>
      <tp t="s">
        <v>#N/A N/A</v>
        <stp/>
        <stp>##V3_BDSV12</stp>
        <stp>SYK US Equity</stp>
        <stp>PG_GROSS_PROFIT</stp>
        <stp>[Fundamental &amp; Technical Model (1).xlsm]Segments!R48C14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3</stp>
        <stp>EndRow</stp>
        <stp>3</stp>
        <tr r="N48" s="17"/>
      </tp>
      <tp>
        <v>11.411815285570977</v>
        <stp/>
        <stp>##V3_BQLV12</stp>
        <stp>[Fundamental &amp; Technical Model (1).xlsm]Ratios!R50C5</stp>
        <stp>SYK US Equity</stp>
        <stp>NON_CUR_LIAB_TO_TOT_ASSET</stp>
        <stp>FPT</stp>
        <stp>A</stp>
        <stp>FPO</stp>
        <stp>-9A</stp>
        <stp>STD</stp>
        <stp>Mixed</stp>
        <stp>CONSOL</stp>
        <stp>Yes</stp>
        <tr r="E50" s="8"/>
      </tp>
      <tp t="s">
        <v>#N/A</v>
        <stp/>
        <stp>##V3_BQLV12</stp>
        <stp>[Fundamental &amp; Technical Model (1).xlsm]Income Statement!R39C4</stp>
        <stp>SYK US Equity</stp>
        <stp>IS_IMPAIRMENT_GOODWILL_INTANGIBL/10^6</stp>
        <stp>FPT</stp>
        <stp>A</stp>
        <stp>FPO</stp>
        <stp>-10A</stp>
        <stp>STD</stp>
        <stp>Mixed</stp>
        <stp>CONSOL</stp>
        <stp>Yes</stp>
        <stp>CURRENCY</stp>
        <stp>USD</stp>
        <tr r="D39" s="2"/>
      </tp>
      <tp>
        <v>30.5</v>
        <stp/>
        <stp>##V3_BQLV12</stp>
        <stp>[Fundamental &amp; Technical Model (1).xlsm]Income Statement!R31C4</stp>
        <stp>SYK US Equity</stp>
        <stp>IS_INT_EXPENSE/10^6</stp>
        <stp>FPT</stp>
        <stp>A</stp>
        <stp>FPO</stp>
        <stp>-10A</stp>
        <stp>STD</stp>
        <stp>Mixed</stp>
        <stp>CONSOL</stp>
        <stp>Yes</stp>
        <stp>CURRENCY</stp>
        <stp>USD</stp>
        <tr r="D31" s="2"/>
      </tp>
      <tp t="s">
        <v>--</v>
        <stp/>
        <stp>##V3_BDPV12</stp>
        <stp>SYK US Equity</stp>
        <stp>BS_CAPITAL_LEASE_BEYOND_YR_5</stp>
        <stp>[Fundamental &amp; Technical Model (1).xlsm]Capital Structure Summary!R91C11</stp>
        <stp>EQY_FUND_RELATIVE_PERIOD</stp>
        <stp>-0FY</stp>
        <stp>EQY_FUND_CRNCY</stp>
        <stp>USD</stp>
        <stp>EQY_CONSOLIDATED</stp>
        <stp>Yes</stp>
        <stp>ACCOUNTING_STANDARD_OVERRIDE</stp>
        <stp>Mixed</stp>
        <stp>Fill=--</stp>
        <tr r="K91" s="21"/>
      </tp>
      <tp t="e">
        <v>#N/A</v>
        <stp/>
        <stp>##V3_BDHV12</stp>
        <stp>SYK US Equity</stp>
        <stp>LOW_EV_TO_T12M_SALES</stp>
        <stp>-0FY</stp>
        <stp>-0FY</stp>
        <stp>[Fundamental &amp; Technical Model (1).xlsm]Multiples!R18C13</stp>
        <stp>EQY_CONSOLIDATED</stp>
        <stp>Yes</stp>
        <stp>ACCOUNTING_STANDARD_OVERRIDE</stp>
        <stp>Mixed</stp>
        <stp>Per</stp>
        <stp>FY</stp>
        <stp>Days=A</stp>
        <tr r="M18" s="16"/>
        <tr r="M18" s="16"/>
      </tp>
      <tp t="e">
        <v>#N/A</v>
        <stp/>
        <stp>##V3_BDHV12</stp>
        <stp>SYK US Equity</stp>
        <stp>LOW_EV_TO_T12M_SALES</stp>
        <stp>-1FY</stp>
        <stp>-1FY</stp>
        <stp>[Fundamental &amp; Technical Model (1).xlsm]Multiples!R18C12</stp>
        <stp>EQY_CONSOLIDATED</stp>
        <stp>Yes</stp>
        <stp>ACCOUNTING_STANDARD_OVERRIDE</stp>
        <stp>Mixed</stp>
        <stp>Per</stp>
        <stp>FY</stp>
        <stp>Days=A</stp>
        <tr r="L18" s="16"/>
        <tr r="L18" s="16"/>
      </tp>
      <tp t="e">
        <v>#N/A</v>
        <stp/>
        <stp>##V3_BDHV12</stp>
        <stp>SYK US Equity</stp>
        <stp>LOW_EV_TO_T12M_SALES</stp>
        <stp>-2FY</stp>
        <stp>-2FY</stp>
        <stp>[Fundamental &amp; Technical Model (1).xlsm]Multiples!R18C11</stp>
        <stp>EQY_CONSOLIDATED</stp>
        <stp>Yes</stp>
        <stp>ACCOUNTING_STANDARD_OVERRIDE</stp>
        <stp>Mixed</stp>
        <stp>Per</stp>
        <stp>FY</stp>
        <stp>Days=A</stp>
        <tr r="K18" s="16"/>
        <tr r="K18" s="16"/>
      </tp>
      <tp>
        <v>7497</v>
        <stp/>
        <stp>##V3_BQLV12</stp>
        <stp>[Fundamental &amp; Technical Model (1).xlsm]Balance Sheet!R33C10</stp>
        <stp>SYK US Equity</stp>
        <stp>BS_OTHER_ASSETS_DEF_CHRG_OTHER/10^6</stp>
        <stp>FPT</stp>
        <stp>A</stp>
        <stp>FPO</stp>
        <stp>-4A</stp>
        <stp>STD</stp>
        <stp>Mixed</stp>
        <stp>CONSOL</stp>
        <stp>Yes</stp>
        <stp>CURRENCY</stp>
        <stp>USD</stp>
        <tr r="J33" s="3"/>
      </tp>
      <tp t="e">
        <v>#N/A</v>
        <stp/>
        <stp>##V3_BDHV12</stp>
        <stp>SYK US Equity</stp>
        <stp>LOW_EV_TO_T12M_SALES</stp>
        <stp>-3FY</stp>
        <stp>-3FY</stp>
        <stp>[Fundamental &amp; Technical Model (1).xlsm]Multiples!R18C10</stp>
        <stp>EQY_CONSOLIDATED</stp>
        <stp>Yes</stp>
        <stp>ACCOUNTING_STANDARD_OVERRIDE</stp>
        <stp>Mixed</stp>
        <stp>Per</stp>
        <stp>FY</stp>
        <stp>Days=A</stp>
        <tr r="J18" s="16"/>
        <tr r="J18" s="16"/>
      </tp>
      <tp>
        <v>12.582781456953642</v>
        <stp/>
        <stp>##V3_BQLV12</stp>
        <stp>[Fundamental &amp; Technical Model (1).xlsm]Ratios!R28C12</stp>
        <stp>SYK US Equity</stp>
        <stp>FREE_CASH_FLOW_MARGIN</stp>
        <stp>FPT</stp>
        <stp>A</stp>
        <stp>FPO</stp>
        <stp>-2A</stp>
        <stp>STD</stp>
        <stp>Mixed</stp>
        <stp>CONSOL</stp>
        <stp>Yes</stp>
        <tr r="L28" s="8"/>
      </tp>
      <tp>
        <v>13.899999999999999</v>
        <stp/>
        <stp>##V3_BDPV12</stp>
        <stp>SYK US Equity</stp>
        <stp>BS_OPTIONS_EXERCISABLE</stp>
        <stp>[Fundamental &amp; Technical Model (1).xlsm]Supplemental!R17C3</stp>
        <stp>EQY_FUND_RELATIVE_PERIOD</stp>
        <stp>-10FY</stp>
        <stp>EQY_FUND_CRNCY</stp>
        <stp>USD</stp>
        <stp>EQY_CONSOLIDATED</stp>
        <stp>Yes</stp>
        <stp>ACCOUNTING_STANDARD_OVERRIDE</stp>
        <stp>Mixed</stp>
        <stp>Fill=--</stp>
        <tr r="C17" s="19"/>
      </tp>
      <tp>
        <v>0</v>
        <stp/>
        <stp>##V3_BQLV12</stp>
        <stp>[Fundamental &amp; Technical Model (1).xlsm]Balance Sheet!R49C4</stp>
        <stp>SYK US Equity</stp>
        <stp>BS_PFD_EQY/10^6</stp>
        <stp>FPT</stp>
        <stp>A</stp>
        <stp>FPO</stp>
        <stp>-10A</stp>
        <stp>STD</stp>
        <stp>Mixed</stp>
        <stp>CONSOL</stp>
        <stp>Yes</stp>
        <stp>CURRENCY</stp>
        <stp>USD</stp>
        <tr r="D49" s="3"/>
      </tp>
      <tp>
        <v>852.4</v>
        <stp/>
        <stp>##V3_BQLV12</stp>
        <stp>[Fundamental &amp; Technical Model (1).xlsm]Balance Sheet!R54C4</stp>
        <stp>SYK US Equity</stp>
        <stp>BS_SH_CAP_AND_APIC/10^6</stp>
        <stp>FPT</stp>
        <stp>A</stp>
        <stp>FPO</stp>
        <stp>-10A</stp>
        <stp>STD</stp>
        <stp>Mixed</stp>
        <stp>CONSOL</stp>
        <stp>Yes</stp>
        <stp>CURRENCY</stp>
        <stp>USD</stp>
        <tr r="D54" s="3"/>
      </tp>
      <tp>
        <v>0</v>
        <stp/>
        <stp>##V3_BQLV12</stp>
        <stp>[Fundamental &amp; Technical Model (1).xlsm]Income Statement!R32C14</stp>
        <stp>SYK US Equity</stp>
        <stp>IS_INT_INC/10^6</stp>
        <stp>FPT</stp>
        <stp>A</stp>
        <stp>FPO</stp>
        <stp>-0A</stp>
        <stp>STD</stp>
        <stp>Mixed</stp>
        <stp>CONSOL</stp>
        <stp>Yes</stp>
        <stp>CURRENCY</stp>
        <stp>USD</stp>
        <tr r="N32" s="2"/>
      </tp>
      <tp>
        <v>151.92102454642477</v>
        <stp/>
        <stp>##V3_BQLV12</stp>
        <stp>[Fundamental &amp; Technical Model (1).xlsm]Ratios!R41C7</stp>
        <stp>SYK US Equity</stp>
        <stp>INVENT_DAYS</stp>
        <stp>FPT</stp>
        <stp>A</stp>
        <stp>FPO</stp>
        <stp>-7A</stp>
        <stp>STD</stp>
        <stp>Mixed</stp>
        <stp>CONSOL</stp>
        <stp>Yes</stp>
        <tr r="G41" s="8"/>
      </tp>
      <tp>
        <v>8307</v>
        <stp/>
        <stp>##V3_BDPV12</stp>
        <stp>SYK US Equity</stp>
        <stp>ARD_TOTAL_REVENUES</stp>
        <stp>[Fundamental &amp; Technical Model (1).xlsm]Income Statement!R79C7</stp>
        <stp>EQY FUND RELATIVE PERIOD</stp>
        <stp>-7FY</stp>
        <stp>EQY_FUND_CRNCY</stp>
        <stp>USD</stp>
        <stp>EQY_CONSOLIDATED</stp>
        <stp>Yes</stp>
        <stp>ACCOUNTING_STANDARD_OVERRIDE</stp>
        <stp>Mixed</stp>
        <stp>Fill=0</stp>
        <tr r="G79" s="2"/>
      </tp>
      <tp>
        <v>7320</v>
        <stp/>
        <stp>##V3_BDPV12</stp>
        <stp>SYK US Equity</stp>
        <stp>ARD_TOTAL_REVENUES</stp>
        <stp>[Fundamental &amp; Technical Model (1).xlsm]Income Statement!R79C6</stp>
        <stp>EQY FUND RELATIVE PERIOD</stp>
        <stp>-8FY</stp>
        <stp>EQY_FUND_CRNCY</stp>
        <stp>USD</stp>
        <stp>EQY_CONSOLIDATED</stp>
        <stp>Yes</stp>
        <stp>ACCOUNTING_STANDARD_OVERRIDE</stp>
        <stp>Mixed</stp>
        <stp>Fill=0</stp>
        <tr r="F79" s="2"/>
      </tp>
      <tp>
        <v>8657</v>
        <stp/>
        <stp>##V3_BDPV12</stp>
        <stp>SYK US Equity</stp>
        <stp>ARD_TOTAL_REVENUES</stp>
        <stp>[Fundamental &amp; Technical Model (1).xlsm]Income Statement!R79C8</stp>
        <stp>EQY FUND RELATIVE PERIOD</stp>
        <stp>-6FY</stp>
        <stp>EQY_FUND_CRNCY</stp>
        <stp>USD</stp>
        <stp>EQY_CONSOLIDATED</stp>
        <stp>Yes</stp>
        <stp>ACCOUNTING_STANDARD_OVERRIDE</stp>
        <stp>Mixed</stp>
        <stp>Fill=0</stp>
        <tr r="H79" s="2"/>
      </tp>
      <tp>
        <v>6723</v>
        <stp/>
        <stp>##V3_BDPV12</stp>
        <stp>SYK US Equity</stp>
        <stp>ARD_TOTAL_REVENUES</stp>
        <stp>[Fundamental &amp; Technical Model (1).xlsm]Income Statement!R79C5</stp>
        <stp>EQY FUND RELATIVE PERIOD</stp>
        <stp>-9FY</stp>
        <stp>EQY_FUND_CRNCY</stp>
        <stp>USD</stp>
        <stp>EQY_CONSOLIDATED</stp>
        <stp>Yes</stp>
        <stp>ACCOUNTING_STANDARD_OVERRIDE</stp>
        <stp>Mixed</stp>
        <stp>Fill=0</stp>
        <tr r="E79" s="2"/>
      </tp>
      <tp>
        <v>9021</v>
        <stp/>
        <stp>##V3_BDPV12</stp>
        <stp>SYK US Equity</stp>
        <stp>ARD_TOTAL_REVENUES</stp>
        <stp>[Fundamental &amp; Technical Model (1).xlsm]Income Statement!R79C9</stp>
        <stp>EQY FUND RELATIVE PERIOD</stp>
        <stp>-5FY</stp>
        <stp>EQY_FUND_CRNCY</stp>
        <stp>USD</stp>
        <stp>EQY_CONSOLIDATED</stp>
        <stp>Yes</stp>
        <stp>ACCOUNTING_STANDARD_OVERRIDE</stp>
        <stp>Mixed</stp>
        <stp>Fill=0</stp>
        <tr r="I79" s="2"/>
      </tp>
      <tp>
        <v>-568</v>
        <stp/>
        <stp>##V3_BQLV12</stp>
        <stp>[Fundamental &amp; Technical Model (1).xlsm]Cash Flow!R35C12</stp>
        <stp>SYK US Equity</stp>
        <stp>CF_DVD_PAID/10^6</stp>
        <stp>FPT</stp>
        <stp>A</stp>
        <stp>FPO</stp>
        <stp>-2A</stp>
        <stp>STD</stp>
        <stp>Mixed</stp>
        <stp>CONSOL</stp>
        <stp>Yes</stp>
        <stp>CURRENCY</stp>
        <stp>USD</stp>
        <tr r="L35" s="4"/>
      </tp>
      <tp>
        <v>-521</v>
        <stp/>
        <stp>##V3_BQLV12</stp>
        <stp>[Fundamental &amp; Technical Model (1).xlsm]Cash Flow!R35C11</stp>
        <stp>SYK US Equity</stp>
        <stp>CF_DVD_PAID/10^6</stp>
        <stp>FPT</stp>
        <stp>A</stp>
        <stp>FPO</stp>
        <stp>-3A</stp>
        <stp>STD</stp>
        <stp>Mixed</stp>
        <stp>CONSOL</stp>
        <stp>Yes</stp>
        <stp>CURRENCY</stp>
        <stp>USD</stp>
        <tr r="K35" s="4"/>
      </tp>
      <tp>
        <v>-636</v>
        <stp/>
        <stp>##V3_BQLV12</stp>
        <stp>[Fundamental &amp; Technical Model (1).xlsm]Cash Flow!R35C13</stp>
        <stp>SYK US Equity</stp>
        <stp>CF_DVD_PAID/10^6</stp>
        <stp>FPT</stp>
        <stp>A</stp>
        <stp>FPO</stp>
        <stp>-1A</stp>
        <stp>STD</stp>
        <stp>Mixed</stp>
        <stp>CONSOL</stp>
        <stp>Yes</stp>
        <stp>CURRENCY</stp>
        <stp>USD</stp>
        <tr r="M35" s="4"/>
      </tp>
      <tp>
        <v>-462</v>
        <stp/>
        <stp>##V3_BQLV12</stp>
        <stp>[Fundamental &amp; Technical Model (1).xlsm]Cash Flow!R35C10</stp>
        <stp>SYK US Equity</stp>
        <stp>CF_DVD_PAID/10^6</stp>
        <stp>FPT</stp>
        <stp>A</stp>
        <stp>FPO</stp>
        <stp>-4A</stp>
        <stp>STD</stp>
        <stp>Mixed</stp>
        <stp>CONSOL</stp>
        <stp>Yes</stp>
        <stp>CURRENCY</stp>
        <stp>USD</stp>
        <tr r="J35" s="4"/>
      </tp>
      <tp>
        <v>-703</v>
        <stp/>
        <stp>##V3_BQLV12</stp>
        <stp>[Fundamental &amp; Technical Model (1).xlsm]Cash Flow!R35C14</stp>
        <stp>SYK US Equity</stp>
        <stp>CF_DVD_PAID/10^6</stp>
        <stp>FPT</stp>
        <stp>A</stp>
        <stp>FPO</stp>
        <stp>-0A</stp>
        <stp>STD</stp>
        <stp>Mixed</stp>
        <stp>CONSOL</stp>
        <stp>Yes</stp>
        <stp>CURRENCY</stp>
        <stp>USD</stp>
        <tr r="N35" s="4"/>
      </tp>
      <tp>
        <v>943</v>
        <stp/>
        <stp>##V3_BQLV12</stp>
        <stp>[Fundamental &amp; Technical Model (1).xlsm]Balance Sheet!R23C5</stp>
        <stp>SYK US Equity</stp>
        <stp>BS_INVENTORIES/10^6</stp>
        <stp>FPT</stp>
        <stp>A</stp>
        <stp>FPO</stp>
        <stp>-9A</stp>
        <stp>STD</stp>
        <stp>Mixed</stp>
        <stp>CONSOL</stp>
        <stp>Yes</stp>
        <stp>CURRENCY</stp>
        <stp>USD</stp>
        <tr r="E23" s="3"/>
      </tp>
      <tp>
        <v>6327</v>
        <stp/>
        <stp>##V3_BQLV12</stp>
        <stp>[Fundamental &amp; Technical Model (1).xlsm]Balance Sheet!R33C9</stp>
        <stp>SYK US Equity</stp>
        <stp>BS_OTHER_ASSETS_DEF_CHRG_OTHER/10^6</stp>
        <stp>FPT</stp>
        <stp>A</stp>
        <stp>FPO</stp>
        <stp>-5A</stp>
        <stp>STD</stp>
        <stp>Mixed</stp>
        <stp>CONSOL</stp>
        <stp>Yes</stp>
        <stp>CURRENCY</stp>
        <stp>USD</stp>
        <tr r="I33" s="3"/>
      </tp>
      <tp>
        <v>905</v>
        <stp/>
        <stp>##V3_BQLV12</stp>
        <stp>[Fundamental &amp; Technical Model (1).xlsm]Balance Sheet!R17C7</stp>
        <stp>SYK US Equity</stp>
        <stp>BS_CASH_NEAR_CASH_ITEM/10^6</stp>
        <stp>FPT</stp>
        <stp>A</stp>
        <stp>FPO</stp>
        <stp>-7A</stp>
        <stp>STD</stp>
        <stp>Mixed</stp>
        <stp>CONSOL</stp>
        <stp>Yes</stp>
        <stp>CURRENCY</stp>
        <stp>USD</stp>
        <tr r="G17" s="3"/>
      </tp>
      <tp t="s">
        <v>#N/A N/A</v>
        <stp/>
        <stp>##V3_BDSV12</stp>
        <stp>SYK US Equity</stp>
        <stp>PG_GROSS_PROFIT</stp>
        <stp>[Fundamental &amp; Technical Model (1).xlsm]Segments!R49C14</stp>
        <stp>PG_HIERARCHY_LEVEL=1</stp>
        <stp>NUMBER_OF_PERIODS=-11</stp>
        <stp>REVERSE_PERIOD_ORDER=N</stp>
        <stp>PRODUCT_GEO_OVERRIDE=P</stp>
        <stp>FUND_PER</stp>
        <stp>Y</stp>
        <stp>ACCOUNTING_STANDARD_OVERRIDE</stp>
        <stp>Mixed</stp>
        <stp>EQY_CONSOLIDATED</stp>
        <stp>Yes</stp>
        <stp>EQY_FUND_CRNCY</stp>
        <stp>USD</stp>
        <stp>StartCol</stp>
        <stp>3</stp>
        <stp>EndCol</stp>
        <stp>3</stp>
        <stp>StartRow</stp>
        <stp>4</stp>
        <stp>EndRow</stp>
        <stp>4</stp>
        <tr r="N49" s="17"/>
      </tp>
      <tp t="s">
        <v>#N/A N/A</v>
        <stp/>
        <stp>##V3_BDSV12</stp>
        <stp>SYK US Equity</stp>
        <stp>PG_GROSS_PROFIT</stp>
        <stp>[Fundamental &amp; Technical Model (1).xlsm]Segments!R49C10</stp>
        <stp>PG_HIERARCHY_LEVEL=1</stp>
        <stp>NUMBER_OF_PERIODS=-11</stp>
        <stp>REVERSE_PERIOD_ORDER=N</stp>
        <stp>PRODUCT_GEO_OVERRIDE=P</stp>
        <stp>FUND_PER</stp>
        <stp>Y</stp>
        <stp>ACCOUNTING_STANDARD_OVERRIDE</stp>
        <stp>Mixed</stp>
        <stp>EQY_CONSOLIDATED</stp>
        <stp>Yes</stp>
        <stp>EQY_FUND_CRNCY</stp>
        <stp>USD</stp>
        <stp>StartCol</stp>
        <stp>7</stp>
        <stp>EndCol</stp>
        <stp>7</stp>
        <stp>StartRow</stp>
        <stp>4</stp>
        <stp>EndRow</stp>
        <stp>4</stp>
        <tr r="J49" s="17"/>
      </tp>
      <tp t="s">
        <v>#N/A N/A</v>
        <stp/>
        <stp>##V3_BDSV12</stp>
        <stp>SYK US Equity</stp>
        <stp>PG_GROSS_PROFIT</stp>
        <stp>[Fundamental &amp; Technical Model (1).xlsm]Segments!R49C11</stp>
        <stp>PG_HIERARCHY_LEVEL=1</stp>
        <stp>NUMBER_OF_PERIODS=-11</stp>
        <stp>REVERSE_PERIOD_ORDER=N</stp>
        <stp>PRODUCT_GEO_OVERRIDE=P</stp>
        <stp>FUND_PER</stp>
        <stp>Y</stp>
        <stp>ACCOUNTING_STANDARD_OVERRIDE</stp>
        <stp>Mixed</stp>
        <stp>EQY_CONSOLIDATED</stp>
        <stp>Yes</stp>
        <stp>EQY_FUND_CRNCY</stp>
        <stp>USD</stp>
        <stp>StartCol</stp>
        <stp>6</stp>
        <stp>EndCol</stp>
        <stp>6</stp>
        <stp>StartRow</stp>
        <stp>4</stp>
        <stp>EndRow</stp>
        <stp>4</stp>
        <tr r="K49" s="17"/>
      </tp>
      <tp t="s">
        <v>#N/A N/A</v>
        <stp/>
        <stp>##V3_BDSV12</stp>
        <stp>SYK US Equity</stp>
        <stp>PG_GROSS_PROFIT</stp>
        <stp>[Fundamental &amp; Technical Model (1).xlsm]Segments!R49C12</stp>
        <stp>PG_HIERARCHY_LEVEL=1</stp>
        <stp>NUMBER_OF_PERIODS=-11</stp>
        <stp>REVERSE_PERIOD_ORDER=N</stp>
        <stp>PRODUCT_GEO_OVERRIDE=P</stp>
        <stp>FUND_PER</stp>
        <stp>Y</stp>
        <stp>ACCOUNTING_STANDARD_OVERRIDE</stp>
        <stp>Mixed</stp>
        <stp>EQY_CONSOLIDATED</stp>
        <stp>Yes</stp>
        <stp>EQY_FUND_CRNCY</stp>
        <stp>USD</stp>
        <stp>StartCol</stp>
        <stp>5</stp>
        <stp>EndCol</stp>
        <stp>5</stp>
        <stp>StartRow</stp>
        <stp>4</stp>
        <stp>EndRow</stp>
        <stp>4</stp>
        <tr r="L49" s="17"/>
      </tp>
      <tp t="s">
        <v>#N/A N/A</v>
        <stp/>
        <stp>##V3_BDSV12</stp>
        <stp>SYK US Equity</stp>
        <stp>PG_GROSS_PROFIT</stp>
        <stp>[Fundamental &amp; Technical Model (1).xlsm]Segments!R49C13</stp>
        <stp>PG_HIERARCHY_LEVEL=1</stp>
        <stp>NUMBER_OF_PERIODS=-11</stp>
        <stp>REVERSE_PERIOD_ORDER=N</stp>
        <stp>PRODUCT_GEO_OVERRIDE=P</stp>
        <stp>FUND_PER</stp>
        <stp>Y</stp>
        <stp>ACCOUNTING_STANDARD_OVERRIDE</stp>
        <stp>Mixed</stp>
        <stp>EQY_CONSOLIDATED</stp>
        <stp>Yes</stp>
        <stp>EQY_FUND_CRNCY</stp>
        <stp>USD</stp>
        <stp>StartCol</stp>
        <stp>4</stp>
        <stp>EndCol</stp>
        <stp>4</stp>
        <stp>StartRow</stp>
        <stp>4</stp>
        <stp>EndRow</stp>
        <stp>4</stp>
        <tr r="M49" s="17"/>
      </tp>
      <tp>
        <v>19.421753097751264</v>
        <stp/>
        <stp>##V3_BQLV12</stp>
        <stp>[Fundamental &amp; Technical Model (1).xlsm]Ratios!R50C6</stp>
        <stp>SYK US Equity</stp>
        <stp>NON_CUR_LIAB_TO_TOT_ASSET</stp>
        <stp>FPT</stp>
        <stp>A</stp>
        <stp>FPO</stp>
        <stp>-8A</stp>
        <stp>STD</stp>
        <stp>Mixed</stp>
        <stp>CONSOL</stp>
        <stp>Yes</stp>
        <tr r="F50" s="8"/>
      </tp>
      <tp>
        <v>7104</v>
        <stp/>
        <stp>##V3_BQLV12</stp>
        <stp>[Fundamental &amp; Technical Model (1).xlsm]Balance Sheet!R33C11</stp>
        <stp>SYK US Equity</stp>
        <stp>BS_OTHER_ASSETS_DEF_CHRG_OTHER/10^6</stp>
        <stp>FPT</stp>
        <stp>A</stp>
        <stp>FPO</stp>
        <stp>-3A</stp>
        <stp>STD</stp>
        <stp>Mixed</stp>
        <stp>CONSOL</stp>
        <stp>Yes</stp>
        <stp>CURRENCY</stp>
        <stp>USD</stp>
        <tr r="K33" s="3"/>
      </tp>
      <tp>
        <v>7.1486024532475367</v>
        <stp/>
        <stp>##V3_BQLV12</stp>
        <stp>[Fundamental &amp; Technical Model (1).xlsm]Ratios!R28C11</stp>
        <stp>SYK US Equity</stp>
        <stp>FREE_CASH_FLOW_MARGIN</stp>
        <stp>FPT</stp>
        <stp>A</stp>
        <stp>FPO</stp>
        <stp>-3A</stp>
        <stp>STD</stp>
        <stp>Mixed</stp>
        <stp>CONSOL</stp>
        <stp>Yes</stp>
        <tr r="K28" s="8"/>
      </tp>
      <tp>
        <v>0</v>
        <stp/>
        <stp>##V3_BQLV12</stp>
        <stp>[Fundamental &amp; Technical Model (1).xlsm]Cash Flow!R22C14</stp>
        <stp>SYK US Equity</stp>
        <stp>CF_DISP_FIX_ASSET/10^6</stp>
        <stp>FPT</stp>
        <stp>A</stp>
        <stp>FPO</stp>
        <stp>-0A</stp>
        <stp>STD</stp>
        <stp>Mixed</stp>
        <stp>CONSOL</stp>
        <stp>Yes</stp>
        <stp>CURRENCY</stp>
        <stp>USD</stp>
        <tr r="N22" s="4"/>
      </tp>
      <tp>
        <v>0</v>
        <stp/>
        <stp>##V3_BQLV12</stp>
        <stp>[Fundamental &amp; Technical Model (1).xlsm]Cash Flow!R22C11</stp>
        <stp>SYK US Equity</stp>
        <stp>CF_DISP_FIX_ASSET/10^6</stp>
        <stp>FPT</stp>
        <stp>A</stp>
        <stp>FPO</stp>
        <stp>-3A</stp>
        <stp>STD</stp>
        <stp>Mixed</stp>
        <stp>CONSOL</stp>
        <stp>Yes</stp>
        <stp>CURRENCY</stp>
        <stp>USD</stp>
        <tr r="K22" s="4"/>
      </tp>
      <tp>
        <v>0</v>
        <stp/>
        <stp>##V3_BQLV12</stp>
        <stp>[Fundamental &amp; Technical Model (1).xlsm]Cash Flow!R22C10</stp>
        <stp>SYK US Equity</stp>
        <stp>CF_DISP_FIX_ASSET/10^6</stp>
        <stp>FPT</stp>
        <stp>A</stp>
        <stp>FPO</stp>
        <stp>-4A</stp>
        <stp>STD</stp>
        <stp>Mixed</stp>
        <stp>CONSOL</stp>
        <stp>Yes</stp>
        <stp>CURRENCY</stp>
        <stp>USD</stp>
        <tr r="J22" s="4"/>
      </tp>
      <tp>
        <v>0</v>
        <stp/>
        <stp>##V3_BQLV12</stp>
        <stp>[Fundamental &amp; Technical Model (1).xlsm]Cash Flow!R22C13</stp>
        <stp>SYK US Equity</stp>
        <stp>CF_DISP_FIX_ASSET/10^6</stp>
        <stp>FPT</stp>
        <stp>A</stp>
        <stp>FPO</stp>
        <stp>-1A</stp>
        <stp>STD</stp>
        <stp>Mixed</stp>
        <stp>CONSOL</stp>
        <stp>Yes</stp>
        <stp>CURRENCY</stp>
        <stp>USD</stp>
        <tr r="M22" s="4"/>
      </tp>
      <tp>
        <v>0</v>
        <stp/>
        <stp>##V3_BQLV12</stp>
        <stp>[Fundamental &amp; Technical Model (1).xlsm]Cash Flow!R22C12</stp>
        <stp>SYK US Equity</stp>
        <stp>CF_DISP_FIX_ASSET/10^6</stp>
        <stp>FPT</stp>
        <stp>A</stp>
        <stp>FPO</stp>
        <stp>-2A</stp>
        <stp>STD</stp>
        <stp>Mixed</stp>
        <stp>CONSOL</stp>
        <stp>Yes</stp>
        <stp>CURRENCY</stp>
        <stp>USD</stp>
        <tr r="L22" s="4"/>
      </tp>
      <tp>
        <v>2.0692510350018818</v>
        <stp/>
        <stp>##V3_BQLV12</stp>
        <stp>[Fundamental &amp; Technical Model (1).xlsm]Ratios!R38C9</stp>
        <stp>SYK US Equity</stp>
        <stp>QUICK_RATIO</stp>
        <stp>FPT</stp>
        <stp>A</stp>
        <stp>FPO</stp>
        <stp>-5A</stp>
        <stp>STD</stp>
        <stp>Mixed</stp>
        <stp>CONSOL</stp>
        <stp>Yes</stp>
        <tr r="I38" s="8"/>
      </tp>
      <tp>
        <v>167.66774541531825</v>
        <stp/>
        <stp>##V3_BQLV12</stp>
        <stp>[Fundamental &amp; Technical Model (1).xlsm]Ratios!R41C8</stp>
        <stp>SYK US Equity</stp>
        <stp>INVENT_DAYS</stp>
        <stp>FPT</stp>
        <stp>A</stp>
        <stp>FPO</stp>
        <stp>-6A</stp>
        <stp>STD</stp>
        <stp>Mixed</stp>
        <stp>CONSOL</stp>
        <stp>Yes</stp>
        <tr r="H41" s="8"/>
      </tp>
      <tp>
        <v>1.5016756719786608</v>
        <stp/>
        <stp>##V3_BQLV12</stp>
        <stp>[Fundamental &amp; Technical Model (1).xlsm]Ratios!R39C4</stp>
        <stp>SYK US Equity</stp>
        <stp>CASH_RATIO</stp>
        <stp>FPT</stp>
        <stp>A</stp>
        <stp>FPO</stp>
        <stp>-10A</stp>
        <stp>STD</stp>
        <stp>Mixed</stp>
        <stp>CONSOL</stp>
        <stp>Yes</stp>
        <tr r="D39" s="8"/>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volatileDependencies" Target="volatileDependencies.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1528588098017E-2"/>
          <c:y val="5.3571428571428568E-2"/>
          <c:w val="0.84014002333722282"/>
          <c:h val="0.8214285714285714"/>
        </c:manualLayout>
      </c:layout>
      <c:barChart>
        <c:barDir val="col"/>
        <c:grouping val="stacked"/>
        <c:varyColors val="0"/>
        <c:ser>
          <c:idx val="0"/>
          <c:order val="0"/>
          <c:tx>
            <c:strRef>
              <c:f>'Key Stats'!$G$36</c:f>
              <c:strCache>
                <c:ptCount val="1"/>
                <c:pt idx="0">
                  <c:v>MarketCap</c:v>
                </c:pt>
              </c:strCache>
            </c:strRef>
          </c:tx>
          <c:invertIfNegative val="0"/>
          <c:cat>
            <c:strRef>
              <c:f>'Key Stats'!$F$37:$F$39</c:f>
              <c:strCache>
                <c:ptCount val="3"/>
                <c:pt idx="0">
                  <c:v>MarketCap</c:v>
                </c:pt>
                <c:pt idx="1">
                  <c:v>TEV</c:v>
                </c:pt>
                <c:pt idx="2">
                  <c:v>Total Capital</c:v>
                </c:pt>
              </c:strCache>
            </c:strRef>
          </c:cat>
          <c:val>
            <c:numRef>
              <c:f>'Key Stats'!$G$37:$G$39</c:f>
              <c:numCache>
                <c:formatCode>0.00</c:formatCode>
                <c:ptCount val="3"/>
                <c:pt idx="0" formatCode="0.0%">
                  <c:v>69885.66512564171</c:v>
                </c:pt>
                <c:pt idx="1">
                  <c:v>69885.66512564171</c:v>
                </c:pt>
              </c:numCache>
            </c:numRef>
          </c:val>
          <c:extLst>
            <c:ext xmlns:c16="http://schemas.microsoft.com/office/drawing/2014/chart" uri="{C3380CC4-5D6E-409C-BE32-E72D297353CC}">
              <c16:uniqueId val="{00000000-71D3-4A17-985E-626A6D1EA42B}"/>
            </c:ext>
          </c:extLst>
        </c:ser>
        <c:ser>
          <c:idx val="1"/>
          <c:order val="1"/>
          <c:tx>
            <c:strRef>
              <c:f>'Key Stats'!$H$36</c:f>
              <c:strCache>
                <c:ptCount val="1"/>
                <c:pt idx="0">
                  <c:v>Common Equity</c:v>
                </c:pt>
              </c:strCache>
            </c:strRef>
          </c:tx>
          <c:invertIfNegative val="0"/>
          <c:cat>
            <c:strRef>
              <c:f>'Key Stats'!$F$37:$F$39</c:f>
              <c:strCache>
                <c:ptCount val="3"/>
                <c:pt idx="0">
                  <c:v>MarketCap</c:v>
                </c:pt>
                <c:pt idx="1">
                  <c:v>TEV</c:v>
                </c:pt>
                <c:pt idx="2">
                  <c:v>Total Capital</c:v>
                </c:pt>
              </c:strCache>
            </c:strRef>
          </c:cat>
          <c:val>
            <c:numRef>
              <c:f>'Key Stats'!$H$37:$H$39</c:f>
              <c:numCache>
                <c:formatCode>General</c:formatCode>
                <c:ptCount val="3"/>
                <c:pt idx="2" formatCode="0.00">
                  <c:v>11693</c:v>
                </c:pt>
              </c:numCache>
            </c:numRef>
          </c:val>
          <c:extLst>
            <c:ext xmlns:c16="http://schemas.microsoft.com/office/drawing/2014/chart" uri="{C3380CC4-5D6E-409C-BE32-E72D297353CC}">
              <c16:uniqueId val="{00000001-71D3-4A17-985E-626A6D1EA42B}"/>
            </c:ext>
          </c:extLst>
        </c:ser>
        <c:ser>
          <c:idx val="2"/>
          <c:order val="2"/>
          <c:tx>
            <c:strRef>
              <c:f>'Key Stats'!$I$36</c:f>
              <c:strCache>
                <c:ptCount val="1"/>
                <c:pt idx="0">
                  <c:v>Total Liab</c:v>
                </c:pt>
              </c:strCache>
            </c:strRef>
          </c:tx>
          <c:invertIfNegative val="0"/>
          <c:cat>
            <c:strRef>
              <c:f>'Key Stats'!$F$37:$F$39</c:f>
              <c:strCache>
                <c:ptCount val="3"/>
                <c:pt idx="0">
                  <c:v>MarketCap</c:v>
                </c:pt>
                <c:pt idx="1">
                  <c:v>TEV</c:v>
                </c:pt>
                <c:pt idx="2">
                  <c:v>Total Capital</c:v>
                </c:pt>
              </c:strCache>
            </c:strRef>
          </c:cat>
          <c:val>
            <c:numRef>
              <c:f>'Key Stats'!$I$37:$I$39</c:f>
              <c:numCache>
                <c:formatCode>General</c:formatCode>
                <c:ptCount val="3"/>
                <c:pt idx="2" formatCode="0.00">
                  <c:v>8471</c:v>
                </c:pt>
              </c:numCache>
            </c:numRef>
          </c:val>
          <c:extLst>
            <c:ext xmlns:c16="http://schemas.microsoft.com/office/drawing/2014/chart" uri="{C3380CC4-5D6E-409C-BE32-E72D297353CC}">
              <c16:uniqueId val="{00000002-71D3-4A17-985E-626A6D1EA42B}"/>
            </c:ext>
          </c:extLst>
        </c:ser>
        <c:ser>
          <c:idx val="3"/>
          <c:order val="3"/>
          <c:tx>
            <c:strRef>
              <c:f>'Key Stats'!$J$36</c:f>
              <c:strCache>
                <c:ptCount val="1"/>
                <c:pt idx="0">
                  <c:v>Net Liab</c:v>
                </c:pt>
              </c:strCache>
            </c:strRef>
          </c:tx>
          <c:invertIfNegative val="0"/>
          <c:cat>
            <c:strRef>
              <c:f>'Key Stats'!$F$37:$F$39</c:f>
              <c:strCache>
                <c:ptCount val="3"/>
                <c:pt idx="0">
                  <c:v>MarketCap</c:v>
                </c:pt>
                <c:pt idx="1">
                  <c:v>TEV</c:v>
                </c:pt>
                <c:pt idx="2">
                  <c:v>Total Capital</c:v>
                </c:pt>
              </c:strCache>
            </c:strRef>
          </c:cat>
          <c:val>
            <c:numRef>
              <c:f>'Key Stats'!$J$37:$J$39</c:f>
              <c:numCache>
                <c:formatCode>0.00</c:formatCode>
                <c:ptCount val="3"/>
                <c:pt idx="1">
                  <c:v>6713</c:v>
                </c:pt>
              </c:numCache>
            </c:numRef>
          </c:val>
          <c:extLst>
            <c:ext xmlns:c16="http://schemas.microsoft.com/office/drawing/2014/chart" uri="{C3380CC4-5D6E-409C-BE32-E72D297353CC}">
              <c16:uniqueId val="{00000003-71D3-4A17-985E-626A6D1EA42B}"/>
            </c:ext>
          </c:extLst>
        </c:ser>
        <c:dLbls>
          <c:showLegendKey val="0"/>
          <c:showVal val="0"/>
          <c:showCatName val="0"/>
          <c:showSerName val="0"/>
          <c:showPercent val="0"/>
          <c:showBubbleSize val="0"/>
        </c:dLbls>
        <c:gapWidth val="150"/>
        <c:overlap val="100"/>
        <c:axId val="299722240"/>
        <c:axId val="299909888"/>
      </c:barChart>
      <c:catAx>
        <c:axId val="299722240"/>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299909888"/>
        <c:crosses val="autoZero"/>
        <c:auto val="1"/>
        <c:lblAlgn val="ctr"/>
        <c:lblOffset val="100"/>
        <c:noMultiLvlLbl val="0"/>
      </c:catAx>
      <c:valAx>
        <c:axId val="299909888"/>
        <c:scaling>
          <c:orientation val="minMax"/>
        </c:scaling>
        <c:delete val="0"/>
        <c:axPos val="l"/>
        <c:numFmt formatCode="#,##0" sourceLinked="0"/>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299722240"/>
        <c:crosses val="autoZero"/>
        <c:crossBetween val="between"/>
      </c:valAx>
    </c:plotArea>
    <c:legend>
      <c:legendPos val="t"/>
      <c:layout/>
      <c:overlay val="0"/>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ln w="12700" cmpd="sng">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930291950500401E-2"/>
          <c:y val="0.10559022222896179"/>
          <c:w val="0.89723989703599194"/>
          <c:h val="0.77544500119303272"/>
        </c:manualLayout>
      </c:layout>
      <c:barChart>
        <c:barDir val="col"/>
        <c:grouping val="clustered"/>
        <c:varyColors val="0"/>
        <c:ser>
          <c:idx val="0"/>
          <c:order val="0"/>
          <c:tx>
            <c:strRef>
              <c:f>'Key Stats'!$C$60</c:f>
              <c:strCache>
                <c:ptCount val="1"/>
                <c:pt idx="0">
                  <c:v>PE Ratio</c:v>
                </c:pt>
              </c:strCache>
            </c:strRef>
          </c:tx>
          <c:spPr>
            <a:solidFill>
              <a:srgbClr val="002060"/>
            </a:solidFill>
          </c:spPr>
          <c:invertIfNegative val="0"/>
          <c:dPt>
            <c:idx val="0"/>
            <c:invertIfNegative val="0"/>
            <c:bubble3D val="0"/>
            <c:extLst>
              <c:ext xmlns:c16="http://schemas.microsoft.com/office/drawing/2014/chart" uri="{C3380CC4-5D6E-409C-BE32-E72D297353CC}">
                <c16:uniqueId val="{00000000-28A9-4D0B-B1AC-E08CA7D65BBE}"/>
              </c:ext>
            </c:extLst>
          </c:dPt>
          <c:dPt>
            <c:idx val="1"/>
            <c:invertIfNegative val="0"/>
            <c:bubble3D val="0"/>
            <c:extLst>
              <c:ext xmlns:c16="http://schemas.microsoft.com/office/drawing/2014/chart" uri="{C3380CC4-5D6E-409C-BE32-E72D297353CC}">
                <c16:uniqueId val="{00000001-28A9-4D0B-B1AC-E08CA7D65BBE}"/>
              </c:ext>
            </c:extLst>
          </c:dPt>
          <c:dPt>
            <c:idx val="2"/>
            <c:invertIfNegative val="0"/>
            <c:bubble3D val="0"/>
            <c:extLst>
              <c:ext xmlns:c16="http://schemas.microsoft.com/office/drawing/2014/chart" uri="{C3380CC4-5D6E-409C-BE32-E72D297353CC}">
                <c16:uniqueId val="{00000002-28A9-4D0B-B1AC-E08CA7D65BBE}"/>
              </c:ext>
            </c:extLst>
          </c:dPt>
          <c:dPt>
            <c:idx val="3"/>
            <c:invertIfNegative val="0"/>
            <c:bubble3D val="0"/>
            <c:extLst>
              <c:ext xmlns:c16="http://schemas.microsoft.com/office/drawing/2014/chart" uri="{C3380CC4-5D6E-409C-BE32-E72D297353CC}">
                <c16:uniqueId val="{00000003-28A9-4D0B-B1AC-E08CA7D65BBE}"/>
              </c:ext>
            </c:extLst>
          </c:dPt>
          <c:cat>
            <c:strRef>
              <c:f>'Key Stats'!$D$59:$G$59</c:f>
              <c:strCache>
                <c:ptCount val="4"/>
                <c:pt idx="0">
                  <c:v>TTM</c:v>
                </c:pt>
                <c:pt idx="1">
                  <c:v>FY1</c:v>
                </c:pt>
                <c:pt idx="2">
                  <c:v>NTM</c:v>
                </c:pt>
                <c:pt idx="3">
                  <c:v>FY2</c:v>
                </c:pt>
              </c:strCache>
            </c:strRef>
          </c:cat>
          <c:val>
            <c:numRef>
              <c:f>'Key Stats'!$D$60:$G$60</c:f>
              <c:numCache>
                <c:formatCode>0.0\x</c:formatCode>
                <c:ptCount val="4"/>
                <c:pt idx="0">
                  <c:v>28.296422612233243</c:v>
                </c:pt>
                <c:pt idx="1">
                  <c:v>22.954306691204678</c:v>
                </c:pt>
                <c:pt idx="2">
                  <c:v>22.536914786431858</c:v>
                </c:pt>
                <c:pt idx="3">
                  <c:v>20.927462586083895</c:v>
                </c:pt>
              </c:numCache>
            </c:numRef>
          </c:val>
          <c:extLst>
            <c:ext xmlns:c16="http://schemas.microsoft.com/office/drawing/2014/chart" uri="{C3380CC4-5D6E-409C-BE32-E72D297353CC}">
              <c16:uniqueId val="{00000004-28A9-4D0B-B1AC-E08CA7D65BBE}"/>
            </c:ext>
          </c:extLst>
        </c:ser>
        <c:ser>
          <c:idx val="1"/>
          <c:order val="1"/>
          <c:tx>
            <c:strRef>
              <c:f>'Key Stats'!$C$61</c:f>
              <c:strCache>
                <c:ptCount val="1"/>
                <c:pt idx="0">
                  <c:v>TEV / EBITDA</c:v>
                </c:pt>
              </c:strCache>
            </c:strRef>
          </c:tx>
          <c:invertIfNegative val="0"/>
          <c:cat>
            <c:strRef>
              <c:f>'Key Stats'!$D$59:$G$59</c:f>
              <c:strCache>
                <c:ptCount val="4"/>
                <c:pt idx="0">
                  <c:v>TTM</c:v>
                </c:pt>
                <c:pt idx="1">
                  <c:v>FY1</c:v>
                </c:pt>
                <c:pt idx="2">
                  <c:v>NTM</c:v>
                </c:pt>
                <c:pt idx="3">
                  <c:v>FY2</c:v>
                </c:pt>
              </c:strCache>
            </c:strRef>
          </c:cat>
          <c:val>
            <c:numRef>
              <c:f>'Key Stats'!$D$61:$G$61</c:f>
              <c:numCache>
                <c:formatCode>0.0\x</c:formatCode>
                <c:ptCount val="4"/>
                <c:pt idx="0">
                  <c:v>23.814622505761449</c:v>
                </c:pt>
                <c:pt idx="1">
                  <c:v>17.636868904020243</c:v>
                </c:pt>
                <c:pt idx="2">
                  <c:v>16.764458642638676</c:v>
                </c:pt>
                <c:pt idx="3">
                  <c:v>15.729108186444359</c:v>
                </c:pt>
              </c:numCache>
            </c:numRef>
          </c:val>
          <c:extLst>
            <c:ext xmlns:c16="http://schemas.microsoft.com/office/drawing/2014/chart" uri="{C3380CC4-5D6E-409C-BE32-E72D297353CC}">
              <c16:uniqueId val="{00000005-28A9-4D0B-B1AC-E08CA7D65BBE}"/>
            </c:ext>
          </c:extLst>
        </c:ser>
        <c:ser>
          <c:idx val="2"/>
          <c:order val="2"/>
          <c:tx>
            <c:strRef>
              <c:f>'Key Stats'!$C$62</c:f>
              <c:strCache>
                <c:ptCount val="1"/>
                <c:pt idx="0">
                  <c:v>Price / CF</c:v>
                </c:pt>
              </c:strCache>
            </c:strRef>
          </c:tx>
          <c:invertIfNegative val="0"/>
          <c:cat>
            <c:strRef>
              <c:f>'Key Stats'!$D$59:$G$59</c:f>
              <c:strCache>
                <c:ptCount val="4"/>
                <c:pt idx="0">
                  <c:v>TTM</c:v>
                </c:pt>
                <c:pt idx="1">
                  <c:v>FY1</c:v>
                </c:pt>
                <c:pt idx="2">
                  <c:v>NTM</c:v>
                </c:pt>
                <c:pt idx="3">
                  <c:v>FY2</c:v>
                </c:pt>
              </c:strCache>
            </c:strRef>
          </c:cat>
          <c:val>
            <c:numRef>
              <c:f>'Key Stats'!$D$62:$G$62</c:f>
              <c:numCache>
                <c:formatCode>0.0\x</c:formatCode>
                <c:ptCount val="4"/>
                <c:pt idx="0">
                  <c:v>26.631094197323144</c:v>
                </c:pt>
                <c:pt idx="1">
                  <c:v>22.035356655356878</c:v>
                </c:pt>
                <c:pt idx="2">
                  <c:v>17.705492539839309</c:v>
                </c:pt>
                <c:pt idx="3">
                  <c:v>18.375430095400795</c:v>
                </c:pt>
              </c:numCache>
            </c:numRef>
          </c:val>
          <c:extLst>
            <c:ext xmlns:c16="http://schemas.microsoft.com/office/drawing/2014/chart" uri="{C3380CC4-5D6E-409C-BE32-E72D297353CC}">
              <c16:uniqueId val="{00000006-28A9-4D0B-B1AC-E08CA7D65BBE}"/>
            </c:ext>
          </c:extLst>
        </c:ser>
        <c:ser>
          <c:idx val="3"/>
          <c:order val="3"/>
          <c:tx>
            <c:strRef>
              <c:f>'Key Stats'!$C$63</c:f>
              <c:strCache>
                <c:ptCount val="1"/>
                <c:pt idx="0">
                  <c:v>Price / Book</c:v>
                </c:pt>
              </c:strCache>
            </c:strRef>
          </c:tx>
          <c:invertIfNegative val="0"/>
          <c:cat>
            <c:strRef>
              <c:f>'Key Stats'!$D$59:$G$59</c:f>
              <c:strCache>
                <c:ptCount val="4"/>
                <c:pt idx="0">
                  <c:v>TTM</c:v>
                </c:pt>
                <c:pt idx="1">
                  <c:v>FY1</c:v>
                </c:pt>
                <c:pt idx="2">
                  <c:v>NTM</c:v>
                </c:pt>
                <c:pt idx="3">
                  <c:v>FY2</c:v>
                </c:pt>
              </c:strCache>
            </c:strRef>
          </c:cat>
          <c:val>
            <c:numRef>
              <c:f>'Key Stats'!$D$63:$G$63</c:f>
              <c:numCache>
                <c:formatCode>0.0\x</c:formatCode>
                <c:ptCount val="4"/>
                <c:pt idx="0">
                  <c:v>5.9771890916583539</c:v>
                </c:pt>
                <c:pt idx="1">
                  <c:v>5.2602408626126245</c:v>
                </c:pt>
                <c:pt idx="2">
                  <c:v>4.5513632234835208</c:v>
                </c:pt>
                <c:pt idx="3">
                  <c:v>4.5513632234835208</c:v>
                </c:pt>
              </c:numCache>
            </c:numRef>
          </c:val>
          <c:extLst>
            <c:ext xmlns:c16="http://schemas.microsoft.com/office/drawing/2014/chart" uri="{C3380CC4-5D6E-409C-BE32-E72D297353CC}">
              <c16:uniqueId val="{00000007-28A9-4D0B-B1AC-E08CA7D65BBE}"/>
            </c:ext>
          </c:extLst>
        </c:ser>
        <c:ser>
          <c:idx val="4"/>
          <c:order val="4"/>
          <c:tx>
            <c:strRef>
              <c:f>'Key Stats'!$C$64</c:f>
              <c:strCache>
                <c:ptCount val="1"/>
                <c:pt idx="0">
                  <c:v>Dividend Yield</c:v>
                </c:pt>
              </c:strCache>
            </c:strRef>
          </c:tx>
          <c:invertIfNegative val="0"/>
          <c:cat>
            <c:strRef>
              <c:f>'Key Stats'!$D$59:$G$59</c:f>
              <c:strCache>
                <c:ptCount val="4"/>
                <c:pt idx="0">
                  <c:v>TTM</c:v>
                </c:pt>
                <c:pt idx="1">
                  <c:v>FY1</c:v>
                </c:pt>
                <c:pt idx="2">
                  <c:v>NTM</c:v>
                </c:pt>
                <c:pt idx="3">
                  <c:v>FY2</c:v>
                </c:pt>
              </c:strCache>
            </c:strRef>
          </c:cat>
          <c:val>
            <c:numRef>
              <c:f>'Key Stats'!$D$64:$G$64</c:f>
              <c:numCache>
                <c:formatCode>0.0\x</c:formatCode>
                <c:ptCount val="4"/>
                <c:pt idx="0">
                  <c:v>1.0589933928125779</c:v>
                </c:pt>
                <c:pt idx="1">
                  <c:v>1.0589933928125779</c:v>
                </c:pt>
                <c:pt idx="2">
                  <c:v>1.0589933928125779</c:v>
                </c:pt>
                <c:pt idx="3">
                  <c:v>1.0589933928125779</c:v>
                </c:pt>
              </c:numCache>
            </c:numRef>
          </c:val>
          <c:extLst>
            <c:ext xmlns:c16="http://schemas.microsoft.com/office/drawing/2014/chart" uri="{C3380CC4-5D6E-409C-BE32-E72D297353CC}">
              <c16:uniqueId val="{00000008-28A9-4D0B-B1AC-E08CA7D65BBE}"/>
            </c:ext>
          </c:extLst>
        </c:ser>
        <c:dLbls>
          <c:showLegendKey val="0"/>
          <c:showVal val="0"/>
          <c:showCatName val="0"/>
          <c:showSerName val="0"/>
          <c:showPercent val="0"/>
          <c:showBubbleSize val="0"/>
        </c:dLbls>
        <c:gapWidth val="150"/>
        <c:axId val="536672128"/>
        <c:axId val="537404544"/>
      </c:barChart>
      <c:catAx>
        <c:axId val="536672128"/>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537404544"/>
        <c:crosses val="autoZero"/>
        <c:auto val="1"/>
        <c:lblAlgn val="ctr"/>
        <c:lblOffset val="100"/>
        <c:noMultiLvlLbl val="0"/>
      </c:catAx>
      <c:valAx>
        <c:axId val="537404544"/>
        <c:scaling>
          <c:orientation val="minMax"/>
        </c:scaling>
        <c:delete val="0"/>
        <c:axPos val="l"/>
        <c:numFmt formatCode="0.0\x"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536672128"/>
        <c:crosses val="autoZero"/>
        <c:crossBetween val="between"/>
      </c:valAx>
    </c:plotArea>
    <c:legend>
      <c:legendPos val="t"/>
      <c:layout>
        <c:manualLayout>
          <c:xMode val="edge"/>
          <c:yMode val="edge"/>
          <c:x val="0.10593883857003422"/>
          <c:y val="2.7874564459930314E-2"/>
          <c:w val="0.88574575576896819"/>
          <c:h val="8.4008889132760847E-2"/>
        </c:manualLayout>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baseline="0">
                <a:solidFill>
                  <a:srgbClr val="000000"/>
                </a:solidFill>
                <a:latin typeface="Calibri"/>
                <a:ea typeface="Calibri"/>
                <a:cs typeface="Calibri"/>
              </a:defRPr>
            </a:pPr>
            <a:r>
              <a:rPr lang="en-US" sz="1600" b="1"/>
              <a:t>Valuation</a:t>
            </a:r>
            <a:r>
              <a:rPr lang="en-US" sz="1600" b="1" baseline="0"/>
              <a:t> </a:t>
            </a:r>
            <a:r>
              <a:rPr lang="en-US" sz="1600" b="1"/>
              <a:t>Football Field</a:t>
            </a:r>
          </a:p>
        </c:rich>
      </c:tx>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Calibri"/>
              <a:ea typeface="Calibri"/>
              <a:cs typeface="Calibri"/>
            </a:defRPr>
          </a:pPr>
          <a:endParaRPr lang="en-US"/>
        </a:p>
      </c:txPr>
    </c:title>
    <c:autoTitleDeleted val="0"/>
    <c:plotArea>
      <c:layout/>
      <c:barChart>
        <c:barDir val="bar"/>
        <c:grouping val="stacked"/>
        <c:varyColors val="0"/>
        <c:ser>
          <c:idx val="0"/>
          <c:order val="0"/>
          <c:tx>
            <c:strRef>
              <c:f>'Football Field Analysis'!$E$58</c:f>
              <c:strCache>
                <c:ptCount val="1"/>
                <c:pt idx="0">
                  <c:v>Min</c:v>
                </c:pt>
              </c:strCache>
            </c:strRef>
          </c:tx>
          <c:spPr>
            <a:noFill/>
            <a:ln>
              <a:noFill/>
            </a:ln>
            <a:effectLst/>
          </c:spPr>
          <c:invertIfNegative val="0"/>
          <c:cat>
            <c:strRef>
              <c:f>'Football Field Analysis'!$C$59:$C$63</c:f>
              <c:strCache>
                <c:ptCount val="5"/>
                <c:pt idx="0">
                  <c:v>Comparable Companies (29.1x - 31.1x)</c:v>
                </c:pt>
                <c:pt idx="1">
                  <c:v>Precedent Transactions (21.5x - 23.5x)</c:v>
                </c:pt>
                <c:pt idx="2">
                  <c:v>Discounted Cash Flows (19.2x - 19.5x)</c:v>
                </c:pt>
                <c:pt idx="3">
                  <c:v>Multistage GGM</c:v>
                </c:pt>
                <c:pt idx="4">
                  <c:v>52 Week Range</c:v>
                </c:pt>
              </c:strCache>
            </c:strRef>
          </c:cat>
          <c:val>
            <c:numRef>
              <c:f>'Football Field Analysis'!$E$59:$E$63</c:f>
              <c:numCache>
                <c:formatCode>"$"#,##0.00_);\("$"#,##0.00\);\ \-\ \-\ </c:formatCode>
                <c:ptCount val="5"/>
                <c:pt idx="0">
                  <c:v>185.45178418890978</c:v>
                </c:pt>
                <c:pt idx="1">
                  <c:v>157.54970024731762</c:v>
                </c:pt>
                <c:pt idx="2">
                  <c:v>173.35607680565724</c:v>
                </c:pt>
                <c:pt idx="3">
                  <c:v>145.02399365163467</c:v>
                </c:pt>
                <c:pt idx="4">
                  <c:v>144.75</c:v>
                </c:pt>
              </c:numCache>
            </c:numRef>
          </c:val>
          <c:extLst>
            <c:ext xmlns:c16="http://schemas.microsoft.com/office/drawing/2014/chart" uri="{C3380CC4-5D6E-409C-BE32-E72D297353CC}">
              <c16:uniqueId val="{00000000-A54C-4CFB-B892-CA21CD21C4D9}"/>
            </c:ext>
          </c:extLst>
        </c:ser>
        <c:ser>
          <c:idx val="1"/>
          <c:order val="1"/>
          <c:tx>
            <c:strRef>
              <c:f>'Football Field Analysis'!$F$58</c:f>
              <c:strCache>
                <c:ptCount val="1"/>
                <c:pt idx="0">
                  <c:v>Range</c:v>
                </c:pt>
              </c:strCache>
            </c:strRef>
          </c:tx>
          <c:spPr>
            <a:solidFill>
              <a:schemeClr val="accent1">
                <a:lumMod val="75000"/>
              </a:schemeClr>
            </a:solidFill>
            <a:ln>
              <a:noFill/>
            </a:ln>
            <a:effectLst/>
          </c:spPr>
          <c:invertIfNegative val="0"/>
          <c:cat>
            <c:strRef>
              <c:f>'Football Field Analysis'!$C$59:$C$63</c:f>
              <c:strCache>
                <c:ptCount val="5"/>
                <c:pt idx="0">
                  <c:v>Comparable Companies (29.1x - 31.1x)</c:v>
                </c:pt>
                <c:pt idx="1">
                  <c:v>Precedent Transactions (21.5x - 23.5x)</c:v>
                </c:pt>
                <c:pt idx="2">
                  <c:v>Discounted Cash Flows (19.2x - 19.5x)</c:v>
                </c:pt>
                <c:pt idx="3">
                  <c:v>Multistage GGM</c:v>
                </c:pt>
                <c:pt idx="4">
                  <c:v>52 Week Range</c:v>
                </c:pt>
              </c:strCache>
            </c:strRef>
          </c:cat>
          <c:val>
            <c:numRef>
              <c:f>'Football Field Analysis'!$F$59:$F$63</c:f>
              <c:numCache>
                <c:formatCode>#,##0.00_);\(#,##0.00\);\ \-\ \-\ </c:formatCode>
                <c:ptCount val="5"/>
                <c:pt idx="0">
                  <c:v>17.179846819809597</c:v>
                </c:pt>
                <c:pt idx="1">
                  <c:v>17.474962994688696</c:v>
                </c:pt>
                <c:pt idx="2">
                  <c:v>33.388909084837479</c:v>
                </c:pt>
                <c:pt idx="3">
                  <c:v>43.039805043749084</c:v>
                </c:pt>
                <c:pt idx="4">
                  <c:v>55.099999999999994</c:v>
                </c:pt>
              </c:numCache>
            </c:numRef>
          </c:val>
          <c:extLst>
            <c:ext xmlns:c16="http://schemas.microsoft.com/office/drawing/2014/chart" uri="{C3380CC4-5D6E-409C-BE32-E72D297353CC}">
              <c16:uniqueId val="{0000000E-DF5E-4BC8-8AC8-3CB6083D49A9}"/>
            </c:ext>
          </c:extLst>
        </c:ser>
        <c:ser>
          <c:idx val="2"/>
          <c:order val="2"/>
          <c:tx>
            <c:strRef>
              <c:f>'Football Field Analysis'!$G$58</c:f>
              <c:strCache>
                <c:ptCount val="1"/>
                <c:pt idx="0">
                  <c:v>Max</c:v>
                </c:pt>
              </c:strCache>
            </c:strRef>
          </c:tx>
          <c:spPr>
            <a:noFill/>
            <a:ln>
              <a:noFill/>
            </a:ln>
            <a:effectLst/>
          </c:spPr>
          <c:invertIfNegative val="0"/>
          <c:cat>
            <c:strRef>
              <c:f>'Football Field Analysis'!$C$59:$C$63</c:f>
              <c:strCache>
                <c:ptCount val="5"/>
                <c:pt idx="0">
                  <c:v>Comparable Companies (29.1x - 31.1x)</c:v>
                </c:pt>
                <c:pt idx="1">
                  <c:v>Precedent Transactions (21.5x - 23.5x)</c:v>
                </c:pt>
                <c:pt idx="2">
                  <c:v>Discounted Cash Flows (19.2x - 19.5x)</c:v>
                </c:pt>
                <c:pt idx="3">
                  <c:v>Multistage GGM</c:v>
                </c:pt>
                <c:pt idx="4">
                  <c:v>52 Week Range</c:v>
                </c:pt>
              </c:strCache>
            </c:strRef>
          </c:cat>
          <c:val>
            <c:numRef>
              <c:f>'Football Field Analysis'!$G$59:$G$63</c:f>
              <c:numCache>
                <c:formatCode>"$"#,##0.00_);\("$"#,##0.00\);\ \-\ \-\ </c:formatCode>
                <c:ptCount val="5"/>
                <c:pt idx="0">
                  <c:v>202.63163100871938</c:v>
                </c:pt>
                <c:pt idx="1">
                  <c:v>175.02466324200631</c:v>
                </c:pt>
                <c:pt idx="2">
                  <c:v>206.74498589049472</c:v>
                </c:pt>
                <c:pt idx="3">
                  <c:v>188.06379869538375</c:v>
                </c:pt>
                <c:pt idx="4">
                  <c:v>199.85</c:v>
                </c:pt>
              </c:numCache>
            </c:numRef>
          </c:val>
          <c:extLst>
            <c:ext xmlns:c16="http://schemas.microsoft.com/office/drawing/2014/chart" uri="{C3380CC4-5D6E-409C-BE32-E72D297353CC}">
              <c16:uniqueId val="{0000000F-DF5E-4BC8-8AC8-3CB6083D49A9}"/>
            </c:ext>
          </c:extLst>
        </c:ser>
        <c:ser>
          <c:idx val="3"/>
          <c:order val="3"/>
          <c:tx>
            <c:strRef>
              <c:f>'Football Field Analysis'!$J$58:$L$58</c:f>
              <c:strCache>
                <c:ptCount val="1"/>
                <c:pt idx="0">
                  <c:v>Implied Trading Range</c:v>
                </c:pt>
              </c:strCache>
            </c:strRef>
          </c:tx>
          <c:spPr>
            <a:solidFill>
              <a:schemeClr val="accent2">
                <a:lumMod val="60000"/>
              </a:schemeClr>
            </a:solidFill>
            <a:ln>
              <a:noFill/>
            </a:ln>
            <a:effectLst/>
          </c:spPr>
          <c:invertIfNegative val="0"/>
          <c:val>
            <c:numRef>
              <c:f>'Football Field Analysis'!$L$61:$L$62</c:f>
              <c:numCache>
                <c:formatCode>"$"#,##0.00_);\("$"#,##0.00\);\ \-\ \-\ </c:formatCode>
                <c:ptCount val="2"/>
                <c:pt idx="0">
                  <c:v>165.34538872337984</c:v>
                </c:pt>
                <c:pt idx="1">
                  <c:v>193.11626970915106</c:v>
                </c:pt>
              </c:numCache>
            </c:numRef>
          </c:val>
          <c:extLst>
            <c:ext xmlns:c16="http://schemas.microsoft.com/office/drawing/2014/chart" uri="{C3380CC4-5D6E-409C-BE32-E72D297353CC}">
              <c16:uniqueId val="{00000002-B3A1-4715-97E8-DB65C3F8A473}"/>
            </c:ext>
          </c:extLst>
        </c:ser>
        <c:dLbls>
          <c:showLegendKey val="0"/>
          <c:showVal val="0"/>
          <c:showCatName val="0"/>
          <c:showSerName val="0"/>
          <c:showPercent val="0"/>
          <c:showBubbleSize val="0"/>
        </c:dLbls>
        <c:gapWidth val="55"/>
        <c:overlap val="100"/>
        <c:axId val="2131998712"/>
        <c:axId val="2103884232"/>
      </c:barChart>
      <c:catAx>
        <c:axId val="2131998712"/>
        <c:scaling>
          <c:orientation val="maxMin"/>
        </c:scaling>
        <c:delete val="0"/>
        <c:axPos val="l"/>
        <c:title>
          <c:tx>
            <c:rich>
              <a:bodyPr rot="-540000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US" sz="1200" b="1"/>
                  <a:t>Valuation Method</a:t>
                </a:r>
              </a:p>
            </c:rich>
          </c:tx>
          <c:layout/>
          <c:overlay val="0"/>
          <c:spPr>
            <a:noFill/>
            <a:ln>
              <a:noFill/>
            </a:ln>
            <a:effectLst/>
          </c:spPr>
          <c:txPr>
            <a:bodyPr rot="-540000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numFmt formatCode="General" sourceLinked="1"/>
        <c:majorTickMark val="none"/>
        <c:minorTickMark val="none"/>
        <c:tickLblPos val="nextTo"/>
        <c:spPr>
          <a:noFill/>
          <a:ln w="3175" cap="flat" cmpd="sng" algn="ctr">
            <a:solidFill>
              <a:srgbClr val="808080"/>
            </a:solidFill>
            <a:prstDash val="solid"/>
            <a:round/>
          </a:ln>
          <a:effectLst/>
        </c:spPr>
        <c:txPr>
          <a:bodyPr rot="0" spcFirstLastPara="1" vertOverflow="ellipsis" wrap="square" anchor="ctr" anchorCtr="1"/>
          <a:lstStyle/>
          <a:p>
            <a:pPr>
              <a:defRPr sz="1000" b="0" i="0" u="none" strike="noStrike" kern="1200" baseline="0">
                <a:solidFill>
                  <a:schemeClr val="bg2">
                    <a:lumMod val="25000"/>
                  </a:schemeClr>
                </a:solidFill>
                <a:latin typeface="+mn-lt"/>
                <a:ea typeface="Calibri"/>
                <a:cs typeface="Times New Roman"/>
              </a:defRPr>
            </a:pPr>
            <a:endParaRPr lang="en-US"/>
          </a:p>
        </c:txPr>
        <c:crossAx val="2103884232"/>
        <c:crosses val="autoZero"/>
        <c:auto val="1"/>
        <c:lblAlgn val="ctr"/>
        <c:lblOffset val="100"/>
        <c:noMultiLvlLbl val="0"/>
      </c:catAx>
      <c:valAx>
        <c:axId val="2103884232"/>
        <c:scaling>
          <c:orientation val="minMax"/>
          <c:max val="280"/>
          <c:min val="100"/>
        </c:scaling>
        <c:delete val="0"/>
        <c:axPos val="b"/>
        <c:majorGridlines>
          <c:spPr>
            <a:ln w="9525" cap="flat" cmpd="sng" algn="ctr">
              <a:solidFill>
                <a:schemeClr val="tx1">
                  <a:tint val="75000"/>
                  <a:shade val="95000"/>
                  <a:satMod val="105000"/>
                </a:schemeClr>
              </a:solidFill>
              <a:prstDash val="solid"/>
              <a:round/>
            </a:ln>
            <a:effectLst/>
          </c:spPr>
        </c:majorGridlines>
        <c:title>
          <c:tx>
            <c:rich>
              <a:bodyPr rot="0" spcFirstLastPara="1" vertOverflow="ellipsis" vert="horz" wrap="square" anchor="ctr" anchorCtr="1"/>
              <a:lstStyle/>
              <a:p>
                <a:pPr>
                  <a:defRPr sz="1200" b="0" i="0" u="none" strike="noStrike" kern="1200" baseline="0">
                    <a:solidFill>
                      <a:srgbClr val="000000"/>
                    </a:solidFill>
                    <a:latin typeface="Calibri"/>
                    <a:ea typeface="Calibri"/>
                    <a:cs typeface="Calibri"/>
                  </a:defRPr>
                </a:pPr>
                <a:r>
                  <a:rPr lang="en-US" sz="1200" b="1"/>
                  <a:t>Price Per Share</a:t>
                </a:r>
              </a:p>
            </c:rich>
          </c:tx>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Calibri"/>
                  <a:ea typeface="Calibri"/>
                  <a:cs typeface="Calibri"/>
                </a:defRPr>
              </a:pPr>
              <a:endParaRPr lang="en-US"/>
            </a:p>
          </c:txPr>
        </c:title>
        <c:numFmt formatCode="&quot;$&quot;#,##0" sourceLinked="0"/>
        <c:majorTickMark val="none"/>
        <c:minorTickMark val="none"/>
        <c:tickLblPos val="nextTo"/>
        <c:spPr>
          <a:noFill/>
          <a:ln w="3175" cap="flat" cmpd="sng" algn="ctr">
            <a:solidFill>
              <a:srgbClr val="808080"/>
            </a:solidFill>
            <a:prstDash val="solid"/>
            <a:round/>
          </a:ln>
          <a:effectLst/>
        </c:spPr>
        <c:txPr>
          <a:bodyPr rot="0" spcFirstLastPara="1" vertOverflow="ellipsis" wrap="square" anchor="ctr" anchorCtr="1"/>
          <a:lstStyle/>
          <a:p>
            <a:pPr>
              <a:defRPr sz="1000" b="0" i="0" u="none" strike="noStrike" kern="1200" baseline="0">
                <a:solidFill>
                  <a:srgbClr val="3B3838"/>
                </a:solidFill>
                <a:latin typeface="Times New Roman"/>
                <a:ea typeface="Calibri"/>
                <a:cs typeface="Times New Roman"/>
              </a:defRPr>
            </a:pPr>
            <a:endParaRPr lang="en-US"/>
          </a:p>
        </c:txPr>
        <c:crossAx val="2131998712"/>
        <c:crosses val="max"/>
        <c:crossBetween val="between"/>
      </c:valAx>
      <c:spPr>
        <a:noFill/>
        <a:ln w="25400">
          <a:noFill/>
        </a:ln>
        <a:effectLst/>
      </c:spPr>
    </c:plotArea>
    <c:plotVisOnly val="1"/>
    <c:dispBlanksAs val="gap"/>
    <c:showDLblsOverMax val="0"/>
  </c:chart>
  <c:spPr>
    <a:solidFill>
      <a:srgbClr val="FFFFFF"/>
    </a:solidFill>
    <a:ln w="3175" cap="sq" cmpd="sng" algn="ctr">
      <a:solidFill>
        <a:srgbClr val="808080"/>
      </a:solidFill>
      <a:prstDash val="solid"/>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Average True Range</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Data'!$F$6</c:f>
              <c:strCache>
                <c:ptCount val="1"/>
                <c:pt idx="0">
                  <c:v>ATR</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Data'!$H$5:$AB$5</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Data'!$H$6:$AB$6</c:f>
              <c:numCache>
                <c:formatCode>General</c:formatCode>
                <c:ptCount val="21"/>
                <c:pt idx="0">
                  <c:v>2.7467185012664306</c:v>
                </c:pt>
                <c:pt idx="1">
                  <c:v>2.5211456675109516</c:v>
                </c:pt>
                <c:pt idx="2">
                  <c:v>2.3507637783406317</c:v>
                </c:pt>
                <c:pt idx="3">
                  <c:v>3.0321758522270819</c:v>
                </c:pt>
                <c:pt idx="4">
                  <c:v>2.5514505681513802</c:v>
                </c:pt>
                <c:pt idx="5">
                  <c:v>2.6309670454342511</c:v>
                </c:pt>
                <c:pt idx="6">
                  <c:v>2.4639780302894994</c:v>
                </c:pt>
                <c:pt idx="7">
                  <c:v>2.4059853535263303</c:v>
                </c:pt>
                <c:pt idx="8">
                  <c:v>2.6873235690175536</c:v>
                </c:pt>
                <c:pt idx="9">
                  <c:v>2.5182157126783715</c:v>
                </c:pt>
                <c:pt idx="10">
                  <c:v>2.6788104751189143</c:v>
                </c:pt>
                <c:pt idx="11">
                  <c:v>2.3058736500792771</c:v>
                </c:pt>
                <c:pt idx="12">
                  <c:v>2.8205824333861829</c:v>
                </c:pt>
                <c:pt idx="13">
                  <c:v>2.3803882889241219</c:v>
                </c:pt>
                <c:pt idx="14">
                  <c:v>3.913592192616087</c:v>
                </c:pt>
                <c:pt idx="15">
                  <c:v>5.7757281284107247</c:v>
                </c:pt>
                <c:pt idx="16">
                  <c:v>5.8471520856071528</c:v>
                </c:pt>
                <c:pt idx="17">
                  <c:v>5.3131013904047704</c:v>
                </c:pt>
                <c:pt idx="18">
                  <c:v>5.3120675936031816</c:v>
                </c:pt>
                <c:pt idx="19">
                  <c:v>5.8613783957354482</c:v>
                </c:pt>
                <c:pt idx="20">
                  <c:v>5.3125855971569669</c:v>
                </c:pt>
              </c:numCache>
            </c:numRef>
          </c:val>
          <c:smooth val="0"/>
          <c:extLst>
            <c:ext xmlns:c16="http://schemas.microsoft.com/office/drawing/2014/chart" uri="{C3380CC4-5D6E-409C-BE32-E72D297353CC}">
              <c16:uniqueId val="{00000000-C18D-4542-9642-334DD48B820E}"/>
            </c:ext>
          </c:extLst>
        </c:ser>
        <c:dLbls>
          <c:showLegendKey val="0"/>
          <c:showVal val="0"/>
          <c:showCatName val="0"/>
          <c:showSerName val="0"/>
          <c:showPercent val="0"/>
          <c:showBubbleSize val="0"/>
        </c:dLbls>
        <c:marker val="1"/>
        <c:smooth val="0"/>
        <c:axId val="402911232"/>
        <c:axId val="402906656"/>
      </c:lineChart>
      <c:dateAx>
        <c:axId val="402911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02906656"/>
        <c:crosses val="autoZero"/>
        <c:auto val="1"/>
        <c:lblOffset val="100"/>
        <c:baseTimeUnit val="days"/>
      </c:dateAx>
      <c:valAx>
        <c:axId val="402906656"/>
        <c:scaling>
          <c:orientation val="minMax"/>
        </c:scaling>
        <c:delete val="0"/>
        <c:axPos val="l"/>
        <c:numFmt formatCode="#,##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1123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Bollinger Bands</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Moving Average</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Data'!$U$8:$AB$8</c:f>
              <c:numCache>
                <c:formatCode>m/d/yyyy</c:formatCode>
                <c:ptCount val="8"/>
                <c:pt idx="0">
                  <c:v>43570</c:v>
                </c:pt>
                <c:pt idx="1">
                  <c:v>43571</c:v>
                </c:pt>
                <c:pt idx="2">
                  <c:v>43572</c:v>
                </c:pt>
                <c:pt idx="3">
                  <c:v>43573</c:v>
                </c:pt>
                <c:pt idx="4">
                  <c:v>43577</c:v>
                </c:pt>
                <c:pt idx="5">
                  <c:v>43578</c:v>
                </c:pt>
                <c:pt idx="6">
                  <c:v>43579</c:v>
                </c:pt>
                <c:pt idx="7">
                  <c:v>43580</c:v>
                </c:pt>
              </c:numCache>
            </c:numRef>
          </c:cat>
          <c:val>
            <c:numRef>
              <c:f>'Technical Analysis Data'!$U$9:$AC$9</c:f>
              <c:numCache>
                <c:formatCode>General</c:formatCode>
                <c:ptCount val="9"/>
                <c:pt idx="0">
                  <c:v>195.55599999999998</c:v>
                </c:pt>
                <c:pt idx="1">
                  <c:v>195.202</c:v>
                </c:pt>
                <c:pt idx="2">
                  <c:v>194.35699999999997</c:v>
                </c:pt>
                <c:pt idx="3">
                  <c:v>193.46999999999997</c:v>
                </c:pt>
                <c:pt idx="4">
                  <c:v>192.85599999999999</c:v>
                </c:pt>
                <c:pt idx="5">
                  <c:v>192.44549999999998</c:v>
                </c:pt>
                <c:pt idx="6">
                  <c:v>191.89349999999999</c:v>
                </c:pt>
                <c:pt idx="7">
                  <c:v>191.43247500000001</c:v>
                </c:pt>
              </c:numCache>
            </c:numRef>
          </c:val>
          <c:smooth val="0"/>
          <c:extLst>
            <c:ext xmlns:c16="http://schemas.microsoft.com/office/drawing/2014/chart" uri="{C3380CC4-5D6E-409C-BE32-E72D297353CC}">
              <c16:uniqueId val="{00000000-7BA0-443B-AC97-4BF2A39153F3}"/>
            </c:ext>
          </c:extLst>
        </c:ser>
        <c:ser>
          <c:idx val="1"/>
          <c:order val="1"/>
          <c:tx>
            <c:v>Upper Band</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Data'!$U$8:$AB$8</c:f>
              <c:numCache>
                <c:formatCode>m/d/yyyy</c:formatCode>
                <c:ptCount val="8"/>
                <c:pt idx="0">
                  <c:v>43570</c:v>
                </c:pt>
                <c:pt idx="1">
                  <c:v>43571</c:v>
                </c:pt>
                <c:pt idx="2">
                  <c:v>43572</c:v>
                </c:pt>
                <c:pt idx="3">
                  <c:v>43573</c:v>
                </c:pt>
                <c:pt idx="4">
                  <c:v>43577</c:v>
                </c:pt>
                <c:pt idx="5">
                  <c:v>43578</c:v>
                </c:pt>
                <c:pt idx="6">
                  <c:v>43579</c:v>
                </c:pt>
                <c:pt idx="7">
                  <c:v>43580</c:v>
                </c:pt>
              </c:numCache>
            </c:numRef>
          </c:cat>
          <c:val>
            <c:numRef>
              <c:f>'Technical Analysis Data'!$U$10:$AC$10</c:f>
              <c:numCache>
                <c:formatCode>General</c:formatCode>
                <c:ptCount val="9"/>
                <c:pt idx="0">
                  <c:v>198.12557117044847</c:v>
                </c:pt>
                <c:pt idx="1">
                  <c:v>199.01375340230715</c:v>
                </c:pt>
                <c:pt idx="2">
                  <c:v>201.81987370923557</c:v>
                </c:pt>
                <c:pt idx="3">
                  <c:v>202.93774524372088</c:v>
                </c:pt>
                <c:pt idx="4">
                  <c:v>203.51082313321061</c:v>
                </c:pt>
                <c:pt idx="5">
                  <c:v>203.34196084744949</c:v>
                </c:pt>
                <c:pt idx="6">
                  <c:v>203.11136124891905</c:v>
                </c:pt>
                <c:pt idx="7">
                  <c:v>202.66236928033499</c:v>
                </c:pt>
              </c:numCache>
            </c:numRef>
          </c:val>
          <c:smooth val="0"/>
          <c:extLst>
            <c:ext xmlns:c16="http://schemas.microsoft.com/office/drawing/2014/chart" uri="{C3380CC4-5D6E-409C-BE32-E72D297353CC}">
              <c16:uniqueId val="{00000001-7BA0-443B-AC97-4BF2A39153F3}"/>
            </c:ext>
          </c:extLst>
        </c:ser>
        <c:ser>
          <c:idx val="2"/>
          <c:order val="2"/>
          <c:tx>
            <c:v>Lower Band</c:v>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'Technical Analysis Data'!$U$8:$AB$8</c:f>
              <c:numCache>
                <c:formatCode>m/d/yyyy</c:formatCode>
                <c:ptCount val="8"/>
                <c:pt idx="0">
                  <c:v>43570</c:v>
                </c:pt>
                <c:pt idx="1">
                  <c:v>43571</c:v>
                </c:pt>
                <c:pt idx="2">
                  <c:v>43572</c:v>
                </c:pt>
                <c:pt idx="3">
                  <c:v>43573</c:v>
                </c:pt>
                <c:pt idx="4">
                  <c:v>43577</c:v>
                </c:pt>
                <c:pt idx="5">
                  <c:v>43578</c:v>
                </c:pt>
                <c:pt idx="6">
                  <c:v>43579</c:v>
                </c:pt>
                <c:pt idx="7">
                  <c:v>43580</c:v>
                </c:pt>
              </c:numCache>
            </c:numRef>
          </c:cat>
          <c:val>
            <c:numRef>
              <c:f>'Technical Analysis Data'!$U$11:$AC$11</c:f>
              <c:numCache>
                <c:formatCode>General</c:formatCode>
                <c:ptCount val="9"/>
                <c:pt idx="0">
                  <c:v>192.9864288295515</c:v>
                </c:pt>
                <c:pt idx="1">
                  <c:v>191.39024659769285</c:v>
                </c:pt>
                <c:pt idx="2">
                  <c:v>186.89412629076438</c:v>
                </c:pt>
                <c:pt idx="3">
                  <c:v>184.00225475627906</c:v>
                </c:pt>
                <c:pt idx="4">
                  <c:v>182.20117686678938</c:v>
                </c:pt>
                <c:pt idx="5">
                  <c:v>181.54903915255048</c:v>
                </c:pt>
                <c:pt idx="6">
                  <c:v>180.67563875108092</c:v>
                </c:pt>
                <c:pt idx="7">
                  <c:v>180.20258071966504</c:v>
                </c:pt>
              </c:numCache>
            </c:numRef>
          </c:val>
          <c:smooth val="0"/>
          <c:extLst>
            <c:ext xmlns:c16="http://schemas.microsoft.com/office/drawing/2014/chart" uri="{C3380CC4-5D6E-409C-BE32-E72D297353CC}">
              <c16:uniqueId val="{00000002-7BA0-443B-AC97-4BF2A39153F3}"/>
            </c:ext>
          </c:extLst>
        </c:ser>
        <c:dLbls>
          <c:showLegendKey val="0"/>
          <c:showVal val="0"/>
          <c:showCatName val="0"/>
          <c:showSerName val="0"/>
          <c:showPercent val="0"/>
          <c:showBubbleSize val="0"/>
        </c:dLbls>
        <c:marker val="1"/>
        <c:smooth val="0"/>
        <c:axId val="1737701776"/>
        <c:axId val="1737693872"/>
      </c:lineChart>
      <c:dateAx>
        <c:axId val="17377017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737693872"/>
        <c:crosses val="autoZero"/>
        <c:auto val="1"/>
        <c:lblOffset val="100"/>
        <c:baseTimeUnit val="days"/>
      </c:dateAx>
      <c:valAx>
        <c:axId val="1737693872"/>
        <c:scaling>
          <c:orientation val="minMax"/>
        </c:scaling>
        <c:delete val="0"/>
        <c:axPos val="l"/>
        <c:numFmt formatCode="&quot;$&quot;#,##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01776"/>
        <c:crosses val="autoZero"/>
        <c:crossBetween val="between"/>
        <c:majorUnit val="10"/>
        <c:minorUnit val="5"/>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Commodity Channel Index</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Data'!$F$16</c:f>
              <c:strCache>
                <c:ptCount val="1"/>
                <c:pt idx="0">
                  <c:v>CMCI</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Data'!$H$15:$AB$15</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Data'!$H$16:$AB$16</c:f>
              <c:numCache>
                <c:formatCode>General</c:formatCode>
                <c:ptCount val="21"/>
                <c:pt idx="0">
                  <c:v>46.988576521992726</c:v>
                </c:pt>
                <c:pt idx="1">
                  <c:v>42.03825648940515</c:v>
                </c:pt>
                <c:pt idx="2">
                  <c:v>95.070344299785901</c:v>
                </c:pt>
                <c:pt idx="3">
                  <c:v>91.22883472329562</c:v>
                </c:pt>
                <c:pt idx="4">
                  <c:v>-17.974454165461669</c:v>
                </c:pt>
                <c:pt idx="5">
                  <c:v>-42.017988572678298</c:v>
                </c:pt>
                <c:pt idx="6">
                  <c:v>-131.576859124252</c:v>
                </c:pt>
                <c:pt idx="7">
                  <c:v>-64.999040923220505</c:v>
                </c:pt>
                <c:pt idx="8">
                  <c:v>-69.749185981277904</c:v>
                </c:pt>
                <c:pt idx="9">
                  <c:v>17.67612677860426</c:v>
                </c:pt>
                <c:pt idx="10">
                  <c:v>64.043701358648349</c:v>
                </c:pt>
                <c:pt idx="11">
                  <c:v>-26.368864573943707</c:v>
                </c:pt>
                <c:pt idx="12">
                  <c:v>-161.41316842532237</c:v>
                </c:pt>
                <c:pt idx="13">
                  <c:v>-163.08103452510952</c:v>
                </c:pt>
                <c:pt idx="14">
                  <c:v>-236.25364355668657</c:v>
                </c:pt>
                <c:pt idx="15">
                  <c:v>-316.81878267811857</c:v>
                </c:pt>
                <c:pt idx="16">
                  <c:v>-240.73478239480664</c:v>
                </c:pt>
                <c:pt idx="17">
                  <c:v>-133.23422057119748</c:v>
                </c:pt>
                <c:pt idx="18">
                  <c:v>-67.269653092445097</c:v>
                </c:pt>
                <c:pt idx="19">
                  <c:v>-57.131450448347792</c:v>
                </c:pt>
                <c:pt idx="20">
                  <c:v>-38.722410220692076</c:v>
                </c:pt>
              </c:numCache>
            </c:numRef>
          </c:val>
          <c:smooth val="0"/>
          <c:extLst>
            <c:ext xmlns:c16="http://schemas.microsoft.com/office/drawing/2014/chart" uri="{C3380CC4-5D6E-409C-BE32-E72D297353CC}">
              <c16:uniqueId val="{00000000-0E9A-4B79-80E9-E58C4B95E3A6}"/>
            </c:ext>
          </c:extLst>
        </c:ser>
        <c:dLbls>
          <c:showLegendKey val="0"/>
          <c:showVal val="0"/>
          <c:showCatName val="0"/>
          <c:showSerName val="0"/>
          <c:showPercent val="0"/>
          <c:showBubbleSize val="0"/>
        </c:dLbls>
        <c:marker val="1"/>
        <c:smooth val="0"/>
        <c:axId val="457612560"/>
        <c:axId val="457626288"/>
      </c:lineChart>
      <c:catAx>
        <c:axId val="457612560"/>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57626288"/>
        <c:crosses val="autoZero"/>
        <c:auto val="0"/>
        <c:lblAlgn val="ctr"/>
        <c:lblOffset val="100"/>
        <c:noMultiLvlLbl val="1"/>
      </c:catAx>
      <c:valAx>
        <c:axId val="457626288"/>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61256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FEAR/GREED</a:t>
            </a:r>
          </a:p>
        </c:rich>
      </c:tx>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'Technical Analysis Data'!$F$22</c:f>
              <c:strCache>
                <c:ptCount val="1"/>
                <c:pt idx="0">
                  <c:v>FEAR_GREED</c:v>
                </c:pt>
              </c:strCache>
            </c:strRef>
          </c:tx>
          <c:spPr>
            <a:solidFill>
              <a:schemeClr val="accent1">
                <a:alpha val="74000"/>
              </a:schemeClr>
            </a:solidFill>
            <a:ln>
              <a:noFill/>
            </a:ln>
            <a:effectLst>
              <a:innerShdw blurRad="114300">
                <a:schemeClr val="accent1">
                  <a:lumMod val="75000"/>
                </a:schemeClr>
              </a:innerShdw>
            </a:effectLst>
          </c:spPr>
          <c:cat>
            <c:numRef>
              <c:f>'Technical Analysis Data'!$H$21:$AB$21</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Data'!$H$22:$AB$22</c:f>
              <c:numCache>
                <c:formatCode>General</c:formatCode>
                <c:ptCount val="21"/>
                <c:pt idx="0">
                  <c:v>9.7121164102564492</c:v>
                </c:pt>
                <c:pt idx="1">
                  <c:v>9.1507743589744024</c:v>
                </c:pt>
                <c:pt idx="2">
                  <c:v>9.0234528205128655</c:v>
                </c:pt>
                <c:pt idx="3">
                  <c:v>6.3616748717949037</c:v>
                </c:pt>
                <c:pt idx="4">
                  <c:v>3.8385225641026111</c:v>
                </c:pt>
                <c:pt idx="5">
                  <c:v>0.83234205128211158</c:v>
                </c:pt>
                <c:pt idx="6">
                  <c:v>-1.5654307692307015</c:v>
                </c:pt>
                <c:pt idx="7">
                  <c:v>-1.7077933333332851</c:v>
                </c:pt>
                <c:pt idx="8">
                  <c:v>6.9408205128247857E-2</c:v>
                </c:pt>
                <c:pt idx="9">
                  <c:v>2.1939635897436389</c:v>
                </c:pt>
                <c:pt idx="10">
                  <c:v>4.3560061538462023</c:v>
                </c:pt>
                <c:pt idx="11">
                  <c:v>4.3430639487179832</c:v>
                </c:pt>
                <c:pt idx="12">
                  <c:v>2.0156907179487575</c:v>
                </c:pt>
                <c:pt idx="13">
                  <c:v>0.95884282051284941</c:v>
                </c:pt>
                <c:pt idx="14">
                  <c:v>-2.606715641025616</c:v>
                </c:pt>
                <c:pt idx="15">
                  <c:v>-8.8098949230769108</c:v>
                </c:pt>
                <c:pt idx="16">
                  <c:v>-9.4139820512820194</c:v>
                </c:pt>
                <c:pt idx="17">
                  <c:v>-6.3483410256410053</c:v>
                </c:pt>
                <c:pt idx="18">
                  <c:v>-1.1446076923076731</c:v>
                </c:pt>
                <c:pt idx="19">
                  <c:v>-1.9233692307692039</c:v>
                </c:pt>
                <c:pt idx="20">
                  <c:v>-1.0741282051281758</c:v>
                </c:pt>
              </c:numCache>
            </c:numRef>
          </c:val>
          <c:extLst>
            <c:ext xmlns:c16="http://schemas.microsoft.com/office/drawing/2014/chart" uri="{C3380CC4-5D6E-409C-BE32-E72D297353CC}">
              <c16:uniqueId val="{00000000-DF5E-4349-9809-B8DB1CDC901E}"/>
            </c:ext>
          </c:extLst>
        </c:ser>
        <c:dLbls>
          <c:showLegendKey val="0"/>
          <c:showVal val="0"/>
          <c:showCatName val="0"/>
          <c:showSerName val="0"/>
          <c:showPercent val="0"/>
          <c:showBubbleSize val="0"/>
        </c:dLbls>
        <c:axId val="1267604432"/>
        <c:axId val="1267605680"/>
      </c:areaChart>
      <c:dateAx>
        <c:axId val="126760443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267605680"/>
        <c:crosses val="autoZero"/>
        <c:auto val="1"/>
        <c:lblOffset val="100"/>
        <c:baseTimeUnit val="days"/>
      </c:dateAx>
      <c:valAx>
        <c:axId val="126760568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267604432"/>
        <c:crosses val="autoZero"/>
        <c:crossBetween val="midCat"/>
      </c:valAx>
      <c:spPr>
        <a:noFill/>
        <a:ln>
          <a:noFill/>
        </a:ln>
        <a:effectLst/>
      </c:spPr>
    </c:plotArea>
    <c:plotVisOnly val="1"/>
    <c:dispBlanksAs val="zero"/>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HURST Exponent</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Data'!$F$25</c:f>
              <c:strCache>
                <c:ptCount val="1"/>
                <c:pt idx="0">
                  <c:v>HURST</c:v>
                </c:pt>
              </c:strCache>
            </c:strRef>
          </c:tx>
          <c:spPr>
            <a:ln w="22225" cap="rnd">
              <a:solidFill>
                <a:schemeClr val="accent1"/>
              </a:solidFill>
              <a:round/>
            </a:ln>
            <a:effectLst/>
          </c:spPr>
          <c:marker>
            <c:symbol val="none"/>
          </c:marker>
          <c:cat>
            <c:numRef>
              <c:f>'Technical Analysis Data'!$H$84:$AA$84</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Data'!$H$25:$AA$25</c:f>
              <c:numCache>
                <c:formatCode>General</c:formatCode>
                <c:ptCount val="20"/>
                <c:pt idx="0">
                  <c:v>0.53285217531092566</c:v>
                </c:pt>
                <c:pt idx="1">
                  <c:v>0.52060188495701731</c:v>
                </c:pt>
                <c:pt idx="2">
                  <c:v>0.49302962692169999</c:v>
                </c:pt>
                <c:pt idx="3">
                  <c:v>0.50733663949794117</c:v>
                </c:pt>
                <c:pt idx="4">
                  <c:v>0.51650821502835842</c:v>
                </c:pt>
                <c:pt idx="5">
                  <c:v>0.56523065631612079</c:v>
                </c:pt>
                <c:pt idx="6">
                  <c:v>0.68880848406655215</c:v>
                </c:pt>
                <c:pt idx="7">
                  <c:v>0.77636405128118802</c:v>
                </c:pt>
                <c:pt idx="8">
                  <c:v>0.71193095692171249</c:v>
                </c:pt>
                <c:pt idx="9">
                  <c:v>0.71347431959103669</c:v>
                </c:pt>
                <c:pt idx="10">
                  <c:v>0.71353203219313088</c:v>
                </c:pt>
                <c:pt idx="11">
                  <c:v>0.70589600979682432</c:v>
                </c:pt>
                <c:pt idx="12">
                  <c:v>0.71270466948133926</c:v>
                </c:pt>
                <c:pt idx="13">
                  <c:v>0.67308498853945231</c:v>
                </c:pt>
                <c:pt idx="14">
                  <c:v>0.50450353892666389</c:v>
                </c:pt>
                <c:pt idx="15">
                  <c:v>0.7140280804992114</c:v>
                </c:pt>
                <c:pt idx="16">
                  <c:v>0.67466600079295203</c:v>
                </c:pt>
                <c:pt idx="17">
                  <c:v>0.66282889990343108</c:v>
                </c:pt>
                <c:pt idx="18">
                  <c:v>0.63806511384394571</c:v>
                </c:pt>
                <c:pt idx="19">
                  <c:v>0.59385675704826857</c:v>
                </c:pt>
              </c:numCache>
            </c:numRef>
          </c:val>
          <c:smooth val="0"/>
          <c:extLst>
            <c:ext xmlns:c16="http://schemas.microsoft.com/office/drawing/2014/chart" uri="{C3380CC4-5D6E-409C-BE32-E72D297353CC}">
              <c16:uniqueId val="{00000000-125C-4031-B5D6-1A2816B0E5CE}"/>
            </c:ext>
          </c:extLst>
        </c:ser>
        <c:dLbls>
          <c:showLegendKey val="0"/>
          <c:showVal val="0"/>
          <c:showCatName val="0"/>
          <c:showSerName val="0"/>
          <c:showPercent val="0"/>
          <c:showBubbleSize val="0"/>
        </c:dLbls>
        <c:marker val="1"/>
        <c:smooth val="0"/>
        <c:axId val="457667056"/>
        <c:axId val="457668720"/>
      </c:lineChart>
      <c:lineChart>
        <c:grouping val="standard"/>
        <c:varyColors val="0"/>
        <c:ser>
          <c:idx val="1"/>
          <c:order val="1"/>
          <c:tx>
            <c:strRef>
              <c:f>'Technical Analysis Data'!$F$85</c:f>
              <c:strCache>
                <c:ptCount val="1"/>
                <c:pt idx="0">
                  <c:v>Closing Price</c:v>
                </c:pt>
              </c:strCache>
            </c:strRef>
          </c:tx>
          <c:spPr>
            <a:ln w="22225" cap="rnd">
              <a:solidFill>
                <a:schemeClr val="accent2"/>
              </a:solidFill>
              <a:round/>
            </a:ln>
            <a:effectLst/>
          </c:spPr>
          <c:marker>
            <c:symbol val="none"/>
          </c:marker>
          <c:cat>
            <c:numRef>
              <c:f>'Technical Analysis Data'!$H$84:$AA$84</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Data'!$H$85:$AA$85</c:f>
              <c:numCache>
                <c:formatCode>General</c:formatCode>
                <c:ptCount val="20"/>
                <c:pt idx="0">
                  <c:v>196.2</c:v>
                </c:pt>
                <c:pt idx="1">
                  <c:v>196.12</c:v>
                </c:pt>
                <c:pt idx="2">
                  <c:v>197.52</c:v>
                </c:pt>
                <c:pt idx="3">
                  <c:v>196.1</c:v>
                </c:pt>
                <c:pt idx="4">
                  <c:v>195.17</c:v>
                </c:pt>
                <c:pt idx="5">
                  <c:v>194.84</c:v>
                </c:pt>
                <c:pt idx="6">
                  <c:v>193.71</c:v>
                </c:pt>
                <c:pt idx="7">
                  <c:v>195.24</c:v>
                </c:pt>
                <c:pt idx="8">
                  <c:v>195.74</c:v>
                </c:pt>
                <c:pt idx="9">
                  <c:v>195.97</c:v>
                </c:pt>
                <c:pt idx="10">
                  <c:v>196.14</c:v>
                </c:pt>
                <c:pt idx="11">
                  <c:v>195.33</c:v>
                </c:pt>
                <c:pt idx="12">
                  <c:v>192.67</c:v>
                </c:pt>
                <c:pt idx="13">
                  <c:v>193.42</c:v>
                </c:pt>
                <c:pt idx="14">
                  <c:v>189.04</c:v>
                </c:pt>
                <c:pt idx="15">
                  <c:v>180.24</c:v>
                </c:pt>
                <c:pt idx="16">
                  <c:v>180.26</c:v>
                </c:pt>
                <c:pt idx="17">
                  <c:v>182.16</c:v>
                </c:pt>
                <c:pt idx="18">
                  <c:v>186.96</c:v>
                </c:pt>
                <c:pt idx="19">
                  <c:v>185.04</c:v>
                </c:pt>
              </c:numCache>
            </c:numRef>
          </c:val>
          <c:smooth val="0"/>
          <c:extLst>
            <c:ext xmlns:c16="http://schemas.microsoft.com/office/drawing/2014/chart" uri="{C3380CC4-5D6E-409C-BE32-E72D297353CC}">
              <c16:uniqueId val="{00000000-25DE-4AB9-A80A-A7DB7FBD503F}"/>
            </c:ext>
          </c:extLst>
        </c:ser>
        <c:dLbls>
          <c:showLegendKey val="0"/>
          <c:showVal val="0"/>
          <c:showCatName val="0"/>
          <c:showSerName val="0"/>
          <c:showPercent val="0"/>
          <c:showBubbleSize val="0"/>
        </c:dLbls>
        <c:marker val="1"/>
        <c:smooth val="0"/>
        <c:axId val="857500000"/>
        <c:axId val="857497504"/>
      </c:lineChart>
      <c:dateAx>
        <c:axId val="457667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57668720"/>
        <c:crosses val="autoZero"/>
        <c:auto val="1"/>
        <c:lblOffset val="100"/>
        <c:baseTimeUnit val="days"/>
      </c:dateAx>
      <c:valAx>
        <c:axId val="457668720"/>
        <c:scaling>
          <c:orientation val="minMax"/>
        </c:scaling>
        <c:delete val="0"/>
        <c:axPos val="l"/>
        <c:numFmt formatCode="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667056"/>
        <c:crosses val="autoZero"/>
        <c:crossBetween val="between"/>
      </c:valAx>
      <c:valAx>
        <c:axId val="857497504"/>
        <c:scaling>
          <c:orientation val="minMax"/>
        </c:scaling>
        <c:delete val="0"/>
        <c:axPos val="r"/>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500000"/>
        <c:crosses val="max"/>
        <c:crossBetween val="between"/>
      </c:valAx>
      <c:dateAx>
        <c:axId val="857500000"/>
        <c:scaling>
          <c:orientation val="minMax"/>
        </c:scaling>
        <c:delete val="1"/>
        <c:axPos val="b"/>
        <c:numFmt formatCode="m/d/yyyy" sourceLinked="1"/>
        <c:majorTickMark val="out"/>
        <c:minorTickMark val="none"/>
        <c:tickLblPos val="nextTo"/>
        <c:crossAx val="857497504"/>
        <c:crosses val="autoZero"/>
        <c:auto val="1"/>
        <c:lblOffset val="100"/>
        <c:baseTimeUnit val="days"/>
      </c:date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Relative Strength Index</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Data'!$F$32</c:f>
              <c:strCache>
                <c:ptCount val="1"/>
                <c:pt idx="0">
                  <c:v>RSI</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Data'!$H$31:$AB$31</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Data'!$H$32:$AB$32</c:f>
              <c:numCache>
                <c:formatCode>General</c:formatCode>
                <c:ptCount val="21"/>
                <c:pt idx="0">
                  <c:v>66.296084635594795</c:v>
                </c:pt>
                <c:pt idx="1">
                  <c:v>65.995537851024764</c:v>
                </c:pt>
                <c:pt idx="2">
                  <c:v>68.672105051005502</c:v>
                </c:pt>
                <c:pt idx="3">
                  <c:v>63.23526476804475</c:v>
                </c:pt>
                <c:pt idx="4">
                  <c:v>59.890953226663591</c:v>
                </c:pt>
                <c:pt idx="5">
                  <c:v>58.704543291988088</c:v>
                </c:pt>
                <c:pt idx="6">
                  <c:v>54.708093881202096</c:v>
                </c:pt>
                <c:pt idx="7">
                  <c:v>58.798044851976364</c:v>
                </c:pt>
                <c:pt idx="8">
                  <c:v>60.067131481170868</c:v>
                </c:pt>
                <c:pt idx="9">
                  <c:v>60.667295245385311</c:v>
                </c:pt>
                <c:pt idx="10">
                  <c:v>61.132275114859837</c:v>
                </c:pt>
                <c:pt idx="11">
                  <c:v>57.636080805935244</c:v>
                </c:pt>
                <c:pt idx="12">
                  <c:v>47.939849446133785</c:v>
                </c:pt>
                <c:pt idx="13">
                  <c:v>50.46997118861043</c:v>
                </c:pt>
                <c:pt idx="14">
                  <c:v>38.654863726198577</c:v>
                </c:pt>
                <c:pt idx="15">
                  <c:v>25.658355573847231</c:v>
                </c:pt>
                <c:pt idx="16">
                  <c:v>25.719482065068533</c:v>
                </c:pt>
                <c:pt idx="17">
                  <c:v>31.483199324502465</c:v>
                </c:pt>
                <c:pt idx="18">
                  <c:v>43.426244474855302</c:v>
                </c:pt>
                <c:pt idx="19">
                  <c:v>40.393250965724164</c:v>
                </c:pt>
                <c:pt idx="20">
                  <c:v>44.60230176013534</c:v>
                </c:pt>
              </c:numCache>
            </c:numRef>
          </c:val>
          <c:smooth val="0"/>
          <c:extLst>
            <c:ext xmlns:c16="http://schemas.microsoft.com/office/drawing/2014/chart" uri="{C3380CC4-5D6E-409C-BE32-E72D297353CC}">
              <c16:uniqueId val="{00000000-F473-42A7-BAE9-264DB2150B22}"/>
            </c:ext>
          </c:extLst>
        </c:ser>
        <c:dLbls>
          <c:showLegendKey val="0"/>
          <c:showVal val="0"/>
          <c:showCatName val="0"/>
          <c:showSerName val="0"/>
          <c:showPercent val="0"/>
          <c:showBubbleSize val="0"/>
        </c:dLbls>
        <c:marker val="1"/>
        <c:smooth val="0"/>
        <c:axId val="457667472"/>
        <c:axId val="457664560"/>
      </c:lineChart>
      <c:catAx>
        <c:axId val="457667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57664560"/>
        <c:crosses val="autoZero"/>
        <c:auto val="0"/>
        <c:lblAlgn val="ctr"/>
        <c:lblOffset val="100"/>
        <c:noMultiLvlLbl val="1"/>
      </c:catAx>
      <c:valAx>
        <c:axId val="45766456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66747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MACD</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Data'!$F$62</c:f>
              <c:strCache>
                <c:ptCount val="1"/>
                <c:pt idx="0">
                  <c:v>MACD</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Data'!$H$61:$AB$61</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Data'!$H$62:$AB$62</c:f>
              <c:numCache>
                <c:formatCode>General</c:formatCode>
                <c:ptCount val="21"/>
                <c:pt idx="0">
                  <c:v>3.6612518593391883</c:v>
                </c:pt>
                <c:pt idx="1">
                  <c:v>3.5263442723964715</c:v>
                </c:pt>
                <c:pt idx="2">
                  <c:v>3.4921420971861323</c:v>
                </c:pt>
                <c:pt idx="3">
                  <c:v>3.3122726767542474</c:v>
                </c:pt>
                <c:pt idx="4">
                  <c:v>3.0594146102990294</c:v>
                </c:pt>
                <c:pt idx="5">
                  <c:v>2.8001165284860008</c:v>
                </c:pt>
                <c:pt idx="6">
                  <c:v>2.4749101506724855</c:v>
                </c:pt>
                <c:pt idx="7">
                  <c:v>2.3139660067938337</c:v>
                </c:pt>
                <c:pt idx="8">
                  <c:v>2.2013862244753568</c:v>
                </c:pt>
                <c:pt idx="9">
                  <c:v>2.1064432471662542</c:v>
                </c:pt>
                <c:pt idx="10">
                  <c:v>2.0216139259449619</c:v>
                </c:pt>
                <c:pt idx="11">
                  <c:v>1.8674984870856122</c:v>
                </c:pt>
                <c:pt idx="12">
                  <c:v>1.5132770066449837</c:v>
                </c:pt>
                <c:pt idx="13">
                  <c:v>1.2783367925488278</c:v>
                </c:pt>
                <c:pt idx="14">
                  <c:v>0.73029717418233986</c:v>
                </c:pt>
                <c:pt idx="15">
                  <c:v>-0.40939537210687149</c:v>
                </c:pt>
                <c:pt idx="16">
                  <c:v>-1.2960559668108829</c:v>
                </c:pt>
                <c:pt idx="17">
                  <c:v>-1.8243962507891069</c:v>
                </c:pt>
                <c:pt idx="18">
                  <c:v>-1.8346412453499568</c:v>
                </c:pt>
                <c:pt idx="19">
                  <c:v>-1.974922751113013</c:v>
                </c:pt>
                <c:pt idx="20">
                  <c:v>-1.9076057228519971</c:v>
                </c:pt>
              </c:numCache>
            </c:numRef>
          </c:val>
          <c:smooth val="0"/>
          <c:extLst>
            <c:ext xmlns:c16="http://schemas.microsoft.com/office/drawing/2014/chart" uri="{C3380CC4-5D6E-409C-BE32-E72D297353CC}">
              <c16:uniqueId val="{00000000-4866-4418-86C8-FB4C0F6B08D1}"/>
            </c:ext>
          </c:extLst>
        </c:ser>
        <c:ser>
          <c:idx val="1"/>
          <c:order val="1"/>
          <c:tx>
            <c:strRef>
              <c:f>'Technical Analysis Data'!$F$63</c:f>
              <c:strCache>
                <c:ptCount val="1"/>
                <c:pt idx="0">
                  <c:v>MACD_SIGNAL</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Data'!$H$61:$AB$61</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Data'!$H$63:$AB$63</c:f>
              <c:numCache>
                <c:formatCode>General</c:formatCode>
                <c:ptCount val="21"/>
                <c:pt idx="0">
                  <c:v>3.9104206300087405</c:v>
                </c:pt>
                <c:pt idx="1">
                  <c:v>3.8336053584862868</c:v>
                </c:pt>
                <c:pt idx="2">
                  <c:v>3.7653127062262564</c:v>
                </c:pt>
                <c:pt idx="3">
                  <c:v>3.6747047003318549</c:v>
                </c:pt>
                <c:pt idx="4">
                  <c:v>3.5516466823252899</c:v>
                </c:pt>
                <c:pt idx="5">
                  <c:v>3.4013406515574323</c:v>
                </c:pt>
                <c:pt idx="6">
                  <c:v>3.2160545513804433</c:v>
                </c:pt>
                <c:pt idx="7">
                  <c:v>3.0356368424631217</c:v>
                </c:pt>
                <c:pt idx="8">
                  <c:v>2.8687867188655689</c:v>
                </c:pt>
                <c:pt idx="9">
                  <c:v>2.7163180245257061</c:v>
                </c:pt>
                <c:pt idx="10">
                  <c:v>2.5773772048095576</c:v>
                </c:pt>
                <c:pt idx="11">
                  <c:v>2.4354014612647688</c:v>
                </c:pt>
                <c:pt idx="12">
                  <c:v>2.250976570340812</c:v>
                </c:pt>
                <c:pt idx="13">
                  <c:v>2.0564486147824153</c:v>
                </c:pt>
                <c:pt idx="14">
                  <c:v>1.7912183266624002</c:v>
                </c:pt>
                <c:pt idx="15">
                  <c:v>1.3510955869085461</c:v>
                </c:pt>
                <c:pt idx="16">
                  <c:v>0.82166527616466034</c:v>
                </c:pt>
                <c:pt idx="17">
                  <c:v>0.29245297077390686</c:v>
                </c:pt>
                <c:pt idx="18">
                  <c:v>-0.13296587245086589</c:v>
                </c:pt>
                <c:pt idx="19">
                  <c:v>-0.5013572481832953</c:v>
                </c:pt>
                <c:pt idx="20">
                  <c:v>-0.78260694311703571</c:v>
                </c:pt>
              </c:numCache>
            </c:numRef>
          </c:val>
          <c:smooth val="0"/>
          <c:extLst>
            <c:ext xmlns:c16="http://schemas.microsoft.com/office/drawing/2014/chart" uri="{C3380CC4-5D6E-409C-BE32-E72D297353CC}">
              <c16:uniqueId val="{00000000-592E-48CF-A31F-EE43CE5697C5}"/>
            </c:ext>
          </c:extLst>
        </c:ser>
        <c:dLbls>
          <c:showLegendKey val="0"/>
          <c:showVal val="0"/>
          <c:showCatName val="0"/>
          <c:showSerName val="0"/>
          <c:showPercent val="0"/>
          <c:showBubbleSize val="0"/>
        </c:dLbls>
        <c:marker val="1"/>
        <c:smooth val="0"/>
        <c:axId val="430478095"/>
        <c:axId val="430487663"/>
      </c:lineChart>
      <c:catAx>
        <c:axId val="430478095"/>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30487663"/>
        <c:crosses val="autoZero"/>
        <c:auto val="0"/>
        <c:lblAlgn val="ctr"/>
        <c:lblOffset val="100"/>
        <c:noMultiLvlLbl val="0"/>
      </c:catAx>
      <c:valAx>
        <c:axId val="430487663"/>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478095"/>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Parabolic Studies</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Data'!$F$77</c:f>
              <c:strCache>
                <c:ptCount val="1"/>
                <c:pt idx="0">
                  <c:v>PTPS</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Data'!$H$76:$AA$76</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Data'!$H$77:$AA$77</c:f>
              <c:numCache>
                <c:formatCode>General</c:formatCode>
                <c:ptCount val="20"/>
                <c:pt idx="0">
                  <c:v>191.78838188421429</c:v>
                </c:pt>
                <c:pt idx="1">
                  <c:v>192.48454369579287</c:v>
                </c:pt>
                <c:pt idx="2">
                  <c:v>193.11108932621357</c:v>
                </c:pt>
                <c:pt idx="3">
                  <c:v>193.67498039359222</c:v>
                </c:pt>
                <c:pt idx="4">
                  <c:v>194.41598274636115</c:v>
                </c:pt>
                <c:pt idx="5">
                  <c:v>199.85</c:v>
                </c:pt>
                <c:pt idx="6">
                  <c:v>199.73480000000001</c:v>
                </c:pt>
                <c:pt idx="7">
                  <c:v>199.478208</c:v>
                </c:pt>
                <c:pt idx="8">
                  <c:v>199.23187967999999</c:v>
                </c:pt>
                <c:pt idx="9">
                  <c:v>198.8453668992</c:v>
                </c:pt>
                <c:pt idx="10">
                  <c:v>198.482044885248</c:v>
                </c:pt>
                <c:pt idx="11">
                  <c:v>198.14052219213312</c:v>
                </c:pt>
                <c:pt idx="12">
                  <c:v>197.83</c:v>
                </c:pt>
                <c:pt idx="13">
                  <c:v>197.40520000000001</c:v>
                </c:pt>
                <c:pt idx="14">
                  <c:v>196.90468000000001</c:v>
                </c:pt>
                <c:pt idx="15">
                  <c:v>195.82291840000002</c:v>
                </c:pt>
                <c:pt idx="16">
                  <c:v>194.87</c:v>
                </c:pt>
                <c:pt idx="17">
                  <c:v>191.6652</c:v>
                </c:pt>
                <c:pt idx="18">
                  <c:v>188.97316799999999</c:v>
                </c:pt>
                <c:pt idx="19">
                  <c:v>174.84</c:v>
                </c:pt>
              </c:numCache>
            </c:numRef>
          </c:val>
          <c:smooth val="0"/>
          <c:extLst>
            <c:ext xmlns:c16="http://schemas.microsoft.com/office/drawing/2014/chart" uri="{C3380CC4-5D6E-409C-BE32-E72D297353CC}">
              <c16:uniqueId val="{00000000-B787-4523-A61F-1A0C58CB91D6}"/>
            </c:ext>
          </c:extLst>
        </c:ser>
        <c:ser>
          <c:idx val="1"/>
          <c:order val="1"/>
          <c:tx>
            <c:strRef>
              <c:f>'Technical Analysis Data'!$F$85</c:f>
              <c:strCache>
                <c:ptCount val="1"/>
                <c:pt idx="0">
                  <c:v>Closing Price</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Data'!$H$76:$AA$76</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Data'!$H$85:$AA$85</c:f>
              <c:numCache>
                <c:formatCode>General</c:formatCode>
                <c:ptCount val="20"/>
                <c:pt idx="0">
                  <c:v>196.2</c:v>
                </c:pt>
                <c:pt idx="1">
                  <c:v>196.12</c:v>
                </c:pt>
                <c:pt idx="2">
                  <c:v>197.52</c:v>
                </c:pt>
                <c:pt idx="3">
                  <c:v>196.1</c:v>
                </c:pt>
                <c:pt idx="4">
                  <c:v>195.17</c:v>
                </c:pt>
                <c:pt idx="5">
                  <c:v>194.84</c:v>
                </c:pt>
                <c:pt idx="6">
                  <c:v>193.71</c:v>
                </c:pt>
                <c:pt idx="7">
                  <c:v>195.24</c:v>
                </c:pt>
                <c:pt idx="8">
                  <c:v>195.74</c:v>
                </c:pt>
                <c:pt idx="9">
                  <c:v>195.97</c:v>
                </c:pt>
                <c:pt idx="10">
                  <c:v>196.14</c:v>
                </c:pt>
                <c:pt idx="11">
                  <c:v>195.33</c:v>
                </c:pt>
                <c:pt idx="12">
                  <c:v>192.67</c:v>
                </c:pt>
                <c:pt idx="13">
                  <c:v>193.42</c:v>
                </c:pt>
                <c:pt idx="14">
                  <c:v>189.04</c:v>
                </c:pt>
                <c:pt idx="15">
                  <c:v>180.24</c:v>
                </c:pt>
                <c:pt idx="16">
                  <c:v>180.26</c:v>
                </c:pt>
                <c:pt idx="17">
                  <c:v>182.16</c:v>
                </c:pt>
                <c:pt idx="18">
                  <c:v>186.96</c:v>
                </c:pt>
                <c:pt idx="19">
                  <c:v>185.04</c:v>
                </c:pt>
              </c:numCache>
            </c:numRef>
          </c:val>
          <c:smooth val="0"/>
          <c:extLst>
            <c:ext xmlns:c16="http://schemas.microsoft.com/office/drawing/2014/chart" uri="{C3380CC4-5D6E-409C-BE32-E72D297353CC}">
              <c16:uniqueId val="{00000001-B787-4523-A61F-1A0C58CB91D6}"/>
            </c:ext>
          </c:extLst>
        </c:ser>
        <c:dLbls>
          <c:showLegendKey val="0"/>
          <c:showVal val="0"/>
          <c:showCatName val="0"/>
          <c:showSerName val="0"/>
          <c:showPercent val="0"/>
          <c:showBubbleSize val="0"/>
        </c:dLbls>
        <c:marker val="1"/>
        <c:smooth val="0"/>
        <c:axId val="2069790191"/>
        <c:axId val="2069781455"/>
      </c:lineChart>
      <c:catAx>
        <c:axId val="206979019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69781455"/>
        <c:crosses val="autoZero"/>
        <c:auto val="0"/>
        <c:lblAlgn val="ctr"/>
        <c:lblOffset val="100"/>
        <c:noMultiLvlLbl val="0"/>
      </c:catAx>
      <c:valAx>
        <c:axId val="2069781455"/>
        <c:scaling>
          <c:orientation val="minMax"/>
        </c:scaling>
        <c:delete val="0"/>
        <c:axPos val="l"/>
        <c:numFmt formatCode="&quot;$&quot;#,##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790191"/>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Moving Average Oscillator</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Data'!$F$72</c:f>
              <c:strCache>
                <c:ptCount val="1"/>
                <c:pt idx="0">
                  <c:v>MAOsc</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Data'!$H$71:$AB$71</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Data'!$H$72:$AB$72</c:f>
              <c:numCache>
                <c:formatCode>General</c:formatCode>
                <c:ptCount val="21"/>
                <c:pt idx="0">
                  <c:v>7.0300000000000011</c:v>
                </c:pt>
                <c:pt idx="1">
                  <c:v>6.3941666666667345</c:v>
                </c:pt>
                <c:pt idx="2">
                  <c:v>5.8469444444444889</c:v>
                </c:pt>
                <c:pt idx="3">
                  <c:v>5.6972222222222513</c:v>
                </c:pt>
                <c:pt idx="4">
                  <c:v>5.3497222222222263</c:v>
                </c:pt>
                <c:pt idx="5">
                  <c:v>4.828888888888855</c:v>
                </c:pt>
                <c:pt idx="6">
                  <c:v>4.1902777777777658</c:v>
                </c:pt>
                <c:pt idx="7">
                  <c:v>3.7672222222221876</c:v>
                </c:pt>
                <c:pt idx="8">
                  <c:v>3.1872222222222319</c:v>
                </c:pt>
                <c:pt idx="9">
                  <c:v>2.9116666666666902</c:v>
                </c:pt>
                <c:pt idx="10">
                  <c:v>2.794722222222191</c:v>
                </c:pt>
                <c:pt idx="11">
                  <c:v>2.6627777777777908</c:v>
                </c:pt>
                <c:pt idx="12">
                  <c:v>2.3480555555555895</c:v>
                </c:pt>
                <c:pt idx="13">
                  <c:v>1.9127777777777339</c:v>
                </c:pt>
                <c:pt idx="14">
                  <c:v>0.75277777777773736</c:v>
                </c:pt>
                <c:pt idx="15">
                  <c:v>-1.7300000000000182</c:v>
                </c:pt>
                <c:pt idx="16">
                  <c:v>-4.1958333333333258</c:v>
                </c:pt>
                <c:pt idx="17">
                  <c:v>-6.2144444444444673</c:v>
                </c:pt>
                <c:pt idx="18">
                  <c:v>-7.0377777777777624</c:v>
                </c:pt>
                <c:pt idx="19">
                  <c:v>-8.2780555555555111</c:v>
                </c:pt>
                <c:pt idx="20">
                  <c:v>-8.5395138888889051</c:v>
                </c:pt>
              </c:numCache>
            </c:numRef>
          </c:val>
          <c:smooth val="0"/>
          <c:extLst>
            <c:ext xmlns:c16="http://schemas.microsoft.com/office/drawing/2014/chart" uri="{C3380CC4-5D6E-409C-BE32-E72D297353CC}">
              <c16:uniqueId val="{00000000-6A3A-46B3-A71D-4F0641AE11E7}"/>
            </c:ext>
          </c:extLst>
        </c:ser>
        <c:dLbls>
          <c:showLegendKey val="0"/>
          <c:showVal val="0"/>
          <c:showCatName val="0"/>
          <c:showSerName val="0"/>
          <c:showPercent val="0"/>
          <c:showBubbleSize val="0"/>
        </c:dLbls>
        <c:marker val="1"/>
        <c:smooth val="0"/>
        <c:axId val="2073475263"/>
        <c:axId val="2073476511"/>
      </c:lineChart>
      <c:catAx>
        <c:axId val="2073475263"/>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73476511"/>
        <c:crosses val="autoZero"/>
        <c:auto val="0"/>
        <c:lblAlgn val="ctr"/>
        <c:lblOffset val="100"/>
        <c:noMultiLvlLbl val="0"/>
      </c:catAx>
      <c:valAx>
        <c:axId val="2073476511"/>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475263"/>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Stochastics</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Slow Period (20 Day)</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Data'!$H$37:$AB$37</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Data'!$H$38:$AB$38</c:f>
              <c:numCache>
                <c:formatCode>General</c:formatCode>
                <c:ptCount val="21"/>
                <c:pt idx="0">
                  <c:v>82.111539810592689</c:v>
                </c:pt>
                <c:pt idx="1">
                  <c:v>81.550333216415311</c:v>
                </c:pt>
                <c:pt idx="2">
                  <c:v>91.371448614521285</c:v>
                </c:pt>
                <c:pt idx="3">
                  <c:v>75.577987626180374</c:v>
                </c:pt>
                <c:pt idx="4">
                  <c:v>69.521328557473069</c:v>
                </c:pt>
                <c:pt idx="5">
                  <c:v>67.372191468577043</c:v>
                </c:pt>
                <c:pt idx="6">
                  <c:v>60.0130250732661</c:v>
                </c:pt>
                <c:pt idx="7">
                  <c:v>63.383637807784091</c:v>
                </c:pt>
                <c:pt idx="8">
                  <c:v>60.931558935361288</c:v>
                </c:pt>
                <c:pt idx="9">
                  <c:v>55.909090909090878</c:v>
                </c:pt>
                <c:pt idx="10">
                  <c:v>57.502863688430558</c:v>
                </c:pt>
                <c:pt idx="11">
                  <c:v>38.503401360544423</c:v>
                </c:pt>
                <c:pt idx="12">
                  <c:v>2.3129251700678588</c:v>
                </c:pt>
                <c:pt idx="13">
                  <c:v>13.691275167785012</c:v>
                </c:pt>
                <c:pt idx="14">
                  <c:v>9.6153846153846558</c:v>
                </c:pt>
                <c:pt idx="15">
                  <c:v>1.2090680100756128</c:v>
                </c:pt>
                <c:pt idx="16">
                  <c:v>21.671331467412994</c:v>
                </c:pt>
                <c:pt idx="17">
                  <c:v>29.268292682926813</c:v>
                </c:pt>
                <c:pt idx="18">
                  <c:v>48.460615753698555</c:v>
                </c:pt>
                <c:pt idx="19">
                  <c:v>40.783686525389811</c:v>
                </c:pt>
                <c:pt idx="20">
                  <c:v>48.53858456617354</c:v>
                </c:pt>
              </c:numCache>
            </c:numRef>
          </c:val>
          <c:smooth val="0"/>
          <c:extLst>
            <c:ext xmlns:c16="http://schemas.microsoft.com/office/drawing/2014/chart" uri="{C3380CC4-5D6E-409C-BE32-E72D297353CC}">
              <c16:uniqueId val="{00000000-2CDC-4AE3-8FC3-1048CC3CB54F}"/>
            </c:ext>
          </c:extLst>
        </c:ser>
        <c:ser>
          <c:idx val="1"/>
          <c:order val="1"/>
          <c:tx>
            <c:v>Fast Period (3 Day)</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Data'!$H$37:$AB$37</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Data'!$H$39:$AB$39</c:f>
              <c:numCache>
                <c:formatCode>General</c:formatCode>
                <c:ptCount val="21"/>
                <c:pt idx="0">
                  <c:v>80.859131675084882</c:v>
                </c:pt>
                <c:pt idx="1">
                  <c:v>78.198711015691202</c:v>
                </c:pt>
                <c:pt idx="2">
                  <c:v>82.389267039213166</c:v>
                </c:pt>
                <c:pt idx="3">
                  <c:v>82.419071839672327</c:v>
                </c:pt>
                <c:pt idx="4">
                  <c:v>80.02652756503656</c:v>
                </c:pt>
                <c:pt idx="5">
                  <c:v>77.07865789663343</c:v>
                </c:pt>
                <c:pt idx="6">
                  <c:v>72.771196268003578</c:v>
                </c:pt>
                <c:pt idx="7">
                  <c:v>67.173634106656138</c:v>
                </c:pt>
                <c:pt idx="8">
                  <c:v>64.244348368492325</c:v>
                </c:pt>
                <c:pt idx="9">
                  <c:v>61.521900838815888</c:v>
                </c:pt>
                <c:pt idx="10">
                  <c:v>59.548035282786579</c:v>
                </c:pt>
                <c:pt idx="11">
                  <c:v>55.246110540242256</c:v>
                </c:pt>
                <c:pt idx="12">
                  <c:v>43.031968012699004</c:v>
                </c:pt>
                <c:pt idx="13">
                  <c:v>33.583911259183751</c:v>
                </c:pt>
                <c:pt idx="14">
                  <c:v>24.325170000442501</c:v>
                </c:pt>
                <c:pt idx="15">
                  <c:v>13.066410864771512</c:v>
                </c:pt>
                <c:pt idx="16">
                  <c:v>9.699996886145227</c:v>
                </c:pt>
                <c:pt idx="17">
                  <c:v>15.091070388717018</c:v>
                </c:pt>
                <c:pt idx="18">
                  <c:v>22.044938505899729</c:v>
                </c:pt>
                <c:pt idx="19">
                  <c:v>28.278598887900756</c:v>
                </c:pt>
                <c:pt idx="20">
                  <c:v>37.74450219912034</c:v>
                </c:pt>
              </c:numCache>
            </c:numRef>
          </c:val>
          <c:smooth val="0"/>
          <c:extLst>
            <c:ext xmlns:c16="http://schemas.microsoft.com/office/drawing/2014/chart" uri="{C3380CC4-5D6E-409C-BE32-E72D297353CC}">
              <c16:uniqueId val="{00000001-2CDC-4AE3-8FC3-1048CC3CB54F}"/>
            </c:ext>
          </c:extLst>
        </c:ser>
        <c:dLbls>
          <c:showLegendKey val="0"/>
          <c:showVal val="0"/>
          <c:showCatName val="0"/>
          <c:showSerName val="0"/>
          <c:showPercent val="0"/>
          <c:showBubbleSize val="0"/>
        </c:dLbls>
        <c:marker val="1"/>
        <c:smooth val="0"/>
        <c:axId val="2069807663"/>
        <c:axId val="2069830127"/>
      </c:lineChart>
      <c:catAx>
        <c:axId val="206980766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69830127"/>
        <c:crosses val="autoZero"/>
        <c:auto val="0"/>
        <c:lblAlgn val="ctr"/>
        <c:lblOffset val="100"/>
        <c:noMultiLvlLbl val="0"/>
      </c:catAx>
      <c:valAx>
        <c:axId val="2069830127"/>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807663"/>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Williams %R</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Data'!$F$50</c:f>
              <c:strCache>
                <c:ptCount val="1"/>
                <c:pt idx="0">
                  <c:v>WLPR</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Data'!$H$49:$AB$49</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Data'!$H$50:$AB$50</c:f>
              <c:numCache>
                <c:formatCode>General</c:formatCode>
                <c:ptCount val="21"/>
                <c:pt idx="0">
                  <c:v>-17.888460189407311</c:v>
                </c:pt>
                <c:pt idx="1">
                  <c:v>-22.889469103568263</c:v>
                </c:pt>
                <c:pt idx="2">
                  <c:v>-13.05732484076424</c:v>
                </c:pt>
                <c:pt idx="3">
                  <c:v>-42.613636363636445</c:v>
                </c:pt>
                <c:pt idx="4">
                  <c:v>-53.608247422680556</c:v>
                </c:pt>
                <c:pt idx="5">
                  <c:v>-68.163265306122383</c:v>
                </c:pt>
                <c:pt idx="6">
                  <c:v>-83.537414965986272</c:v>
                </c:pt>
                <c:pt idx="7">
                  <c:v>-70.167427701674129</c:v>
                </c:pt>
                <c:pt idx="8">
                  <c:v>-58.2152974504247</c:v>
                </c:pt>
                <c:pt idx="9">
                  <c:v>-54.957507082152887</c:v>
                </c:pt>
                <c:pt idx="10">
                  <c:v>-52.549575070821632</c:v>
                </c:pt>
                <c:pt idx="11">
                  <c:v>-64.022662889518131</c:v>
                </c:pt>
                <c:pt idx="12">
                  <c:v>-97.953615279672874</c:v>
                </c:pt>
                <c:pt idx="13">
                  <c:v>-86.308724832214992</c:v>
                </c:pt>
                <c:pt idx="14">
                  <c:v>-90.384615384615344</c:v>
                </c:pt>
                <c:pt idx="15">
                  <c:v>-98.790931989924388</c:v>
                </c:pt>
                <c:pt idx="16">
                  <c:v>-78.328668532587002</c:v>
                </c:pt>
                <c:pt idx="17">
                  <c:v>-68.16006959547633</c:v>
                </c:pt>
                <c:pt idx="18">
                  <c:v>-47.281426707264032</c:v>
                </c:pt>
                <c:pt idx="19">
                  <c:v>-55.632883862549001</c:v>
                </c:pt>
                <c:pt idx="20">
                  <c:v>-47.196607220530694</c:v>
                </c:pt>
              </c:numCache>
            </c:numRef>
          </c:val>
          <c:smooth val="0"/>
          <c:extLst>
            <c:ext xmlns:c16="http://schemas.microsoft.com/office/drawing/2014/chart" uri="{C3380CC4-5D6E-409C-BE32-E72D297353CC}">
              <c16:uniqueId val="{00000000-49B0-4225-96BD-7361C1CEBC86}"/>
            </c:ext>
          </c:extLst>
        </c:ser>
        <c:dLbls>
          <c:showLegendKey val="0"/>
          <c:showVal val="0"/>
          <c:showCatName val="0"/>
          <c:showSerName val="0"/>
          <c:showPercent val="0"/>
          <c:showBubbleSize val="0"/>
        </c:dLbls>
        <c:marker val="1"/>
        <c:smooth val="0"/>
        <c:axId val="1421054815"/>
        <c:axId val="1421055231"/>
      </c:lineChart>
      <c:catAx>
        <c:axId val="1421054815"/>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21055231"/>
        <c:crosses val="autoZero"/>
        <c:auto val="0"/>
        <c:lblAlgn val="ctr"/>
        <c:lblOffset val="100"/>
        <c:noMultiLvlLbl val="0"/>
      </c:catAx>
      <c:valAx>
        <c:axId val="1421055231"/>
        <c:scaling>
          <c:orientation val="minMax"/>
          <c:min val="-100"/>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054815"/>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Momentum</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Data'!$F$28</c:f>
              <c:strCache>
                <c:ptCount val="1"/>
                <c:pt idx="0">
                  <c:v>MOMENTUM</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Data'!$H$27:$AB$27</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Data'!$H$28:$AB$28</c:f>
              <c:numCache>
                <c:formatCode>General</c:formatCode>
                <c:ptCount val="21"/>
                <c:pt idx="0">
                  <c:v>4.3599999999999852</c:v>
                </c:pt>
                <c:pt idx="1">
                  <c:v>2.7700000000000102</c:v>
                </c:pt>
                <c:pt idx="2">
                  <c:v>3.4800000000000182</c:v>
                </c:pt>
                <c:pt idx="3">
                  <c:v>2.5199999999999818</c:v>
                </c:pt>
                <c:pt idx="4">
                  <c:v>-0.95000000000001705</c:v>
                </c:pt>
                <c:pt idx="5">
                  <c:v>-2.2999999999999829</c:v>
                </c:pt>
                <c:pt idx="6">
                  <c:v>-4.289999999999992</c:v>
                </c:pt>
                <c:pt idx="7">
                  <c:v>0.80000000000001137</c:v>
                </c:pt>
                <c:pt idx="8">
                  <c:v>0.5700000000000216</c:v>
                </c:pt>
                <c:pt idx="9">
                  <c:v>-0.11000000000001364</c:v>
                </c:pt>
                <c:pt idx="10">
                  <c:v>-6.0000000000002274E-2</c:v>
                </c:pt>
                <c:pt idx="11">
                  <c:v>-0.78999999999999204</c:v>
                </c:pt>
                <c:pt idx="12">
                  <c:v>-4.8500000000000227</c:v>
                </c:pt>
                <c:pt idx="13">
                  <c:v>-2.6800000000000068</c:v>
                </c:pt>
                <c:pt idx="14">
                  <c:v>-6.1299999999999955</c:v>
                </c:pt>
                <c:pt idx="15">
                  <c:v>-14.599999999999994</c:v>
                </c:pt>
                <c:pt idx="16">
                  <c:v>-13.450000000000017</c:v>
                </c:pt>
                <c:pt idx="17">
                  <c:v>-13.080000000000013</c:v>
                </c:pt>
                <c:pt idx="18">
                  <c:v>-8.7800000000000011</c:v>
                </c:pt>
                <c:pt idx="19">
                  <c:v>-10.930000000000007</c:v>
                </c:pt>
                <c:pt idx="20">
                  <c:v>-9.1604999999999848</c:v>
                </c:pt>
              </c:numCache>
            </c:numRef>
          </c:val>
          <c:smooth val="0"/>
          <c:extLst>
            <c:ext xmlns:c16="http://schemas.microsoft.com/office/drawing/2014/chart" uri="{C3380CC4-5D6E-409C-BE32-E72D297353CC}">
              <c16:uniqueId val="{00000000-E201-427F-A0EC-2D54BFA42223}"/>
            </c:ext>
          </c:extLst>
        </c:ser>
        <c:ser>
          <c:idx val="1"/>
          <c:order val="1"/>
          <c:tx>
            <c:v>Momentum Moving Average</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Data'!$H$27:$AB$27</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Data'!$H$29:$AB$29</c:f>
              <c:numCache>
                <c:formatCode>General</c:formatCode>
                <c:ptCount val="21"/>
                <c:pt idx="0">
                  <c:v>6.7479999999999958</c:v>
                </c:pt>
                <c:pt idx="1">
                  <c:v>5.113999999999999</c:v>
                </c:pt>
                <c:pt idx="2">
                  <c:v>4.3680000000000003</c:v>
                </c:pt>
                <c:pt idx="3">
                  <c:v>3.6819999999999995</c:v>
                </c:pt>
                <c:pt idx="4">
                  <c:v>2.4359999999999955</c:v>
                </c:pt>
                <c:pt idx="5">
                  <c:v>1.1040000000000021</c:v>
                </c:pt>
                <c:pt idx="6">
                  <c:v>-0.30799999999999839</c:v>
                </c:pt>
                <c:pt idx="7">
                  <c:v>-0.84399999999999975</c:v>
                </c:pt>
                <c:pt idx="8">
                  <c:v>-1.2339999999999918</c:v>
                </c:pt>
                <c:pt idx="9">
                  <c:v>-1.0659999999999912</c:v>
                </c:pt>
                <c:pt idx="10">
                  <c:v>-0.617999999999995</c:v>
                </c:pt>
                <c:pt idx="11">
                  <c:v>8.2000000000004999E-2</c:v>
                </c:pt>
                <c:pt idx="12">
                  <c:v>-1.0480000000000018</c:v>
                </c:pt>
                <c:pt idx="13">
                  <c:v>-1.6980000000000075</c:v>
                </c:pt>
                <c:pt idx="14">
                  <c:v>-2.9020000000000037</c:v>
                </c:pt>
                <c:pt idx="15">
                  <c:v>-5.8100000000000023</c:v>
                </c:pt>
                <c:pt idx="16">
                  <c:v>-8.3420000000000076</c:v>
                </c:pt>
                <c:pt idx="17">
                  <c:v>-9.9880000000000049</c:v>
                </c:pt>
                <c:pt idx="18">
                  <c:v>-11.208000000000004</c:v>
                </c:pt>
                <c:pt idx="19">
                  <c:v>-12.168000000000006</c:v>
                </c:pt>
                <c:pt idx="20">
                  <c:v>-11.080100000000005</c:v>
                </c:pt>
              </c:numCache>
            </c:numRef>
          </c:val>
          <c:smooth val="0"/>
          <c:extLst>
            <c:ext xmlns:c16="http://schemas.microsoft.com/office/drawing/2014/chart" uri="{C3380CC4-5D6E-409C-BE32-E72D297353CC}">
              <c16:uniqueId val="{00000001-E201-427F-A0EC-2D54BFA42223}"/>
            </c:ext>
          </c:extLst>
        </c:ser>
        <c:dLbls>
          <c:showLegendKey val="0"/>
          <c:showVal val="0"/>
          <c:showCatName val="0"/>
          <c:showSerName val="0"/>
          <c:showPercent val="0"/>
          <c:showBubbleSize val="0"/>
        </c:dLbls>
        <c:marker val="1"/>
        <c:smooth val="0"/>
        <c:axId val="780760351"/>
        <c:axId val="780759935"/>
      </c:lineChart>
      <c:catAx>
        <c:axId val="780760351"/>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80759935"/>
        <c:crosses val="autoZero"/>
        <c:auto val="0"/>
        <c:lblAlgn val="ctr"/>
        <c:lblOffset val="100"/>
        <c:noMultiLvlLbl val="0"/>
      </c:catAx>
      <c:valAx>
        <c:axId val="780759935"/>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760351"/>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Moving</a:t>
            </a:r>
            <a:r>
              <a:rPr lang="en-US" baseline="0"/>
              <a:t> Averages</a:t>
            </a:r>
            <a:endParaRPr lang="en-US"/>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Simple Moving Average (200 Day)</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Data'!$H$34:$AB$34</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Data'!$H$88:$AB$88</c:f>
              <c:numCache>
                <c:formatCode>General</c:formatCode>
                <c:ptCount val="21"/>
                <c:pt idx="0">
                  <c:v>172.06355000000002</c:v>
                </c:pt>
                <c:pt idx="1">
                  <c:v>172.19525000000004</c:v>
                </c:pt>
                <c:pt idx="2">
                  <c:v>172.37015000000002</c:v>
                </c:pt>
                <c:pt idx="3">
                  <c:v>172.51765000000003</c:v>
                </c:pt>
                <c:pt idx="4">
                  <c:v>172.64975000000001</c:v>
                </c:pt>
                <c:pt idx="5">
                  <c:v>172.78204999999997</c:v>
                </c:pt>
                <c:pt idx="6">
                  <c:v>172.89934999999997</c:v>
                </c:pt>
                <c:pt idx="7">
                  <c:v>173.02689999999996</c:v>
                </c:pt>
                <c:pt idx="8">
                  <c:v>173.15789999999993</c:v>
                </c:pt>
                <c:pt idx="9">
                  <c:v>173.28869999999995</c:v>
                </c:pt>
                <c:pt idx="10">
                  <c:v>173.40939999999995</c:v>
                </c:pt>
                <c:pt idx="11">
                  <c:v>173.53464999999997</c:v>
                </c:pt>
                <c:pt idx="12">
                  <c:v>173.63674999999995</c:v>
                </c:pt>
                <c:pt idx="13">
                  <c:v>173.75804999999997</c:v>
                </c:pt>
                <c:pt idx="14">
                  <c:v>173.85839999999996</c:v>
                </c:pt>
                <c:pt idx="15">
                  <c:v>173.91529999999995</c:v>
                </c:pt>
                <c:pt idx="16">
                  <c:v>173.96680000000001</c:v>
                </c:pt>
                <c:pt idx="17">
                  <c:v>174.02864999999997</c:v>
                </c:pt>
                <c:pt idx="18">
                  <c:v>174.10679999999999</c:v>
                </c:pt>
                <c:pt idx="19">
                  <c:v>174.16645</c:v>
                </c:pt>
                <c:pt idx="20">
                  <c:v>174.23329750000002</c:v>
                </c:pt>
              </c:numCache>
            </c:numRef>
          </c:val>
          <c:smooth val="0"/>
          <c:extLst>
            <c:ext xmlns:c16="http://schemas.microsoft.com/office/drawing/2014/chart" uri="{C3380CC4-5D6E-409C-BE32-E72D297353CC}">
              <c16:uniqueId val="{00000000-CD48-4509-9ABA-899BE33C96C9}"/>
            </c:ext>
          </c:extLst>
        </c:ser>
        <c:ser>
          <c:idx val="1"/>
          <c:order val="1"/>
          <c:tx>
            <c:v>Simple Moving Average (50 Day)</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Data'!$H$34:$AB$34</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Data'!$H$35:$AB$35</c:f>
              <c:numCache>
                <c:formatCode>General</c:formatCode>
                <c:ptCount val="21"/>
                <c:pt idx="0">
                  <c:v>195.97800000000001</c:v>
                </c:pt>
                <c:pt idx="1">
                  <c:v>195.60200000000003</c:v>
                </c:pt>
                <c:pt idx="2">
                  <c:v>196.21800000000002</c:v>
                </c:pt>
                <c:pt idx="3">
                  <c:v>196.404</c:v>
                </c:pt>
                <c:pt idx="4">
                  <c:v>196.22200000000001</c:v>
                </c:pt>
                <c:pt idx="5">
                  <c:v>195.95</c:v>
                </c:pt>
                <c:pt idx="6">
                  <c:v>195.46800000000002</c:v>
                </c:pt>
                <c:pt idx="7">
                  <c:v>195.012</c:v>
                </c:pt>
                <c:pt idx="8">
                  <c:v>194.94</c:v>
                </c:pt>
                <c:pt idx="9">
                  <c:v>195.1</c:v>
                </c:pt>
                <c:pt idx="10">
                  <c:v>195.36</c:v>
                </c:pt>
                <c:pt idx="11">
                  <c:v>195.68400000000003</c:v>
                </c:pt>
                <c:pt idx="12">
                  <c:v>195.17000000000002</c:v>
                </c:pt>
                <c:pt idx="13">
                  <c:v>194.70599999999999</c:v>
                </c:pt>
                <c:pt idx="14">
                  <c:v>193.32</c:v>
                </c:pt>
                <c:pt idx="15">
                  <c:v>190.14</c:v>
                </c:pt>
                <c:pt idx="16">
                  <c:v>187.126</c:v>
                </c:pt>
                <c:pt idx="17">
                  <c:v>185.024</c:v>
                </c:pt>
                <c:pt idx="18">
                  <c:v>183.732</c:v>
                </c:pt>
                <c:pt idx="19">
                  <c:v>182.93199999999999</c:v>
                </c:pt>
                <c:pt idx="20">
                  <c:v>184.2799</c:v>
                </c:pt>
              </c:numCache>
            </c:numRef>
          </c:val>
          <c:smooth val="0"/>
          <c:extLst>
            <c:ext xmlns:c16="http://schemas.microsoft.com/office/drawing/2014/chart" uri="{C3380CC4-5D6E-409C-BE32-E72D297353CC}">
              <c16:uniqueId val="{00000001-CD48-4509-9ABA-899BE33C96C9}"/>
            </c:ext>
          </c:extLst>
        </c:ser>
        <c:dLbls>
          <c:showLegendKey val="0"/>
          <c:showVal val="0"/>
          <c:showCatName val="0"/>
          <c:showSerName val="0"/>
          <c:showPercent val="0"/>
          <c:showBubbleSize val="0"/>
        </c:dLbls>
        <c:marker val="1"/>
        <c:smooth val="0"/>
        <c:axId val="839444431"/>
        <c:axId val="839426127"/>
      </c:lineChart>
      <c:catAx>
        <c:axId val="83944443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39426127"/>
        <c:crosses val="autoZero"/>
        <c:auto val="0"/>
        <c:lblAlgn val="ctr"/>
        <c:lblOffset val="100"/>
        <c:noMultiLvlLbl val="1"/>
      </c:catAx>
      <c:valAx>
        <c:axId val="839426127"/>
        <c:scaling>
          <c:orientation val="minMax"/>
        </c:scaling>
        <c:delete val="0"/>
        <c:axPos val="l"/>
        <c:numFmt formatCode="&quot;$&quot;#,##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444431"/>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Exponential moving avg &amp; Price</a:t>
            </a:r>
          </a:p>
          <a:p>
            <a:pPr>
              <a:defRPr/>
            </a:pPr>
            <a:endParaRPr lang="en-US"/>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90536314441377"/>
          <c:y val="0.29123396033829102"/>
          <c:w val="0.86484485724563676"/>
          <c:h val="0.49784230096237969"/>
        </c:manualLayout>
      </c:layout>
      <c:lineChart>
        <c:grouping val="standard"/>
        <c:varyColors val="0"/>
        <c:ser>
          <c:idx val="0"/>
          <c:order val="0"/>
          <c:tx>
            <c:strRef>
              <c:f>'Technical Analysis Data'!$F$85</c:f>
              <c:strCache>
                <c:ptCount val="1"/>
                <c:pt idx="0">
                  <c:v>Closing Price</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Data'!$H$18:$AA$18</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Data'!$H$85:$AA$85</c:f>
              <c:numCache>
                <c:formatCode>General</c:formatCode>
                <c:ptCount val="20"/>
                <c:pt idx="0">
                  <c:v>196.2</c:v>
                </c:pt>
                <c:pt idx="1">
                  <c:v>196.12</c:v>
                </c:pt>
                <c:pt idx="2">
                  <c:v>197.52</c:v>
                </c:pt>
                <c:pt idx="3">
                  <c:v>196.1</c:v>
                </c:pt>
                <c:pt idx="4">
                  <c:v>195.17</c:v>
                </c:pt>
                <c:pt idx="5">
                  <c:v>194.84</c:v>
                </c:pt>
                <c:pt idx="6">
                  <c:v>193.71</c:v>
                </c:pt>
                <c:pt idx="7">
                  <c:v>195.24</c:v>
                </c:pt>
                <c:pt idx="8">
                  <c:v>195.74</c:v>
                </c:pt>
                <c:pt idx="9">
                  <c:v>195.97</c:v>
                </c:pt>
                <c:pt idx="10">
                  <c:v>196.14</c:v>
                </c:pt>
                <c:pt idx="11">
                  <c:v>195.33</c:v>
                </c:pt>
                <c:pt idx="12">
                  <c:v>192.67</c:v>
                </c:pt>
                <c:pt idx="13">
                  <c:v>193.42</c:v>
                </c:pt>
                <c:pt idx="14">
                  <c:v>189.04</c:v>
                </c:pt>
                <c:pt idx="15">
                  <c:v>180.24</c:v>
                </c:pt>
                <c:pt idx="16">
                  <c:v>180.26</c:v>
                </c:pt>
                <c:pt idx="17">
                  <c:v>182.16</c:v>
                </c:pt>
                <c:pt idx="18">
                  <c:v>186.96</c:v>
                </c:pt>
                <c:pt idx="19">
                  <c:v>185.04</c:v>
                </c:pt>
              </c:numCache>
            </c:numRef>
          </c:val>
          <c:smooth val="0"/>
          <c:extLst>
            <c:ext xmlns:c16="http://schemas.microsoft.com/office/drawing/2014/chart" uri="{C3380CC4-5D6E-409C-BE32-E72D297353CC}">
              <c16:uniqueId val="{00000000-9AAA-434C-BAB8-5E16ABBAC343}"/>
            </c:ext>
          </c:extLst>
        </c:ser>
        <c:ser>
          <c:idx val="1"/>
          <c:order val="1"/>
          <c:tx>
            <c:v>Exponential Moving Average</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Data'!$H$18:$AA$18</c:f>
              <c:numCache>
                <c:formatCode>m/d/yyyy</c:formatCode>
                <c:ptCount val="20"/>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numCache>
            </c:numRef>
          </c:cat>
          <c:val>
            <c:numRef>
              <c:f>'Technical Analysis Data'!$H$19:$AA$19</c:f>
              <c:numCache>
                <c:formatCode>General</c:formatCode>
                <c:ptCount val="20"/>
                <c:pt idx="0">
                  <c:v>195.79459673818212</c:v>
                </c:pt>
                <c:pt idx="1">
                  <c:v>195.90306449212144</c:v>
                </c:pt>
                <c:pt idx="2">
                  <c:v>196.44204299474765</c:v>
                </c:pt>
                <c:pt idx="3">
                  <c:v>196.32802866316513</c:v>
                </c:pt>
                <c:pt idx="4">
                  <c:v>195.94201910877678</c:v>
                </c:pt>
                <c:pt idx="5">
                  <c:v>195.57467940585119</c:v>
                </c:pt>
                <c:pt idx="6">
                  <c:v>194.9531196039008</c:v>
                </c:pt>
                <c:pt idx="7">
                  <c:v>195.04874640260056</c:v>
                </c:pt>
                <c:pt idx="8">
                  <c:v>195.27916426840039</c:v>
                </c:pt>
                <c:pt idx="9">
                  <c:v>195.50944284560026</c:v>
                </c:pt>
                <c:pt idx="10">
                  <c:v>195.71962856373352</c:v>
                </c:pt>
                <c:pt idx="11">
                  <c:v>195.58975237582234</c:v>
                </c:pt>
                <c:pt idx="12">
                  <c:v>194.61650158388159</c:v>
                </c:pt>
                <c:pt idx="13">
                  <c:v>194.21766772258775</c:v>
                </c:pt>
                <c:pt idx="14">
                  <c:v>192.49177848172516</c:v>
                </c:pt>
                <c:pt idx="15">
                  <c:v>188.40785232115013</c:v>
                </c:pt>
                <c:pt idx="16">
                  <c:v>185.69190154743342</c:v>
                </c:pt>
                <c:pt idx="17">
                  <c:v>184.51460103162231</c:v>
                </c:pt>
                <c:pt idx="18">
                  <c:v>185.32973402108155</c:v>
                </c:pt>
                <c:pt idx="19">
                  <c:v>185.23315601405437</c:v>
                </c:pt>
              </c:numCache>
            </c:numRef>
          </c:val>
          <c:smooth val="0"/>
          <c:extLst>
            <c:ext xmlns:c16="http://schemas.microsoft.com/office/drawing/2014/chart" uri="{C3380CC4-5D6E-409C-BE32-E72D297353CC}">
              <c16:uniqueId val="{00000001-9AAA-434C-BAB8-5E16ABBAC343}"/>
            </c:ext>
          </c:extLst>
        </c:ser>
        <c:dLbls>
          <c:showLegendKey val="0"/>
          <c:showVal val="0"/>
          <c:showCatName val="0"/>
          <c:showSerName val="0"/>
          <c:showPercent val="0"/>
          <c:showBubbleSize val="0"/>
        </c:dLbls>
        <c:marker val="1"/>
        <c:smooth val="0"/>
        <c:axId val="1873651024"/>
        <c:axId val="1873653104"/>
      </c:lineChart>
      <c:catAx>
        <c:axId val="1873651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873653104"/>
        <c:crosses val="autoZero"/>
        <c:auto val="0"/>
        <c:lblAlgn val="ctr"/>
        <c:lblOffset val="100"/>
        <c:noMultiLvlLbl val="1"/>
      </c:catAx>
      <c:valAx>
        <c:axId val="1873653104"/>
        <c:scaling>
          <c:orientation val="minMax"/>
        </c:scaling>
        <c:delete val="0"/>
        <c:axPos val="l"/>
        <c:numFmt formatCode="&quot;$&quot;#,##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651024"/>
        <c:crosses val="autoZero"/>
        <c:crossBetween val="between"/>
      </c:valAx>
      <c:spPr>
        <a:noFill/>
        <a:ln>
          <a:noFill/>
        </a:ln>
        <a:effectLst/>
      </c:spPr>
    </c:plotArea>
    <c:legend>
      <c:legendPos val="t"/>
      <c:layout>
        <c:manualLayout>
          <c:xMode val="edge"/>
          <c:yMode val="edge"/>
          <c:x val="0.1903765801425604"/>
          <c:y val="0.16694444444444445"/>
          <c:w val="0.6192466355554993"/>
          <c:h val="7.789950420913360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Directional Movement</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'Technical Analysis Data'!$F$53</c:f>
              <c:strCache>
                <c:ptCount val="1"/>
                <c:pt idx="0">
                  <c:v>DMI_PLUS</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'Technical Analysis Data'!$H$52:$AB$52</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Data'!$H$53:$AB$53</c:f>
              <c:numCache>
                <c:formatCode>General</c:formatCode>
                <c:ptCount val="21"/>
                <c:pt idx="0">
                  <c:v>30.904136789614295</c:v>
                </c:pt>
                <c:pt idx="1">
                  <c:v>29.217973314566542</c:v>
                </c:pt>
                <c:pt idx="2">
                  <c:v>31.507815924536303</c:v>
                </c:pt>
                <c:pt idx="3">
                  <c:v>33.035059135528932</c:v>
                </c:pt>
                <c:pt idx="4">
                  <c:v>31.644767159109044</c:v>
                </c:pt>
                <c:pt idx="5">
                  <c:v>29.313508352687212</c:v>
                </c:pt>
                <c:pt idx="6">
                  <c:v>27.63942283772338</c:v>
                </c:pt>
                <c:pt idx="7">
                  <c:v>27.414783224480271</c:v>
                </c:pt>
                <c:pt idx="8">
                  <c:v>25.041067919107302</c:v>
                </c:pt>
                <c:pt idx="9">
                  <c:v>25.322172349456189</c:v>
                </c:pt>
                <c:pt idx="10">
                  <c:v>26.339412821901409</c:v>
                </c:pt>
                <c:pt idx="11">
                  <c:v>25.206792372286223</c:v>
                </c:pt>
                <c:pt idx="12">
                  <c:v>22.621441991603689</c:v>
                </c:pt>
                <c:pt idx="13">
                  <c:v>21.688104657073588</c:v>
                </c:pt>
                <c:pt idx="14">
                  <c:v>17.972172485347716</c:v>
                </c:pt>
                <c:pt idx="15">
                  <c:v>14.364749283509662</c:v>
                </c:pt>
                <c:pt idx="16">
                  <c:v>12.64172724454076</c:v>
                </c:pt>
                <c:pt idx="17">
                  <c:v>17.231865715720101</c:v>
                </c:pt>
                <c:pt idx="18">
                  <c:v>22.441086151712518</c:v>
                </c:pt>
                <c:pt idx="19">
                  <c:v>22.437665574136325</c:v>
                </c:pt>
                <c:pt idx="20">
                  <c:v>20.742249567051822</c:v>
                </c:pt>
              </c:numCache>
            </c:numRef>
          </c:val>
          <c:smooth val="0"/>
          <c:extLst>
            <c:ext xmlns:c16="http://schemas.microsoft.com/office/drawing/2014/chart" uri="{C3380CC4-5D6E-409C-BE32-E72D297353CC}">
              <c16:uniqueId val="{00000000-217C-410B-847B-C3C84B965AA7}"/>
            </c:ext>
          </c:extLst>
        </c:ser>
        <c:ser>
          <c:idx val="1"/>
          <c:order val="1"/>
          <c:tx>
            <c:strRef>
              <c:f>'Technical Analysis Data'!$F$54</c:f>
              <c:strCache>
                <c:ptCount val="1"/>
                <c:pt idx="0">
                  <c:v>DMI_MINUS</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'Technical Analysis Data'!$H$52:$AB$52</c:f>
              <c:numCache>
                <c:formatCode>m/d/yyyy</c:formatCode>
                <c:ptCount val="21"/>
                <c:pt idx="0">
                  <c:v>43551</c:v>
                </c:pt>
                <c:pt idx="1">
                  <c:v>43552</c:v>
                </c:pt>
                <c:pt idx="2">
                  <c:v>43553</c:v>
                </c:pt>
                <c:pt idx="3">
                  <c:v>43556</c:v>
                </c:pt>
                <c:pt idx="4">
                  <c:v>43557</c:v>
                </c:pt>
                <c:pt idx="5">
                  <c:v>43558</c:v>
                </c:pt>
                <c:pt idx="6">
                  <c:v>43559</c:v>
                </c:pt>
                <c:pt idx="7">
                  <c:v>43560</c:v>
                </c:pt>
                <c:pt idx="8">
                  <c:v>43563</c:v>
                </c:pt>
                <c:pt idx="9">
                  <c:v>43564</c:v>
                </c:pt>
                <c:pt idx="10">
                  <c:v>43565</c:v>
                </c:pt>
                <c:pt idx="11">
                  <c:v>43566</c:v>
                </c:pt>
                <c:pt idx="12">
                  <c:v>43567</c:v>
                </c:pt>
                <c:pt idx="13">
                  <c:v>43570</c:v>
                </c:pt>
                <c:pt idx="14">
                  <c:v>43571</c:v>
                </c:pt>
                <c:pt idx="15">
                  <c:v>43572</c:v>
                </c:pt>
                <c:pt idx="16">
                  <c:v>43573</c:v>
                </c:pt>
                <c:pt idx="17">
                  <c:v>43577</c:v>
                </c:pt>
                <c:pt idx="18">
                  <c:v>43578</c:v>
                </c:pt>
                <c:pt idx="19">
                  <c:v>43579</c:v>
                </c:pt>
                <c:pt idx="20">
                  <c:v>43580</c:v>
                </c:pt>
              </c:numCache>
            </c:numRef>
          </c:cat>
          <c:val>
            <c:numRef>
              <c:f>'Technical Analysis Data'!$H$54:$AB$54</c:f>
              <c:numCache>
                <c:formatCode>General</c:formatCode>
                <c:ptCount val="21"/>
                <c:pt idx="0">
                  <c:v>19.989500377032403</c:v>
                </c:pt>
                <c:pt idx="1">
                  <c:v>18.898851392087046</c:v>
                </c:pt>
                <c:pt idx="2">
                  <c:v>17.878778293708848</c:v>
                </c:pt>
                <c:pt idx="3">
                  <c:v>15.862646016328197</c:v>
                </c:pt>
                <c:pt idx="4">
                  <c:v>16.849359320681216</c:v>
                </c:pt>
                <c:pt idx="5">
                  <c:v>17.562034924803559</c:v>
                </c:pt>
                <c:pt idx="6">
                  <c:v>18.6236013428679</c:v>
                </c:pt>
                <c:pt idx="7">
                  <c:v>17.468535108545272</c:v>
                </c:pt>
                <c:pt idx="8">
                  <c:v>18.593537289639393</c:v>
                </c:pt>
                <c:pt idx="9">
                  <c:v>17.499037240741139</c:v>
                </c:pt>
                <c:pt idx="10">
                  <c:v>16.094953717855915</c:v>
                </c:pt>
                <c:pt idx="11">
                  <c:v>15.761196468630187</c:v>
                </c:pt>
                <c:pt idx="12">
                  <c:v>19.952251461201982</c:v>
                </c:pt>
                <c:pt idx="13">
                  <c:v>19.459113909468009</c:v>
                </c:pt>
                <c:pt idx="14">
                  <c:v>27.195587494394502</c:v>
                </c:pt>
                <c:pt idx="15">
                  <c:v>38.407364867496433</c:v>
                </c:pt>
                <c:pt idx="16">
                  <c:v>44.133224497400754</c:v>
                </c:pt>
                <c:pt idx="17">
                  <c:v>40.431936490053545</c:v>
                </c:pt>
                <c:pt idx="18">
                  <c:v>36.327748774998483</c:v>
                </c:pt>
                <c:pt idx="19">
                  <c:v>31.774872099261923</c:v>
                </c:pt>
                <c:pt idx="20">
                  <c:v>29.373925949041702</c:v>
                </c:pt>
              </c:numCache>
            </c:numRef>
          </c:val>
          <c:smooth val="0"/>
          <c:extLst>
            <c:ext xmlns:c16="http://schemas.microsoft.com/office/drawing/2014/chart" uri="{C3380CC4-5D6E-409C-BE32-E72D297353CC}">
              <c16:uniqueId val="{00000001-217C-410B-847B-C3C84B965AA7}"/>
            </c:ext>
          </c:extLst>
        </c:ser>
        <c:dLbls>
          <c:showLegendKey val="0"/>
          <c:showVal val="0"/>
          <c:showCatName val="0"/>
          <c:showSerName val="0"/>
          <c:showPercent val="0"/>
          <c:showBubbleSize val="0"/>
        </c:dLbls>
        <c:marker val="1"/>
        <c:smooth val="0"/>
        <c:axId val="1399086240"/>
        <c:axId val="1399086656"/>
      </c:lineChart>
      <c:catAx>
        <c:axId val="1399086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99086656"/>
        <c:crosses val="autoZero"/>
        <c:auto val="0"/>
        <c:lblAlgn val="ctr"/>
        <c:lblOffset val="100"/>
        <c:noMultiLvlLbl val="1"/>
      </c:catAx>
      <c:valAx>
        <c:axId val="1399086656"/>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908624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4">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cs:styleClr val="auto">
        <a:lumMod val="50000"/>
      </cs:styleClr>
    </cs:fontRef>
    <cs:defRPr sz="10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
  <cs:dataPoint3D>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4</xdr:col>
      <xdr:colOff>228600</xdr:colOff>
      <xdr:row>32</xdr:row>
      <xdr:rowOff>133350</xdr:rowOff>
    </xdr:from>
    <xdr:to>
      <xdr:col>13</xdr:col>
      <xdr:colOff>762000</xdr:colOff>
      <xdr:row>47</xdr:row>
      <xdr:rowOff>133350</xdr:rowOff>
    </xdr:to>
    <xdr:graphicFrame macro="">
      <xdr:nvGraphicFramePr>
        <xdr:cNvPr id="283106" name="Chart 3">
          <a:extLst>
            <a:ext uri="{FF2B5EF4-FFF2-40B4-BE49-F238E27FC236}">
              <a16:creationId xmlns:a16="http://schemas.microsoft.com/office/drawing/2014/main" id="{00000000-0008-0000-0000-0000E2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50</xdr:row>
      <xdr:rowOff>0</xdr:rowOff>
    </xdr:from>
    <xdr:to>
      <xdr:col>13</xdr:col>
      <xdr:colOff>771525</xdr:colOff>
      <xdr:row>64</xdr:row>
      <xdr:rowOff>66675</xdr:rowOff>
    </xdr:to>
    <xdr:graphicFrame macro="">
      <xdr:nvGraphicFramePr>
        <xdr:cNvPr id="283107" name="Chart 2">
          <a:extLst>
            <a:ext uri="{FF2B5EF4-FFF2-40B4-BE49-F238E27FC236}">
              <a16:creationId xmlns:a16="http://schemas.microsoft.com/office/drawing/2014/main" id="{00000000-0008-0000-0000-0000E3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1798625</xdr:colOff>
      <xdr:row>0</xdr:row>
      <xdr:rowOff>54741</xdr:rowOff>
    </xdr:from>
    <xdr:to>
      <xdr:col>14</xdr:col>
      <xdr:colOff>257480</xdr:colOff>
      <xdr:row>3</xdr:row>
      <xdr:rowOff>185928</xdr:rowOff>
    </xdr:to>
    <xdr:sp macro="" textlink="">
      <xdr:nvSpPr>
        <xdr:cNvPr id="10" name="BannerTitle">
          <a:extLst>
            <a:ext uri="{FF2B5EF4-FFF2-40B4-BE49-F238E27FC236}">
              <a16:creationId xmlns:a16="http://schemas.microsoft.com/office/drawing/2014/main" id="{00000000-0008-0000-0000-00000A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1798625</xdr:colOff>
      <xdr:row>0</xdr:row>
      <xdr:rowOff>54741</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1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1798625</xdr:colOff>
      <xdr:row>0</xdr:row>
      <xdr:rowOff>54741</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2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1798625</xdr:colOff>
      <xdr:row>0</xdr:row>
      <xdr:rowOff>54741</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3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1798625</xdr:colOff>
      <xdr:row>0</xdr:row>
      <xdr:rowOff>54741</xdr:rowOff>
    </xdr:from>
    <xdr:to>
      <xdr:col>13</xdr:col>
      <xdr:colOff>257480</xdr:colOff>
      <xdr:row>3</xdr:row>
      <xdr:rowOff>185928</xdr:rowOff>
    </xdr:to>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1798625</xdr:colOff>
      <xdr:row>0</xdr:row>
      <xdr:rowOff>54741</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5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1798625</xdr:colOff>
      <xdr:row>0</xdr:row>
      <xdr:rowOff>54741</xdr:rowOff>
    </xdr:from>
    <xdr:to>
      <xdr:col>13</xdr:col>
      <xdr:colOff>190805</xdr:colOff>
      <xdr:row>3</xdr:row>
      <xdr:rowOff>185928</xdr:rowOff>
    </xdr:to>
    <xdr:sp macro="" textlink="">
      <xdr:nvSpPr>
        <xdr:cNvPr id="16" name="BannerTitle">
          <a:extLst>
            <a:ext uri="{FF2B5EF4-FFF2-40B4-BE49-F238E27FC236}">
              <a16:creationId xmlns:a16="http://schemas.microsoft.com/office/drawing/2014/main" id="{00000000-0008-0000-06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1798625</xdr:colOff>
      <xdr:row>0</xdr:row>
      <xdr:rowOff>54741</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7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1798625</xdr:colOff>
      <xdr:row>0</xdr:row>
      <xdr:rowOff>54741</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8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14575</xdr:colOff>
      <xdr:row>4</xdr:row>
      <xdr:rowOff>117915</xdr:rowOff>
    </xdr:from>
    <xdr:to>
      <xdr:col>19</xdr:col>
      <xdr:colOff>1</xdr:colOff>
      <xdr:row>55</xdr:row>
      <xdr:rowOff>92178</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14286</xdr:colOff>
      <xdr:row>2</xdr:row>
      <xdr:rowOff>9525</xdr:rowOff>
    </xdr:from>
    <xdr:to>
      <xdr:col>9</xdr:col>
      <xdr:colOff>609599</xdr:colOff>
      <xdr:row>19</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4761</xdr:colOff>
      <xdr:row>2</xdr:row>
      <xdr:rowOff>9525</xdr:rowOff>
    </xdr:from>
    <xdr:to>
      <xdr:col>17</xdr:col>
      <xdr:colOff>600074</xdr:colOff>
      <xdr:row>19</xdr:row>
      <xdr:rowOff>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2380</xdr:colOff>
      <xdr:row>2</xdr:row>
      <xdr:rowOff>11907</xdr:rowOff>
    </xdr:from>
    <xdr:to>
      <xdr:col>26</xdr:col>
      <xdr:colOff>23812</xdr:colOff>
      <xdr:row>19</xdr:row>
      <xdr:rowOff>-1</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14286</xdr:colOff>
      <xdr:row>19</xdr:row>
      <xdr:rowOff>4761</xdr:rowOff>
    </xdr:from>
    <xdr:to>
      <xdr:col>10</xdr:col>
      <xdr:colOff>-1</xdr:colOff>
      <xdr:row>35</xdr:row>
      <xdr:rowOff>166686</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xdr:colOff>
      <xdr:row>19</xdr:row>
      <xdr:rowOff>4761</xdr:rowOff>
    </xdr:from>
    <xdr:to>
      <xdr:col>18</xdr:col>
      <xdr:colOff>-1</xdr:colOff>
      <xdr:row>36</xdr:row>
      <xdr:rowOff>11905</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12370</xdr:colOff>
      <xdr:row>19</xdr:row>
      <xdr:rowOff>0</xdr:rowOff>
    </xdr:from>
    <xdr:to>
      <xdr:col>26</xdr:col>
      <xdr:colOff>33945</xdr:colOff>
      <xdr:row>36</xdr:row>
      <xdr:rowOff>36616</xdr:rowOff>
    </xdr:to>
    <xdr:graphicFrame macro="">
      <xdr:nvGraphicFramePr>
        <xdr:cNvPr id="7" name="Chart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11904</xdr:colOff>
      <xdr:row>36</xdr:row>
      <xdr:rowOff>4763</xdr:rowOff>
    </xdr:from>
    <xdr:to>
      <xdr:col>10</xdr:col>
      <xdr:colOff>20265</xdr:colOff>
      <xdr:row>55</xdr:row>
      <xdr:rowOff>33338</xdr:rowOff>
    </xdr:to>
    <xdr:graphicFrame macro="">
      <xdr:nvGraphicFramePr>
        <xdr:cNvPr id="8" name="Chart 1">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592930</xdr:colOff>
      <xdr:row>35</xdr:row>
      <xdr:rowOff>140494</xdr:rowOff>
    </xdr:from>
    <xdr:to>
      <xdr:col>17</xdr:col>
      <xdr:colOff>607217</xdr:colOff>
      <xdr:row>55</xdr:row>
      <xdr:rowOff>35720</xdr:rowOff>
    </xdr:to>
    <xdr:graphicFrame macro="">
      <xdr:nvGraphicFramePr>
        <xdr:cNvPr id="9" name="Chart 3">
          <a:extLst>
            <a:ext uri="{FF2B5EF4-FFF2-40B4-BE49-F238E27FC236}">
              <a16:creationId xmlns:a16="http://schemas.microsoft.com/office/drawing/2014/main" id="{00000000-0008-0000-0F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602455</xdr:colOff>
      <xdr:row>36</xdr:row>
      <xdr:rowOff>0</xdr:rowOff>
    </xdr:from>
    <xdr:to>
      <xdr:col>26</xdr:col>
      <xdr:colOff>23811</xdr:colOff>
      <xdr:row>55</xdr:row>
      <xdr:rowOff>35719</xdr:rowOff>
    </xdr:to>
    <xdr:graphicFrame macro="">
      <xdr:nvGraphicFramePr>
        <xdr:cNvPr id="10" name="Chart 4">
          <a:extLst>
            <a:ext uri="{FF2B5EF4-FFF2-40B4-BE49-F238E27FC236}">
              <a16:creationId xmlns:a16="http://schemas.microsoft.com/office/drawing/2014/main" id="{00000000-0008-0000-0F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14285</xdr:colOff>
      <xdr:row>55</xdr:row>
      <xdr:rowOff>40481</xdr:rowOff>
    </xdr:from>
    <xdr:to>
      <xdr:col>9</xdr:col>
      <xdr:colOff>595311</xdr:colOff>
      <xdr:row>74</xdr:row>
      <xdr:rowOff>69056</xdr:rowOff>
    </xdr:to>
    <xdr:graphicFrame macro="">
      <xdr:nvGraphicFramePr>
        <xdr:cNvPr id="11" name="Chart 5">
          <a:extLst>
            <a:ext uri="{FF2B5EF4-FFF2-40B4-BE49-F238E27FC236}">
              <a16:creationId xmlns:a16="http://schemas.microsoft.com/office/drawing/2014/main" id="{00000000-0008-0000-0F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595312</xdr:colOff>
      <xdr:row>55</xdr:row>
      <xdr:rowOff>35717</xdr:rowOff>
    </xdr:from>
    <xdr:to>
      <xdr:col>18</xdr:col>
      <xdr:colOff>-1</xdr:colOff>
      <xdr:row>74</xdr:row>
      <xdr:rowOff>71437</xdr:rowOff>
    </xdr:to>
    <xdr:graphicFrame macro="">
      <xdr:nvGraphicFramePr>
        <xdr:cNvPr id="12" name="Chart 6">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602455</xdr:colOff>
      <xdr:row>55</xdr:row>
      <xdr:rowOff>35719</xdr:rowOff>
    </xdr:from>
    <xdr:to>
      <xdr:col>26</xdr:col>
      <xdr:colOff>23811</xdr:colOff>
      <xdr:row>74</xdr:row>
      <xdr:rowOff>83344</xdr:rowOff>
    </xdr:to>
    <xdr:graphicFrame macro="">
      <xdr:nvGraphicFramePr>
        <xdr:cNvPr id="13" name="Chart 7">
          <a:extLst>
            <a:ext uri="{FF2B5EF4-FFF2-40B4-BE49-F238E27FC236}">
              <a16:creationId xmlns:a16="http://schemas.microsoft.com/office/drawing/2014/main" id="{00000000-0008-0000-0F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14677</xdr:colOff>
      <xdr:row>74</xdr:row>
      <xdr:rowOff>69155</xdr:rowOff>
    </xdr:from>
    <xdr:to>
      <xdr:col>9</xdr:col>
      <xdr:colOff>600204</xdr:colOff>
      <xdr:row>93</xdr:row>
      <xdr:rowOff>85334</xdr:rowOff>
    </xdr:to>
    <xdr:graphicFrame macro="">
      <xdr:nvGraphicFramePr>
        <xdr:cNvPr id="14" name="Chart 1">
          <a:extLst>
            <a:ext uri="{FF2B5EF4-FFF2-40B4-BE49-F238E27FC236}">
              <a16:creationId xmlns:a16="http://schemas.microsoft.com/office/drawing/2014/main" id="{00000000-0008-0000-0F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595051</xdr:colOff>
      <xdr:row>74</xdr:row>
      <xdr:rowOff>67197</xdr:rowOff>
    </xdr:from>
    <xdr:to>
      <xdr:col>17</xdr:col>
      <xdr:colOff>587158</xdr:colOff>
      <xdr:row>93</xdr:row>
      <xdr:rowOff>91336</xdr:rowOff>
    </xdr:to>
    <xdr:graphicFrame macro="">
      <xdr:nvGraphicFramePr>
        <xdr:cNvPr id="15" name="Chart 1">
          <a:extLst>
            <a:ext uri="{FF2B5EF4-FFF2-40B4-BE49-F238E27FC236}">
              <a16:creationId xmlns:a16="http://schemas.microsoft.com/office/drawing/2014/main" id="{00000000-0008-0000-0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587809</xdr:colOff>
      <xdr:row>74</xdr:row>
      <xdr:rowOff>71503</xdr:rowOff>
    </xdr:from>
    <xdr:to>
      <xdr:col>26</xdr:col>
      <xdr:colOff>26096</xdr:colOff>
      <xdr:row>93</xdr:row>
      <xdr:rowOff>87682</xdr:rowOff>
    </xdr:to>
    <xdr:graphicFrame macro="">
      <xdr:nvGraphicFramePr>
        <xdr:cNvPr id="16" name="Chart 2">
          <a:extLst>
            <a:ext uri="{FF2B5EF4-FFF2-40B4-BE49-F238E27FC236}">
              <a16:creationId xmlns:a16="http://schemas.microsoft.com/office/drawing/2014/main" id="{00000000-0008-0000-0F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7" name="BannerTitle">
          <a:extLst>
            <a:ext uri="{FF2B5EF4-FFF2-40B4-BE49-F238E27FC236}">
              <a16:creationId xmlns:a16="http://schemas.microsoft.com/office/drawing/2014/main" id="{00000000-0008-0000-1100-00002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twoCellAnchor editAs="oneCell">
    <xdr:from>
      <xdr:col>3</xdr:col>
      <xdr:colOff>428625</xdr:colOff>
      <xdr:row>19</xdr:row>
      <xdr:rowOff>114300</xdr:rowOff>
    </xdr:from>
    <xdr:to>
      <xdr:col>17</xdr:col>
      <xdr:colOff>285750</xdr:colOff>
      <xdr:row>22</xdr:row>
      <xdr:rowOff>28575</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62125" y="3467100"/>
          <a:ext cx="8391525" cy="485775"/>
        </a:xfrm>
        <a:prstGeom prst="rect">
          <a:avLst/>
        </a:prstGeom>
      </xdr:spPr>
    </xdr:pic>
    <xdr:clientData/>
  </xdr:twoCellAnchor>
  <xdr:twoCellAnchor>
    <xdr:from>
      <xdr:col>3</xdr:col>
      <xdr:colOff>457200</xdr:colOff>
      <xdr:row>14</xdr:row>
      <xdr:rowOff>0</xdr:rowOff>
    </xdr:from>
    <xdr:to>
      <xdr:col>8</xdr:col>
      <xdr:colOff>116192</xdr:colOff>
      <xdr:row>17</xdr:row>
      <xdr:rowOff>76200</xdr:rowOff>
    </xdr:to>
    <xdr:sp macro="" textlink="">
      <xdr:nvSpPr>
        <xdr:cNvPr id="25" name="DbgShadowBox">
          <a:extLst>
            <a:ext uri="{FF2B5EF4-FFF2-40B4-BE49-F238E27FC236}">
              <a16:creationId xmlns:a16="http://schemas.microsoft.com/office/drawing/2014/main" id="{00000000-0008-0000-1100-000019000000}"/>
            </a:ext>
          </a:extLst>
        </xdr:cNvPr>
        <xdr:cNvSpPr/>
      </xdr:nvSpPr>
      <xdr:spPr bwMode="auto">
        <a:xfrm>
          <a:off x="1790700" y="2400300"/>
          <a:ext cx="2706992" cy="6477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100" b="1" i="0" u="none" strike="noStrike" baseline="0">
              <a:solidFill>
                <a:srgbClr val="1F497D"/>
              </a:solidFill>
              <a:latin typeface="Calibri"/>
            </a:rPr>
            <a:t>Ticker:</a:t>
          </a:r>
          <a:r>
            <a:rPr lang="en-US" sz="1100" b="0" i="0" u="none" strike="noStrike" baseline="0">
              <a:solidFill>
                <a:srgbClr val="1F497D"/>
              </a:solidFill>
              <a:latin typeface="Calibri"/>
            </a:rPr>
            <a:t/>
          </a:r>
          <a:br>
            <a:rPr lang="en-US" sz="1100" b="0" i="0" u="none" strike="noStrike" baseline="0">
              <a:solidFill>
                <a:srgbClr val="1F497D"/>
              </a:solidFill>
              <a:latin typeface="Calibri"/>
            </a:rPr>
          </a:br>
          <a:r>
            <a:rPr lang="en-US" sz="1100" b="0" i="0" u="none" strike="noStrike" baseline="0">
              <a:solidFill>
                <a:srgbClr val="1F497D"/>
              </a:solidFill>
              <a:latin typeface="Calibri"/>
            </a:rPr>
            <a:t>Enter Bloomberg Equity Ticker code with Exchange code</a:t>
          </a:r>
        </a:p>
      </xdr:txBody>
    </xdr:sp>
    <xdr:clientData/>
  </xdr:twoCellAnchor>
  <xdr:twoCellAnchor>
    <xdr:from>
      <xdr:col>8</xdr:col>
      <xdr:colOff>447675</xdr:colOff>
      <xdr:row>13</xdr:row>
      <xdr:rowOff>28575</xdr:rowOff>
    </xdr:from>
    <xdr:to>
      <xdr:col>13</xdr:col>
      <xdr:colOff>106667</xdr:colOff>
      <xdr:row>18</xdr:row>
      <xdr:rowOff>38100</xdr:rowOff>
    </xdr:to>
    <xdr:sp macro="" textlink="">
      <xdr:nvSpPr>
        <xdr:cNvPr id="27" name="DbgShadowBox">
          <a:extLst>
            <a:ext uri="{FF2B5EF4-FFF2-40B4-BE49-F238E27FC236}">
              <a16:creationId xmlns:a16="http://schemas.microsoft.com/office/drawing/2014/main" id="{00000000-0008-0000-1100-00001B000000}"/>
            </a:ext>
          </a:extLst>
        </xdr:cNvPr>
        <xdr:cNvSpPr/>
      </xdr:nvSpPr>
      <xdr:spPr bwMode="auto">
        <a:xfrm>
          <a:off x="4829175" y="2238375"/>
          <a:ext cx="2706992" cy="9620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en-US" sz="1100" b="1">
              <a:solidFill>
                <a:srgbClr val="1F497D"/>
              </a:solidFill>
              <a:effectLst/>
              <a:latin typeface="+mn-lt"/>
              <a:ea typeface="+mn-ea"/>
              <a:cs typeface="+mn-cs"/>
            </a:rPr>
            <a:t>Accounting:</a:t>
          </a:r>
          <a:br>
            <a:rPr lang="en-US" sz="1100" b="1">
              <a:solidFill>
                <a:srgbClr val="1F497D"/>
              </a:solidFill>
              <a:effectLst/>
              <a:latin typeface="+mn-lt"/>
              <a:ea typeface="+mn-ea"/>
              <a:cs typeface="+mn-cs"/>
            </a:rPr>
          </a:br>
          <a:r>
            <a:rPr lang="en-US" sz="1100" b="0">
              <a:solidFill>
                <a:srgbClr val="FF0000"/>
              </a:solidFill>
              <a:effectLst/>
              <a:latin typeface="+mn-lt"/>
              <a:ea typeface="+mn-ea"/>
              <a:cs typeface="+mn-cs"/>
            </a:rPr>
            <a:t>Mixed</a:t>
          </a:r>
          <a:r>
            <a:rPr lang="en-US" sz="1100" b="0">
              <a:solidFill>
                <a:srgbClr val="1F497D"/>
              </a:solidFill>
              <a:effectLst/>
              <a:latin typeface="+mn-lt"/>
              <a:ea typeface="+mn-ea"/>
              <a:cs typeface="+mn-cs"/>
            </a:rPr>
            <a:t> - Default Value</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Local</a:t>
          </a:r>
          <a:r>
            <a:rPr lang="en-US" sz="1100" b="0">
              <a:solidFill>
                <a:srgbClr val="1F497D"/>
              </a:solidFill>
              <a:effectLst/>
              <a:latin typeface="+mn-lt"/>
              <a:ea typeface="+mn-ea"/>
              <a:cs typeface="+mn-cs"/>
            </a:rPr>
            <a:t> - Local Accounting Standard Filing</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IFRS</a:t>
          </a:r>
          <a:r>
            <a:rPr lang="en-US" sz="1100" b="0" baseline="0">
              <a:solidFill>
                <a:srgbClr val="1F497D"/>
              </a:solidFill>
              <a:effectLst/>
              <a:latin typeface="+mn-lt"/>
              <a:ea typeface="+mn-ea"/>
              <a:cs typeface="+mn-cs"/>
            </a:rPr>
            <a:t> - International Accounting Standard</a:t>
          </a:r>
          <a:endParaRPr lang="en-US" sz="1050">
            <a:solidFill>
              <a:srgbClr val="1F497D"/>
            </a:solidFill>
            <a:effectLst/>
          </a:endParaRPr>
        </a:p>
        <a:p>
          <a:pPr eaLnBrk="1" fontAlgn="auto" latinLnBrk="0" hangingPunct="1"/>
          <a:r>
            <a:rPr lang="en-US" sz="1100" b="0" baseline="0">
              <a:solidFill>
                <a:srgbClr val="FF0000"/>
              </a:solidFill>
              <a:effectLst/>
              <a:latin typeface="+mn-lt"/>
              <a:ea typeface="+mn-ea"/>
              <a:cs typeface="+mn-cs"/>
            </a:rPr>
            <a:t>US</a:t>
          </a:r>
          <a:r>
            <a:rPr lang="en-US" sz="1100" b="0" baseline="0">
              <a:solidFill>
                <a:srgbClr val="1F497D"/>
              </a:solidFill>
              <a:effectLst/>
              <a:latin typeface="+mn-lt"/>
              <a:ea typeface="+mn-ea"/>
              <a:cs typeface="+mn-cs"/>
            </a:rPr>
            <a:t> - US GAAP</a:t>
          </a:r>
          <a:endParaRPr lang="en-US" sz="105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13</xdr:col>
      <xdr:colOff>390525</xdr:colOff>
      <xdr:row>13</xdr:row>
      <xdr:rowOff>9526</xdr:rowOff>
    </xdr:from>
    <xdr:to>
      <xdr:col>18</xdr:col>
      <xdr:colOff>49517</xdr:colOff>
      <xdr:row>18</xdr:row>
      <xdr:rowOff>38100</xdr:rowOff>
    </xdr:to>
    <xdr:sp macro="" textlink="">
      <xdr:nvSpPr>
        <xdr:cNvPr id="28" name="DbgShadowBox">
          <a:extLst>
            <a:ext uri="{FF2B5EF4-FFF2-40B4-BE49-F238E27FC236}">
              <a16:creationId xmlns:a16="http://schemas.microsoft.com/office/drawing/2014/main" id="{00000000-0008-0000-1100-00001C000000}"/>
            </a:ext>
          </a:extLst>
        </xdr:cNvPr>
        <xdr:cNvSpPr/>
      </xdr:nvSpPr>
      <xdr:spPr bwMode="auto">
        <a:xfrm>
          <a:off x="7820025" y="2219326"/>
          <a:ext cx="2706992" cy="9810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rtl="0"/>
          <a:r>
            <a:rPr lang="en-US" sz="1100" b="1" i="0" baseline="0">
              <a:solidFill>
                <a:srgbClr val="1F497D"/>
              </a:solidFill>
              <a:effectLst/>
              <a:latin typeface="+mn-lt"/>
              <a:ea typeface="+mn-ea"/>
              <a:cs typeface="+mn-cs"/>
            </a:rPr>
            <a:t>Currency:</a:t>
          </a:r>
          <a:r>
            <a:rPr lang="en-US" sz="1100" b="0" i="0" baseline="0">
              <a:solidFill>
                <a:srgbClr val="1F497D"/>
              </a:solidFill>
              <a:effectLst/>
              <a:latin typeface="+mn-lt"/>
              <a:ea typeface="+mn-ea"/>
              <a:cs typeface="+mn-cs"/>
            </a:rPr>
            <a:t/>
          </a:r>
          <a:br>
            <a:rPr lang="en-US" sz="1100" b="0" i="0" baseline="0">
              <a:solidFill>
                <a:srgbClr val="1F497D"/>
              </a:solidFill>
              <a:effectLst/>
              <a:latin typeface="+mn-lt"/>
              <a:ea typeface="+mn-ea"/>
              <a:cs typeface="+mn-cs"/>
            </a:rPr>
          </a:br>
          <a:r>
            <a:rPr lang="en-US" sz="1100" b="0" i="0" baseline="0">
              <a:solidFill>
                <a:srgbClr val="1F497D"/>
              </a:solidFill>
              <a:effectLst/>
              <a:latin typeface="+mn-lt"/>
              <a:ea typeface="+mn-ea"/>
              <a:cs typeface="+mn-cs"/>
            </a:rPr>
            <a:t>Will displays Currency in which company reports its fundamental data. Currency can be changed by entering three letter currency code. Example: GBP</a:t>
          </a:r>
          <a:endParaRPr lang="en-US" sz="1050" baseline="0">
            <a:solidFill>
              <a:srgbClr val="1F497D"/>
            </a:solidFill>
            <a:effectLst/>
          </a:endParaRPr>
        </a:p>
      </xdr:txBody>
    </xdr:sp>
    <xdr:clientData/>
  </xdr:twoCellAnchor>
  <xdr:twoCellAnchor>
    <xdr:from>
      <xdr:col>6</xdr:col>
      <xdr:colOff>600075</xdr:colOff>
      <xdr:row>21</xdr:row>
      <xdr:rowOff>161925</xdr:rowOff>
    </xdr:from>
    <xdr:to>
      <xdr:col>6</xdr:col>
      <xdr:colOff>600075</xdr:colOff>
      <xdr:row>24</xdr:row>
      <xdr:rowOff>133350</xdr:rowOff>
    </xdr:to>
    <xdr:cxnSp macro="">
      <xdr:nvCxnSpPr>
        <xdr:cNvPr id="38" name="DbgGradArrow">
          <a:extLst>
            <a:ext uri="{FF2B5EF4-FFF2-40B4-BE49-F238E27FC236}">
              <a16:creationId xmlns:a16="http://schemas.microsoft.com/office/drawing/2014/main" id="{00000000-0008-0000-1100-000026000000}"/>
            </a:ext>
          </a:extLst>
        </xdr:cNvPr>
        <xdr:cNvCxnSpPr/>
      </xdr:nvCxnSpPr>
      <xdr:spPr bwMode="auto">
        <a:xfrm>
          <a:off x="3762375" y="3895725"/>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409575</xdr:colOff>
      <xdr:row>21</xdr:row>
      <xdr:rowOff>152400</xdr:rowOff>
    </xdr:from>
    <xdr:to>
      <xdr:col>11</xdr:col>
      <xdr:colOff>409575</xdr:colOff>
      <xdr:row>24</xdr:row>
      <xdr:rowOff>123825</xdr:rowOff>
    </xdr:to>
    <xdr:cxnSp macro="">
      <xdr:nvCxnSpPr>
        <xdr:cNvPr id="39" name="DbgGradArrow">
          <a:extLst>
            <a:ext uri="{FF2B5EF4-FFF2-40B4-BE49-F238E27FC236}">
              <a16:creationId xmlns:a16="http://schemas.microsoft.com/office/drawing/2014/main" id="{00000000-0008-0000-1100-000027000000}"/>
            </a:ext>
          </a:extLst>
        </xdr:cNvPr>
        <xdr:cNvCxnSpPr/>
      </xdr:nvCxnSpPr>
      <xdr:spPr bwMode="auto">
        <a:xfrm>
          <a:off x="6619875" y="3886200"/>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228600</xdr:colOff>
      <xdr:row>18</xdr:row>
      <xdr:rowOff>47625</xdr:rowOff>
    </xdr:from>
    <xdr:to>
      <xdr:col>16</xdr:col>
      <xdr:colOff>228600</xdr:colOff>
      <xdr:row>19</xdr:row>
      <xdr:rowOff>180976</xdr:rowOff>
    </xdr:to>
    <xdr:cxnSp macro="">
      <xdr:nvCxnSpPr>
        <xdr:cNvPr id="40" name="DbgGradArrow">
          <a:extLst>
            <a:ext uri="{FF2B5EF4-FFF2-40B4-BE49-F238E27FC236}">
              <a16:creationId xmlns:a16="http://schemas.microsoft.com/office/drawing/2014/main" id="{00000000-0008-0000-1100-000028000000}"/>
            </a:ext>
          </a:extLst>
        </xdr:cNvPr>
        <xdr:cNvCxnSpPr/>
      </xdr:nvCxnSpPr>
      <xdr:spPr bwMode="auto">
        <a:xfrm flipV="1">
          <a:off x="9486900" y="3209925"/>
          <a:ext cx="0" cy="32385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400050</xdr:colOff>
      <xdr:row>18</xdr:row>
      <xdr:rowOff>38100</xdr:rowOff>
    </xdr:from>
    <xdr:to>
      <xdr:col>11</xdr:col>
      <xdr:colOff>400050</xdr:colOff>
      <xdr:row>19</xdr:row>
      <xdr:rowOff>180976</xdr:rowOff>
    </xdr:to>
    <xdr:cxnSp macro="">
      <xdr:nvCxnSpPr>
        <xdr:cNvPr id="41" name="DbgGradArrow">
          <a:extLst>
            <a:ext uri="{FF2B5EF4-FFF2-40B4-BE49-F238E27FC236}">
              <a16:creationId xmlns:a16="http://schemas.microsoft.com/office/drawing/2014/main" id="{00000000-0008-0000-1100-000029000000}"/>
            </a:ext>
          </a:extLst>
        </xdr:cNvPr>
        <xdr:cNvCxnSpPr/>
      </xdr:nvCxnSpPr>
      <xdr:spPr bwMode="auto">
        <a:xfrm flipV="1">
          <a:off x="6610350" y="3200400"/>
          <a:ext cx="0" cy="3333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600075</xdr:colOff>
      <xdr:row>17</xdr:row>
      <xdr:rowOff>76201</xdr:rowOff>
    </xdr:from>
    <xdr:to>
      <xdr:col>6</xdr:col>
      <xdr:colOff>600075</xdr:colOff>
      <xdr:row>19</xdr:row>
      <xdr:rowOff>152400</xdr:rowOff>
    </xdr:to>
    <xdr:cxnSp macro="">
      <xdr:nvCxnSpPr>
        <xdr:cNvPr id="42" name="DbgGradArrow">
          <a:extLst>
            <a:ext uri="{FF2B5EF4-FFF2-40B4-BE49-F238E27FC236}">
              <a16:creationId xmlns:a16="http://schemas.microsoft.com/office/drawing/2014/main" id="{00000000-0008-0000-1100-00002A000000}"/>
            </a:ext>
          </a:extLst>
        </xdr:cNvPr>
        <xdr:cNvCxnSpPr/>
      </xdr:nvCxnSpPr>
      <xdr:spPr bwMode="auto">
        <a:xfrm flipV="1">
          <a:off x="3762375" y="3048001"/>
          <a:ext cx="0" cy="45719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466725</xdr:colOff>
      <xdr:row>24</xdr:row>
      <xdr:rowOff>123824</xdr:rowOff>
    </xdr:from>
    <xdr:to>
      <xdr:col>13</xdr:col>
      <xdr:colOff>125717</xdr:colOff>
      <xdr:row>29</xdr:row>
      <xdr:rowOff>9525</xdr:rowOff>
    </xdr:to>
    <xdr:sp macro="" textlink="">
      <xdr:nvSpPr>
        <xdr:cNvPr id="43" name="DbgShadowBox">
          <a:extLst>
            <a:ext uri="{FF2B5EF4-FFF2-40B4-BE49-F238E27FC236}">
              <a16:creationId xmlns:a16="http://schemas.microsoft.com/office/drawing/2014/main" id="{00000000-0008-0000-1100-00002B000000}"/>
            </a:ext>
          </a:extLst>
        </xdr:cNvPr>
        <xdr:cNvSpPr/>
      </xdr:nvSpPr>
      <xdr:spPr bwMode="auto">
        <a:xfrm>
          <a:off x="4848225" y="4429124"/>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Consolidated:</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Yes</a:t>
          </a:r>
          <a:r>
            <a:rPr lang="en-US" sz="1100" b="0" baseline="0">
              <a:solidFill>
                <a:srgbClr val="1F497D"/>
              </a:solidFill>
              <a:effectLst/>
              <a:latin typeface="+mn-lt"/>
              <a:ea typeface="+mn-ea"/>
              <a:cs typeface="+mn-cs"/>
            </a:rPr>
            <a:t> - Data presented is for Consolidate Company</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No</a:t>
          </a:r>
          <a:r>
            <a:rPr lang="en-US" sz="1100" b="0" baseline="0">
              <a:solidFill>
                <a:srgbClr val="1F497D"/>
              </a:solidFill>
              <a:effectLst/>
              <a:latin typeface="+mn-lt"/>
              <a:ea typeface="+mn-ea"/>
              <a:cs typeface="+mn-cs"/>
            </a:rPr>
            <a:t>  - Data presented is for Parent Company</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3</xdr:col>
      <xdr:colOff>457200</xdr:colOff>
      <xdr:row>24</xdr:row>
      <xdr:rowOff>133349</xdr:rowOff>
    </xdr:from>
    <xdr:to>
      <xdr:col>8</xdr:col>
      <xdr:colOff>116192</xdr:colOff>
      <xdr:row>29</xdr:row>
      <xdr:rowOff>19050</xdr:rowOff>
    </xdr:to>
    <xdr:sp macro="" textlink="">
      <xdr:nvSpPr>
        <xdr:cNvPr id="44" name="DbgShadowBox">
          <a:extLst>
            <a:ext uri="{FF2B5EF4-FFF2-40B4-BE49-F238E27FC236}">
              <a16:creationId xmlns:a16="http://schemas.microsoft.com/office/drawing/2014/main" id="{00000000-0008-0000-1100-00002C000000}"/>
            </a:ext>
          </a:extLst>
        </xdr:cNvPr>
        <xdr:cNvSpPr/>
      </xdr:nvSpPr>
      <xdr:spPr bwMode="auto">
        <a:xfrm>
          <a:off x="1790700" y="4438649"/>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Period Type:</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Annual</a:t>
          </a:r>
          <a:r>
            <a:rPr lang="en-US" sz="1100" b="0" baseline="0">
              <a:solidFill>
                <a:srgbClr val="1F497D"/>
              </a:solidFill>
              <a:effectLst/>
              <a:latin typeface="+mn-lt"/>
              <a:ea typeface="+mn-ea"/>
              <a:cs typeface="+mn-cs"/>
            </a:rPr>
            <a:t> - Fiscal Year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Quarter</a:t>
          </a:r>
          <a:r>
            <a:rPr lang="en-US" sz="1100" b="0" baseline="0">
              <a:solidFill>
                <a:srgbClr val="1F497D"/>
              </a:solidFill>
              <a:effectLst/>
              <a:latin typeface="+mn-lt"/>
              <a:ea typeface="+mn-ea"/>
              <a:cs typeface="+mn-cs"/>
            </a:rPr>
            <a:t> - Fiscal Quarter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Semi-Annual </a:t>
          </a:r>
          <a:r>
            <a:rPr lang="en-US" sz="1100" b="0" baseline="0">
              <a:solidFill>
                <a:srgbClr val="1F497D"/>
              </a:solidFill>
              <a:effectLst/>
              <a:latin typeface="+mn-lt"/>
              <a:ea typeface="+mn-ea"/>
              <a:cs typeface="+mn-cs"/>
            </a:rPr>
            <a:t>- Fiscal Semi-Annual</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editAs="oneCell">
    <xdr:from>
      <xdr:col>12</xdr:col>
      <xdr:colOff>161925</xdr:colOff>
      <xdr:row>32</xdr:row>
      <xdr:rowOff>114300</xdr:rowOff>
    </xdr:from>
    <xdr:to>
      <xdr:col>17</xdr:col>
      <xdr:colOff>447675</xdr:colOff>
      <xdr:row>38</xdr:row>
      <xdr:rowOff>47625</xdr:rowOff>
    </xdr:to>
    <xdr:pic>
      <xdr:nvPicPr>
        <xdr:cNvPr id="14" name="Picture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81825" y="5943600"/>
          <a:ext cx="3333750" cy="1076325"/>
        </a:xfrm>
        <a:prstGeom prst="rect">
          <a:avLst/>
        </a:prstGeom>
      </xdr:spPr>
    </xdr:pic>
    <xdr:clientData/>
  </xdr:twoCellAnchor>
  <xdr:twoCellAnchor editAs="oneCell">
    <xdr:from>
      <xdr:col>3</xdr:col>
      <xdr:colOff>47625</xdr:colOff>
      <xdr:row>42</xdr:row>
      <xdr:rowOff>104775</xdr:rowOff>
    </xdr:from>
    <xdr:to>
      <xdr:col>17</xdr:col>
      <xdr:colOff>600075</xdr:colOff>
      <xdr:row>46</xdr:row>
      <xdr:rowOff>24261</xdr:rowOff>
    </xdr:to>
    <xdr:pic>
      <xdr:nvPicPr>
        <xdr:cNvPr id="15" name="Picture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81125" y="7839075"/>
          <a:ext cx="9086850" cy="681486"/>
        </a:xfrm>
        <a:prstGeom prst="rect">
          <a:avLst/>
        </a:prstGeom>
      </xdr:spPr>
    </xdr:pic>
    <xdr:clientData/>
  </xdr:twoCellAnchor>
  <xdr:twoCellAnchor>
    <xdr:from>
      <xdr:col>3</xdr:col>
      <xdr:colOff>561974</xdr:colOff>
      <xdr:row>32</xdr:row>
      <xdr:rowOff>95249</xdr:rowOff>
    </xdr:from>
    <xdr:to>
      <xdr:col>11</xdr:col>
      <xdr:colOff>342899</xdr:colOff>
      <xdr:row>38</xdr:row>
      <xdr:rowOff>38100</xdr:rowOff>
    </xdr:to>
    <xdr:sp macro="" textlink="">
      <xdr:nvSpPr>
        <xdr:cNvPr id="50" name="DbgShadowBox">
          <a:extLst>
            <a:ext uri="{FF2B5EF4-FFF2-40B4-BE49-F238E27FC236}">
              <a16:creationId xmlns:a16="http://schemas.microsoft.com/office/drawing/2014/main" id="{00000000-0008-0000-1100-000032000000}"/>
            </a:ext>
          </a:extLst>
        </xdr:cNvPr>
        <xdr:cNvSpPr/>
      </xdr:nvSpPr>
      <xdr:spPr bwMode="auto">
        <a:xfrm>
          <a:off x="1895474" y="5924549"/>
          <a:ext cx="4657725" cy="10858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Clicking</a:t>
          </a:r>
          <a:r>
            <a:rPr lang="en-US" sz="1100" b="1" baseline="0">
              <a:solidFill>
                <a:srgbClr val="1F497D"/>
              </a:solidFill>
              <a:effectLst/>
              <a:latin typeface="+mn-lt"/>
              <a:ea typeface="+mn-ea"/>
              <a:cs typeface="+mn-cs"/>
            </a:rPr>
            <a:t> on this + arrow sign will unhide row and show Bloomberg code used to download relative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To add/delete more periods simply manipulate these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For example to add periods, it should be set up as -10FY -9FY or -10A -9A etc</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
          </a:r>
          <a:br>
            <a:rPr lang="en-US" sz="1100" b="1" baseline="0">
              <a:solidFill>
                <a:srgbClr val="1F497D"/>
              </a:solidFill>
              <a:effectLst/>
              <a:latin typeface="+mn-lt"/>
              <a:ea typeface="+mn-ea"/>
              <a:cs typeface="+mn-cs"/>
            </a:rPr>
          </a:br>
          <a:endParaRPr lang="en-US" sz="1050" b="0" i="0" u="none" strike="noStrike" baseline="0">
            <a:solidFill>
              <a:srgbClr val="1F497D"/>
            </a:solidFill>
            <a:latin typeface="Calibri"/>
          </a:endParaRPr>
        </a:p>
      </xdr:txBody>
    </xdr:sp>
    <xdr:clientData/>
  </xdr:twoCellAnchor>
  <xdr:twoCellAnchor>
    <xdr:from>
      <xdr:col>11</xdr:col>
      <xdr:colOff>342900</xdr:colOff>
      <xdr:row>35</xdr:row>
      <xdr:rowOff>104775</xdr:rowOff>
    </xdr:from>
    <xdr:to>
      <xdr:col>12</xdr:col>
      <xdr:colOff>238126</xdr:colOff>
      <xdr:row>35</xdr:row>
      <xdr:rowOff>114300</xdr:rowOff>
    </xdr:to>
    <xdr:cxnSp macro="">
      <xdr:nvCxnSpPr>
        <xdr:cNvPr id="51" name="DbgGradArrow">
          <a:extLst>
            <a:ext uri="{FF2B5EF4-FFF2-40B4-BE49-F238E27FC236}">
              <a16:creationId xmlns:a16="http://schemas.microsoft.com/office/drawing/2014/main" id="{00000000-0008-0000-1100-000033000000}"/>
            </a:ext>
          </a:extLst>
        </xdr:cNvPr>
        <xdr:cNvCxnSpPr/>
      </xdr:nvCxnSpPr>
      <xdr:spPr bwMode="auto">
        <a:xfrm flipH="1">
          <a:off x="6553200" y="6505575"/>
          <a:ext cx="504826" cy="9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38</xdr:row>
      <xdr:rowOff>47625</xdr:rowOff>
    </xdr:from>
    <xdr:to>
      <xdr:col>9</xdr:col>
      <xdr:colOff>209550</xdr:colOff>
      <xdr:row>43</xdr:row>
      <xdr:rowOff>76202</xdr:rowOff>
    </xdr:to>
    <xdr:cxnSp macro="">
      <xdr:nvCxnSpPr>
        <xdr:cNvPr id="56" name="DbgGradArrow">
          <a:extLst>
            <a:ext uri="{FF2B5EF4-FFF2-40B4-BE49-F238E27FC236}">
              <a16:creationId xmlns:a16="http://schemas.microsoft.com/office/drawing/2014/main" id="{00000000-0008-0000-1100-000038000000}"/>
            </a:ext>
          </a:extLst>
        </xdr:cNvPr>
        <xdr:cNvCxnSpPr/>
      </xdr:nvCxnSpPr>
      <xdr:spPr bwMode="auto">
        <a:xfrm flipV="1">
          <a:off x="5200650" y="7019925"/>
          <a:ext cx="0" cy="98107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KeyStats">
    <pageSetUpPr autoPageBreaks="0" fitToPage="1"/>
  </sheetPr>
  <dimension ref="B2:IT81"/>
  <sheetViews>
    <sheetView showGridLines="0" showRowColHeaders="0" zoomScale="87" zoomScaleNormal="87" workbookViewId="0"/>
  </sheetViews>
  <sheetFormatPr defaultColWidth="9.140625" defaultRowHeight="15" outlineLevelRow="1"/>
  <cols>
    <col min="1" max="1" width="1.7109375" style="278" customWidth="1"/>
    <col min="2" max="2" width="31.85546875" style="278" hidden="1" customWidth="1"/>
    <col min="3" max="3" width="30.7109375" style="278" customWidth="1"/>
    <col min="4" max="14" width="11.7109375" style="278" customWidth="1"/>
    <col min="15" max="15" width="9.140625" style="278"/>
    <col min="16" max="16" width="10.7109375" style="278" bestFit="1" customWidth="1"/>
    <col min="17" max="21" width="9.140625" style="278"/>
    <col min="22" max="22" width="8.28515625" style="278" bestFit="1" customWidth="1"/>
    <col min="23" max="16384" width="9.140625" style="278"/>
  </cols>
  <sheetData>
    <row r="2" spans="2:254" ht="5.0999999999999996" customHeight="1"/>
    <row r="3" spans="2:254" ht="15" customHeight="1"/>
    <row r="4" spans="2:254" ht="15" customHeight="1"/>
    <row r="5" spans="2:254" ht="15" customHeight="1"/>
    <row r="6" spans="2:254" ht="15" customHeight="1"/>
    <row r="7" spans="2:254" ht="15" customHeight="1">
      <c r="C7" s="198" t="s">
        <v>353</v>
      </c>
      <c r="D7" s="27" t="s">
        <v>602</v>
      </c>
      <c r="E7" s="274"/>
      <c r="F7" s="714" t="s">
        <v>344</v>
      </c>
      <c r="G7" s="715"/>
      <c r="H7" s="26" t="s">
        <v>345</v>
      </c>
      <c r="I7" s="274"/>
      <c r="J7" s="714" t="s">
        <v>0</v>
      </c>
      <c r="K7" s="715"/>
      <c r="L7" s="27" t="str">
        <f>_xll.BQL(Ticker,"PX_LAST().CURRENCY")</f>
        <v>USD</v>
      </c>
      <c r="M7" s="274"/>
      <c r="N7" s="274"/>
    </row>
    <row r="8" spans="2:254" ht="5.0999999999999996" customHeight="1">
      <c r="E8" s="274"/>
      <c r="F8" s="8"/>
      <c r="G8" s="8"/>
      <c r="H8" s="274"/>
      <c r="I8" s="274"/>
      <c r="J8" s="274"/>
      <c r="K8" s="274"/>
      <c r="L8" s="274"/>
      <c r="M8" s="274"/>
      <c r="N8" s="274"/>
    </row>
    <row r="9" spans="2:254" ht="15" customHeight="1">
      <c r="C9" s="198" t="s">
        <v>352</v>
      </c>
      <c r="D9" s="26" t="s">
        <v>339</v>
      </c>
      <c r="E9" s="273"/>
      <c r="F9" s="714" t="s">
        <v>342</v>
      </c>
      <c r="G9" s="715"/>
      <c r="H9" s="26" t="s">
        <v>343</v>
      </c>
      <c r="I9" s="272"/>
      <c r="J9" s="272"/>
      <c r="K9" s="272"/>
      <c r="L9" s="272"/>
      <c r="M9" s="272"/>
      <c r="N9" s="272"/>
    </row>
    <row r="10" spans="2:254" s="271" customFormat="1" collapsed="1">
      <c r="C10" s="270"/>
      <c r="F10" s="269"/>
      <c r="G10" s="269"/>
      <c r="H10" s="269"/>
      <c r="I10" s="269"/>
      <c r="J10" s="269"/>
      <c r="K10" s="269"/>
      <c r="L10" s="269"/>
      <c r="M10" s="269"/>
      <c r="N10" s="269"/>
      <c r="V10" s="464"/>
    </row>
    <row r="11" spans="2:254" s="271" customFormat="1" hidden="1" outlineLevel="1">
      <c r="C11" s="234" t="str">
        <f>IF($D$9="Annuals","A",IF($D$9="Quarters","Q",IF($D$9="Semi-Annuals","S","")))</f>
        <v>A</v>
      </c>
      <c r="D11" s="251" t="str">
        <f>"-6"&amp;$C$11</f>
        <v>-6A</v>
      </c>
      <c r="E11" s="251" t="str">
        <f>"-5"&amp;$C$11</f>
        <v>-5A</v>
      </c>
      <c r="F11" s="251" t="str">
        <f>"-4"&amp;$C$11</f>
        <v>-4A</v>
      </c>
      <c r="G11" s="251" t="str">
        <f>"-3"&amp;$C$11</f>
        <v>-3A</v>
      </c>
      <c r="H11" s="251" t="str">
        <f>"-2"&amp;$C$11</f>
        <v>-2A</v>
      </c>
      <c r="I11" s="251" t="str">
        <f>"-1"&amp;$C$11</f>
        <v>-1A</v>
      </c>
      <c r="J11" s="251" t="str">
        <f>"-0"&amp;$C$11</f>
        <v>-0A</v>
      </c>
      <c r="K11" s="251" t="s">
        <v>368</v>
      </c>
      <c r="L11" s="251" t="str">
        <f>"1"&amp;$C$11</f>
        <v>1A</v>
      </c>
      <c r="M11" s="251" t="str">
        <f>"2"&amp;$C$11</f>
        <v>2A</v>
      </c>
      <c r="N11" s="251" t="str">
        <f>"3"&amp;$C$11</f>
        <v>3A</v>
      </c>
    </row>
    <row r="12" spans="2:254" collapsed="1">
      <c r="C12" s="716" t="s">
        <v>310</v>
      </c>
      <c r="D12" s="712" t="s">
        <v>346</v>
      </c>
      <c r="E12" s="712"/>
      <c r="F12" s="712"/>
      <c r="G12" s="712"/>
      <c r="H12" s="712"/>
      <c r="I12" s="712"/>
      <c r="J12" s="712"/>
      <c r="K12" s="250" t="s">
        <v>347</v>
      </c>
      <c r="L12" s="712" t="s">
        <v>348</v>
      </c>
      <c r="M12" s="712"/>
      <c r="N12" s="712"/>
      <c r="O12" s="249"/>
      <c r="P12" s="249"/>
      <c r="Q12" s="249"/>
      <c r="R12" s="277"/>
      <c r="S12" s="277"/>
      <c r="T12" s="277"/>
      <c r="U12" s="277"/>
      <c r="V12" s="465"/>
      <c r="W12" s="277"/>
      <c r="X12" s="277"/>
      <c r="Y12" s="277"/>
      <c r="Z12" s="277"/>
      <c r="AA12" s="277"/>
      <c r="AB12" s="277"/>
      <c r="AC12" s="277"/>
      <c r="AD12" s="277"/>
      <c r="AE12" s="277"/>
      <c r="AF12" s="277"/>
      <c r="AG12" s="277"/>
      <c r="AH12" s="277"/>
      <c r="AI12" s="277"/>
      <c r="AJ12" s="277"/>
      <c r="AK12" s="277"/>
      <c r="AL12" s="277"/>
      <c r="AM12" s="277"/>
      <c r="AN12" s="277"/>
      <c r="AO12" s="277"/>
      <c r="AP12" s="277"/>
      <c r="AQ12" s="277"/>
      <c r="AR12" s="277"/>
      <c r="AS12" s="277"/>
      <c r="AT12" s="277"/>
      <c r="AU12" s="277"/>
      <c r="AV12" s="277"/>
      <c r="AW12" s="277"/>
      <c r="AX12" s="277"/>
      <c r="AY12" s="277"/>
      <c r="AZ12" s="277"/>
      <c r="BA12" s="277"/>
      <c r="BB12" s="277"/>
      <c r="BC12" s="277"/>
      <c r="BD12" s="277"/>
      <c r="BE12" s="277"/>
      <c r="BF12" s="277"/>
      <c r="BG12" s="277"/>
      <c r="BH12" s="277"/>
      <c r="BI12" s="277"/>
      <c r="BJ12" s="277"/>
      <c r="BK12" s="277"/>
      <c r="BL12" s="277"/>
      <c r="BM12" s="277"/>
      <c r="BN12" s="277"/>
      <c r="BO12" s="277"/>
      <c r="BP12" s="277"/>
      <c r="BQ12" s="277"/>
      <c r="BR12" s="277"/>
      <c r="BS12" s="277"/>
      <c r="BT12" s="277"/>
      <c r="BU12" s="277"/>
      <c r="BV12" s="277"/>
      <c r="BW12" s="277"/>
      <c r="BX12" s="277"/>
      <c r="BY12" s="277"/>
      <c r="BZ12" s="277"/>
      <c r="CA12" s="277"/>
      <c r="CB12" s="277"/>
      <c r="CC12" s="277"/>
      <c r="CD12" s="277"/>
      <c r="CE12" s="277"/>
      <c r="CF12" s="277"/>
      <c r="CG12" s="277"/>
      <c r="CH12" s="277"/>
      <c r="CI12" s="277"/>
      <c r="CJ12" s="277"/>
      <c r="CK12" s="277"/>
      <c r="CL12" s="277"/>
      <c r="CM12" s="277"/>
      <c r="CN12" s="277"/>
      <c r="CO12" s="277"/>
      <c r="CP12" s="277"/>
      <c r="CQ12" s="277"/>
      <c r="CR12" s="277"/>
      <c r="CS12" s="277"/>
      <c r="CT12" s="277"/>
      <c r="CU12" s="277"/>
      <c r="CV12" s="277"/>
      <c r="CW12" s="277"/>
      <c r="CX12" s="277"/>
      <c r="CY12" s="277"/>
      <c r="CZ12" s="277"/>
      <c r="DA12" s="277"/>
      <c r="DB12" s="277"/>
      <c r="DC12" s="277"/>
      <c r="DD12" s="277"/>
      <c r="DE12" s="277"/>
      <c r="DF12" s="277"/>
      <c r="DG12" s="277"/>
      <c r="DH12" s="277"/>
      <c r="DI12" s="277"/>
      <c r="DJ12" s="277"/>
      <c r="DK12" s="277"/>
      <c r="DL12" s="277"/>
      <c r="DM12" s="277"/>
      <c r="DN12" s="277"/>
      <c r="DO12" s="277"/>
      <c r="DP12" s="277"/>
      <c r="DQ12" s="277"/>
      <c r="DR12" s="277"/>
      <c r="DS12" s="277"/>
      <c r="DT12" s="277"/>
      <c r="DU12" s="277"/>
      <c r="DV12" s="277"/>
      <c r="DW12" s="277"/>
      <c r="DX12" s="277"/>
      <c r="DY12" s="277"/>
      <c r="DZ12" s="277"/>
      <c r="EA12" s="277"/>
      <c r="EB12" s="277"/>
      <c r="EC12" s="277"/>
      <c r="ED12" s="277"/>
      <c r="EE12" s="277"/>
      <c r="EF12" s="277"/>
      <c r="EG12" s="277"/>
      <c r="EH12" s="277"/>
      <c r="EI12" s="277"/>
      <c r="EJ12" s="277"/>
      <c r="EK12" s="277"/>
      <c r="EL12" s="277"/>
      <c r="EM12" s="277"/>
      <c r="EN12" s="277"/>
      <c r="EO12" s="277"/>
      <c r="EP12" s="277"/>
      <c r="EQ12" s="277"/>
      <c r="ER12" s="277"/>
      <c r="ES12" s="277"/>
      <c r="ET12" s="277"/>
      <c r="EU12" s="277"/>
      <c r="EV12" s="277"/>
      <c r="EW12" s="277"/>
      <c r="EX12" s="277"/>
      <c r="EY12" s="277"/>
      <c r="EZ12" s="277"/>
      <c r="FA12" s="277"/>
      <c r="FB12" s="277"/>
      <c r="FC12" s="277"/>
      <c r="FD12" s="277"/>
      <c r="FE12" s="277"/>
      <c r="FF12" s="277"/>
      <c r="FG12" s="277"/>
      <c r="FH12" s="277"/>
      <c r="FI12" s="277"/>
      <c r="FJ12" s="277"/>
      <c r="FK12" s="277"/>
      <c r="FL12" s="277"/>
      <c r="FM12" s="277"/>
      <c r="FN12" s="277"/>
      <c r="FO12" s="277"/>
      <c r="FP12" s="277"/>
      <c r="FQ12" s="277"/>
      <c r="FR12" s="277"/>
      <c r="FS12" s="277"/>
      <c r="FT12" s="277"/>
      <c r="FU12" s="277"/>
      <c r="FV12" s="277"/>
      <c r="FW12" s="277"/>
      <c r="FX12" s="277"/>
      <c r="FY12" s="277"/>
      <c r="FZ12" s="277"/>
      <c r="GA12" s="277"/>
      <c r="GB12" s="277"/>
      <c r="GC12" s="277"/>
      <c r="GD12" s="277"/>
      <c r="GE12" s="277"/>
      <c r="GF12" s="277"/>
      <c r="GG12" s="277"/>
      <c r="GH12" s="277"/>
      <c r="GI12" s="277"/>
      <c r="GJ12" s="277"/>
      <c r="GK12" s="277"/>
      <c r="GL12" s="277"/>
      <c r="GM12" s="277"/>
      <c r="GN12" s="277"/>
      <c r="GO12" s="277"/>
      <c r="GP12" s="277"/>
      <c r="GQ12" s="277"/>
      <c r="GR12" s="277"/>
      <c r="GS12" s="277"/>
      <c r="GT12" s="277"/>
      <c r="GU12" s="277"/>
      <c r="GV12" s="277"/>
      <c r="GW12" s="277"/>
      <c r="GX12" s="277"/>
      <c r="GY12" s="277"/>
      <c r="GZ12" s="277"/>
      <c r="HA12" s="277"/>
      <c r="HB12" s="277"/>
      <c r="HC12" s="277"/>
      <c r="HD12" s="277"/>
      <c r="HE12" s="277"/>
      <c r="HF12" s="277"/>
      <c r="HG12" s="277"/>
      <c r="HH12" s="277"/>
      <c r="HI12" s="277"/>
      <c r="HJ12" s="277"/>
      <c r="HK12" s="277"/>
      <c r="HL12" s="277"/>
      <c r="HM12" s="277"/>
      <c r="HN12" s="277"/>
      <c r="HO12" s="277"/>
      <c r="HP12" s="277"/>
      <c r="HQ12" s="277"/>
      <c r="HR12" s="277"/>
      <c r="HS12" s="277"/>
      <c r="HT12" s="277"/>
      <c r="HU12" s="277"/>
      <c r="HV12" s="277"/>
      <c r="HW12" s="277"/>
      <c r="HX12" s="277"/>
      <c r="HY12" s="277"/>
      <c r="HZ12" s="277"/>
      <c r="IA12" s="277"/>
      <c r="IB12" s="277"/>
      <c r="IC12" s="277"/>
      <c r="ID12" s="277"/>
      <c r="IE12" s="277"/>
      <c r="IF12" s="277"/>
      <c r="IG12" s="277"/>
      <c r="IH12" s="277"/>
      <c r="II12" s="277"/>
      <c r="IJ12" s="277"/>
      <c r="IK12" s="277"/>
      <c r="IL12" s="277"/>
      <c r="IM12" s="277"/>
      <c r="IN12" s="277"/>
      <c r="IO12" s="277"/>
      <c r="IP12" s="277"/>
      <c r="IQ12" s="277"/>
      <c r="IR12" s="277"/>
      <c r="IS12" s="277"/>
      <c r="IT12" s="277"/>
    </row>
    <row r="13" spans="2:254" ht="15" customHeight="1">
      <c r="C13" s="716"/>
      <c r="D13" s="293">
        <f>IFERROR(_xll.BQL(Ticker,"IS_EPS().PERIOD_END_DATE","FPT",$C$11,"FPO",D$11,"STD",$H$7,"CONSOL",$H$9, "CURRENCY",$L$7)*1,"--")</f>
        <v>41274</v>
      </c>
      <c r="E13" s="293">
        <f>IFERROR(_xll.BQL(Ticker,"IS_EPS().PERIOD_END_DATE","FPT",$C$11,"FPO",E$11,"STD",$H$7,"CONSOL",$H$9, "CURRENCY",$L$7)*1,"--")</f>
        <v>41639</v>
      </c>
      <c r="F13" s="293">
        <f>IFERROR(_xll.BQL(Ticker,"IS_EPS().PERIOD_END_DATE","FPT",$C$11,"FPO",F$11,"STD",$H$7,"CONSOL",$H$9, "CURRENCY",$L$7)*1,"--")</f>
        <v>42004</v>
      </c>
      <c r="G13" s="293">
        <f>IFERROR(_xll.BQL(Ticker,"IS_EPS().PERIOD_END_DATE","FPT",$C$11,"FPO",G$11,"STD",$H$7,"CONSOL",$H$9, "CURRENCY",$L$7)*1,"--")</f>
        <v>42369</v>
      </c>
      <c r="H13" s="293">
        <f>IFERROR(_xll.BQL(Ticker,"IS_EPS().PERIOD_END_DATE","FPT",$C$11,"FPO",H$11,"STD",$H$7,"CONSOL",$H$9, "CURRENCY",$L$7)*1,"--")</f>
        <v>42735</v>
      </c>
      <c r="I13" s="293">
        <f>IFERROR(_xll.BQL(Ticker,"IS_EPS().PERIOD_END_DATE","FPT",$C$11,"FPO",I$11,"STD",$H$7,"CONSOL",$H$9, "CURRENCY",$L$7)*1,"--")</f>
        <v>43100</v>
      </c>
      <c r="J13" s="293">
        <f>IFERROR(_xll.BQL(Ticker,"IS_EPS().PERIOD_END_DATE","FPT",$C$11,"FPO",J$11,"STD",$H$7,"CONSOL",$H$9, "CURRENCY",$L$7)*1,"--")</f>
        <v>43465</v>
      </c>
      <c r="K13" s="293">
        <f>IFERROR(_xll.BQL(Ticker,"IS_EPS().PERIOD_END_DATE","FPT=LTM","FPO",K$11,"STD",$H$7,"CONSOL",$H$9, "CURRENCY",$L$7)*1,"--")</f>
        <v>43555</v>
      </c>
      <c r="L13" s="293">
        <f>IFERROR(_xll.BQL(Ticker,"IS_EPS().PERIOD_END_DATE","FPT",$C$11,"FPO",L$11,"STD",$H$7,"CONSOL",$H$9, "CURRENCY",$L$7)*1,"--")</f>
        <v>43830</v>
      </c>
      <c r="M13" s="293">
        <f>IFERROR(_xll.BQL(Ticker,"IS_EPS().PERIOD_END_DATE","FPT",$C$11,"FPO",M$11,"STD",$H$7,"CONSOL",$H$9, "CURRENCY",$L$7)*1,"--")</f>
        <v>44196</v>
      </c>
      <c r="N13" s="293">
        <f>IFERROR(_xll.BQL(Ticker,"IS_EPS().PERIOD_END_DATE","FPT",$C$11,"FPO",N$11,"STD",$H$7,"CONSOL",$H$9, "CURRENCY",$L$7)*1,"--")</f>
        <v>44561</v>
      </c>
      <c r="P13" s="292"/>
      <c r="V13" s="466"/>
    </row>
    <row r="14" spans="2:254">
      <c r="C14" s="268"/>
      <c r="D14" s="267"/>
      <c r="E14" s="267"/>
      <c r="F14" s="267"/>
      <c r="G14" s="267"/>
      <c r="H14" s="267"/>
      <c r="I14" s="267"/>
      <c r="J14" s="267"/>
      <c r="K14" s="266"/>
      <c r="L14" s="267"/>
      <c r="M14" s="265"/>
      <c r="N14" s="267"/>
    </row>
    <row r="15" spans="2:254">
      <c r="B15" s="278" t="s">
        <v>366</v>
      </c>
      <c r="C15" s="268" t="s">
        <v>311</v>
      </c>
      <c r="D15" s="247">
        <f>IFERROR(_xll.BQL(Ticker,$B15,"FPT",$C$11,"FPO",D$11,"STD",$H$7,"CONSOL",$H$9, "CURRENCY",$L$7)*1,"--")</f>
        <v>8657</v>
      </c>
      <c r="E15" s="247">
        <f>IFERROR(_xll.BQL(Ticker,$B15,"FPT",$C$11,"FPO",E$11,"STD",$H$7,"CONSOL",$H$9, "CURRENCY",$L$7)*1,"--")</f>
        <v>9021</v>
      </c>
      <c r="F15" s="247">
        <f>IFERROR(_xll.BQL(Ticker,$B15,"FPT",$C$11,"FPO",F$11,"STD",$H$7,"CONSOL",$H$9, "CURRENCY",$L$7)*1,"--")</f>
        <v>9675</v>
      </c>
      <c r="G15" s="247">
        <f>IFERROR(_xll.BQL(Ticker,$B15,"FPT",$C$11,"FPO",G$11,"STD",$H$7,"CONSOL",$H$9, "CURRENCY",$L$7)*1,"--")</f>
        <v>9946</v>
      </c>
      <c r="H15" s="247">
        <f>IFERROR(_xll.BQL(Ticker,$B15,"FPT",$C$11,"FPO",H$11,"STD",$H$7,"CONSOL",$H$9, "CURRENCY",$L$7)*1,"--")</f>
        <v>11325</v>
      </c>
      <c r="I15" s="247">
        <f>IFERROR(_xll.BQL(Ticker,$B15,"FPT",$C$11,"FPO",I$11,"STD",$H$7,"CONSOL",$H$9, "CURRENCY",$L$7)*1,"--")</f>
        <v>12444</v>
      </c>
      <c r="J15" s="247">
        <f>IFERROR(_xll.BQL(Ticker,$B15,"FPT",$C$11,"FPO",J$11,"STD",$H$7,"CONSOL",$H$9, "CURRENCY",$L$7)*1,"--")</f>
        <v>13601</v>
      </c>
      <c r="K15" s="247">
        <f>IFERROR(_xll.BQL(Ticker,$B15,"FPT=LTM","FPO",K$11,"STD",$H$7,"CONSOL",$H$9, "CURRENCY",$L$7)*1,"--")</f>
        <v>13876</v>
      </c>
      <c r="L15" s="247">
        <f>IFERROR(_xll.BQL(Ticker,$B15,"FPT",$C$11,"FPO",L$11,"STD",$H$7,"CONSOL",$H$9, "CURRENCY",$L$7)*1,"--")</f>
        <v>14795.678571428571</v>
      </c>
      <c r="M15" s="247">
        <f>IFERROR(_xll.BQL(Ticker,$B15,"FPT",$C$11,"FPO",M$11,"STD",$H$7,"CONSOL",$H$9, "CURRENCY",$L$7)*1,"--")</f>
        <v>15796.392857142861</v>
      </c>
      <c r="N15" s="247">
        <f>IFERROR(_xll.BQL(Ticker,$B15,"FPT",$C$11,"FPO",N$11,"STD",$H$7,"CONSOL",$H$9, "CURRENCY",$L$7)*1,"--")</f>
        <v>16822.777777777781</v>
      </c>
      <c r="P15" s="291"/>
    </row>
    <row r="16" spans="2:254">
      <c r="B16" s="278" t="s">
        <v>367</v>
      </c>
      <c r="C16" s="264" t="s">
        <v>312</v>
      </c>
      <c r="D16" s="245">
        <f>IFERROR(_xll.BQL(Ticker,$B16,"FPT",$C$11,"FPO",D$11,"STD",$H$7,"CONSOL",$H$9, "CURRENCY",$L$7)*1,"--")</f>
        <v>4.2133140724690016E-2</v>
      </c>
      <c r="E16" s="245">
        <f>IFERROR(_xll.BQL(Ticker,$B16,"FPT",$C$11,"FPO",E$11,"STD",$H$7,"CONSOL",$H$9, "CURRENCY",$L$7)*1,"--")</f>
        <v>4.2046898463671017E-2</v>
      </c>
      <c r="F16" s="245">
        <f>IFERROR(_xll.BQL(Ticker,$B16,"FPT",$C$11,"FPO",F$11,"STD",$H$7,"CONSOL",$H$9, "CURRENCY",$L$7)*1,"--")</f>
        <v>7.2497505819753907E-2</v>
      </c>
      <c r="G16" s="245">
        <f>IFERROR(_xll.BQL(Ticker,$B16,"FPT",$C$11,"FPO",G$11,"STD",$H$7,"CONSOL",$H$9, "CURRENCY",$L$7)*1,"--")</f>
        <v>2.8010335917312661E-2</v>
      </c>
      <c r="H16" s="245">
        <f>IFERROR(_xll.BQL(Ticker,$B16,"FPT",$C$11,"FPO",H$11,"STD",$H$7,"CONSOL",$H$9, "CURRENCY",$L$7)*1,"--")</f>
        <v>0.13864870299617937</v>
      </c>
      <c r="I16" s="245">
        <f>IFERROR(_xll.BQL(Ticker,$B16,"FPT",$C$11,"FPO",I$11,"STD",$H$7,"CONSOL",$H$9, "CURRENCY",$L$7)*1,"--")</f>
        <v>9.8807947019867545E-2</v>
      </c>
      <c r="J16" s="245">
        <f>IFERROR(_xll.BQL(Ticker,$B16,"FPT",$C$11,"FPO",J$11,"STD",$H$7,"CONSOL",$H$9, "CURRENCY",$L$7)*1,"--")</f>
        <v>9.2976534876245576E-2</v>
      </c>
      <c r="K16" s="245">
        <f>IFERROR(_xll.BQL(Ticker,$B16,"FPT=LTM","FPO",K$11,"STD",$H$7,"CONSOL",$H$9, "CURRENCY",$L$7)*1,"--")</f>
        <v>9.0023566378633152E-2</v>
      </c>
      <c r="L16" s="245">
        <f>IFERROR(_xll.BQL(Ticker,$B16,"FPT",$C$11,"FPO",L$11,"STD",$H$7,"CONSOL",$H$9, "CURRENCY",$L$7)*1,"--")</f>
        <v>8.7837553961368275E-2</v>
      </c>
      <c r="M16" s="245">
        <f>IFERROR(_xll.BQL(Ticker,$B16,"FPT",$C$11,"FPO",M$11,"STD",$H$7,"CONSOL",$H$9, "CURRENCY",$L$7)*1,"--")</f>
        <v>6.7635578921451819E-2</v>
      </c>
      <c r="N16" s="245">
        <f>IFERROR(_xll.BQL(Ticker,$B16,"FPT",$C$11,"FPO",N$11,"STD",$H$7,"CONSOL",$H$9, "CURRENCY",$L$7)*1,"--")</f>
        <v>6.4975904937107601E-2</v>
      </c>
      <c r="V16" s="467"/>
    </row>
    <row r="17" spans="2:19">
      <c r="C17" s="263"/>
      <c r="D17" s="262"/>
      <c r="E17" s="262"/>
      <c r="F17" s="262"/>
      <c r="G17" s="262"/>
      <c r="H17" s="262"/>
      <c r="I17" s="262"/>
      <c r="J17" s="262"/>
      <c r="K17" s="262"/>
      <c r="L17" s="262"/>
      <c r="M17" s="261"/>
      <c r="N17" s="262"/>
    </row>
    <row r="18" spans="2:19">
      <c r="B18" s="278" t="s">
        <v>369</v>
      </c>
      <c r="C18" s="268" t="s">
        <v>313</v>
      </c>
      <c r="D18" s="247">
        <f>IFERROR(_xll.BQL(Ticker,$B18,"FPT",$C$11,"FPO",D$11,"STD",$H$7,"CONSOL",$H$9, "CURRENCY",$L$7)*1,"--")</f>
        <v>5876</v>
      </c>
      <c r="E18" s="247">
        <f>IFERROR(_xll.BQL(Ticker,$B18,"FPT",$C$11,"FPO",E$11,"STD",$H$7,"CONSOL",$H$9, "CURRENCY",$L$7)*1,"--")</f>
        <v>6019</v>
      </c>
      <c r="F18" s="247">
        <f>IFERROR(_xll.BQL(Ticker,$B18,"FPT",$C$11,"FPO",F$11,"STD",$H$7,"CONSOL",$H$9, "CURRENCY",$L$7)*1,"--")</f>
        <v>6356</v>
      </c>
      <c r="G18" s="247">
        <f>IFERROR(_xll.BQL(Ticker,$B18,"FPT",$C$11,"FPO",G$11,"STD",$H$7,"CONSOL",$H$9, "CURRENCY",$L$7)*1,"--")</f>
        <v>6601.9999999999991</v>
      </c>
      <c r="H18" s="247">
        <f>IFERROR(_xll.BQL(Ticker,$B18,"FPT",$C$11,"FPO",H$11,"STD",$H$7,"CONSOL",$H$9, "CURRENCY",$L$7)*1,"--")</f>
        <v>7504</v>
      </c>
      <c r="I18" s="247">
        <f>IFERROR(_xll.BQL(Ticker,$B18,"FPT",$C$11,"FPO",I$11,"STD",$H$7,"CONSOL",$H$9, "CURRENCY",$L$7)*1,"--")</f>
        <v>8180</v>
      </c>
      <c r="J18" s="247">
        <f>IFERROR(_xll.BQL(Ticker,$B18,"FPT",$C$11,"FPO",J$11,"STD",$H$7,"CONSOL",$H$9, "CURRENCY",$L$7)*1,"--")</f>
        <v>8938</v>
      </c>
      <c r="K18" s="247">
        <f>IFERROR(_xll.BQL(Ticker,$B18,"FPT=LTM","FPO",K$11,"STD",$H$7,"CONSOL",$H$9, "CURRENCY",$L$7)*1,"--")</f>
        <v>9083.9999999999982</v>
      </c>
      <c r="L18" s="247">
        <f>IFERROR(_xll.BQL(Ticker,$B18,"FPT",$C$11,"FPO",L$11,"STD",$H$7,"CONSOL",$H$9, "CURRENCY",$L$7)*1,"--")</f>
        <v>9792.2034347202298</v>
      </c>
      <c r="M18" s="247">
        <f>IFERROR(_xll.BQL(Ticker,$B18,"FPT",$C$11,"FPO",M$11,"STD",$H$7,"CONSOL",$H$9, "CURRENCY",$L$7)*1,"--")</f>
        <v>10486.097568658452</v>
      </c>
      <c r="N18" s="247">
        <f>IFERROR(_xll.BQL(Ticker,$B18,"FPT",$C$11,"FPO",N$11,"STD",$H$7,"CONSOL",$H$9, "CURRENCY",$L$7)*1,"--")</f>
        <v>11176.57384843963</v>
      </c>
    </row>
    <row r="19" spans="2:19">
      <c r="C19" s="264" t="s">
        <v>314</v>
      </c>
      <c r="D19" s="260">
        <f>IF(ISERROR(D18/D$15),"--",D18/D$15)</f>
        <v>0.67875707519926076</v>
      </c>
      <c r="E19" s="260">
        <f t="shared" ref="E19:I19" si="0">IF(ISERROR(E18/E$15),"--",E18/E$15)</f>
        <v>0.6672209289435761</v>
      </c>
      <c r="F19" s="260">
        <f t="shared" si="0"/>
        <v>0.65695090439276482</v>
      </c>
      <c r="G19" s="260">
        <f t="shared" si="0"/>
        <v>0.66378443595415237</v>
      </c>
      <c r="H19" s="260">
        <f t="shared" si="0"/>
        <v>0.66260485651214129</v>
      </c>
      <c r="I19" s="260">
        <f t="shared" si="0"/>
        <v>0.65734490517518485</v>
      </c>
      <c r="J19" s="260">
        <f>IF(ISERROR(J18/J$15),"--",J18/J$15)</f>
        <v>0.65715756194397468</v>
      </c>
      <c r="K19" s="260">
        <f>IF(ISERROR(K18/K$15),"--",K18/K$15)</f>
        <v>0.65465552032285945</v>
      </c>
      <c r="L19" s="260">
        <f>IF(ISERROR(L18/L$15),"--",L18/L$15)</f>
        <v>0.66182861349999988</v>
      </c>
      <c r="M19" s="260">
        <f t="shared" ref="M19:N19" si="1">IF(ISERROR(M18/M$15),"--",M18/M$15)</f>
        <v>0.66382861350000022</v>
      </c>
      <c r="N19" s="260">
        <f t="shared" si="1"/>
        <v>0.66437148466666651</v>
      </c>
    </row>
    <row r="20" spans="2:19">
      <c r="C20" s="263"/>
      <c r="D20" s="267"/>
      <c r="E20" s="267"/>
      <c r="F20" s="267"/>
      <c r="G20" s="267"/>
      <c r="H20" s="267"/>
      <c r="I20" s="267"/>
      <c r="J20" s="267"/>
      <c r="K20" s="267"/>
      <c r="L20" s="267"/>
      <c r="M20" s="265"/>
      <c r="N20" s="267"/>
    </row>
    <row r="21" spans="2:19">
      <c r="B21" s="278" t="s">
        <v>370</v>
      </c>
      <c r="C21" s="268" t="s">
        <v>315</v>
      </c>
      <c r="D21" s="247">
        <f>IFERROR(_xll.BQL(Ticker,$B21,"FPT",$C$11,"FPO",D$11,"STD",$H$7,"CONSOL",$H$9, "CURRENCY",$L$7)*1,"--")</f>
        <v>2018</v>
      </c>
      <c r="E21" s="247">
        <f>IFERROR(_xll.BQL(Ticker,$B21,"FPT",$C$11,"FPO",E$11,"STD",$H$7,"CONSOL",$H$9, "CURRENCY",$L$7)*1,"--")</f>
        <v>1563</v>
      </c>
      <c r="F21" s="247">
        <f>IFERROR(_xll.BQL(Ticker,$B21,"FPT",$C$11,"FPO",F$11,"STD",$H$7,"CONSOL",$H$9, "CURRENCY",$L$7)*1,"--")</f>
        <v>1624</v>
      </c>
      <c r="G21" s="247">
        <f>IFERROR(_xll.BQL(Ticker,$B21,"FPT",$C$11,"FPO",G$11,"STD",$H$7,"CONSOL",$H$9, "CURRENCY",$L$7)*1,"--")</f>
        <v>2258</v>
      </c>
      <c r="H21" s="247">
        <f>IFERROR(_xll.BQL(Ticker,$B21,"FPT",$C$11,"FPO",H$11,"STD",$H$7,"CONSOL",$H$9, "CURRENCY",$L$7)*1,"--")</f>
        <v>2721</v>
      </c>
      <c r="I21" s="247">
        <f>IFERROR(_xll.BQL(Ticker,$B21,"FPT",$C$11,"FPO",I$11,"STD",$H$7,"CONSOL",$H$9, "CURRENCY",$L$7)*1,"--")</f>
        <v>2939</v>
      </c>
      <c r="J21" s="247">
        <f>IFERROR(_xll.BQL(Ticker,$B21,"FPT",$C$11,"FPO",J$11,"STD",$H$7,"CONSOL",$H$9, "CURRENCY",$L$7)*1,"--")</f>
        <v>3260</v>
      </c>
      <c r="K21" s="247">
        <f>IFERROR(_xll.BQL(Ticker,$B21,"FPT=LTM","FPO",K$11,"STD",$H$7,"CONSOL",$H$9, "CURRENCY",$L$7)*1,"--")</f>
        <v>3211</v>
      </c>
      <c r="L21" s="247">
        <f>IFERROR(_xll.BQL(Ticker,$B21,"FPT",$C$11,"FPO",L$11,"STD",$H$7,"CONSOL",$H$9, "CURRENCY",$L$7)*1,"--")</f>
        <v>4226.6923076923067</v>
      </c>
      <c r="M21" s="247">
        <f>IFERROR(_xll.BQL(Ticker,$B21,"FPT",$C$11,"FPO",M$11,"STD",$H$7,"CONSOL",$H$9, "CURRENCY",$L$7)*1,"--")</f>
        <v>4606.2</v>
      </c>
      <c r="N21" s="247">
        <f>IFERROR(_xll.BQL(Ticker,$B21,"FPT",$C$11,"FPO",N$11,"STD",$H$7,"CONSOL",$H$9, "CURRENCY",$L$7)*1,"--")</f>
        <v>4956.363636363636</v>
      </c>
    </row>
    <row r="22" spans="2:19">
      <c r="C22" s="264" t="s">
        <v>314</v>
      </c>
      <c r="D22" s="260">
        <f>IF(ISERROR(D21/D$15),"--",D21/D$15)</f>
        <v>0.23310615686727504</v>
      </c>
      <c r="E22" s="260">
        <f t="shared" ref="E22:J22" si="2">IF(ISERROR(E21/E$15),"--",E21/E$15)</f>
        <v>0.17326238776188893</v>
      </c>
      <c r="F22" s="260">
        <f t="shared" si="2"/>
        <v>0.16785529715762273</v>
      </c>
      <c r="G22" s="260">
        <f t="shared" si="2"/>
        <v>0.22702594007641264</v>
      </c>
      <c r="H22" s="260">
        <f t="shared" si="2"/>
        <v>0.24026490066225165</v>
      </c>
      <c r="I22" s="260">
        <f t="shared" si="2"/>
        <v>0.23617807778849245</v>
      </c>
      <c r="J22" s="260">
        <f t="shared" si="2"/>
        <v>0.23968825821630763</v>
      </c>
      <c r="K22" s="260">
        <f>IF(ISERROR(K21/K$15),"--",K21/K$15)</f>
        <v>0.23140674545978668</v>
      </c>
      <c r="L22" s="260">
        <f>IF(ISERROR(L21/L$15),"--",L21/L$15)</f>
        <v>0.28567073063173515</v>
      </c>
      <c r="M22" s="260">
        <f>IF(ISERROR(M21/M$15),"--",M21/M$15)</f>
        <v>0.2915982174954046</v>
      </c>
      <c r="N22" s="260">
        <f>IF(ISERROR(N21/N$15),"--",N21/N$15)</f>
        <v>0.29462219033237158</v>
      </c>
    </row>
    <row r="23" spans="2:19">
      <c r="C23" s="263"/>
      <c r="D23" s="267"/>
      <c r="E23" s="267"/>
      <c r="F23" s="267"/>
      <c r="G23" s="267"/>
      <c r="H23" s="267"/>
      <c r="I23" s="267"/>
      <c r="J23" s="267"/>
      <c r="K23" s="267"/>
      <c r="L23" s="267"/>
      <c r="M23" s="265"/>
      <c r="N23" s="267"/>
    </row>
    <row r="24" spans="2:19">
      <c r="B24" s="278" t="s">
        <v>371</v>
      </c>
      <c r="C24" s="268" t="s">
        <v>1</v>
      </c>
      <c r="D24" s="247">
        <f>IFERROR(_xll.BQL(Ticker,$B24,"FPT",$C$11,"FPO",D$11,"STD",$H$7,"CONSOL",$H$9, "CURRENCY",$L$7)*1,"--")</f>
        <v>1741</v>
      </c>
      <c r="E24" s="247">
        <f>IFERROR(_xll.BQL(Ticker,$B24,"FPT",$C$11,"FPO",E$11,"STD",$H$7,"CONSOL",$H$9, "CURRENCY",$L$7)*1,"--")</f>
        <v>1256</v>
      </c>
      <c r="F24" s="247">
        <f>IFERROR(_xll.BQL(Ticker,$B24,"FPT",$C$11,"FPO",F$11,"STD",$H$7,"CONSOL",$H$9, "CURRENCY",$L$7)*1,"--")</f>
        <v>1246</v>
      </c>
      <c r="G24" s="247">
        <f>IFERROR(_xll.BQL(Ticker,$B24,"FPT",$C$11,"FPO",G$11,"STD",$H$7,"CONSOL",$H$9, "CURRENCY",$L$7)*1,"--")</f>
        <v>1861</v>
      </c>
      <c r="H24" s="247">
        <f>IFERROR(_xll.BQL(Ticker,$B24,"FPT",$C$11,"FPO",H$11,"STD",$H$7,"CONSOL",$H$9, "CURRENCY",$L$7)*1,"--")</f>
        <v>2175</v>
      </c>
      <c r="I24" s="247">
        <f>IFERROR(_xll.BQL(Ticker,$B24,"FPT",$C$11,"FPO",I$11,"STD",$H$7,"CONSOL",$H$9, "CURRENCY",$L$7)*1,"--")</f>
        <v>2297</v>
      </c>
      <c r="J24" s="247">
        <f>IFERROR(_xll.BQL(Ticker,$B24,"FPT",$C$11,"FPO",J$11,"STD",$H$7,"CONSOL",$H$9, "CURRENCY",$L$7)*1,"--")</f>
        <v>2537</v>
      </c>
      <c r="K24" s="247">
        <f>IFERROR(_xll.BQL(Ticker,$B24,"FPT=LTM","FPO",K$11,"STD",$H$7,"CONSOL",$H$9, "CURRENCY",$L$7)*1,"--")</f>
        <v>2474</v>
      </c>
      <c r="L24" s="247">
        <f>IFERROR(_xll.BQL(Ticker,$B24,"FPT",$C$11,"FPO",L$11,"STD",$H$7,"CONSOL",$H$9, "CURRENCY",$L$7)*1,"--")</f>
        <v>3879</v>
      </c>
      <c r="M24" s="247">
        <f>IFERROR(_xll.BQL(Ticker,$B24,"FPT",$C$11,"FPO",M$11,"STD",$H$7,"CONSOL",$H$9, "CURRENCY",$L$7)*1,"--")</f>
        <v>4215.2352941176468</v>
      </c>
      <c r="N24" s="247">
        <f>IFERROR(_xll.BQL(Ticker,$B24,"FPT",$C$11,"FPO",N$11,"STD",$H$7,"CONSOL",$H$9, "CURRENCY",$L$7)*1,"--")</f>
        <v>4531.75</v>
      </c>
    </row>
    <row r="25" spans="2:19">
      <c r="C25" s="264" t="s">
        <v>314</v>
      </c>
      <c r="D25" s="260">
        <f>IF(ISERROR(D24/D$15),"--",D24/D$15)</f>
        <v>0.20110892919025067</v>
      </c>
      <c r="E25" s="260">
        <f t="shared" ref="E25:J25" si="3">IF(ISERROR(E24/E$15),"--",E24/E$15)</f>
        <v>0.13923068395964971</v>
      </c>
      <c r="F25" s="260">
        <f t="shared" si="3"/>
        <v>0.12878552971576226</v>
      </c>
      <c r="G25" s="260">
        <f t="shared" si="3"/>
        <v>0.18711039613915142</v>
      </c>
      <c r="H25" s="260">
        <f t="shared" si="3"/>
        <v>0.19205298013245034</v>
      </c>
      <c r="I25" s="260">
        <f t="shared" si="3"/>
        <v>0.18458694953391191</v>
      </c>
      <c r="J25" s="260">
        <f t="shared" si="3"/>
        <v>0.18653040217631056</v>
      </c>
      <c r="K25" s="260">
        <f>IF(ISERROR(K24/K$15),"--",K24/K$15)</f>
        <v>0.1782934563274719</v>
      </c>
      <c r="L25" s="260">
        <f>IF(ISERROR(L24/L$15),"--",L24/L$15)</f>
        <v>0.26217114553235865</v>
      </c>
      <c r="M25" s="260">
        <f>IF(ISERROR(M24/M$15),"--",M24/M$15)</f>
        <v>0.26684796537024519</v>
      </c>
      <c r="N25" s="260">
        <f>IF(ISERROR(N24/N$15),"--",N24/N$15)</f>
        <v>0.26938179056173833</v>
      </c>
    </row>
    <row r="26" spans="2:19">
      <c r="C26" s="263"/>
      <c r="D26" s="267"/>
      <c r="E26" s="267"/>
      <c r="F26" s="267"/>
      <c r="G26" s="267"/>
      <c r="H26" s="267"/>
      <c r="I26" s="267"/>
      <c r="J26" s="267"/>
      <c r="K26" s="267"/>
      <c r="L26" s="267"/>
      <c r="M26" s="259"/>
      <c r="N26" s="267"/>
      <c r="O26" s="258"/>
      <c r="P26" s="258"/>
      <c r="Q26" s="258"/>
      <c r="R26" s="258"/>
      <c r="S26" s="258"/>
    </row>
    <row r="27" spans="2:19">
      <c r="B27" s="278" t="s">
        <v>372</v>
      </c>
      <c r="C27" s="268" t="s">
        <v>2</v>
      </c>
      <c r="D27" s="247">
        <f>IFERROR(_xll.BQL(Ticker,$B27,"FPT",$C$11,"FPO",D$11,"STD",$H$7,"CONSOL",$H$9, "CURRENCY",$L$7)*1,"--")</f>
        <v>1298</v>
      </c>
      <c r="E27" s="247">
        <f>IFERROR(_xll.BQL(Ticker,$B27,"FPT",$C$11,"FPO",E$11,"STD",$H$7,"CONSOL",$H$9, "CURRENCY",$L$7)*1,"--")</f>
        <v>1006</v>
      </c>
      <c r="F27" s="247">
        <f>IFERROR(_xll.BQL(Ticker,$B27,"FPT",$C$11,"FPO",F$11,"STD",$H$7,"CONSOL",$H$9, "CURRENCY",$L$7)*1,"--")</f>
        <v>515</v>
      </c>
      <c r="G27" s="247">
        <f>IFERROR(_xll.BQL(Ticker,$B27,"FPT",$C$11,"FPO",G$11,"STD",$H$7,"CONSOL",$H$9, "CURRENCY",$L$7)*1,"--")</f>
        <v>1439</v>
      </c>
      <c r="H27" s="247">
        <f>IFERROR(_xll.BQL(Ticker,$B27,"FPT",$C$11,"FPO",H$11,"STD",$H$7,"CONSOL",$H$9, "CURRENCY",$L$7)*1,"--")</f>
        <v>1647</v>
      </c>
      <c r="I27" s="247">
        <f>IFERROR(_xll.BQL(Ticker,$B27,"FPT",$C$11,"FPO",I$11,"STD",$H$7,"CONSOL",$H$9, "CURRENCY",$L$7)*1,"--")</f>
        <v>1020</v>
      </c>
      <c r="J27" s="247">
        <f>IFERROR(_xll.BQL(Ticker,$B27,"FPT",$C$11,"FPO",J$11,"STD",$H$7,"CONSOL",$H$9, "CURRENCY",$L$7)*1,"--")</f>
        <v>3553</v>
      </c>
      <c r="K27" s="247">
        <f>IFERROR(_xll.BQL(Ticker,$B27,"FPT=LTM","FPO",K$11,"STD",$H$7,"CONSOL",$H$9, "CURRENCY",$L$7)*1,"--")</f>
        <v>3522</v>
      </c>
      <c r="L27" s="247">
        <f>IFERROR(_xll.BQL(Ticker,$B27,"FPT",$C$11,"FPO",L$11,"STD",$H$7,"CONSOL",$H$9, "CURRENCY",$L$7)*1,"--")</f>
        <v>2542.2857142857142</v>
      </c>
      <c r="M27" s="247">
        <f>IFERROR(_xll.BQL(Ticker,$B27,"FPT",$C$11,"FPO",M$11,"STD",$H$7,"CONSOL",$H$9, "CURRENCY",$L$7)*1,"--")</f>
        <v>3073.5</v>
      </c>
      <c r="N27" s="247">
        <f>IFERROR(_xll.BQL(Ticker,$B27,"FPT",$C$11,"FPO",N$11,"STD",$H$7,"CONSOL",$H$9, "CURRENCY",$L$7)*1,"--")</f>
        <v>3488.833333333333</v>
      </c>
    </row>
    <row r="28" spans="2:19">
      <c r="C28" s="264" t="s">
        <v>314</v>
      </c>
      <c r="D28" s="260">
        <f>IF(ISERROR(D27/D$15),"--",D27/D$15)</f>
        <v>0.14993646759847523</v>
      </c>
      <c r="E28" s="260">
        <f t="shared" ref="E28:K28" si="4">IF(ISERROR(E27/E$15),"--",E27/E$15)</f>
        <v>0.11151757011417802</v>
      </c>
      <c r="F28" s="260">
        <f t="shared" si="4"/>
        <v>5.3229974160206715E-2</v>
      </c>
      <c r="G28" s="260">
        <f t="shared" si="4"/>
        <v>0.14468127890609289</v>
      </c>
      <c r="H28" s="260">
        <f t="shared" si="4"/>
        <v>0.14543046357615894</v>
      </c>
      <c r="I28" s="260">
        <f t="shared" si="4"/>
        <v>8.1967213114754092E-2</v>
      </c>
      <c r="J28" s="260">
        <f t="shared" si="4"/>
        <v>0.2612307918535402</v>
      </c>
      <c r="K28" s="260">
        <f t="shared" si="4"/>
        <v>0.25381954453733063</v>
      </c>
      <c r="L28" s="260">
        <f>IF(ISERROR(L27/L$15),"--",L27/L$15)</f>
        <v>0.17182623304584593</v>
      </c>
      <c r="M28" s="260">
        <f>IF(ISERROR(M27/M$15),"--",M27/M$15)</f>
        <v>0.19456973676178327</v>
      </c>
      <c r="N28" s="260">
        <f>IF(ISERROR(N27/N$15),"--",N27/N$15)</f>
        <v>0.20738747069119243</v>
      </c>
    </row>
    <row r="29" spans="2:19">
      <c r="C29" s="263"/>
      <c r="D29" s="267"/>
      <c r="E29" s="267"/>
      <c r="F29" s="267"/>
      <c r="G29" s="267"/>
      <c r="H29" s="267"/>
      <c r="I29" s="267"/>
      <c r="J29" s="267"/>
      <c r="K29" s="267"/>
      <c r="L29" s="267"/>
      <c r="M29" s="265"/>
      <c r="N29" s="267"/>
    </row>
    <row r="30" spans="2:19">
      <c r="B30" s="278" t="s">
        <v>373</v>
      </c>
      <c r="C30" s="268" t="s">
        <v>41</v>
      </c>
      <c r="D30" s="246">
        <f>IFERROR(_xll.BQL(Ticker,$B30,"FPT",$C$11,"FPO",D$11,"STD",$H$7,"CONSOL",$H$9, "CURRENCY",$L$7)*1,"--")</f>
        <v>3.39</v>
      </c>
      <c r="E30" s="246">
        <f>IFERROR(_xll.BQL(Ticker,$B30,"FPT",$C$11,"FPO",E$11,"STD",$H$7,"CONSOL",$H$9, "CURRENCY",$L$7)*1,"--")</f>
        <v>2.63</v>
      </c>
      <c r="F30" s="246">
        <f>IFERROR(_xll.BQL(Ticker,$B30,"FPT",$C$11,"FPO",F$11,"STD",$H$7,"CONSOL",$H$9, "CURRENCY",$L$7)*1,"--")</f>
        <v>1.34</v>
      </c>
      <c r="G30" s="246">
        <f>IFERROR(_xll.BQL(Ticker,$B30,"FPT",$C$11,"FPO",G$11,"STD",$H$7,"CONSOL",$H$9, "CURRENCY",$L$7)*1,"--")</f>
        <v>3.78</v>
      </c>
      <c r="H30" s="246">
        <f>IFERROR(_xll.BQL(Ticker,$B30,"FPT",$C$11,"FPO",H$11,"STD",$H$7,"CONSOL",$H$9, "CURRENCY",$L$7)*1,"--")</f>
        <v>4.3499999999999996</v>
      </c>
      <c r="I30" s="246">
        <f>IFERROR(_xll.BQL(Ticker,$B30,"FPT",$C$11,"FPO",I$11,"STD",$H$7,"CONSOL",$H$9, "CURRENCY",$L$7)*1,"--")</f>
        <v>2.68</v>
      </c>
      <c r="J30" s="246">
        <f>IFERROR(_xll.BQL(Ticker,$B30,"FPT",$C$11,"FPO",J$11,"STD",$H$7,"CONSOL",$H$9, "CURRENCY",$L$7)*1,"--")</f>
        <v>9.34</v>
      </c>
      <c r="K30" s="246">
        <f>IFERROR(_xll.BQL(Ticker,$B30,"FPT=LTM","FPO",K$11,"STD",$H$7,"CONSOL",$H$9, "CURRENCY",$L$7)*1,"--")</f>
        <v>9.27</v>
      </c>
      <c r="L30" s="246">
        <f>IFERROR(_xll.BQL(Ticker,$B30,"FPT",$C$11,"FPO",L$11,"STD",$H$7,"CONSOL",$H$9, "CURRENCY",$L$7)*1,"--")</f>
        <v>6.7070000000000007</v>
      </c>
      <c r="M30" s="246">
        <f>IFERROR(_xll.BQL(Ticker,$B30,"FPT",$C$11,"FPO",M$11,"STD",$H$7,"CONSOL",$H$9, "CURRENCY",$L$7)*1,"--")</f>
        <v>8.0963636363636358</v>
      </c>
      <c r="N30" s="246">
        <f>IFERROR(_xll.BQL(Ticker,$B30,"FPT",$C$11,"FPO",N$11,"STD",$H$7,"CONSOL",$H$9, "CURRENCY",$L$7)*1,"--")</f>
        <v>9.0875000000000004</v>
      </c>
    </row>
    <row r="31" spans="2:19" ht="15" customHeight="1">
      <c r="B31" s="278" t="s">
        <v>374</v>
      </c>
      <c r="C31" s="264" t="s">
        <v>312</v>
      </c>
      <c r="D31" s="245">
        <f>IFERROR(_xll.BQL(Ticker,$B31,"FPT",$C$11,"FPO",D$11,"STD",$H$7,"CONSOL",$H$9, "CURRENCY",$L$7)*1,"--")</f>
        <v>-1.7391304347826101E-2</v>
      </c>
      <c r="E31" s="245">
        <f>IFERROR(_xll.BQL(Ticker,$B31,"FPT",$C$11,"FPO",E$11,"STD",$H$7,"CONSOL",$H$9, "CURRENCY",$L$7)*1,"--")</f>
        <v>-0.22418879056047206</v>
      </c>
      <c r="F31" s="245">
        <f>IFERROR(_xll.BQL(Ticker,$B31,"FPT",$C$11,"FPO",F$11,"STD",$H$7,"CONSOL",$H$9, "CURRENCY",$L$7)*1,"--")</f>
        <v>-0.49049429657794669</v>
      </c>
      <c r="G31" s="245">
        <f>IFERROR(_xll.BQL(Ticker,$B31,"FPT",$C$11,"FPO",G$11,"STD",$H$7,"CONSOL",$H$9, "CURRENCY",$L$7)*1,"--")</f>
        <v>1.8208955223880592</v>
      </c>
      <c r="H31" s="245">
        <f>IFERROR(_xll.BQL(Ticker,$B31,"FPT",$C$11,"FPO",H$11,"STD",$H$7,"CONSOL",$H$9, "CURRENCY",$L$7)*1,"--")</f>
        <v>0.15079365079365076</v>
      </c>
      <c r="I31" s="245">
        <f>IFERROR(_xll.BQL(Ticker,$B31,"FPT",$C$11,"FPO",I$11,"STD",$H$7,"CONSOL",$H$9, "CURRENCY",$L$7)*1,"--")</f>
        <v>-0.38390804597701139</v>
      </c>
      <c r="J31" s="245">
        <f>IFERROR(_xll.BQL(Ticker,$B31,"FPT",$C$11,"FPO",J$11,"STD",$H$7,"CONSOL",$H$9, "CURRENCY",$L$7)*1,"--")</f>
        <v>2.4850746268656714</v>
      </c>
      <c r="K31" s="245">
        <f>IFERROR(_xll.BQL(Ticker,$B31,"FPT=LTM","FPO",K$11,"STD",$H$7,"CONSOL",$H$9, "CURRENCY",$L$7)*1,"--")</f>
        <v>2.4719101123595508</v>
      </c>
      <c r="L31" s="244">
        <f>IFERROR(_xll.BQL(Ticker,$B31,"FPT",$C$11,"FPO",L$11,"STD",$H$7,"CONSOL",$H$9, "CURRENCY",$L$7)*1,"--")</f>
        <v>-0.28190578158458235</v>
      </c>
      <c r="M31" s="244">
        <f>IFERROR(_xll.BQL(Ticker,$B31,"FPT",$C$11,"FPO",M$11,"STD",$H$7,"CONSOL",$H$9, "CURRENCY",$L$7)*1,"--")</f>
        <v>0.20715128020927906</v>
      </c>
      <c r="N31" s="244">
        <f>IFERROR(_xll.BQL(Ticker,$B31,"FPT",$C$11,"FPO",N$11,"STD",$H$7,"CONSOL",$H$9, "CURRENCY",$L$7)*1,"--")</f>
        <v>0.12241747136761746</v>
      </c>
    </row>
    <row r="32" spans="2:19">
      <c r="C32" s="257"/>
      <c r="D32" s="257"/>
      <c r="E32" s="257"/>
      <c r="F32" s="257"/>
      <c r="G32" s="257"/>
      <c r="H32" s="257"/>
      <c r="I32" s="257"/>
      <c r="J32" s="257"/>
      <c r="K32" s="257"/>
    </row>
    <row r="34" spans="2:254">
      <c r="C34" s="279" t="s">
        <v>316</v>
      </c>
      <c r="D34" s="280"/>
      <c r="L34" s="277"/>
      <c r="M34" s="277"/>
      <c r="N34" s="277"/>
      <c r="O34" s="277"/>
      <c r="P34" s="277"/>
      <c r="Q34" s="277"/>
      <c r="R34" s="277"/>
      <c r="S34" s="277"/>
      <c r="T34" s="277"/>
      <c r="U34" s="277"/>
      <c r="V34" s="277"/>
      <c r="W34" s="277"/>
      <c r="X34" s="277"/>
      <c r="Y34" s="277"/>
      <c r="Z34" s="277"/>
      <c r="AA34" s="277"/>
      <c r="AB34" s="277"/>
      <c r="AC34" s="277"/>
      <c r="AD34" s="277"/>
      <c r="AE34" s="277"/>
      <c r="AF34" s="277"/>
      <c r="AG34" s="277"/>
      <c r="AH34" s="277"/>
      <c r="AI34" s="277"/>
      <c r="AJ34" s="277"/>
      <c r="AK34" s="277"/>
      <c r="AL34" s="277"/>
      <c r="AM34" s="277"/>
      <c r="AN34" s="277"/>
      <c r="AO34" s="277"/>
      <c r="AP34" s="277"/>
      <c r="AQ34" s="277"/>
      <c r="AR34" s="277"/>
      <c r="AS34" s="277"/>
      <c r="AT34" s="277"/>
      <c r="AU34" s="277"/>
      <c r="AV34" s="277"/>
      <c r="AW34" s="277"/>
      <c r="AX34" s="277"/>
      <c r="AY34" s="277"/>
      <c r="AZ34" s="277"/>
      <c r="BA34" s="277"/>
      <c r="BB34" s="277"/>
      <c r="BC34" s="277"/>
      <c r="BD34" s="277"/>
      <c r="BE34" s="277"/>
      <c r="BF34" s="277"/>
      <c r="BG34" s="277"/>
      <c r="BH34" s="277"/>
      <c r="BI34" s="277"/>
      <c r="BJ34" s="277"/>
      <c r="BK34" s="277"/>
      <c r="BL34" s="277"/>
      <c r="BM34" s="277"/>
      <c r="BN34" s="277"/>
      <c r="BO34" s="277"/>
      <c r="BP34" s="277"/>
      <c r="BQ34" s="277"/>
      <c r="BR34" s="277"/>
      <c r="BS34" s="277"/>
      <c r="BT34" s="277"/>
      <c r="BU34" s="277"/>
      <c r="BV34" s="277"/>
      <c r="BW34" s="277"/>
      <c r="BX34" s="277"/>
      <c r="BY34" s="277"/>
      <c r="BZ34" s="277"/>
      <c r="CA34" s="277"/>
      <c r="CB34" s="277"/>
      <c r="CC34" s="277"/>
      <c r="CD34" s="277"/>
      <c r="CE34" s="277"/>
      <c r="CF34" s="277"/>
      <c r="CG34" s="277"/>
      <c r="CH34" s="277"/>
      <c r="CI34" s="277"/>
      <c r="CJ34" s="277"/>
      <c r="CK34" s="277"/>
      <c r="CL34" s="277"/>
      <c r="CM34" s="277"/>
      <c r="CN34" s="277"/>
      <c r="CO34" s="277"/>
      <c r="CP34" s="277"/>
      <c r="CQ34" s="277"/>
      <c r="CR34" s="277"/>
      <c r="CS34" s="277"/>
      <c r="CT34" s="277"/>
      <c r="CU34" s="277"/>
      <c r="CV34" s="277"/>
      <c r="CW34" s="277"/>
      <c r="CX34" s="277"/>
      <c r="CY34" s="277"/>
      <c r="CZ34" s="277"/>
      <c r="DA34" s="277"/>
      <c r="DB34" s="277"/>
      <c r="DC34" s="277"/>
      <c r="DD34" s="277"/>
      <c r="DE34" s="277"/>
      <c r="DF34" s="277"/>
      <c r="DG34" s="277"/>
      <c r="DH34" s="277"/>
      <c r="DI34" s="277"/>
      <c r="DJ34" s="277"/>
      <c r="DK34" s="277"/>
      <c r="DL34" s="277"/>
      <c r="DM34" s="277"/>
      <c r="DN34" s="277"/>
      <c r="DO34" s="277"/>
      <c r="DP34" s="277"/>
      <c r="DQ34" s="277"/>
      <c r="DR34" s="277"/>
      <c r="DS34" s="277"/>
      <c r="DT34" s="277"/>
      <c r="DU34" s="277"/>
      <c r="DV34" s="277"/>
      <c r="DW34" s="277"/>
      <c r="DX34" s="277"/>
      <c r="DY34" s="277"/>
      <c r="DZ34" s="277"/>
      <c r="EA34" s="277"/>
      <c r="EB34" s="277"/>
      <c r="EC34" s="277"/>
      <c r="ED34" s="277"/>
      <c r="EE34" s="277"/>
      <c r="EF34" s="277"/>
      <c r="EG34" s="277"/>
      <c r="EH34" s="277"/>
      <c r="EI34" s="277"/>
      <c r="EJ34" s="277"/>
      <c r="EK34" s="277"/>
      <c r="EL34" s="277"/>
      <c r="EM34" s="277"/>
      <c r="EN34" s="277"/>
      <c r="EO34" s="277"/>
      <c r="EP34" s="277"/>
      <c r="EQ34" s="277"/>
      <c r="ER34" s="277"/>
      <c r="ES34" s="277"/>
      <c r="ET34" s="277"/>
      <c r="EU34" s="277"/>
      <c r="EV34" s="277"/>
      <c r="EW34" s="277"/>
      <c r="EX34" s="277"/>
      <c r="EY34" s="277"/>
      <c r="EZ34" s="277"/>
      <c r="FA34" s="277"/>
      <c r="FB34" s="277"/>
      <c r="FC34" s="277"/>
      <c r="FD34" s="277"/>
      <c r="FE34" s="277"/>
      <c r="FF34" s="277"/>
      <c r="FG34" s="277"/>
      <c r="FH34" s="277"/>
      <c r="FI34" s="277"/>
      <c r="FJ34" s="277"/>
      <c r="FK34" s="277"/>
      <c r="FL34" s="277"/>
      <c r="FM34" s="277"/>
      <c r="FN34" s="277"/>
      <c r="FO34" s="277"/>
      <c r="FP34" s="277"/>
      <c r="FQ34" s="277"/>
      <c r="FR34" s="277"/>
      <c r="FS34" s="277"/>
      <c r="FT34" s="277"/>
      <c r="FU34" s="277"/>
      <c r="FV34" s="277"/>
      <c r="FW34" s="277"/>
      <c r="FX34" s="277"/>
      <c r="FY34" s="277"/>
      <c r="FZ34" s="277"/>
      <c r="GA34" s="277"/>
      <c r="GB34" s="277"/>
      <c r="GC34" s="277"/>
      <c r="GD34" s="277"/>
      <c r="GE34" s="277"/>
      <c r="GF34" s="277"/>
      <c r="GG34" s="277"/>
      <c r="GH34" s="277"/>
      <c r="GI34" s="277"/>
      <c r="GJ34" s="277"/>
      <c r="GK34" s="277"/>
      <c r="GL34" s="277"/>
      <c r="GM34" s="277"/>
      <c r="GN34" s="277"/>
      <c r="GO34" s="277"/>
      <c r="GP34" s="277"/>
      <c r="GQ34" s="277"/>
      <c r="GR34" s="277"/>
      <c r="GS34" s="277"/>
      <c r="GT34" s="277"/>
      <c r="GU34" s="277"/>
      <c r="GV34" s="277"/>
      <c r="GW34" s="277"/>
      <c r="GX34" s="277"/>
      <c r="GY34" s="277"/>
      <c r="GZ34" s="277"/>
      <c r="HA34" s="277"/>
      <c r="HB34" s="277"/>
      <c r="HC34" s="277"/>
      <c r="HD34" s="277"/>
      <c r="HE34" s="277"/>
      <c r="HF34" s="277"/>
      <c r="HG34" s="277"/>
      <c r="HH34" s="277"/>
      <c r="HI34" s="277"/>
      <c r="HJ34" s="277"/>
      <c r="HK34" s="277"/>
      <c r="HL34" s="277"/>
      <c r="HM34" s="277"/>
      <c r="HN34" s="277"/>
      <c r="HO34" s="277"/>
      <c r="HP34" s="277"/>
      <c r="HQ34" s="277"/>
      <c r="HR34" s="277"/>
      <c r="HS34" s="277"/>
      <c r="HT34" s="277"/>
      <c r="HU34" s="277"/>
      <c r="HV34" s="277"/>
      <c r="HW34" s="277"/>
      <c r="HX34" s="277"/>
      <c r="HY34" s="277"/>
      <c r="HZ34" s="277"/>
      <c r="IA34" s="277"/>
      <c r="IB34" s="277"/>
      <c r="IC34" s="277"/>
      <c r="ID34" s="277"/>
      <c r="IE34" s="277"/>
      <c r="IF34" s="277"/>
      <c r="IG34" s="277"/>
      <c r="IH34" s="277"/>
      <c r="II34" s="277"/>
      <c r="IJ34" s="277"/>
      <c r="IK34" s="277"/>
      <c r="IL34" s="277"/>
      <c r="IM34" s="277"/>
      <c r="IN34" s="277"/>
      <c r="IO34" s="277"/>
      <c r="IP34" s="277"/>
      <c r="IQ34" s="277"/>
      <c r="IR34" s="277"/>
      <c r="IS34" s="277"/>
      <c r="IT34" s="277"/>
    </row>
    <row r="35" spans="2:254" ht="15" customHeight="1">
      <c r="B35" s="278" t="s">
        <v>375</v>
      </c>
      <c r="C35" s="263" t="str">
        <f>"Share Price ("&amp;$L$7&amp;")"</f>
        <v>Share Price (USD)</v>
      </c>
      <c r="D35" s="243">
        <f>IFERROR(_xll.BQL(Ticker,$B35,"CURRENCY",$L$7)*1,"--")</f>
        <v>186.95500183105469</v>
      </c>
      <c r="F35" s="278" t="s">
        <v>317</v>
      </c>
    </row>
    <row r="36" spans="2:254" ht="15" customHeight="1">
      <c r="B36" s="278" t="s">
        <v>376</v>
      </c>
      <c r="C36" s="263" t="s">
        <v>3</v>
      </c>
      <c r="D36" s="243">
        <f>_xll.BQL(Ticker,$B36,"ExcelFill=B")</f>
        <v>373.81008500000002</v>
      </c>
      <c r="G36" s="258" t="s">
        <v>318</v>
      </c>
      <c r="H36" s="258" t="s">
        <v>319</v>
      </c>
      <c r="I36" s="258" t="s">
        <v>320</v>
      </c>
      <c r="J36" s="258" t="s">
        <v>321</v>
      </c>
      <c r="K36" s="258"/>
      <c r="L36" s="258"/>
      <c r="M36" s="258"/>
    </row>
    <row r="37" spans="2:254">
      <c r="B37" s="278" t="s">
        <v>377</v>
      </c>
      <c r="C37" s="268" t="str">
        <f>"Market Capitalization ("&amp;$L$7&amp;")"</f>
        <v>Market Capitalization (USD)</v>
      </c>
      <c r="D37" s="242">
        <f>_xll.BQL(Ticker,$B37,"CURRENCY",$L$7,"ExcelFill=B")</f>
        <v>69885.66512564171</v>
      </c>
      <c r="F37" s="278" t="s">
        <v>318</v>
      </c>
      <c r="G37" s="258">
        <f>D37</f>
        <v>69885.66512564171</v>
      </c>
      <c r="H37" s="258"/>
      <c r="I37" s="258"/>
      <c r="J37" s="258"/>
      <c r="K37" s="258"/>
      <c r="L37" s="258"/>
      <c r="M37" s="258"/>
    </row>
    <row r="38" spans="2:254">
      <c r="B38" s="278" t="s">
        <v>378</v>
      </c>
      <c r="C38" s="263" t="s">
        <v>4</v>
      </c>
      <c r="D38" s="243">
        <f>IFERROR(_xll.BQL(Ticker,$B38,"STD",$H$7,"CONSOL",$H$9, "CURRENCY",$L$7)*1,0)</f>
        <v>1758</v>
      </c>
      <c r="F38" s="278" t="s">
        <v>322</v>
      </c>
      <c r="G38" s="256">
        <f>D37</f>
        <v>69885.66512564171</v>
      </c>
      <c r="J38" s="256">
        <f>I39-D38</f>
        <v>6713</v>
      </c>
    </row>
    <row r="39" spans="2:254">
      <c r="B39" s="278" t="s">
        <v>379</v>
      </c>
      <c r="C39" s="263" t="s">
        <v>5</v>
      </c>
      <c r="D39" s="243">
        <f>IFERROR(_xll.BQL(Ticker,$B39,"STD",$H$7,"CONSOL",$H$9, "CURRENCY",$L$7)*1,0)</f>
        <v>8471</v>
      </c>
      <c r="F39" s="278" t="s">
        <v>323</v>
      </c>
      <c r="G39" s="256"/>
      <c r="H39" s="256">
        <f>D43</f>
        <v>11693</v>
      </c>
      <c r="I39" s="256">
        <f>SUM(D39:D41)</f>
        <v>8471</v>
      </c>
    </row>
    <row r="40" spans="2:254">
      <c r="B40" s="278" t="s">
        <v>380</v>
      </c>
      <c r="C40" s="263" t="s">
        <v>6</v>
      </c>
      <c r="D40" s="243">
        <f>IFERROR(_xll.BQL(Ticker,$B40,"STD",$H$7,"CONSOL",$H$9, "CURRENCY",$L$7)*1,0)</f>
        <v>0</v>
      </c>
    </row>
    <row r="41" spans="2:254">
      <c r="B41" s="278" t="s">
        <v>381</v>
      </c>
      <c r="C41" s="263" t="s">
        <v>7</v>
      </c>
      <c r="D41" s="243">
        <f>IFERROR(_xll.BQL(Ticker,$B41,"STD",$H$7,"CONSOL",$H$9, "CURRENCY",$L$7)*1,0)</f>
        <v>0</v>
      </c>
    </row>
    <row r="42" spans="2:254">
      <c r="B42" s="278" t="s">
        <v>382</v>
      </c>
      <c r="C42" s="268" t="str">
        <f>"= Total Enterprise Value ("&amp;$L$7&amp;")"</f>
        <v>= Total Enterprise Value (USD)</v>
      </c>
      <c r="D42" s="242">
        <f>IFERROR(_xll.BQL(Ticker,$B42,"STD",$H$7,"CONSOL",$H$9, "CURRENCY",$L$7)*1,0)</f>
        <v>76598.66512564171</v>
      </c>
    </row>
    <row r="43" spans="2:254">
      <c r="B43" s="278" t="s">
        <v>383</v>
      </c>
      <c r="C43" s="263" t="s">
        <v>8</v>
      </c>
      <c r="D43" s="243">
        <f>IFERROR(_xll.BQL(Ticker,$B43,"STD",$H$7,"CONSOL",$H$9, "CURRENCY",$L$7)*1,0)</f>
        <v>11693</v>
      </c>
      <c r="G43" s="258"/>
      <c r="H43" s="258"/>
      <c r="I43" s="258"/>
      <c r="J43" s="258"/>
      <c r="K43" s="258"/>
      <c r="L43" s="258"/>
      <c r="M43" s="258"/>
    </row>
    <row r="44" spans="2:254">
      <c r="B44" s="278" t="s">
        <v>380</v>
      </c>
      <c r="C44" s="263" t="s">
        <v>6</v>
      </c>
      <c r="D44" s="243">
        <f>IFERROR(_xll.BQL(Ticker,$B44,"STD",$H$7,"CONSOL",$H$9, "CURRENCY",$L$7)*1,0)</f>
        <v>0</v>
      </c>
    </row>
    <row r="45" spans="2:254">
      <c r="B45" s="278" t="s">
        <v>381</v>
      </c>
      <c r="C45" s="263" t="s">
        <v>7</v>
      </c>
      <c r="D45" s="243">
        <f>IFERROR(_xll.BQL(Ticker,$B45,"STD",$H$7,"CONSOL",$H$9, "CURRENCY",$L$7)*1,0)</f>
        <v>0</v>
      </c>
    </row>
    <row r="46" spans="2:254">
      <c r="B46" s="278" t="s">
        <v>379</v>
      </c>
      <c r="C46" s="263" t="s">
        <v>5</v>
      </c>
      <c r="D46" s="243">
        <f>IFERROR(_xll.BQL(Ticker,$B46,"STD",$H$7,"CONSOL",$H$9, "CURRENCY",$L$7)*1,0)</f>
        <v>8471</v>
      </c>
    </row>
    <row r="47" spans="2:254">
      <c r="B47" s="278" t="s">
        <v>384</v>
      </c>
      <c r="C47" s="268" t="s">
        <v>9</v>
      </c>
      <c r="D47" s="242">
        <f>IFERROR(_xll.BQL(Ticker,$B47,"STD",$H$7,"CONSOL",$H$9, "CURRENCY",$L$7)*1,0)</f>
        <v>20164</v>
      </c>
    </row>
    <row r="48" spans="2:254">
      <c r="C48" s="255"/>
      <c r="D48" s="255"/>
    </row>
    <row r="50" spans="2:14">
      <c r="D50" s="236"/>
      <c r="E50" s="271"/>
      <c r="F50" s="271"/>
      <c r="G50" s="271"/>
      <c r="H50" s="271"/>
    </row>
    <row r="51" spans="2:14">
      <c r="C51" s="713" t="s">
        <v>324</v>
      </c>
      <c r="D51" s="248" t="s">
        <v>349</v>
      </c>
      <c r="E51" s="250" t="s">
        <v>347</v>
      </c>
      <c r="F51" s="712" t="s">
        <v>348</v>
      </c>
      <c r="G51" s="712"/>
      <c r="H51" s="712"/>
    </row>
    <row r="52" spans="2:14" ht="15" customHeight="1">
      <c r="C52" s="713"/>
      <c r="D52" s="293">
        <f>IFERROR(_xll.BQL(Ticker,"IS_EPS().PERIOD_END_DATE","FPT=A","FPO=0","STD",$H$7,"CONSOL",$H$9, "CURRENCY",$L$7)*1,"--")</f>
        <v>43465</v>
      </c>
      <c r="E52" s="293">
        <f>IFERROR(_xll.BQL(Ticker,"IS_EPS().PERIOD_END_DATE","FPT=LTM","FPO=0","STD",$H$7,"CONSOL",$H$9, "CURRENCY",$L$7)*1,"--")</f>
        <v>43555</v>
      </c>
      <c r="F52" s="293">
        <f>IFERROR(_xll.BQL(Ticker,"IS_EPS().PERIOD_END_DATE","FPT=A","FPO=1","STD",$H$7,"CONSOL",$H$9, "CURRENCY",$L$7)*1,"--")</f>
        <v>43830</v>
      </c>
      <c r="G52" s="293">
        <f>IFERROR(_xll.BQL(Ticker,"IS_EPS().PERIOD_END_DATE","FPT=A","FPO=2","STD",$H$7,"CONSOL",$H$9, "CURRENCY",$L$7)*1,"--")</f>
        <v>44196</v>
      </c>
      <c r="H52" s="293">
        <f>IFERROR(_xll.BQL(Ticker,"IS_EPS().PERIOD_END_DATE","FPT=A","FPO=3","STD",$H$7,"CONSOL",$H$9, "CURRENCY",$L$7)*1,"--")</f>
        <v>44561</v>
      </c>
      <c r="I52" s="254"/>
      <c r="J52" s="254"/>
      <c r="K52" s="254"/>
      <c r="L52" s="254"/>
      <c r="M52" s="254"/>
      <c r="N52" s="254"/>
    </row>
    <row r="53" spans="2:14">
      <c r="B53" s="278" t="s">
        <v>385</v>
      </c>
      <c r="C53" s="255" t="s">
        <v>325</v>
      </c>
      <c r="D53" s="235">
        <f>IFERROR(_xll.BQL(Ticker,$B53,"FPT=A","FPO=0","STD",$H$7,"CONSOL",$H$9, "CURRENCY",$L$7)*1,"--")</f>
        <v>4.8842251419763247</v>
      </c>
      <c r="E53" s="235">
        <f>IFERROR(_xll.BQL(Ticker,$B53,"FPT=LTM","FPO=0","STD",$H$7,"CONSOL",$H$9, "CURRENCY",$L$7)*1,"--")</f>
        <v>5.5108642884116472</v>
      </c>
      <c r="F53" s="235">
        <f>IFERROR(_xll.BQL(Ticker,$B53,"FPT=A","FPO=1","STD",$H$7,"CONSOL",$H$9, "CURRENCY",$L$7)*1,"--")</f>
        <v>5.0383372258675925</v>
      </c>
      <c r="G53" s="235">
        <f>IFERROR(_xll.BQL(Ticker,$B53,"FPT=A","FPO=2","STD",$H$7,"CONSOL",$H$9, "CURRENCY",$L$7)*1,"--")</f>
        <v>4.5865799099595517</v>
      </c>
      <c r="H53" s="235">
        <f>IFERROR(_xll.BQL(Ticker,$B53,"FPT=A","FPO=3","STD",$H$7,"CONSOL",$H$9, "CURRENCY",$L$7)*1,"--")</f>
        <v>4.1654620927684025</v>
      </c>
    </row>
    <row r="54" spans="2:14">
      <c r="B54" s="278" t="s">
        <v>386</v>
      </c>
      <c r="C54" s="255" t="s">
        <v>326</v>
      </c>
      <c r="D54" s="235">
        <f>IFERROR(_xll.BQL(Ticker,$B54,"FPT=A","FPO=0","STD",$H$7,"CONSOL",$H$9, "CURRENCY",$L$7)*1,"--")</f>
        <v>20.37740679632515</v>
      </c>
      <c r="E54" s="235">
        <f>IFERROR(_xll.BQL(Ticker,$B54,"FPT=LTM","FPO=0","STD",$H$7,"CONSOL",$H$9, "CURRENCY",$L$7)*1,"--")</f>
        <v>23.814622505761449</v>
      </c>
      <c r="F54" s="235">
        <f>IFERROR(_xll.BQL(Ticker,$B54,"FPT=A","FPO=1","STD",$H$7,"CONSOL",$H$9, "CURRENCY",$L$7)*1,"--")</f>
        <v>17.636868904020243</v>
      </c>
      <c r="G54" s="235">
        <f>IFERROR(_xll.BQL(Ticker,$B54,"FPT=A","FPO=2","STD",$H$7,"CONSOL",$H$9, "CURRENCY",$L$7)*1,"--")</f>
        <v>15.729108186444359</v>
      </c>
      <c r="H54" s="235">
        <f>IFERROR(_xll.BQL(Ticker,$B54,"FPT=A","FPO=3","STD",$H$7,"CONSOL",$H$9, "CURRENCY",$L$7)*1,"--")</f>
        <v>14.138317579097581</v>
      </c>
    </row>
    <row r="55" spans="2:14">
      <c r="B55" s="278" t="s">
        <v>387</v>
      </c>
      <c r="C55" s="255" t="s">
        <v>327</v>
      </c>
      <c r="D55" s="235">
        <f>IFERROR(_xll.BQL(Ticker,$B55,"FPT=A","FPO=0","STD",$H$7,"CONSOL",$H$9, "CURRENCY",$L$7)*1,"--")</f>
        <v>26.18460628932597</v>
      </c>
      <c r="E55" s="235">
        <f>IFERROR(_xll.BQL(Ticker,$B55,"FPT=LTM","FPO=0","STD",$H$7,"CONSOL",$H$9, "CURRENCY",$L$7)*1,"--")</f>
        <v>30.908954270816498</v>
      </c>
      <c r="F55" s="235">
        <f>IFERROR(_xll.BQL(Ticker,$B55,"FPT=A","FPO=1","STD",$H$7,"CONSOL",$H$9, "CURRENCY",$L$7)*1,"--")</f>
        <v>19.217741203506062</v>
      </c>
      <c r="G55" s="235">
        <f>IFERROR(_xll.BQL(Ticker,$B55,"FPT=A","FPO=2","STD",$H$7,"CONSOL",$H$9, "CURRENCY",$L$7)*1,"--")</f>
        <v>17.187989061845688</v>
      </c>
      <c r="H55" s="235">
        <f>IFERROR(_xll.BQL(Ticker,$B55,"FPT=A","FPO=3","STD",$H$7,"CONSOL",$H$9, "CURRENCY",$L$7)*1,"--")</f>
        <v>15.46304256157114</v>
      </c>
    </row>
    <row r="56" spans="2:14">
      <c r="B56" s="278" t="s">
        <v>388</v>
      </c>
      <c r="C56" s="255" t="s">
        <v>328</v>
      </c>
      <c r="D56" s="235">
        <f>IFERROR(_xll.BQL(Ticker,$B56,"FPT=A","FPO=0","STD",$H$7,"CONSOL",$H$9, "CURRENCY",$L$7)*1,"--")</f>
        <v>20.016595485123627</v>
      </c>
      <c r="E56" s="235">
        <f>IFERROR(_xll.BQL(Ticker,$B56,"FPT=LTM","FPO=0","STD",$H$7,"CONSOL",$H$9, "CURRENCY",$L$7)*1,"--")</f>
        <v>20.16774561284301</v>
      </c>
      <c r="F56" s="235">
        <f>IFERROR(_xll.BQL(Ticker,$B56,"FPT=A","FPO=1","STD",$H$7,"CONSOL",$H$9, "CURRENCY",$L$7)*1,"--")</f>
        <v>27.874608890868444</v>
      </c>
      <c r="G56" s="235">
        <f>IFERROR(_xll.BQL(Ticker,$B56,"FPT=A","FPO=2","STD",$H$7,"CONSOL",$H$9, "CURRENCY",$L$7)*1,"--")</f>
        <v>23.091230857192922</v>
      </c>
      <c r="H56" s="235">
        <f>IFERROR(_xll.BQL(Ticker,$B56,"FPT=A","FPO=3","STD",$H$7,"CONSOL",$H$9, "CURRENCY",$L$7)*1,"--")</f>
        <v>20.572764988286622</v>
      </c>
    </row>
    <row r="57" spans="2:14">
      <c r="B57" s="278" t="s">
        <v>389</v>
      </c>
      <c r="C57" s="255" t="s">
        <v>329</v>
      </c>
      <c r="D57" s="235">
        <f>IFERROR(_xll.BQL(Ticker,$B57,"FPT=A","FPO=0","STD",$H$7,"CONSOL",$H$9, "CURRENCY",$L$7)*1,"--")</f>
        <v>5.9396008274296106</v>
      </c>
      <c r="E57" s="235">
        <f>IFERROR(_xll.BQL(Ticker,$B57,"FPT=LTM","FPO=0","STD",$H$7,"CONSOL",$H$9, "CURRENCY",$L$7)*1,"--")</f>
        <v>5.9767095805731385</v>
      </c>
      <c r="F57" s="235">
        <f>IFERROR(_xll.BQL(Ticker,$B57,"FPT=A","FPO=1","STD",$H$7,"CONSOL",$H$9, "CURRENCY",$L$7)*1,"--")</f>
        <v>5.2598188676303934</v>
      </c>
      <c r="G57" s="235">
        <f>IFERROR(_xll.BQL(Ticker,$B57,"FPT=A","FPO=2","STD",$H$7,"CONSOL",$H$9, "CURRENCY",$L$7)*1,"--")</f>
        <v>4.5509980971532284</v>
      </c>
      <c r="H57" s="235">
        <f>IFERROR(_xll.BQL(Ticker,$B57,"FPT=A","FPO=3","STD",$H$7,"CONSOL",$H$9, "CURRENCY",$L$7)*1,"--")</f>
        <v>3.9880552705317149</v>
      </c>
    </row>
    <row r="58" spans="2:14">
      <c r="D58" s="252"/>
      <c r="E58" s="252"/>
      <c r="F58" s="252"/>
      <c r="G58" s="252"/>
      <c r="H58" s="252"/>
    </row>
    <row r="59" spans="2:14" ht="15" customHeight="1">
      <c r="C59" s="279" t="s">
        <v>330</v>
      </c>
      <c r="D59" s="225" t="s">
        <v>331</v>
      </c>
      <c r="E59" s="225" t="s">
        <v>332</v>
      </c>
      <c r="F59" s="225" t="s">
        <v>333</v>
      </c>
      <c r="G59" s="225" t="s">
        <v>334</v>
      </c>
      <c r="H59" s="225"/>
    </row>
    <row r="60" spans="2:14">
      <c r="B60" s="278" t="s">
        <v>392</v>
      </c>
      <c r="C60" s="255" t="s">
        <v>335</v>
      </c>
      <c r="D60" s="235">
        <f>IFERROR(_xll.BQL(Ticker,$B60,"FPT=LTM","FPO=0","STD",$H$7,"CONSOL",$H$9, "CURRENCY",$L$7)*1,"--")</f>
        <v>28.296422612233243</v>
      </c>
      <c r="E60" s="235">
        <f>IFERROR(_xll.BQL(Ticker,$B60,"FPT=A","FPO=1","STD",$H$7,"CONSOL",$H$9, "CURRENCY",$L$7)*1,"--")</f>
        <v>22.954306691204678</v>
      </c>
      <c r="F60" s="235">
        <f>IFERROR(_xll.BQL(Ticker,$B60,"FPT=LTM","FPO=1","STD",$H$7,"CONSOL",$H$9, "CURRENCY",$L$7)*1,"--")</f>
        <v>22.536914786431858</v>
      </c>
      <c r="G60" s="235">
        <f>IFERROR(_xll.BQL(Ticker,$B60,"FPT=A","FPO=2","STD",$H$7,"CONSOL",$H$9, "CURRENCY",$L$7)*1,"--")</f>
        <v>20.927462586083895</v>
      </c>
      <c r="H60" s="631"/>
    </row>
    <row r="61" spans="2:14">
      <c r="B61" s="278" t="s">
        <v>386</v>
      </c>
      <c r="C61" s="255" t="s">
        <v>351</v>
      </c>
      <c r="D61" s="235">
        <f>IFERROR(_xll.BQL(Ticker,$B61,"FPT=LTM","FPO=0","STD",$H$7,"CONSOL",$H$9, "CURRENCY",$L$7)*1,"--")</f>
        <v>23.814622505761449</v>
      </c>
      <c r="E61" s="235">
        <f>IFERROR(_xll.BQL(Ticker,$B61,"FPT=A","FPO=1","STD",$H$7,"CONSOL",$H$9, "CURRENCY",$L$7)*1,"--")</f>
        <v>17.636868904020243</v>
      </c>
      <c r="F61" s="235">
        <f>IFERROR(_xll.BQL(Ticker,$B61,"FPT=LTM","FPO=1","STD",$H$7,"CONSOL",$H$9, "CURRENCY",$L$7)*1,"--")</f>
        <v>16.764458642638676</v>
      </c>
      <c r="G61" s="235">
        <f>IFERROR(_xll.BQL(Ticker,$B61,"FPT=A","FPO=2","STD",$H$7,"CONSOL",$H$9, "CURRENCY",$L$7)*1,"--")</f>
        <v>15.729108186444359</v>
      </c>
      <c r="H61" s="253"/>
    </row>
    <row r="62" spans="2:14">
      <c r="B62" s="278" t="s">
        <v>391</v>
      </c>
      <c r="C62" s="255" t="s">
        <v>336</v>
      </c>
      <c r="D62" s="235">
        <f>IFERROR(_xll.BQL(Ticker,$B62,"FPT=LTM","FPO=0","STD",$H$7,"CONSOL",$H$9, "CURRENCY",$L$7)*1,"--")</f>
        <v>26.631094197323144</v>
      </c>
      <c r="E62" s="235">
        <f>IFERROR(_xll.BQL(Ticker,$B62,"FPT=A","FPO=1","STD",$H$7,"CONSOL",$H$9, "CURRENCY",$L$7)*1,"--")</f>
        <v>22.035356655356878</v>
      </c>
      <c r="F62" s="235">
        <f>IFERROR(_xll.BQL(Ticker,$B62,"FPT=LTM","FPO=1","STD",$H$7,"CONSOL",$H$9, "CURRENCY",$L$7)*1,"--")</f>
        <v>17.705492539839309</v>
      </c>
      <c r="G62" s="235">
        <f>IFERROR(_xll.BQL(Ticker,$B62,"FPT=A","FPO=2","STD",$H$7,"CONSOL",$H$9, "CURRENCY",$L$7)*1,"--")</f>
        <v>18.375430095400795</v>
      </c>
      <c r="H62" s="253"/>
    </row>
    <row r="63" spans="2:14">
      <c r="B63" s="278" t="s">
        <v>389</v>
      </c>
      <c r="C63" s="255" t="s">
        <v>337</v>
      </c>
      <c r="D63" s="235">
        <f>IFERROR(_xll.BQL(Ticker,$B63,"FPT=LTM","FPO=0","STD",$H$7,"CONSOL",$H$9, "CURRENCY",$L$7)*1,"--")</f>
        <v>5.9771890916583539</v>
      </c>
      <c r="E63" s="235">
        <f>IFERROR(_xll.BQL(Ticker,$B63,"FPT=A","FPO=1","STD",$H$7,"CONSOL",$H$9, "CURRENCY",$L$7)*1,"--")</f>
        <v>5.2602408626126245</v>
      </c>
      <c r="F63" s="235">
        <f>IFERROR(_xll.BQL(Ticker,$B63,"FPT=LTM","FPO=1","STD",$H$7,"CONSOL",$H$9, "CURRENCY",$L$7)*1,"--")</f>
        <v>4.5513632234835208</v>
      </c>
      <c r="G63" s="235">
        <f>IFERROR(_xll.BQL(Ticker,$B63,"FPT=A","FPO=2","STD",$H$7,"CONSOL",$H$9, "CURRENCY",$L$7)*1,"--")</f>
        <v>4.5513632234835208</v>
      </c>
      <c r="H63" s="253"/>
    </row>
    <row r="64" spans="2:14">
      <c r="B64" s="278" t="s">
        <v>393</v>
      </c>
      <c r="C64" s="255" t="s">
        <v>338</v>
      </c>
      <c r="D64" s="235">
        <f>IFERROR(_xll.BQL(Ticker,$B64,"FPT=LTM","FPO=0","STD",$H$7,"CONSOL",$H$9, "CURRENCY",$L$7)*1,"--")</f>
        <v>1.0589933928125779</v>
      </c>
      <c r="E64" s="235">
        <f>IFERROR(_xll.BQL(Ticker,$B64,"FPT=A","FPO=1","STD",$H$7,"CONSOL",$H$9, "CURRENCY",$L$7)*1,"--")</f>
        <v>1.0589933928125779</v>
      </c>
      <c r="F64" s="235">
        <f>IFERROR(_xll.BQL(Ticker,$B64,"FPT=LTM","FPO=1","STD",$H$7,"CONSOL",$H$9, "CURRENCY",$L$7)*1,"--")</f>
        <v>1.0589933928125779</v>
      </c>
      <c r="G64" s="235">
        <f>IFERROR(_xll.BQL(Ticker,$B64,"FPT=A","FPO=2","STD",$H$7,"CONSOL",$H$9, "CURRENCY",$L$7)*1,"--")</f>
        <v>1.0589933928125779</v>
      </c>
      <c r="H64" s="253"/>
    </row>
    <row r="65" spans="3:44">
      <c r="C65" s="241"/>
      <c r="D65" s="240"/>
      <c r="E65" s="240"/>
      <c r="F65" s="240"/>
      <c r="G65" s="240"/>
      <c r="H65" s="240"/>
      <c r="I65" s="239"/>
      <c r="J65" s="239"/>
      <c r="K65" s="239"/>
      <c r="L65" s="239"/>
      <c r="M65" s="239"/>
      <c r="N65" s="239"/>
      <c r="O65" s="239"/>
      <c r="P65" s="239"/>
      <c r="Q65" s="239"/>
      <c r="R65" s="239"/>
      <c r="S65" s="239"/>
      <c r="T65" s="239"/>
      <c r="U65" s="239"/>
      <c r="V65" s="239"/>
      <c r="W65" s="239"/>
      <c r="X65" s="239"/>
      <c r="Y65" s="239"/>
      <c r="Z65" s="239"/>
      <c r="AA65" s="239"/>
      <c r="AB65" s="239"/>
      <c r="AC65" s="239"/>
      <c r="AD65" s="239"/>
      <c r="AE65" s="239"/>
      <c r="AF65" s="239"/>
      <c r="AG65" s="239"/>
      <c r="AH65" s="239"/>
      <c r="AI65" s="239"/>
      <c r="AJ65" s="239"/>
      <c r="AK65" s="239"/>
      <c r="AL65" s="239"/>
      <c r="AM65" s="239"/>
      <c r="AN65" s="239"/>
      <c r="AO65" s="239"/>
      <c r="AP65" s="239"/>
      <c r="AQ65" s="239"/>
      <c r="AR65" s="239"/>
    </row>
    <row r="66" spans="3:44">
      <c r="C66" s="239"/>
      <c r="D66" s="238"/>
      <c r="E66" s="238"/>
      <c r="F66" s="238"/>
      <c r="G66" s="238"/>
      <c r="H66" s="239"/>
      <c r="I66" s="239"/>
      <c r="J66" s="239"/>
      <c r="K66" s="239"/>
      <c r="L66" s="239"/>
      <c r="M66" s="239"/>
      <c r="N66" s="239"/>
      <c r="O66" s="239"/>
      <c r="P66" s="239"/>
      <c r="Q66" s="239"/>
      <c r="R66" s="239"/>
      <c r="S66" s="239"/>
      <c r="T66" s="239"/>
      <c r="U66" s="239"/>
      <c r="V66" s="239"/>
      <c r="W66" s="239"/>
      <c r="X66" s="239"/>
      <c r="Y66" s="239"/>
      <c r="Z66" s="239"/>
      <c r="AA66" s="239"/>
      <c r="AB66" s="239"/>
      <c r="AC66" s="239"/>
      <c r="AD66" s="239"/>
      <c r="AE66" s="239"/>
      <c r="AF66" s="239"/>
      <c r="AG66" s="239"/>
      <c r="AH66" s="239"/>
      <c r="AI66" s="239"/>
      <c r="AJ66" s="239"/>
      <c r="AK66" s="239"/>
      <c r="AL66" s="239"/>
      <c r="AM66" s="239"/>
      <c r="AN66" s="239"/>
      <c r="AO66" s="239"/>
      <c r="AP66" s="239"/>
      <c r="AQ66" s="239"/>
      <c r="AR66" s="239"/>
    </row>
    <row r="67" spans="3:44">
      <c r="C67" s="239"/>
      <c r="D67" s="239"/>
      <c r="E67" s="239"/>
      <c r="F67" s="239"/>
      <c r="G67" s="239"/>
      <c r="H67" s="239"/>
      <c r="I67" s="239"/>
      <c r="J67" s="239"/>
      <c r="K67" s="239"/>
      <c r="L67" s="239"/>
      <c r="M67" s="239"/>
      <c r="N67" s="239"/>
      <c r="O67" s="239"/>
      <c r="P67" s="239"/>
      <c r="Q67" s="239"/>
      <c r="R67" s="239"/>
      <c r="S67" s="239"/>
      <c r="T67" s="239"/>
      <c r="U67" s="239"/>
      <c r="V67" s="239"/>
      <c r="W67" s="239"/>
      <c r="X67" s="239"/>
      <c r="Y67" s="239"/>
      <c r="Z67" s="239"/>
      <c r="AA67" s="239"/>
      <c r="AB67" s="239"/>
      <c r="AC67" s="239"/>
      <c r="AD67" s="239"/>
      <c r="AE67" s="239"/>
      <c r="AF67" s="239"/>
      <c r="AG67" s="239"/>
      <c r="AH67" s="239"/>
      <c r="AI67" s="239"/>
      <c r="AJ67" s="239"/>
      <c r="AK67" s="239"/>
      <c r="AL67" s="239"/>
      <c r="AM67" s="239"/>
      <c r="AN67" s="239"/>
      <c r="AO67" s="239"/>
      <c r="AP67" s="239"/>
      <c r="AQ67" s="239"/>
      <c r="AR67" s="239"/>
    </row>
    <row r="68" spans="3:44">
      <c r="C68" s="239"/>
      <c r="D68" s="239"/>
      <c r="E68" s="239"/>
      <c r="F68" s="239"/>
      <c r="G68" s="239"/>
      <c r="H68" s="239"/>
      <c r="I68" s="239"/>
      <c r="J68" s="239"/>
      <c r="K68" s="239"/>
      <c r="L68" s="239"/>
      <c r="M68" s="239"/>
      <c r="N68" s="239"/>
      <c r="O68" s="239"/>
      <c r="P68" s="239"/>
      <c r="Q68" s="239"/>
      <c r="R68" s="239"/>
      <c r="S68" s="239"/>
      <c r="T68" s="239"/>
      <c r="U68" s="239"/>
      <c r="V68" s="239"/>
      <c r="W68" s="239"/>
      <c r="X68" s="239"/>
      <c r="Y68" s="239"/>
      <c r="Z68" s="239"/>
      <c r="AA68" s="239"/>
      <c r="AB68" s="239"/>
      <c r="AC68" s="239"/>
      <c r="AD68" s="239"/>
      <c r="AE68" s="239"/>
      <c r="AF68" s="239"/>
      <c r="AG68" s="239"/>
      <c r="AH68" s="239"/>
      <c r="AI68" s="239"/>
      <c r="AJ68" s="239"/>
      <c r="AK68" s="239"/>
      <c r="AL68" s="239"/>
      <c r="AM68" s="239"/>
      <c r="AN68" s="239"/>
      <c r="AO68" s="239"/>
      <c r="AP68" s="239"/>
      <c r="AQ68" s="239"/>
      <c r="AR68" s="239"/>
    </row>
    <row r="69" spans="3:44">
      <c r="C69" s="239"/>
      <c r="D69" s="239"/>
      <c r="E69" s="239"/>
      <c r="F69" s="239"/>
      <c r="G69" s="239"/>
      <c r="H69" s="239"/>
      <c r="I69" s="239"/>
      <c r="J69" s="239"/>
      <c r="K69" s="239"/>
      <c r="L69" s="239"/>
      <c r="M69" s="239"/>
      <c r="N69" s="239"/>
      <c r="O69" s="239"/>
      <c r="P69" s="239"/>
      <c r="Q69" s="239"/>
      <c r="R69" s="239"/>
      <c r="S69" s="239"/>
      <c r="T69" s="239"/>
      <c r="U69" s="239"/>
      <c r="V69" s="239"/>
      <c r="W69" s="239"/>
      <c r="X69" s="239"/>
      <c r="Y69" s="239"/>
      <c r="Z69" s="239"/>
      <c r="AA69" s="239"/>
      <c r="AB69" s="239"/>
      <c r="AC69" s="239"/>
      <c r="AD69" s="239"/>
      <c r="AE69" s="239"/>
      <c r="AF69" s="239"/>
      <c r="AG69" s="239"/>
      <c r="AH69" s="239"/>
      <c r="AI69" s="239"/>
      <c r="AJ69" s="239"/>
      <c r="AK69" s="239"/>
      <c r="AL69" s="239"/>
      <c r="AM69" s="239"/>
      <c r="AN69" s="239"/>
      <c r="AO69" s="239"/>
      <c r="AP69" s="239"/>
      <c r="AQ69" s="239"/>
      <c r="AR69" s="239"/>
    </row>
    <row r="70" spans="3:44">
      <c r="C70" s="239"/>
      <c r="D70" s="239"/>
      <c r="E70" s="239"/>
      <c r="F70" s="239"/>
      <c r="G70" s="239"/>
      <c r="H70" s="239"/>
      <c r="I70" s="239"/>
      <c r="J70" s="239"/>
      <c r="K70" s="239"/>
      <c r="L70" s="239"/>
      <c r="M70" s="239"/>
      <c r="N70" s="239"/>
      <c r="O70" s="239"/>
      <c r="P70" s="239"/>
      <c r="Q70" s="239"/>
      <c r="R70" s="239"/>
      <c r="S70" s="239"/>
      <c r="T70" s="239"/>
      <c r="U70" s="239"/>
      <c r="V70" s="239"/>
      <c r="W70" s="239"/>
      <c r="X70" s="239"/>
      <c r="Y70" s="239"/>
      <c r="Z70" s="239"/>
      <c r="AA70" s="239"/>
      <c r="AB70" s="239"/>
      <c r="AC70" s="239"/>
      <c r="AD70" s="239"/>
      <c r="AE70" s="239"/>
      <c r="AF70" s="239"/>
      <c r="AG70" s="239"/>
      <c r="AH70" s="239"/>
      <c r="AI70" s="239"/>
      <c r="AJ70" s="239"/>
      <c r="AK70" s="239"/>
      <c r="AL70" s="239"/>
      <c r="AM70" s="239"/>
      <c r="AN70" s="239"/>
      <c r="AO70" s="239"/>
      <c r="AP70" s="239"/>
      <c r="AQ70" s="239"/>
      <c r="AR70" s="239"/>
    </row>
    <row r="71" spans="3:44">
      <c r="C71" s="239"/>
      <c r="D71" s="239"/>
      <c r="E71" s="239"/>
      <c r="F71" s="239"/>
      <c r="G71" s="239"/>
      <c r="H71" s="239"/>
      <c r="I71" s="237"/>
      <c r="J71" s="239"/>
      <c r="K71" s="239"/>
      <c r="L71" s="239"/>
      <c r="M71" s="239"/>
      <c r="N71" s="239"/>
      <c r="O71" s="239"/>
      <c r="P71" s="239"/>
      <c r="Q71" s="239"/>
      <c r="R71" s="239"/>
      <c r="S71" s="239"/>
      <c r="T71" s="239"/>
      <c r="U71" s="239"/>
      <c r="V71" s="239"/>
      <c r="W71" s="239"/>
      <c r="X71" s="239"/>
      <c r="Y71" s="239"/>
      <c r="Z71" s="239"/>
      <c r="AA71" s="239"/>
      <c r="AB71" s="239"/>
      <c r="AC71" s="239"/>
      <c r="AD71" s="239"/>
      <c r="AE71" s="239"/>
      <c r="AF71" s="239"/>
      <c r="AG71" s="239"/>
      <c r="AH71" s="239"/>
      <c r="AI71" s="239"/>
      <c r="AJ71" s="239"/>
      <c r="AK71" s="239"/>
      <c r="AL71" s="239"/>
      <c r="AM71" s="239"/>
      <c r="AN71" s="239"/>
      <c r="AO71" s="239"/>
      <c r="AP71" s="239"/>
      <c r="AQ71" s="239"/>
      <c r="AR71" s="239"/>
    </row>
    <row r="72" spans="3:44">
      <c r="C72" s="239"/>
      <c r="D72" s="239"/>
      <c r="E72" s="239"/>
      <c r="F72" s="239"/>
      <c r="G72" s="239"/>
      <c r="H72" s="239"/>
      <c r="I72" s="239"/>
      <c r="J72" s="239"/>
      <c r="K72" s="239"/>
      <c r="L72" s="239"/>
      <c r="M72" s="239"/>
      <c r="N72" s="239"/>
      <c r="O72" s="239"/>
      <c r="P72" s="239"/>
      <c r="Q72" s="239"/>
      <c r="R72" s="239"/>
      <c r="S72" s="239"/>
      <c r="T72" s="239"/>
      <c r="U72" s="239"/>
      <c r="V72" s="239"/>
      <c r="W72" s="239"/>
      <c r="X72" s="239"/>
      <c r="Y72" s="239"/>
      <c r="Z72" s="239"/>
      <c r="AA72" s="239"/>
      <c r="AB72" s="239"/>
      <c r="AC72" s="239"/>
      <c r="AD72" s="239"/>
      <c r="AE72" s="239"/>
      <c r="AF72" s="239"/>
      <c r="AG72" s="239"/>
      <c r="AH72" s="239"/>
      <c r="AI72" s="239"/>
      <c r="AJ72" s="239"/>
      <c r="AK72" s="239"/>
      <c r="AL72" s="239"/>
      <c r="AM72" s="239"/>
      <c r="AN72" s="239"/>
      <c r="AO72" s="239"/>
      <c r="AP72" s="239"/>
      <c r="AQ72" s="239"/>
      <c r="AR72" s="239"/>
    </row>
    <row r="73" spans="3:44">
      <c r="C73" s="239"/>
      <c r="D73" s="239"/>
      <c r="E73" s="239"/>
      <c r="F73" s="239"/>
      <c r="G73" s="239"/>
      <c r="H73" s="239"/>
      <c r="I73" s="237"/>
      <c r="J73" s="239"/>
      <c r="K73" s="239"/>
      <c r="L73" s="239"/>
      <c r="M73" s="239"/>
      <c r="N73" s="239"/>
      <c r="O73" s="239"/>
      <c r="P73" s="239"/>
      <c r="Q73" s="239"/>
      <c r="R73" s="239"/>
      <c r="S73" s="239"/>
      <c r="T73" s="239"/>
      <c r="U73" s="239"/>
      <c r="V73" s="239"/>
      <c r="W73" s="239"/>
      <c r="X73" s="239"/>
      <c r="Y73" s="239"/>
      <c r="Z73" s="239"/>
      <c r="AA73" s="239"/>
      <c r="AB73" s="239"/>
      <c r="AC73" s="239"/>
      <c r="AD73" s="239"/>
      <c r="AE73" s="239"/>
      <c r="AF73" s="239"/>
      <c r="AG73" s="239"/>
      <c r="AH73" s="239"/>
      <c r="AI73" s="239"/>
      <c r="AJ73" s="239"/>
      <c r="AK73" s="239"/>
      <c r="AL73" s="239"/>
      <c r="AM73" s="239"/>
      <c r="AN73" s="239"/>
      <c r="AO73" s="239"/>
      <c r="AP73" s="239"/>
      <c r="AQ73" s="239"/>
      <c r="AR73" s="239"/>
    </row>
    <row r="74" spans="3:44">
      <c r="C74" s="239"/>
      <c r="D74" s="239"/>
      <c r="E74" s="239"/>
      <c r="F74" s="239"/>
      <c r="G74" s="239"/>
      <c r="H74" s="239"/>
      <c r="I74" s="239"/>
      <c r="J74" s="239"/>
      <c r="K74" s="239"/>
      <c r="L74" s="239"/>
      <c r="M74" s="239"/>
      <c r="N74" s="239"/>
      <c r="O74" s="239"/>
      <c r="P74" s="239"/>
      <c r="Q74" s="239"/>
      <c r="R74" s="239"/>
      <c r="S74" s="239"/>
      <c r="T74" s="239"/>
      <c r="U74" s="239"/>
      <c r="V74" s="239"/>
      <c r="W74" s="239"/>
      <c r="X74" s="239"/>
      <c r="Y74" s="239"/>
      <c r="Z74" s="239"/>
      <c r="AA74" s="239"/>
      <c r="AB74" s="239"/>
      <c r="AC74" s="239"/>
      <c r="AD74" s="239"/>
      <c r="AE74" s="239"/>
      <c r="AF74" s="239"/>
      <c r="AG74" s="239"/>
      <c r="AH74" s="239"/>
      <c r="AI74" s="239"/>
      <c r="AJ74" s="239"/>
      <c r="AK74" s="239"/>
      <c r="AL74" s="239"/>
      <c r="AM74" s="239"/>
      <c r="AN74" s="239"/>
      <c r="AO74" s="239"/>
      <c r="AP74" s="239"/>
      <c r="AQ74" s="239"/>
      <c r="AR74" s="239"/>
    </row>
    <row r="75" spans="3:44">
      <c r="C75" s="239"/>
      <c r="D75" s="239"/>
      <c r="E75" s="239"/>
      <c r="F75" s="239"/>
      <c r="G75" s="239"/>
      <c r="H75" s="239"/>
      <c r="I75" s="239"/>
      <c r="J75" s="239"/>
      <c r="K75" s="239"/>
      <c r="L75" s="239"/>
      <c r="M75" s="239"/>
      <c r="N75" s="239"/>
      <c r="O75" s="239"/>
      <c r="P75" s="239"/>
      <c r="Q75" s="239"/>
      <c r="R75" s="239"/>
      <c r="S75" s="239"/>
      <c r="T75" s="239"/>
      <c r="U75" s="239"/>
      <c r="V75" s="239"/>
      <c r="W75" s="239"/>
      <c r="X75" s="239"/>
      <c r="Y75" s="239"/>
      <c r="Z75" s="239"/>
      <c r="AA75" s="239"/>
      <c r="AB75" s="239"/>
      <c r="AC75" s="239"/>
      <c r="AD75" s="239"/>
      <c r="AE75" s="239"/>
      <c r="AF75" s="239"/>
      <c r="AG75" s="239"/>
      <c r="AH75" s="239"/>
      <c r="AI75" s="239"/>
      <c r="AJ75" s="239"/>
      <c r="AK75" s="239"/>
      <c r="AL75" s="239"/>
      <c r="AM75" s="239"/>
      <c r="AN75" s="239"/>
      <c r="AO75" s="239"/>
      <c r="AP75" s="239"/>
      <c r="AQ75" s="239"/>
      <c r="AR75" s="239"/>
    </row>
    <row r="76" spans="3:44">
      <c r="C76" s="239"/>
      <c r="D76" s="239"/>
      <c r="E76" s="239"/>
      <c r="F76" s="239"/>
      <c r="G76" s="239"/>
      <c r="H76" s="239"/>
      <c r="I76" s="239"/>
      <c r="J76" s="239"/>
      <c r="K76" s="239"/>
      <c r="L76" s="239"/>
      <c r="M76" s="239"/>
      <c r="N76" s="239"/>
      <c r="O76" s="239"/>
      <c r="P76" s="239"/>
      <c r="Q76" s="239"/>
      <c r="R76" s="239"/>
      <c r="S76" s="239"/>
      <c r="T76" s="239"/>
      <c r="U76" s="239"/>
      <c r="V76" s="239"/>
      <c r="W76" s="239"/>
      <c r="X76" s="239"/>
      <c r="Y76" s="239"/>
      <c r="Z76" s="239"/>
      <c r="AA76" s="239"/>
      <c r="AB76" s="239"/>
      <c r="AC76" s="239"/>
      <c r="AD76" s="239"/>
      <c r="AE76" s="239"/>
      <c r="AF76" s="239"/>
      <c r="AG76" s="239"/>
      <c r="AH76" s="239"/>
      <c r="AI76" s="239"/>
      <c r="AJ76" s="239"/>
      <c r="AK76" s="239"/>
      <c r="AL76" s="239"/>
      <c r="AM76" s="239"/>
      <c r="AN76" s="239"/>
      <c r="AO76" s="239"/>
      <c r="AP76" s="239"/>
      <c r="AQ76" s="239"/>
      <c r="AR76" s="239"/>
    </row>
    <row r="77" spans="3:44">
      <c r="C77" s="239"/>
      <c r="D77" s="239"/>
      <c r="E77" s="239"/>
      <c r="F77" s="239"/>
      <c r="G77" s="239"/>
      <c r="H77" s="239"/>
      <c r="I77" s="239"/>
      <c r="J77" s="239"/>
      <c r="K77" s="239"/>
      <c r="L77" s="239"/>
      <c r="M77" s="239"/>
      <c r="N77" s="239"/>
      <c r="O77" s="239"/>
      <c r="P77" s="239"/>
      <c r="Q77" s="239"/>
      <c r="R77" s="239"/>
      <c r="S77" s="239"/>
      <c r="T77" s="239"/>
      <c r="U77" s="239"/>
      <c r="V77" s="239"/>
      <c r="W77" s="239"/>
      <c r="X77" s="239"/>
      <c r="Y77" s="239"/>
      <c r="Z77" s="239"/>
      <c r="AA77" s="239"/>
      <c r="AB77" s="239"/>
      <c r="AC77" s="239"/>
      <c r="AD77" s="239"/>
      <c r="AE77" s="239"/>
      <c r="AF77" s="239"/>
      <c r="AG77" s="239"/>
      <c r="AH77" s="239"/>
      <c r="AI77" s="239"/>
      <c r="AJ77" s="239"/>
      <c r="AK77" s="239"/>
      <c r="AL77" s="239"/>
      <c r="AM77" s="239"/>
      <c r="AN77" s="239"/>
      <c r="AO77" s="239"/>
      <c r="AP77" s="239"/>
      <c r="AQ77" s="239"/>
      <c r="AR77" s="239"/>
    </row>
    <row r="78" spans="3:44">
      <c r="C78" s="239"/>
      <c r="D78" s="239"/>
      <c r="E78" s="239"/>
      <c r="F78" s="239"/>
      <c r="G78" s="239"/>
      <c r="H78" s="239"/>
      <c r="I78" s="239"/>
      <c r="J78" s="239"/>
      <c r="K78" s="239"/>
      <c r="L78" s="239"/>
      <c r="M78" s="239"/>
      <c r="N78" s="239"/>
      <c r="O78" s="239"/>
      <c r="P78" s="239"/>
      <c r="Q78" s="239"/>
      <c r="R78" s="239"/>
      <c r="S78" s="239"/>
      <c r="T78" s="239"/>
      <c r="U78" s="239"/>
      <c r="V78" s="239"/>
      <c r="W78" s="239"/>
      <c r="X78" s="239"/>
      <c r="Y78" s="239"/>
      <c r="Z78" s="239"/>
      <c r="AA78" s="239"/>
      <c r="AB78" s="239"/>
      <c r="AC78" s="239"/>
      <c r="AD78" s="239"/>
      <c r="AE78" s="239"/>
      <c r="AF78" s="239"/>
      <c r="AG78" s="239"/>
      <c r="AH78" s="239"/>
      <c r="AI78" s="239"/>
      <c r="AJ78" s="239"/>
      <c r="AK78" s="239"/>
      <c r="AL78" s="239"/>
      <c r="AM78" s="239"/>
      <c r="AN78" s="239"/>
      <c r="AO78" s="239"/>
      <c r="AP78" s="239"/>
      <c r="AQ78" s="239"/>
      <c r="AR78" s="239"/>
    </row>
    <row r="79" spans="3:44">
      <c r="C79" s="239"/>
      <c r="D79" s="239"/>
      <c r="E79" s="239"/>
      <c r="F79" s="239"/>
      <c r="G79" s="239"/>
      <c r="H79" s="239"/>
      <c r="I79" s="239"/>
      <c r="J79" s="239"/>
      <c r="K79" s="239"/>
      <c r="L79" s="239"/>
      <c r="M79" s="239"/>
      <c r="N79" s="239"/>
      <c r="O79" s="239"/>
      <c r="P79" s="239"/>
      <c r="Q79" s="239"/>
      <c r="R79" s="239"/>
      <c r="S79" s="239"/>
      <c r="T79" s="239"/>
      <c r="U79" s="239"/>
      <c r="V79" s="239"/>
      <c r="W79" s="239"/>
      <c r="X79" s="239"/>
      <c r="Y79" s="239"/>
      <c r="Z79" s="239"/>
      <c r="AA79" s="239"/>
      <c r="AB79" s="239"/>
      <c r="AC79" s="239"/>
      <c r="AD79" s="239"/>
      <c r="AE79" s="239"/>
      <c r="AF79" s="239"/>
      <c r="AG79" s="239"/>
      <c r="AH79" s="239"/>
      <c r="AI79" s="239"/>
      <c r="AJ79" s="239"/>
      <c r="AK79" s="239"/>
      <c r="AL79" s="239"/>
      <c r="AM79" s="239"/>
      <c r="AN79" s="239"/>
      <c r="AO79" s="239"/>
      <c r="AP79" s="239"/>
      <c r="AQ79" s="239"/>
      <c r="AR79" s="239"/>
    </row>
    <row r="80" spans="3:44">
      <c r="C80" s="239"/>
      <c r="D80" s="239"/>
      <c r="E80" s="239"/>
      <c r="F80" s="239"/>
      <c r="G80" s="239"/>
      <c r="H80" s="239"/>
      <c r="I80" s="239"/>
      <c r="J80" s="239"/>
      <c r="K80" s="239"/>
      <c r="L80" s="239"/>
      <c r="M80" s="239"/>
      <c r="N80" s="239"/>
      <c r="O80" s="239"/>
      <c r="P80" s="239"/>
      <c r="Q80" s="239"/>
      <c r="R80" s="239"/>
      <c r="S80" s="239"/>
      <c r="T80" s="239"/>
      <c r="U80" s="239"/>
      <c r="V80" s="239"/>
      <c r="W80" s="239"/>
      <c r="X80" s="239"/>
      <c r="Y80" s="239"/>
      <c r="Z80" s="239"/>
      <c r="AA80" s="239"/>
      <c r="AB80" s="239"/>
      <c r="AC80" s="239"/>
      <c r="AD80" s="239"/>
      <c r="AE80" s="239"/>
      <c r="AF80" s="239"/>
      <c r="AG80" s="239"/>
      <c r="AH80" s="239"/>
      <c r="AI80" s="239"/>
      <c r="AJ80" s="239"/>
      <c r="AK80" s="239"/>
      <c r="AL80" s="239"/>
      <c r="AM80" s="239"/>
      <c r="AN80" s="239"/>
      <c r="AO80" s="239"/>
      <c r="AP80" s="239"/>
      <c r="AQ80" s="239"/>
      <c r="AR80" s="239"/>
    </row>
    <row r="81" spans="3:44">
      <c r="C81" s="239"/>
      <c r="D81" s="239"/>
      <c r="E81" s="239"/>
      <c r="F81" s="239"/>
      <c r="G81" s="239"/>
      <c r="H81" s="239"/>
      <c r="I81" s="239"/>
      <c r="J81" s="239"/>
      <c r="K81" s="239"/>
      <c r="L81" s="239"/>
      <c r="M81" s="239"/>
      <c r="N81" s="239"/>
      <c r="O81" s="239"/>
      <c r="P81" s="239"/>
      <c r="Q81" s="239"/>
      <c r="R81" s="239"/>
      <c r="S81" s="239"/>
      <c r="T81" s="239"/>
      <c r="U81" s="239"/>
      <c r="V81" s="239"/>
      <c r="W81" s="239"/>
      <c r="X81" s="239"/>
      <c r="Y81" s="239"/>
      <c r="Z81" s="239"/>
      <c r="AA81" s="239"/>
      <c r="AB81" s="239"/>
      <c r="AC81" s="239"/>
      <c r="AD81" s="239"/>
      <c r="AE81" s="239"/>
      <c r="AF81" s="239"/>
      <c r="AG81" s="239"/>
      <c r="AH81" s="239"/>
      <c r="AI81" s="239"/>
      <c r="AJ81" s="239"/>
      <c r="AK81" s="239"/>
      <c r="AL81" s="239"/>
      <c r="AM81" s="239"/>
      <c r="AN81" s="239"/>
      <c r="AO81" s="239"/>
      <c r="AP81" s="239"/>
      <c r="AQ81" s="239"/>
      <c r="AR81" s="239"/>
    </row>
  </sheetData>
  <mergeCells count="8">
    <mergeCell ref="L12:N12"/>
    <mergeCell ref="F51:H51"/>
    <mergeCell ref="C51:C52"/>
    <mergeCell ref="F7:G7"/>
    <mergeCell ref="F9:G9"/>
    <mergeCell ref="J7:K7"/>
    <mergeCell ref="C12:C13"/>
    <mergeCell ref="D12:J12"/>
  </mergeCells>
  <phoneticPr fontId="119" type="noConversion"/>
  <dataValidations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2" right="0.2" top="0.5" bottom="0.5" header="0.5" footer="0.5"/>
  <pageSetup scale="61" orientation="portrait" r:id="rId1"/>
  <headerFooter alignWithMargins="0"/>
  <colBreaks count="1" manualBreakCount="1">
    <brk id="14"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S">
    <pageSetUpPr autoPageBreaks="0" fitToPage="1"/>
  </sheetPr>
  <dimension ref="A2:IV131"/>
  <sheetViews>
    <sheetView showGridLines="0" showRowColHeaders="0" zoomScale="87" zoomScaleNormal="87" workbookViewId="0">
      <pane xSplit="3" ySplit="15" topLeftCell="D16" activePane="bottomRight" state="frozen"/>
      <selection sqref="A1:XFD1"/>
      <selection pane="topRight" sqref="A1:XFD1"/>
      <selection pane="bottomLeft" sqref="A1:XFD1"/>
      <selection pane="bottomRight" activeCell="D16" sqref="D16"/>
    </sheetView>
  </sheetViews>
  <sheetFormatPr defaultColWidth="9.140625" defaultRowHeight="15" outlineLevelRow="1"/>
  <cols>
    <col min="1" max="1" width="1.7109375" style="1" customWidth="1"/>
    <col min="2" max="2" width="46.7109375" style="1" hidden="1" customWidth="1"/>
    <col min="3" max="3" width="30.7109375" style="1" customWidth="1"/>
    <col min="4" max="14" width="11.7109375" style="6" customWidth="1"/>
    <col min="15" max="15" width="10.28515625" style="1" bestFit="1" customWidth="1"/>
    <col min="16" max="16" width="10.42578125" style="1" bestFit="1" customWidth="1"/>
    <col min="17" max="21" width="9.140625" style="1"/>
    <col min="22" max="22" width="11.42578125" style="1" bestFit="1" customWidth="1"/>
    <col min="23" max="16384" width="9.140625" style="1"/>
  </cols>
  <sheetData>
    <row r="2" spans="1:256" ht="5.0999999999999996" customHeight="1"/>
    <row r="3" spans="1:256" ht="15" customHeight="1"/>
    <row r="4" spans="1:256" ht="15" customHeight="1"/>
    <row r="5" spans="1:256" ht="15" customHeight="1"/>
    <row r="6" spans="1:256" ht="15" customHeight="1"/>
    <row r="7" spans="1:256" ht="15" customHeight="1">
      <c r="C7" s="198" t="s">
        <v>353</v>
      </c>
      <c r="D7" s="23" t="str">
        <f>Tick</f>
        <v>SYK US</v>
      </c>
      <c r="E7" s="1"/>
      <c r="F7" s="714" t="s">
        <v>344</v>
      </c>
      <c r="G7" s="715"/>
      <c r="H7" s="26" t="s">
        <v>345</v>
      </c>
      <c r="I7" s="9"/>
      <c r="J7" s="714" t="s">
        <v>0</v>
      </c>
      <c r="K7" s="715"/>
      <c r="L7" s="27" t="str">
        <f>_xll.BDP(Ticker,"EQY FUND CRNCY")</f>
        <v>USD</v>
      </c>
      <c r="M7" s="28"/>
      <c r="N7" s="16"/>
      <c r="AA7" s="7"/>
      <c r="AB7" s="7"/>
      <c r="AC7" s="7"/>
      <c r="AD7" s="7"/>
      <c r="AE7" s="7"/>
      <c r="AF7" s="7"/>
      <c r="AG7" s="7"/>
      <c r="AH7" s="7"/>
    </row>
    <row r="8" spans="1:256" ht="5.0999999999999996" customHeight="1">
      <c r="D8" s="1"/>
      <c r="E8" s="9"/>
      <c r="F8" s="8"/>
      <c r="G8" s="8"/>
      <c r="H8" s="8"/>
      <c r="I8" s="9"/>
      <c r="J8" s="8"/>
      <c r="K8" s="8"/>
      <c r="L8" s="8"/>
      <c r="M8" s="8"/>
      <c r="N8" s="719"/>
      <c r="AA8" s="7"/>
      <c r="AB8" s="7"/>
      <c r="AC8" s="7"/>
      <c r="AD8" s="7"/>
      <c r="AE8" s="7"/>
      <c r="AF8" s="7"/>
      <c r="AG8" s="7"/>
      <c r="AH8" s="7"/>
    </row>
    <row r="9" spans="1:256" ht="15" customHeight="1">
      <c r="C9" s="198" t="s">
        <v>352</v>
      </c>
      <c r="D9" s="26" t="s">
        <v>339</v>
      </c>
      <c r="E9" s="24"/>
      <c r="F9" s="714" t="s">
        <v>342</v>
      </c>
      <c r="G9" s="715"/>
      <c r="H9" s="26" t="s">
        <v>343</v>
      </c>
      <c r="I9" s="25"/>
      <c r="J9" s="721"/>
      <c r="K9" s="721"/>
      <c r="L9" s="1"/>
      <c r="M9" s="10"/>
      <c r="N9" s="720"/>
    </row>
    <row r="10" spans="1:256" s="11" customFormat="1" ht="15" customHeight="1" collapsed="1">
      <c r="B10" s="302"/>
      <c r="C10" s="4"/>
      <c r="D10" s="12"/>
      <c r="E10" s="13"/>
      <c r="F10" s="4"/>
      <c r="G10" s="4"/>
      <c r="H10" s="14"/>
      <c r="I10" s="15"/>
      <c r="J10" s="4"/>
      <c r="K10" s="4"/>
      <c r="L10" s="16"/>
      <c r="M10" s="14"/>
      <c r="N10" s="14"/>
    </row>
    <row r="11" spans="1:256" s="11" customFormat="1" ht="15" hidden="1" customHeight="1" outlineLevel="1">
      <c r="B11" s="302"/>
      <c r="C11" s="63" t="str">
        <f>IF($D$9="Annuals","FY",IF($D$9="Quarters","FQ",IF($D$9="Semi-Annuals","FS","")))</f>
        <v>FY</v>
      </c>
      <c r="D11" s="62" t="str">
        <f>"-10"&amp;$C$11</f>
        <v>-10FY</v>
      </c>
      <c r="E11" s="62" t="str">
        <f>"-9"&amp;$C$11</f>
        <v>-9FY</v>
      </c>
      <c r="F11" s="62" t="str">
        <f>"-8"&amp;$C$11</f>
        <v>-8FY</v>
      </c>
      <c r="G11" s="62" t="str">
        <f>"-7"&amp;$C$11</f>
        <v>-7FY</v>
      </c>
      <c r="H11" s="62" t="str">
        <f>"-6"&amp;$C$11</f>
        <v>-6FY</v>
      </c>
      <c r="I11" s="62" t="str">
        <f>"-5"&amp;$C$11</f>
        <v>-5FY</v>
      </c>
      <c r="J11" s="62" t="str">
        <f>"-4"&amp;$C$11</f>
        <v>-4FY</v>
      </c>
      <c r="K11" s="62" t="str">
        <f>"-3"&amp;$C$11</f>
        <v>-3FY</v>
      </c>
      <c r="L11" s="62" t="str">
        <f>"-2"&amp;$C$11</f>
        <v>-2FY</v>
      </c>
      <c r="M11" s="62" t="str">
        <f>"-1"&amp;$C$11</f>
        <v>-1FY</v>
      </c>
      <c r="N11" s="62" t="str">
        <f>"-0"&amp;$C$11</f>
        <v>-0FY</v>
      </c>
    </row>
    <row r="12" spans="1:256" s="7" customFormat="1" ht="15" hidden="1" customHeight="1" outlineLevel="1">
      <c r="C12" s="63" t="str">
        <f>IF($D$9="Annuals","A",IF($D$9="Quarters","Q",IF($D$9="Semi-Annuals","S","")))</f>
        <v>A</v>
      </c>
      <c r="D12" s="62" t="str">
        <f>"-10"&amp;$C$12</f>
        <v>-10A</v>
      </c>
      <c r="E12" s="62" t="str">
        <f>"-9"&amp;$C$12</f>
        <v>-9A</v>
      </c>
      <c r="F12" s="62" t="str">
        <f>"-8"&amp;$C$12</f>
        <v>-8A</v>
      </c>
      <c r="G12" s="62" t="str">
        <f>"-7"&amp;$C$12</f>
        <v>-7A</v>
      </c>
      <c r="H12" s="62" t="str">
        <f>"-6"&amp;$C$12</f>
        <v>-6A</v>
      </c>
      <c r="I12" s="62" t="str">
        <f>"-5"&amp;$C$12</f>
        <v>-5A</v>
      </c>
      <c r="J12" s="62" t="str">
        <f>"-4"&amp;$C$12</f>
        <v>-4A</v>
      </c>
      <c r="K12" s="62" t="str">
        <f>"-3"&amp;$C$12</f>
        <v>-3A</v>
      </c>
      <c r="L12" s="62" t="str">
        <f>"-2"&amp;$C$12</f>
        <v>-2A</v>
      </c>
      <c r="M12" s="62" t="str">
        <f>"-1"&amp;$C$12</f>
        <v>-1A</v>
      </c>
      <c r="N12" s="62" t="str">
        <f>"-0"&amp;$C$12</f>
        <v>-0A</v>
      </c>
      <c r="O12" s="285"/>
    </row>
    <row r="13" spans="1:256" s="7" customFormat="1" ht="15" hidden="1" customHeight="1" outlineLevel="1">
      <c r="C13" s="63"/>
      <c r="D13" s="62" t="str">
        <f>_xll.BQL(Ticker,"IS_EPS().PERIOD","FPT",$C$12,"FPO",D$12,"STD",$H$7,"CONSOL",$H$9)</f>
        <v>2008 A</v>
      </c>
      <c r="E13" s="62" t="str">
        <f>_xll.BQL(Ticker,"IS_EPS().PERIOD","FPT",$C$12,"FPO",E$12,"STD",$H$7,"CONSOL",$H$9)</f>
        <v>2009 A</v>
      </c>
      <c r="F13" s="62" t="str">
        <f>_xll.BQL(Ticker,"IS_EPS().PERIOD","FPT",$C$12,"FPO",F$12,"STD",$H$7,"CONSOL",$H$9)</f>
        <v>2010 A</v>
      </c>
      <c r="G13" s="62" t="str">
        <f>_xll.BQL(Ticker,"IS_EPS().PERIOD","FPT",$C$12,"FPO",G$12,"STD",$H$7,"CONSOL",$H$9)</f>
        <v>2011 A</v>
      </c>
      <c r="H13" s="62" t="str">
        <f>_xll.BQL(Ticker,"IS_EPS().PERIOD","FPT",$C$12,"FPO",H$12,"STD",$H$7,"CONSOL",$H$9)</f>
        <v>2012 A</v>
      </c>
      <c r="I13" s="62" t="str">
        <f>_xll.BQL(Ticker,"IS_EPS().PERIOD","FPT",$C$12,"FPO",I$12,"STD",$H$7,"CONSOL",$H$9)</f>
        <v>2013 A</v>
      </c>
      <c r="J13" s="62" t="str">
        <f>_xll.BQL(Ticker,"IS_EPS().PERIOD","FPT",$C$12,"FPO",J$12,"STD",$H$7,"CONSOL",$H$9)</f>
        <v>2014 A</v>
      </c>
      <c r="K13" s="62" t="str">
        <f>_xll.BQL(Ticker,"IS_EPS().PERIOD","FPT",$C$12,"FPO",K$12,"STD",$H$7,"CONSOL",$H$9)</f>
        <v>2015 A</v>
      </c>
      <c r="L13" s="62" t="str">
        <f>_xll.BQL(Ticker,"IS_EPS().PERIOD","FPT",$C$12,"FPO",L$12,"STD",$H$7,"CONSOL",$H$9)</f>
        <v>2016 A</v>
      </c>
      <c r="M13" s="62" t="str">
        <f>_xll.BQL(Ticker,"IS_EPS().PERIOD","FPT",$C$12,"FPO",M$12,"STD",$H$7,"CONSOL",$H$9)</f>
        <v>2017 A</v>
      </c>
      <c r="N13" s="62" t="str">
        <f>_xll.BQL(Ticker,"IS_EPS().PERIOD","FPT",$C$12,"FPO",N$12,"STD",$H$7,"CONSOL",$H$9)</f>
        <v>2018 A</v>
      </c>
      <c r="O13" s="285"/>
    </row>
    <row r="14" spans="1:256" collapsed="1">
      <c r="C14" s="717" t="s">
        <v>10</v>
      </c>
      <c r="D14" s="61" t="str">
        <f>IF(D$13="","",IF($C$12="A","FY "&amp;LEFT(D$13,4),"F"&amp;RIGHT(D$13,2)&amp;" "&amp;LEFT(D$13,4)))</f>
        <v>FY 2008</v>
      </c>
      <c r="E14" s="37" t="str">
        <f t="shared" ref="E14:N14" si="0">IF(E$13="","",IF($C$12="A","FY "&amp;LEFT(E$13,4),"F"&amp;RIGHT(E$13,2)&amp;" "&amp;LEFT(E$13,4)))</f>
        <v>FY 2009</v>
      </c>
      <c r="F14" s="37" t="str">
        <f t="shared" si="0"/>
        <v>FY 2010</v>
      </c>
      <c r="G14" s="37" t="str">
        <f t="shared" si="0"/>
        <v>FY 2011</v>
      </c>
      <c r="H14" s="37" t="str">
        <f t="shared" si="0"/>
        <v>FY 2012</v>
      </c>
      <c r="I14" s="37" t="str">
        <f t="shared" si="0"/>
        <v>FY 2013</v>
      </c>
      <c r="J14" s="37" t="str">
        <f t="shared" si="0"/>
        <v>FY 2014</v>
      </c>
      <c r="K14" s="37" t="str">
        <f t="shared" si="0"/>
        <v>FY 2015</v>
      </c>
      <c r="L14" s="37" t="str">
        <f t="shared" si="0"/>
        <v>FY 2016</v>
      </c>
      <c r="M14" s="37" t="str">
        <f t="shared" si="0"/>
        <v>FY 2017</v>
      </c>
      <c r="N14" s="37" t="str">
        <f t="shared" si="0"/>
        <v>FY 2018</v>
      </c>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row>
    <row r="15" spans="1:256" ht="15" customHeight="1">
      <c r="C15" s="718"/>
      <c r="D15" s="295">
        <f>IFERROR(_xll.BQL(Ticker,"IS_EPS().PERIOD_END_DATE","FPT",$C$12,"FPO",D$12,"STD",$H$7,"CONSOL",$H$9)*1,"--")</f>
        <v>39813</v>
      </c>
      <c r="E15" s="301">
        <f>IFERROR(_xll.BQL(Ticker,"IS_EPS().PERIOD_END_DATE","FPT",$C$12,"FPO",E$12,"STD",$H$7,"CONSOL",$H$9)*1,"--")</f>
        <v>40178</v>
      </c>
      <c r="F15" s="301">
        <f>IFERROR(_xll.BQL(Ticker,"IS_EPS().PERIOD_END_DATE","FPT",$C$12,"FPO",F$12,"STD",$H$7,"CONSOL",$H$9)*1,"--")</f>
        <v>40543</v>
      </c>
      <c r="G15" s="301">
        <f>IFERROR(_xll.BQL(Ticker,"IS_EPS().PERIOD_END_DATE","FPT",$C$12,"FPO",G$12,"STD",$H$7,"CONSOL",$H$9)*1,"--")</f>
        <v>40908</v>
      </c>
      <c r="H15" s="301">
        <f>IFERROR(_xll.BQL(Ticker,"IS_EPS().PERIOD_END_DATE","FPT",$C$12,"FPO",H$12,"STD",$H$7,"CONSOL",$H$9)*1,"--")</f>
        <v>41274</v>
      </c>
      <c r="I15" s="301">
        <f>IFERROR(_xll.BQL(Ticker,"IS_EPS().PERIOD_END_DATE","FPT",$C$12,"FPO",I$12,"STD",$H$7,"CONSOL",$H$9)*1,"--")</f>
        <v>41639</v>
      </c>
      <c r="J15" s="301">
        <f>IFERROR(_xll.BQL(Ticker,"IS_EPS().PERIOD_END_DATE","FPT",$C$12,"FPO",J$12,"STD",$H$7,"CONSOL",$H$9)*1,"--")</f>
        <v>42004</v>
      </c>
      <c r="K15" s="301">
        <f>IFERROR(_xll.BQL(Ticker,"IS_EPS().PERIOD_END_DATE","FPT",$C$12,"FPO",K$12,"STD",$H$7,"CONSOL",$H$9)*1,"--")</f>
        <v>42369</v>
      </c>
      <c r="L15" s="301">
        <f>IFERROR(_xll.BQL(Ticker,"IS_EPS().PERIOD_END_DATE","FPT",$C$12,"FPO",L$12,"STD",$H$7,"CONSOL",$H$9)*1,"--")</f>
        <v>42735</v>
      </c>
      <c r="M15" s="301">
        <f>IFERROR(_xll.BQL(Ticker,"IS_EPS().PERIOD_END_DATE","FPT",$C$12,"FPO",M$12,"STD",$H$7,"CONSOL",$H$9)*1,"--")</f>
        <v>43100</v>
      </c>
      <c r="N15" s="301">
        <f>IFERROR(_xll.BQL(Ticker,"IS_EPS().PERIOD_END_DATE","FPT",$C$12,"FPO",N$12,"STD",$H$7,"CONSOL",$H$9)*1,"--")</f>
        <v>43465</v>
      </c>
    </row>
    <row r="16" spans="1:256">
      <c r="A16" s="17"/>
      <c r="B16" s="17" t="s">
        <v>366</v>
      </c>
      <c r="C16" s="18" t="s">
        <v>11</v>
      </c>
      <c r="D16" s="40">
        <f>IFERROR(_xll.BQL(Ticker,$B16,"FPT",$C$12,"FPO",D$12,"STD",$H$7,"CONSOL",$H$9, "CURRENCY",$L$7)-D17,0)</f>
        <v>6718.2</v>
      </c>
      <c r="E16" s="40">
        <f>IFERROR(_xll.BQL(Ticker,$B16,"FPT",$C$12,"FPO",E$12,"STD",$H$7,"CONSOL",$H$9, "CURRENCY",$L$7)-E17,0)</f>
        <v>6723</v>
      </c>
      <c r="F16" s="40">
        <f>IFERROR(_xll.BQL(Ticker,$B16,"FPT",$C$12,"FPO",F$12,"STD",$H$7,"CONSOL",$H$9, "CURRENCY",$L$7)-F17,0)</f>
        <v>7320</v>
      </c>
      <c r="G16" s="40">
        <f>IFERROR(_xll.BQL(Ticker,$B16,"FPT",$C$12,"FPO",G$12,"STD",$H$7,"CONSOL",$H$9, "CURRENCY",$L$7)-G17,0)</f>
        <v>8307</v>
      </c>
      <c r="H16" s="40">
        <f>IFERROR(_xll.BQL(Ticker,$B16,"FPT",$C$12,"FPO",H$12,"STD",$H$7,"CONSOL",$H$9, "CURRENCY",$L$7)-H17,0)</f>
        <v>8657</v>
      </c>
      <c r="I16" s="40">
        <f>IFERROR(_xll.BQL(Ticker,$B16,"FPT",$C$12,"FPO",I$12,"STD",$H$7,"CONSOL",$H$9, "CURRENCY",$L$7)-I17,0)</f>
        <v>9021</v>
      </c>
      <c r="J16" s="40">
        <f>IFERROR(_xll.BQL(Ticker,$B16,"FPT",$C$12,"FPO",J$12,"STD",$H$7,"CONSOL",$H$9, "CURRENCY",$L$7)-J17,0)</f>
        <v>9675</v>
      </c>
      <c r="K16" s="40">
        <f>IFERROR(_xll.BQL(Ticker,$B16,"FPT",$C$12,"FPO",K$12,"STD",$H$7,"CONSOL",$H$9, "CURRENCY",$L$7)-K17,0)</f>
        <v>9946</v>
      </c>
      <c r="L16" s="40">
        <f>IFERROR(_xll.BQL(Ticker,$B16,"FPT",$C$12,"FPO",L$12,"STD",$H$7,"CONSOL",$H$9, "CURRENCY",$L$7)-L17,0)</f>
        <v>11325</v>
      </c>
      <c r="M16" s="40">
        <f>IFERROR(_xll.BQL(Ticker,$B16,"FPT",$C$12,"FPO",M$12,"STD",$H$7,"CONSOL",$H$9, "CURRENCY",$L$7)-M17,0)</f>
        <v>12444</v>
      </c>
      <c r="N16" s="40">
        <f>IFERROR(_xll.BQL(Ticker,$B16,"FPT",$C$12,"FPO",N$12,"STD",$H$7,"CONSOL",$H$9, "CURRENCY",$L$7)-N17,0)</f>
        <v>13601</v>
      </c>
      <c r="O16" s="40"/>
    </row>
    <row r="17" spans="1:16">
      <c r="A17" s="17"/>
      <c r="B17" s="17" t="s">
        <v>394</v>
      </c>
      <c r="C17" s="18" t="s">
        <v>12</v>
      </c>
      <c r="D17" s="40">
        <f>IFERROR(_xll.BQL(Ticker,$B17,"FPT",$C$12,"FPO",D$12,"STD",$H$7,"CONSOL",$H$9, "CURRENCY",$L$7)*1,0)</f>
        <v>0</v>
      </c>
      <c r="E17" s="40">
        <f>IFERROR(_xll.BQL(Ticker,$B17,"FPT",$C$12,"FPO",E$12,"STD",$H$7,"CONSOL",$H$9, "CURRENCY",$L$7)*1,0)</f>
        <v>0</v>
      </c>
      <c r="F17" s="40">
        <f>IFERROR(_xll.BQL(Ticker,$B17,"FPT",$C$12,"FPO",F$12,"STD",$H$7,"CONSOL",$H$9, "CURRENCY",$L$7)*1,0)</f>
        <v>0</v>
      </c>
      <c r="G17" s="40">
        <f>IFERROR(_xll.BQL(Ticker,$B17,"FPT",$C$12,"FPO",G$12,"STD",$H$7,"CONSOL",$H$9, "CURRENCY",$L$7)*1,0)</f>
        <v>0</v>
      </c>
      <c r="H17" s="40">
        <f>IFERROR(_xll.BQL(Ticker,$B17,"FPT",$C$12,"FPO",H$12,"STD",$H$7,"CONSOL",$H$9, "CURRENCY",$L$7)*1,0)</f>
        <v>0</v>
      </c>
      <c r="I17" s="40">
        <f>IFERROR(_xll.BQL(Ticker,$B17,"FPT",$C$12,"FPO",I$12,"STD",$H$7,"CONSOL",$H$9, "CURRENCY",$L$7)*1,0)</f>
        <v>0</v>
      </c>
      <c r="J17" s="40">
        <f>IFERROR(_xll.BQL(Ticker,$B17,"FPT",$C$12,"FPO",J$12,"STD",$H$7,"CONSOL",$H$9, "CURRENCY",$L$7)*1,0)</f>
        <v>0</v>
      </c>
      <c r="K17" s="40">
        <f>IFERROR(_xll.BQL(Ticker,$B17,"FPT",$C$12,"FPO",K$12,"STD",$H$7,"CONSOL",$H$9, "CURRENCY",$L$7)*1,0)</f>
        <v>0</v>
      </c>
      <c r="L17" s="40">
        <f>IFERROR(_xll.BQL(Ticker,$B17,"FPT",$C$12,"FPO",L$12,"STD",$H$7,"CONSOL",$H$9, "CURRENCY",$L$7)*1,0)</f>
        <v>0</v>
      </c>
      <c r="M17" s="40">
        <f>IFERROR(_xll.BQL(Ticker,$B17,"FPT",$C$12,"FPO",M$12,"STD",$H$7,"CONSOL",$H$9, "CURRENCY",$L$7)*1,0)</f>
        <v>0</v>
      </c>
      <c r="N17" s="40">
        <f>IFERROR(_xll.BQL(Ticker,$B17,"FPT",$C$12,"FPO",N$12,"STD",$H$7,"CONSOL",$H$9, "CURRENCY",$L$7)*1,0)</f>
        <v>0</v>
      </c>
      <c r="O17" s="40"/>
    </row>
    <row r="18" spans="1:16">
      <c r="A18" s="17"/>
      <c r="B18" s="17"/>
      <c r="C18" s="44" t="s">
        <v>13</v>
      </c>
      <c r="D18" s="50">
        <f t="shared" ref="D18:I18" si="1">SUM(D16:D17)</f>
        <v>6718.2</v>
      </c>
      <c r="E18" s="50">
        <f t="shared" si="1"/>
        <v>6723</v>
      </c>
      <c r="F18" s="50">
        <f t="shared" si="1"/>
        <v>7320</v>
      </c>
      <c r="G18" s="50">
        <f t="shared" si="1"/>
        <v>8307</v>
      </c>
      <c r="H18" s="50">
        <f t="shared" si="1"/>
        <v>8657</v>
      </c>
      <c r="I18" s="50">
        <f t="shared" si="1"/>
        <v>9021</v>
      </c>
      <c r="J18" s="50">
        <f>SUM(J16:J17)</f>
        <v>9675</v>
      </c>
      <c r="K18" s="50">
        <f>SUM(K16:K17)</f>
        <v>9946</v>
      </c>
      <c r="L18" s="50">
        <f>SUM(L16:L17)</f>
        <v>11325</v>
      </c>
      <c r="M18" s="50">
        <f>SUM(M16:M17)</f>
        <v>12444</v>
      </c>
      <c r="N18" s="50">
        <f>SUM(N16:N17)</f>
        <v>13601</v>
      </c>
      <c r="O18" s="43"/>
    </row>
    <row r="19" spans="1:16">
      <c r="A19" s="17"/>
      <c r="B19" s="17"/>
      <c r="C19" s="18"/>
      <c r="D19" s="48"/>
      <c r="E19" s="48"/>
      <c r="F19" s="48"/>
      <c r="G19" s="48"/>
      <c r="H19" s="48"/>
      <c r="I19" s="48"/>
      <c r="J19" s="48"/>
      <c r="K19" s="48"/>
      <c r="L19" s="48"/>
      <c r="M19" s="48"/>
      <c r="N19" s="48"/>
      <c r="O19" s="48"/>
    </row>
    <row r="20" spans="1:16">
      <c r="A20" s="17"/>
      <c r="B20" s="17" t="s">
        <v>395</v>
      </c>
      <c r="C20" s="18" t="s">
        <v>14</v>
      </c>
      <c r="D20" s="40">
        <f>IFERROR(_xll.BQL(Ticker,$B20,"FPT",$C$12,"FPO",D$12,"STD",$H$7,"CONSOL",$H$9, "CURRENCY",$L$7)*1,0)</f>
        <v>2131.4</v>
      </c>
      <c r="E20" s="40">
        <f>IFERROR(_xll.BQL(Ticker,$B20,"FPT",$C$12,"FPO",E$12,"STD",$H$7,"CONSOL",$H$9, "CURRENCY",$L$7)*1,0)</f>
        <v>2184</v>
      </c>
      <c r="F20" s="40">
        <f>IFERROR(_xll.BQL(Ticker,$B20,"FPT",$C$12,"FPO",F$12,"STD",$H$7,"CONSOL",$H$9, "CURRENCY",$L$7)*1,0)</f>
        <v>2286</v>
      </c>
      <c r="G20" s="40">
        <f>IFERROR(_xll.BQL(Ticker,$B20,"FPT",$C$12,"FPO",G$12,"STD",$H$7,"CONSOL",$H$9, "CURRENCY",$L$7)*1,0)</f>
        <v>2811</v>
      </c>
      <c r="H20" s="40">
        <f>IFERROR(_xll.BQL(Ticker,$B20,"FPT",$C$12,"FPO",H$12,"STD",$H$7,"CONSOL",$H$9, "CURRENCY",$L$7)*1,0)</f>
        <v>2781</v>
      </c>
      <c r="I20" s="40">
        <f>IFERROR(_xll.BQL(Ticker,$B20,"FPT",$C$12,"FPO",I$12,"STD",$H$7,"CONSOL",$H$9, "CURRENCY",$L$7)*1,0)</f>
        <v>3002</v>
      </c>
      <c r="J20" s="40">
        <f>IFERROR(_xll.BQL(Ticker,$B20,"FPT",$C$12,"FPO",J$12,"STD",$H$7,"CONSOL",$H$9, "CURRENCY",$L$7)*1,0)</f>
        <v>3319</v>
      </c>
      <c r="K20" s="40">
        <f>IFERROR(_xll.BQL(Ticker,$B20,"FPT",$C$12,"FPO",K$12,"STD",$H$7,"CONSOL",$H$9, "CURRENCY",$L$7)*1,0)</f>
        <v>3344</v>
      </c>
      <c r="L20" s="40">
        <f>IFERROR(_xll.BQL(Ticker,$B20,"FPT",$C$12,"FPO",L$12,"STD",$H$7,"CONSOL",$H$9, "CURRENCY",$L$7)*1,0)</f>
        <v>3821</v>
      </c>
      <c r="M20" s="40">
        <f>IFERROR(_xll.BQL(Ticker,$B20,"FPT",$C$12,"FPO",M$12,"STD",$H$7,"CONSOL",$H$9, "CURRENCY",$L$7)*1,0)</f>
        <v>4264</v>
      </c>
      <c r="N20" s="40">
        <f>IFERROR(_xll.BQL(Ticker,$B20,"FPT",$C$12,"FPO",N$12,"STD",$H$7,"CONSOL",$H$9, "CURRENCY",$L$7)*1,0)</f>
        <v>4663</v>
      </c>
      <c r="O20" s="40"/>
    </row>
    <row r="21" spans="1:16">
      <c r="A21" s="17"/>
      <c r="B21" s="17"/>
      <c r="C21" s="44" t="s">
        <v>15</v>
      </c>
      <c r="D21" s="50">
        <f t="shared" ref="D21:I21" si="2">D18-D20</f>
        <v>4586.7999999999993</v>
      </c>
      <c r="E21" s="50">
        <f t="shared" si="2"/>
        <v>4539</v>
      </c>
      <c r="F21" s="50">
        <f t="shared" si="2"/>
        <v>5034</v>
      </c>
      <c r="G21" s="50">
        <f t="shared" si="2"/>
        <v>5496</v>
      </c>
      <c r="H21" s="50">
        <f t="shared" si="2"/>
        <v>5876</v>
      </c>
      <c r="I21" s="50">
        <f t="shared" si="2"/>
        <v>6019</v>
      </c>
      <c r="J21" s="50">
        <f>J18-J20</f>
        <v>6356</v>
      </c>
      <c r="K21" s="50">
        <f>K18-K20</f>
        <v>6602</v>
      </c>
      <c r="L21" s="50">
        <f>L18-L20</f>
        <v>7504</v>
      </c>
      <c r="M21" s="50">
        <f>M18-M20</f>
        <v>8180</v>
      </c>
      <c r="N21" s="50">
        <f>N18-N20</f>
        <v>8938</v>
      </c>
      <c r="O21" s="43"/>
    </row>
    <row r="22" spans="1:16">
      <c r="A22" s="17"/>
      <c r="B22" s="17"/>
      <c r="C22" s="18"/>
      <c r="D22" s="48"/>
      <c r="E22" s="48"/>
      <c r="F22" s="48"/>
      <c r="G22" s="48"/>
      <c r="H22" s="48"/>
      <c r="I22" s="48"/>
      <c r="J22" s="48"/>
      <c r="K22" s="48"/>
      <c r="L22" s="48"/>
      <c r="M22" s="48"/>
      <c r="N22" s="48"/>
    </row>
    <row r="23" spans="1:16">
      <c r="A23" s="17"/>
      <c r="B23" s="17" t="s">
        <v>396</v>
      </c>
      <c r="C23" s="18" t="s">
        <v>16</v>
      </c>
      <c r="D23" s="40">
        <f>IFERROR(_xll.BQL(Ticker,$B23,"FPT",$C$12,"FPO",D$12,"STD",$H$7,"CONSOL",$H$9, "CURRENCY",$L$7)*1,0)</f>
        <v>2625.1</v>
      </c>
      <c r="E23" s="40">
        <f>IFERROR(_xll.BQL(Ticker,$B23,"FPT",$C$12,"FPO",E$12,"STD",$H$7,"CONSOL",$H$9, "CURRENCY",$L$7)*1,0)</f>
        <v>2506</v>
      </c>
      <c r="F23" s="40">
        <f>IFERROR(_xll.BQL(Ticker,$B23,"FPT",$C$12,"FPO",F$12,"STD",$H$7,"CONSOL",$H$9, "CURRENCY",$L$7)*1,0)</f>
        <v>2707</v>
      </c>
      <c r="G23" s="40">
        <f>IFERROR(_xll.BQL(Ticker,$B23,"FPT",$C$12,"FPO",G$12,"STD",$H$7,"CONSOL",$H$9, "CURRENCY",$L$7)*1,0)</f>
        <v>3150</v>
      </c>
      <c r="H23" s="40">
        <f>IFERROR(_xll.BQL(Ticker,$B23,"FPT",$C$12,"FPO",H$12,"STD",$H$7,"CONSOL",$H$9, "CURRENCY",$L$7)*1,0)</f>
        <v>3367</v>
      </c>
      <c r="I23" s="40">
        <f>IFERROR(_xll.BQL(Ticker,$B23,"FPT",$C$12,"FPO",I$12,"STD",$H$7,"CONSOL",$H$9, "CURRENCY",$L$7)*1,0)</f>
        <v>3467</v>
      </c>
      <c r="J23" s="40">
        <f>IFERROR(_xll.BQL(Ticker,$B23,"FPT",$C$12,"FPO",J$12,"STD",$H$7,"CONSOL",$H$9, "CURRENCY",$L$7)*1,0)</f>
        <v>3547</v>
      </c>
      <c r="K23" s="40">
        <f>IFERROR(_xll.BQL(Ticker,$B23,"FPT",$C$12,"FPO",K$12,"STD",$H$7,"CONSOL",$H$9, "CURRENCY",$L$7)*1,0)</f>
        <v>3610</v>
      </c>
      <c r="L23" s="40">
        <f>IFERROR(_xll.BQL(Ticker,$B23,"FPT",$C$12,"FPO",L$12,"STD",$H$7,"CONSOL",$H$9, "CURRENCY",$L$7)*1,0)</f>
        <v>4137</v>
      </c>
      <c r="M23" s="40">
        <f>IFERROR(_xll.BQL(Ticker,$B23,"FPT",$C$12,"FPO",M$12,"STD",$H$7,"CONSOL",$H$9, "CURRENCY",$L$7)*1,0)</f>
        <v>4552</v>
      </c>
      <c r="N23" s="40">
        <f>IFERROR(_xll.BQL(Ticker,$B23,"FPT",$C$12,"FPO",N$12,"STD",$H$7,"CONSOL",$H$9, "CURRENCY",$L$7)*1,0)</f>
        <v>5099</v>
      </c>
      <c r="O23" s="40"/>
    </row>
    <row r="24" spans="1:16">
      <c r="A24" s="17"/>
      <c r="B24" s="17" t="s">
        <v>513</v>
      </c>
      <c r="C24" s="18" t="s">
        <v>17</v>
      </c>
      <c r="D24" s="40">
        <f>IFERROR(_xll.BQL(Ticker,$B24,"FPT",$C$12,"FPO",D$12,"STD",$H$7,"CONSOL",$H$9, "CURRENCY",$L$7)*1,0)</f>
        <v>367.8</v>
      </c>
      <c r="E24" s="40">
        <f>IFERROR(_xll.BQL(Ticker,$B24,"FPT",$C$12,"FPO",E$12,"STD",$H$7,"CONSOL",$H$9, "CURRENCY",$L$7)*1,0)</f>
        <v>336</v>
      </c>
      <c r="F24" s="40">
        <f>IFERROR(_xll.BQL(Ticker,$B24,"FPT",$C$12,"FPO",F$12,"STD",$H$7,"CONSOL",$H$9, "CURRENCY",$L$7)*1,0)</f>
        <v>394</v>
      </c>
      <c r="G24" s="40">
        <f>IFERROR(_xll.BQL(Ticker,$B24,"FPT",$C$12,"FPO",G$12,"STD",$H$7,"CONSOL",$H$9, "CURRENCY",$L$7)*1,0)</f>
        <v>462</v>
      </c>
      <c r="H24" s="40">
        <f>IFERROR(_xll.BQL(Ticker,$B24,"FPT",$C$12,"FPO",H$12,"STD",$H$7,"CONSOL",$H$9, "CURRENCY",$L$7)*1,0)</f>
        <v>471</v>
      </c>
      <c r="I24" s="40">
        <f>IFERROR(_xll.BQL(Ticker,$B24,"FPT",$C$12,"FPO",I$12,"STD",$H$7,"CONSOL",$H$9, "CURRENCY",$L$7)*1,0)</f>
        <v>536</v>
      </c>
      <c r="J24" s="40">
        <f>IFERROR(_xll.BQL(Ticker,$B24,"FPT",$C$12,"FPO",J$12,"STD",$H$7,"CONSOL",$H$9, "CURRENCY",$L$7)*1,0)</f>
        <v>614</v>
      </c>
      <c r="K24" s="40">
        <f>IFERROR(_xll.BQL(Ticker,$B24,"FPT",$C$12,"FPO",K$12,"STD",$H$7,"CONSOL",$H$9, "CURRENCY",$L$7)*1,0)</f>
        <v>625</v>
      </c>
      <c r="L24" s="40">
        <f>IFERROR(_xll.BQL(Ticker,$B24,"FPT",$C$12,"FPO",L$12,"STD",$H$7,"CONSOL",$H$9, "CURRENCY",$L$7)*1,0)</f>
        <v>715</v>
      </c>
      <c r="M24" s="40">
        <f>IFERROR(_xll.BQL(Ticker,$B24,"FPT",$C$12,"FPO",M$12,"STD",$H$7,"CONSOL",$H$9, "CURRENCY",$L$7)*1,0)</f>
        <v>787</v>
      </c>
      <c r="N24" s="40">
        <f>IFERROR(_xll.BQL(Ticker,$B24,"FPT",$C$12,"FPO",N$12,"STD",$H$7,"CONSOL",$H$9, "CURRENCY",$L$7)*1,0)</f>
        <v>862</v>
      </c>
      <c r="O24" s="40"/>
    </row>
    <row r="25" spans="1:16">
      <c r="A25" s="17"/>
      <c r="B25" s="52" t="s">
        <v>506</v>
      </c>
      <c r="C25" s="18" t="s">
        <v>18</v>
      </c>
      <c r="D25" s="40">
        <f>IFERROR(_xll.BQL(Ticker,$B25,"FPT",$C$12,"FPO",D$12,"STD",$H$7,"CONSOL",$H$9, "CURRENCY",$L$7)*1,0)</f>
        <v>155.4</v>
      </c>
      <c r="E25" s="40">
        <f>IFERROR(_xll.BQL(Ticker,$B25,"FPT",$C$12,"FPO",E$12,"STD",$H$7,"CONSOL",$H$9, "CURRENCY",$L$7)*1,0)</f>
        <v>165</v>
      </c>
      <c r="F25" s="40">
        <f>IFERROR(_xll.BQL(Ticker,$B25,"FPT",$C$12,"FPO",F$12,"STD",$H$7,"CONSOL",$H$9, "CURRENCY",$L$7)*1,0)</f>
        <v>165</v>
      </c>
      <c r="G25" s="40">
        <f>IFERROR(_xll.BQL(Ticker,$B25,"FPT",$C$12,"FPO",G$12,"STD",$H$7,"CONSOL",$H$9, "CURRENCY",$L$7)*1,0)</f>
        <v>160</v>
      </c>
      <c r="H25" s="40">
        <f>IFERROR(_xll.BQL(Ticker,$B25,"FPT",$C$12,"FPO",H$12,"STD",$H$7,"CONSOL",$H$9, "CURRENCY",$L$7)*1,0)</f>
        <v>154</v>
      </c>
      <c r="I25" s="40">
        <f>IFERROR(_xll.BQL(Ticker,$B25,"FPT",$C$12,"FPO",I$12,"STD",$H$7,"CONSOL",$H$9, "CURRENCY",$L$7)*1,0)</f>
        <v>169</v>
      </c>
      <c r="J25" s="40">
        <f>IFERROR(_xll.BQL(Ticker,$B25,"FPT",$C$12,"FPO",J$12,"STD",$H$7,"CONSOL",$H$9, "CURRENCY",$L$7)*1,0)</f>
        <v>190</v>
      </c>
      <c r="K25" s="40">
        <f>IFERROR(_xll.BQL(Ticker,$B25,"FPT",$C$12,"FPO",K$12,"STD",$H$7,"CONSOL",$H$9, "CURRENCY",$L$7)*1,0)</f>
        <v>187</v>
      </c>
      <c r="L25" s="40">
        <f>IFERROR(_xll.BQL(Ticker,$B25,"FPT",$C$12,"FPO",L$12,"STD",$H$7,"CONSOL",$H$9, "CURRENCY",$L$7)*1,0)</f>
        <v>227</v>
      </c>
      <c r="M25" s="40">
        <f>IFERROR(_xll.BQL(Ticker,$B25,"FPT",$C$12,"FPO",M$12,"STD",$H$7,"CONSOL",$H$9, "CURRENCY",$L$7)*1,0)</f>
        <v>271</v>
      </c>
      <c r="N25" s="40">
        <f>IFERROR(_xll.BQL(Ticker,$B25,"FPT",$C$12,"FPO",N$12,"STD",$H$7,"CONSOL",$H$9, "CURRENCY",$L$7)*1,0)</f>
        <v>306</v>
      </c>
      <c r="O25" s="40"/>
    </row>
    <row r="26" spans="1:16">
      <c r="A26" s="17"/>
      <c r="B26" s="17" t="s">
        <v>397</v>
      </c>
      <c r="C26" s="18" t="s">
        <v>671</v>
      </c>
      <c r="D26" s="45">
        <f>D21-IFERROR(_xll.BQL(Ticker,$B26,"FPT",$C$12,"FPO",D$12,"STD",$H$7,"CONSOL",$H$9, "CURRENCY",$L$7)*1,0)-SUM(D23:D25)</f>
        <v>-115.400000000001</v>
      </c>
      <c r="E26" s="45">
        <f>E21-IFERROR(_xll.BQL(Ticker,$B26,"FPT",$C$12,"FPO",E$12,"STD",$H$7,"CONSOL",$H$9, "CURRENCY",$L$7)*1,0)-SUM(E23:E25)</f>
        <v>-62</v>
      </c>
      <c r="F26" s="45">
        <f>F21-IFERROR(_xll.BQL(Ticker,$B26,"FPT",$C$12,"FPO",F$12,"STD",$H$7,"CONSOL",$H$9, "CURRENCY",$L$7)*1,0)-SUM(F23:F25)</f>
        <v>17</v>
      </c>
      <c r="G26" s="45">
        <f>G21-IFERROR(_xll.BQL(Ticker,$B26,"FPT",$C$12,"FPO",G$12,"STD",$H$7,"CONSOL",$H$9, "CURRENCY",$L$7)*1,0)-SUM(G23:G25)</f>
        <v>38</v>
      </c>
      <c r="H26" s="45">
        <f>H21-IFERROR(_xll.BQL(Ticker,$B26,"FPT",$C$12,"FPO",H$12,"STD",$H$7,"CONSOL",$H$9, "CURRENCY",$L$7)*1,0)-SUM(H23:H25)</f>
        <v>143</v>
      </c>
      <c r="I26" s="45">
        <f>I21-IFERROR(_xll.BQL(Ticker,$B26,"FPT",$C$12,"FPO",I$12,"STD",$H$7,"CONSOL",$H$9, "CURRENCY",$L$7)*1,0)-SUM(I23:I25)</f>
        <v>591</v>
      </c>
      <c r="J26" s="45">
        <f>J21-IFERROR(_xll.BQL(Ticker,$B26,"FPT",$C$12,"FPO",J$12,"STD",$H$7,"CONSOL",$H$9, "CURRENCY",$L$7)*1,0)-SUM(J23:J25)</f>
        <v>759</v>
      </c>
      <c r="K26" s="45">
        <f>K21-IFERROR(_xll.BQL(Ticker,$B26,"FPT",$C$12,"FPO",K$12,"STD",$H$7,"CONSOL",$H$9, "CURRENCY",$L$7)*1,0)-SUM(K23:K25)</f>
        <v>319</v>
      </c>
      <c r="L26" s="45">
        <f>L21-IFERROR(_xll.BQL(Ticker,$B26,"FPT",$C$12,"FPO",L$12,"STD",$H$7,"CONSOL",$H$9, "CURRENCY",$L$7)*1,0)-SUM(L23:L25)</f>
        <v>250</v>
      </c>
      <c r="M26" s="45">
        <f>M21-IFERROR(_xll.BQL(Ticker,$B26,"FPT",$C$12,"FPO",M$12,"STD",$H$7,"CONSOL",$H$9, "CURRENCY",$L$7)*1,0)-SUM(M23:M25)</f>
        <v>273</v>
      </c>
      <c r="N26" s="45">
        <f>N21-IFERROR(_xll.BQL(Ticker,$B26,"FPT",$C$12,"FPO",N$12,"STD",$H$7,"CONSOL",$H$9, "CURRENCY",$L$7)*1,0)-SUM(N23:N25)</f>
        <v>134</v>
      </c>
      <c r="O26" s="32"/>
    </row>
    <row r="27" spans="1:16">
      <c r="A27" s="17"/>
      <c r="B27" s="17"/>
      <c r="C27" s="44" t="s">
        <v>340</v>
      </c>
      <c r="D27" s="50">
        <f>SUM(D23:D26)</f>
        <v>3032.8999999999992</v>
      </c>
      <c r="E27" s="50">
        <f t="shared" ref="E27:N27" si="3">SUM(E23:E26)</f>
        <v>2945</v>
      </c>
      <c r="F27" s="50">
        <f t="shared" si="3"/>
        <v>3283</v>
      </c>
      <c r="G27" s="50">
        <f t="shared" si="3"/>
        <v>3810</v>
      </c>
      <c r="H27" s="50">
        <f t="shared" si="3"/>
        <v>4135</v>
      </c>
      <c r="I27" s="50">
        <f t="shared" si="3"/>
        <v>4763</v>
      </c>
      <c r="J27" s="50">
        <f t="shared" si="3"/>
        <v>5110</v>
      </c>
      <c r="K27" s="50">
        <f t="shared" si="3"/>
        <v>4741</v>
      </c>
      <c r="L27" s="50">
        <f t="shared" si="3"/>
        <v>5329</v>
      </c>
      <c r="M27" s="50">
        <f t="shared" si="3"/>
        <v>5883</v>
      </c>
      <c r="N27" s="50">
        <f t="shared" si="3"/>
        <v>6401</v>
      </c>
      <c r="O27" s="286"/>
    </row>
    <row r="28" spans="1:16">
      <c r="A28" s="17"/>
      <c r="B28" s="17"/>
      <c r="C28" s="18"/>
      <c r="D28" s="48"/>
      <c r="E28" s="48"/>
      <c r="F28" s="48"/>
      <c r="G28" s="48"/>
      <c r="H28" s="48"/>
      <c r="I28" s="48"/>
      <c r="J28" s="48"/>
      <c r="K28" s="48"/>
      <c r="L28" s="48"/>
      <c r="M28" s="48"/>
      <c r="N28" s="48"/>
    </row>
    <row r="29" spans="1:16">
      <c r="A29" s="17"/>
      <c r="B29" s="17" t="s">
        <v>397</v>
      </c>
      <c r="C29" s="19" t="s">
        <v>19</v>
      </c>
      <c r="D29" s="43">
        <f>IFERROR(_xll.BQL(Ticker,$B29,"FPT",$C$12,"FPO",D$12,"STD",$H$7,"CONSOL",$H$9, "CURRENCY",$L$7)*1,0)</f>
        <v>1553.9</v>
      </c>
      <c r="E29" s="43">
        <f>IFERROR(_xll.BQL(Ticker,$B29,"FPT",$C$12,"FPO",E$12,"STD",$H$7,"CONSOL",$H$9, "CURRENCY",$L$7)*1,0)</f>
        <v>1594</v>
      </c>
      <c r="F29" s="43">
        <f>IFERROR(_xll.BQL(Ticker,$B29,"FPT",$C$12,"FPO",F$12,"STD",$H$7,"CONSOL",$H$9, "CURRENCY",$L$7)*1,0)</f>
        <v>1751</v>
      </c>
      <c r="G29" s="43">
        <f>IFERROR(_xll.BQL(Ticker,$B29,"FPT",$C$12,"FPO",G$12,"STD",$H$7,"CONSOL",$H$9, "CURRENCY",$L$7)*1,0)</f>
        <v>1686</v>
      </c>
      <c r="H29" s="43">
        <f>IFERROR(_xll.BQL(Ticker,$B29,"FPT",$C$12,"FPO",H$12,"STD",$H$7,"CONSOL",$H$9, "CURRENCY",$L$7)*1,0)</f>
        <v>1741</v>
      </c>
      <c r="I29" s="43">
        <f>IFERROR(_xll.BQL(Ticker,$B29,"FPT",$C$12,"FPO",I$12,"STD",$H$7,"CONSOL",$H$9, "CURRENCY",$L$7)*1,0)</f>
        <v>1256</v>
      </c>
      <c r="J29" s="43">
        <f>IFERROR(_xll.BQL(Ticker,$B29,"FPT",$C$12,"FPO",J$12,"STD",$H$7,"CONSOL",$H$9, "CURRENCY",$L$7)*1,0)</f>
        <v>1246</v>
      </c>
      <c r="K29" s="43">
        <f>IFERROR(_xll.BQL(Ticker,$B29,"FPT",$C$12,"FPO",K$12,"STD",$H$7,"CONSOL",$H$9, "CURRENCY",$L$7)*1,0)</f>
        <v>1861</v>
      </c>
      <c r="L29" s="43">
        <f>IFERROR(_xll.BQL(Ticker,$B29,"FPT",$C$12,"FPO",L$12,"STD",$H$7,"CONSOL",$H$9, "CURRENCY",$L$7)*1,0)</f>
        <v>2175</v>
      </c>
      <c r="M29" s="43">
        <f>IFERROR(_xll.BQL(Ticker,$B29,"FPT",$C$12,"FPO",M$12,"STD",$H$7,"CONSOL",$H$9, "CURRENCY",$L$7)*1,0)</f>
        <v>2297</v>
      </c>
      <c r="N29" s="43">
        <f>IFERROR(_xll.BQL(Ticker,$B29,"FPT",$C$12,"FPO",N$12,"STD",$H$7,"CONSOL",$H$9, "CURRENCY",$L$7)*1,0)</f>
        <v>2537</v>
      </c>
      <c r="O29" s="286"/>
      <c r="P29" s="286"/>
    </row>
    <row r="30" spans="1:16">
      <c r="A30" s="17"/>
      <c r="B30" s="17"/>
      <c r="C30" s="18"/>
      <c r="D30" s="48"/>
      <c r="E30" s="48"/>
      <c r="F30" s="48"/>
      <c r="G30" s="48"/>
      <c r="H30" s="48"/>
      <c r="I30" s="48"/>
      <c r="J30" s="48"/>
      <c r="K30" s="48"/>
      <c r="L30" s="48"/>
      <c r="M30" s="48"/>
      <c r="N30" s="48"/>
    </row>
    <row r="31" spans="1:16">
      <c r="A31" s="17"/>
      <c r="B31" s="17" t="s">
        <v>398</v>
      </c>
      <c r="C31" s="18" t="s">
        <v>20</v>
      </c>
      <c r="D31" s="40">
        <f>IFERROR(_xll.BQL(Ticker,$B31,"FPT",$C$12,"FPO",D$12,"STD",$H$7,"CONSOL",$H$9, "CURRENCY",$L$7)*1,0)</f>
        <v>30.5</v>
      </c>
      <c r="E31" s="40">
        <f>IFERROR(_xll.BQL(Ticker,$B31,"FPT",$C$12,"FPO",E$12,"STD",$H$7,"CONSOL",$H$9, "CURRENCY",$L$7)*1,0)</f>
        <v>14</v>
      </c>
      <c r="F31" s="40">
        <f>IFERROR(_xll.BQL(Ticker,$B31,"FPT",$C$12,"FPO",F$12,"STD",$H$7,"CONSOL",$H$9, "CURRENCY",$L$7)*1,0)</f>
        <v>53</v>
      </c>
      <c r="G31" s="40">
        <f>IFERROR(_xll.BQL(Ticker,$B31,"FPT",$C$12,"FPO",G$12,"STD",$H$7,"CONSOL",$H$9, "CURRENCY",$L$7)*1,0)</f>
        <v>56</v>
      </c>
      <c r="H31" s="40">
        <f>IFERROR(_xll.BQL(Ticker,$B31,"FPT",$C$12,"FPO",H$12,"STD",$H$7,"CONSOL",$H$9, "CURRENCY",$L$7)*1,0)</f>
        <v>63</v>
      </c>
      <c r="I31" s="40">
        <f>IFERROR(_xll.BQL(Ticker,$B31,"FPT",$C$12,"FPO",I$12,"STD",$H$7,"CONSOL",$H$9, "CURRENCY",$L$7)*1,0)</f>
        <v>83</v>
      </c>
      <c r="J31" s="40">
        <f>IFERROR(_xll.BQL(Ticker,$B31,"FPT",$C$12,"FPO",J$12,"STD",$H$7,"CONSOL",$H$9, "CURRENCY",$L$7)*1,0)</f>
        <v>113</v>
      </c>
      <c r="K31" s="40">
        <f>IFERROR(_xll.BQL(Ticker,$B31,"FPT",$C$12,"FPO",K$12,"STD",$H$7,"CONSOL",$H$9, "CURRENCY",$L$7)*1,0)</f>
        <v>108</v>
      </c>
      <c r="L31" s="40">
        <f>IFERROR(_xll.BQL(Ticker,$B31,"FPT",$C$12,"FPO",L$12,"STD",$H$7,"CONSOL",$H$9, "CURRENCY",$L$7)*1,0)</f>
        <v>228</v>
      </c>
      <c r="M31" s="40">
        <f>IFERROR(_xll.BQL(Ticker,$B31,"FPT",$C$12,"FPO",M$12,"STD",$H$7,"CONSOL",$H$9, "CURRENCY",$L$7)*1,0)</f>
        <v>247</v>
      </c>
      <c r="N31" s="40">
        <f>IFERROR(_xll.BQL(Ticker,$B31,"FPT",$C$12,"FPO",N$12,"STD",$H$7,"CONSOL",$H$9, "CURRENCY",$L$7)*1,0)</f>
        <v>264</v>
      </c>
    </row>
    <row r="32" spans="1:16">
      <c r="A32" s="17"/>
      <c r="B32" s="17" t="s">
        <v>399</v>
      </c>
      <c r="C32" s="18" t="s">
        <v>280</v>
      </c>
      <c r="D32" s="40">
        <f>IFERROR(_xll.BQL(Ticker,$B32,"FPT",$C$12,"FPO",D$12,"STD",$H$7,"CONSOL",$H$9, "CURRENCY",$L$7)*1,0)</f>
        <v>97.7</v>
      </c>
      <c r="E32" s="40">
        <f>IFERROR(_xll.BQL(Ticker,$B32,"FPT",$C$12,"FPO",E$12,"STD",$H$7,"CONSOL",$H$9, "CURRENCY",$L$7)*1,0)</f>
        <v>0</v>
      </c>
      <c r="F32" s="40">
        <f>IFERROR(_xll.BQL(Ticker,$B32,"FPT",$C$12,"FPO",F$12,"STD",$H$7,"CONSOL",$H$9, "CURRENCY",$L$7)*1,0)</f>
        <v>0</v>
      </c>
      <c r="G32" s="40">
        <f>IFERROR(_xll.BQL(Ticker,$B32,"FPT",$C$12,"FPO",G$12,"STD",$H$7,"CONSOL",$H$9, "CURRENCY",$L$7)*1,0)</f>
        <v>0</v>
      </c>
      <c r="H32" s="40">
        <f>IFERROR(_xll.BQL(Ticker,$B32,"FPT",$C$12,"FPO",H$12,"STD",$H$7,"CONSOL",$H$9, "CURRENCY",$L$7)*1,0)</f>
        <v>0</v>
      </c>
      <c r="I32" s="40">
        <f>IFERROR(_xll.BQL(Ticker,$B32,"FPT",$C$12,"FPO",I$12,"STD",$H$7,"CONSOL",$H$9, "CURRENCY",$L$7)*1,0)</f>
        <v>0</v>
      </c>
      <c r="J32" s="40">
        <f>IFERROR(_xll.BQL(Ticker,$B32,"FPT",$C$12,"FPO",J$12,"STD",$H$7,"CONSOL",$H$9, "CURRENCY",$L$7)*1,0)</f>
        <v>0</v>
      </c>
      <c r="K32" s="40">
        <f>IFERROR(_xll.BQL(Ticker,$B32,"FPT",$C$12,"FPO",K$12,"STD",$H$7,"CONSOL",$H$9, "CURRENCY",$L$7)*1,0)</f>
        <v>0</v>
      </c>
      <c r="L32" s="40">
        <f>IFERROR(_xll.BQL(Ticker,$B32,"FPT",$C$12,"FPO",L$12,"STD",$H$7,"CONSOL",$H$9, "CURRENCY",$L$7)*1,0)</f>
        <v>0</v>
      </c>
      <c r="M32" s="40">
        <f>IFERROR(_xll.BQL(Ticker,$B32,"FPT",$C$12,"FPO",M$12,"STD",$H$7,"CONSOL",$H$9, "CURRENCY",$L$7)*1,0)</f>
        <v>0</v>
      </c>
      <c r="N32" s="40">
        <f>IFERROR(_xll.BQL(Ticker,$B32,"FPT",$C$12,"FPO",N$12,"STD",$H$7,"CONSOL",$H$9, "CURRENCY",$L$7)*1,0)</f>
        <v>0</v>
      </c>
    </row>
    <row r="33" spans="1:16">
      <c r="A33" s="17"/>
      <c r="B33" s="17" t="s">
        <v>400</v>
      </c>
      <c r="C33" s="44" t="s">
        <v>21</v>
      </c>
      <c r="D33" s="50">
        <f>IFERROR(_xll.BQL(Ticker,$B33,"FPT",$C$12,"FPO",D$12,"STD",$H$7,"CONSOL",$H$9, "CURRENCY",$L$7)*1,0)</f>
        <v>-67.2</v>
      </c>
      <c r="E33" s="50">
        <f>IFERROR(_xll.BQL(Ticker,$B33,"FPT",$C$12,"FPO",E$12,"STD",$H$7,"CONSOL",$H$9, "CURRENCY",$L$7)*1,0)</f>
        <v>0</v>
      </c>
      <c r="F33" s="50">
        <f>IFERROR(_xll.BQL(Ticker,$B33,"FPT",$C$12,"FPO",F$12,"STD",$H$7,"CONSOL",$H$9, "CURRENCY",$L$7)*1,0)</f>
        <v>0</v>
      </c>
      <c r="G33" s="50">
        <f>IFERROR(_xll.BQL(Ticker,$B33,"FPT",$C$12,"FPO",G$12,"STD",$H$7,"CONSOL",$H$9, "CURRENCY",$L$7)*1,0)</f>
        <v>0</v>
      </c>
      <c r="H33" s="50">
        <f>IFERROR(_xll.BQL(Ticker,$B33,"FPT",$C$12,"FPO",H$12,"STD",$H$7,"CONSOL",$H$9, "CURRENCY",$L$7)*1,0)</f>
        <v>63</v>
      </c>
      <c r="I33" s="50">
        <f>IFERROR(_xll.BQL(Ticker,$B33,"FPT",$C$12,"FPO",I$12,"STD",$H$7,"CONSOL",$H$9, "CURRENCY",$L$7)*1,0)</f>
        <v>83</v>
      </c>
      <c r="J33" s="50">
        <f>IFERROR(_xll.BQL(Ticker,$B33,"FPT",$C$12,"FPO",J$12,"STD",$H$7,"CONSOL",$H$9, "CURRENCY",$L$7)*1,0)</f>
        <v>113</v>
      </c>
      <c r="K33" s="50">
        <f>IFERROR(_xll.BQL(Ticker,$B33,"FPT",$C$12,"FPO",K$12,"STD",$H$7,"CONSOL",$H$9, "CURRENCY",$L$7)*1,0)</f>
        <v>108</v>
      </c>
      <c r="L33" s="50">
        <f>IFERROR(_xll.BQL(Ticker,$B33,"FPT",$C$12,"FPO",L$12,"STD",$H$7,"CONSOL",$H$9, "CURRENCY",$L$7)*1,0)</f>
        <v>228</v>
      </c>
      <c r="M33" s="50">
        <f>IFERROR(_xll.BQL(Ticker,$B33,"FPT",$C$12,"FPO",M$12,"STD",$H$7,"CONSOL",$H$9, "CURRENCY",$L$7)*1,0)</f>
        <v>247</v>
      </c>
      <c r="N33" s="50">
        <f>IFERROR(_xll.BQL(Ticker,$B33,"FPT",$C$12,"FPO",N$12,"STD",$H$7,"CONSOL",$H$9, "CURRENCY",$L$7)*1,0)</f>
        <v>264</v>
      </c>
    </row>
    <row r="34" spans="1:16">
      <c r="A34" s="17"/>
      <c r="B34" s="17"/>
      <c r="C34" s="18"/>
      <c r="D34" s="48"/>
      <c r="E34" s="48"/>
      <c r="F34" s="48"/>
      <c r="G34" s="48"/>
      <c r="H34" s="48"/>
      <c r="I34" s="48"/>
      <c r="J34" s="48"/>
      <c r="K34" s="48"/>
      <c r="L34" s="48"/>
      <c r="M34" s="48"/>
      <c r="N34" s="48"/>
    </row>
    <row r="35" spans="1:16">
      <c r="A35" s="17"/>
      <c r="B35" s="17" t="s">
        <v>401</v>
      </c>
      <c r="C35" s="18" t="s">
        <v>362</v>
      </c>
      <c r="D35" s="40">
        <f>IFERROR(_xll.BQL(Ticker,$B35,"FPT",$C$12,"FPO",D$12,"STD",$H$7,"CONSOL",$H$9, "CURRENCY",$L$7)*1,0)</f>
        <v>0</v>
      </c>
      <c r="E35" s="40">
        <f>IFERROR(_xll.BQL(Ticker,$B35,"FPT",$C$12,"FPO",E$12,"STD",$H$7,"CONSOL",$H$9, "CURRENCY",$L$7)*1,0)</f>
        <v>0</v>
      </c>
      <c r="F35" s="40">
        <f>IFERROR(_xll.BQL(Ticker,$B35,"FPT",$C$12,"FPO",F$12,"STD",$H$7,"CONSOL",$H$9, "CURRENCY",$L$7)*1,0)</f>
        <v>0</v>
      </c>
      <c r="G35" s="40">
        <f>IFERROR(_xll.BQL(Ticker,$B35,"FPT",$C$12,"FPO",G$12,"STD",$H$7,"CONSOL",$H$9, "CURRENCY",$L$7)*1,0)</f>
        <v>0</v>
      </c>
      <c r="H35" s="40">
        <f>IFERROR(_xll.BQL(Ticker,$B35,"FPT",$C$12,"FPO",H$12,"STD",$H$7,"CONSOL",$H$9, "CURRENCY",$L$7)*1,0)</f>
        <v>0</v>
      </c>
      <c r="I35" s="40">
        <f>IFERROR(_xll.BQL(Ticker,$B35,"FPT",$C$12,"FPO",I$12,"STD",$H$7,"CONSOL",$H$9, "CURRENCY",$L$7)*1,0)</f>
        <v>0</v>
      </c>
      <c r="J35" s="40">
        <f>IFERROR(_xll.BQL(Ticker,$B35,"FPT",$C$12,"FPO",J$12,"STD",$H$7,"CONSOL",$H$9, "CURRENCY",$L$7)*1,0)</f>
        <v>0</v>
      </c>
      <c r="K35" s="40">
        <f>IFERROR(_xll.BQL(Ticker,$B35,"FPT",$C$12,"FPO",K$12,"STD",$H$7,"CONSOL",$H$9, "CURRENCY",$L$7)*1,0)</f>
        <v>0</v>
      </c>
      <c r="L35" s="40">
        <f>IFERROR(_xll.BQL(Ticker,$B35,"FPT",$C$12,"FPO",L$12,"STD",$H$7,"CONSOL",$H$9, "CURRENCY",$L$7)*1,0)</f>
        <v>0</v>
      </c>
      <c r="M35" s="40">
        <f>IFERROR(_xll.BQL(Ticker,$B35,"FPT",$C$12,"FPO",M$12,"STD",$H$7,"CONSOL",$H$9, "CURRENCY",$L$7)*1,0)</f>
        <v>0</v>
      </c>
      <c r="N35" s="40">
        <f>IFERROR(_xll.BQL(Ticker,$B35,"FPT",$C$12,"FPO",N$12,"STD",$H$7,"CONSOL",$H$9, "CURRENCY",$L$7)*1,0)</f>
        <v>0</v>
      </c>
    </row>
    <row r="36" spans="1:16">
      <c r="A36" s="17"/>
      <c r="B36" s="17" t="s">
        <v>402</v>
      </c>
      <c r="C36" s="18" t="s">
        <v>363</v>
      </c>
      <c r="D36" s="40">
        <f>IFERROR(_xll.BQL(Ticker,$B36,"FPT",$C$12,"FPO",D$12,"STD",$H$7,"CONSOL",$H$9, "CURRENCY",$L$7)*1,0)</f>
        <v>-56.8</v>
      </c>
      <c r="E36" s="40">
        <f>IFERROR(_xll.BQL(Ticker,$B36,"FPT",$C$12,"FPO",E$12,"STD",$H$7,"CONSOL",$H$9, "CURRENCY",$L$7)*1,0)</f>
        <v>-44</v>
      </c>
      <c r="F36" s="40">
        <f>IFERROR(_xll.BQL(Ticker,$B36,"FPT",$C$12,"FPO",F$12,"STD",$H$7,"CONSOL",$H$9, "CURRENCY",$L$7)*1,0)</f>
        <v>-31</v>
      </c>
      <c r="G36" s="40">
        <f>IFERROR(_xll.BQL(Ticker,$B36,"FPT",$C$12,"FPO",G$12,"STD",$H$7,"CONSOL",$H$9, "CURRENCY",$L$7)*1,0)</f>
        <v>0</v>
      </c>
      <c r="H36" s="40">
        <f>IFERROR(_xll.BQL(Ticker,$B36,"FPT",$C$12,"FPO",H$12,"STD",$H$7,"CONSOL",$H$9, "CURRENCY",$L$7)*1,0)</f>
        <v>-27</v>
      </c>
      <c r="I36" s="40">
        <f>IFERROR(_xll.BQL(Ticker,$B36,"FPT",$C$12,"FPO",I$12,"STD",$H$7,"CONSOL",$H$9, "CURRENCY",$L$7)*1,0)</f>
        <v>-39</v>
      </c>
      <c r="J36" s="40">
        <f>IFERROR(_xll.BQL(Ticker,$B36,"FPT",$C$12,"FPO",J$12,"STD",$H$7,"CONSOL",$H$9, "CURRENCY",$L$7)*1,0)</f>
        <v>-27</v>
      </c>
      <c r="K36" s="40">
        <f>IFERROR(_xll.BQL(Ticker,$B36,"FPT",$C$12,"FPO",K$12,"STD",$H$7,"CONSOL",$H$9, "CURRENCY",$L$7)*1,0)</f>
        <v>18</v>
      </c>
      <c r="L36" s="40">
        <f>IFERROR(_xll.BQL(Ticker,$B36,"FPT",$C$12,"FPO",L$12,"STD",$H$7,"CONSOL",$H$9, "CURRENCY",$L$7)*1,0)</f>
        <v>26</v>
      </c>
      <c r="M36" s="40">
        <f>IFERROR(_xll.BQL(Ticker,$B36,"FPT",$C$12,"FPO",M$12,"STD",$H$7,"CONSOL",$H$9, "CURRENCY",$L$7)*1,0)</f>
        <v>-13</v>
      </c>
      <c r="N36" s="40">
        <f>IFERROR(_xll.BQL(Ticker,$B36,"FPT",$C$12,"FPO",N$12,"STD",$H$7,"CONSOL",$H$9, "CURRENCY",$L$7)*1,0)</f>
        <v>-83</v>
      </c>
    </row>
    <row r="37" spans="1:16">
      <c r="A37" s="17"/>
      <c r="B37" s="17"/>
      <c r="C37" s="44" t="s">
        <v>22</v>
      </c>
      <c r="D37" s="50">
        <f>D29-D33-D35-D36</f>
        <v>1677.9</v>
      </c>
      <c r="E37" s="50">
        <f>E29-E33-E35-E36</f>
        <v>1638</v>
      </c>
      <c r="F37" s="50">
        <f t="shared" ref="F37:N37" si="4">F29-F33-F35-F36</f>
        <v>1782</v>
      </c>
      <c r="G37" s="50">
        <f t="shared" si="4"/>
        <v>1686</v>
      </c>
      <c r="H37" s="50">
        <f t="shared" si="4"/>
        <v>1705</v>
      </c>
      <c r="I37" s="50">
        <f t="shared" si="4"/>
        <v>1212</v>
      </c>
      <c r="J37" s="50">
        <f t="shared" si="4"/>
        <v>1160</v>
      </c>
      <c r="K37" s="50">
        <f t="shared" si="4"/>
        <v>1735</v>
      </c>
      <c r="L37" s="50">
        <f t="shared" si="4"/>
        <v>1921</v>
      </c>
      <c r="M37" s="50">
        <f t="shared" si="4"/>
        <v>2063</v>
      </c>
      <c r="N37" s="50">
        <f t="shared" si="4"/>
        <v>2356</v>
      </c>
    </row>
    <row r="38" spans="1:16">
      <c r="A38" s="17"/>
      <c r="B38" s="17"/>
      <c r="C38" s="18"/>
      <c r="D38" s="48"/>
      <c r="E38" s="48"/>
      <c r="F38" s="48"/>
      <c r="G38" s="48"/>
      <c r="H38" s="48"/>
      <c r="I38" s="48"/>
      <c r="J38" s="48"/>
      <c r="K38" s="48"/>
      <c r="L38" s="48"/>
      <c r="M38" s="48"/>
      <c r="N38" s="48"/>
    </row>
    <row r="39" spans="1:16" ht="15" customHeight="1">
      <c r="A39" s="17"/>
      <c r="B39" s="52" t="s">
        <v>495</v>
      </c>
      <c r="C39" s="18" t="s">
        <v>23</v>
      </c>
      <c r="D39" s="40">
        <f>IFERROR(_xll.BQL(Ticker,$B39,"FPT",$C$12,"FPO",D$12,"STD",$H$7,"CONSOL",$H$9, "CURRENCY",$L$7)*1,0)</f>
        <v>0</v>
      </c>
      <c r="E39" s="40">
        <f>IFERROR(_xll.BQL(Ticker,$B39,"FPT",$C$12,"FPO",E$12,"STD",$H$7,"CONSOL",$H$9, "CURRENCY",$L$7)*1,0)</f>
        <v>0</v>
      </c>
      <c r="F39" s="40">
        <f>IFERROR(_xll.BQL(Ticker,$B39,"FPT",$C$12,"FPO",F$12,"STD",$H$7,"CONSOL",$H$9, "CURRENCY",$L$7)*1,0)</f>
        <v>0</v>
      </c>
      <c r="G39" s="40">
        <f>IFERROR(_xll.BQL(Ticker,$B39,"FPT",$C$12,"FPO",G$12,"STD",$H$7,"CONSOL",$H$9, "CURRENCY",$L$7)*1,0)</f>
        <v>0</v>
      </c>
      <c r="H39" s="40">
        <f>IFERROR(_xll.BQL(Ticker,$B39,"FPT",$C$12,"FPO",H$12,"STD",$H$7,"CONSOL",$H$9, "CURRENCY",$L$7)*1,0)</f>
        <v>0</v>
      </c>
      <c r="I39" s="40">
        <f>IFERROR(_xll.BQL(Ticker,$B39,"FPT",$C$12,"FPO",I$12,"STD",$H$7,"CONSOL",$H$9, "CURRENCY",$L$7)*1,0)</f>
        <v>0</v>
      </c>
      <c r="J39" s="40">
        <f>IFERROR(_xll.BQL(Ticker,$B39,"FPT",$C$12,"FPO",J$12,"STD",$H$7,"CONSOL",$H$9, "CURRENCY",$L$7)*1,0)</f>
        <v>0</v>
      </c>
      <c r="K39" s="40">
        <f>IFERROR(_xll.BQL(Ticker,$B39,"FPT",$C$12,"FPO",K$12,"STD",$H$7,"CONSOL",$H$9, "CURRENCY",$L$7)*1,0)</f>
        <v>0</v>
      </c>
      <c r="L39" s="40">
        <f>IFERROR(_xll.BQL(Ticker,$B39,"FPT",$C$12,"FPO",L$12,"STD",$H$7,"CONSOL",$H$9, "CURRENCY",$L$7)*1,0)</f>
        <v>0</v>
      </c>
      <c r="M39" s="40">
        <f>IFERROR(_xll.BQL(Ticker,$B39,"FPT",$C$12,"FPO",M$12,"STD",$H$7,"CONSOL",$H$9, "CURRENCY",$L$7)*1,0)</f>
        <v>0</v>
      </c>
      <c r="N39" s="40">
        <f>IFERROR(_xll.BQL(Ticker,$B39,"FPT",$C$12,"FPO",N$12,"STD",$H$7,"CONSOL",$H$9, "CURRENCY",$L$7)*1,0)</f>
        <v>0</v>
      </c>
    </row>
    <row r="40" spans="1:16">
      <c r="A40" s="17"/>
      <c r="B40" s="52" t="s">
        <v>497</v>
      </c>
      <c r="C40" s="18" t="s">
        <v>24</v>
      </c>
      <c r="D40" s="40">
        <f>IFERROR(_xll.BQL(Ticker,$B40,"FPT",$C$12,"FPO",D$12,"STD",$H$7,"CONSOL",$H$9, "CURRENCY",$L$7)*1,0)</f>
        <v>0</v>
      </c>
      <c r="E40" s="40">
        <f>IFERROR(_xll.BQL(Ticker,$B40,"FPT",$C$12,"FPO",E$12,"STD",$H$7,"CONSOL",$H$9, "CURRENCY",$L$7)*1,0)</f>
        <v>0</v>
      </c>
      <c r="F40" s="40">
        <f>IFERROR(_xll.BQL(Ticker,$B40,"FPT",$C$12,"FPO",F$12,"STD",$H$7,"CONSOL",$H$9, "CURRENCY",$L$7)*1,0)</f>
        <v>-24</v>
      </c>
      <c r="G40" s="40">
        <f>IFERROR(_xll.BQL(Ticker,$B40,"FPT",$C$12,"FPO",G$12,"STD",$H$7,"CONSOL",$H$9, "CURRENCY",$L$7)*1,0)</f>
        <v>0</v>
      </c>
      <c r="H40" s="40">
        <f>IFERROR(_xll.BQL(Ticker,$B40,"FPT",$C$12,"FPO",H$12,"STD",$H$7,"CONSOL",$H$9, "CURRENCY",$L$7)*1,0)</f>
        <v>0</v>
      </c>
      <c r="I40" s="40">
        <f>IFERROR(_xll.BQL(Ticker,$B40,"FPT",$C$12,"FPO",I$12,"STD",$H$7,"CONSOL",$H$9, "CURRENCY",$L$7)*1,0)</f>
        <v>0</v>
      </c>
      <c r="J40" s="40">
        <f>IFERROR(_xll.BQL(Ticker,$B40,"FPT",$C$12,"FPO",J$12,"STD",$H$7,"CONSOL",$H$9, "CURRENCY",$L$7)*1,0)</f>
        <v>0</v>
      </c>
      <c r="K40" s="40">
        <f>IFERROR(_xll.BQL(Ticker,$B40,"FPT",$C$12,"FPO",K$12,"STD",$H$7,"CONSOL",$H$9, "CURRENCY",$L$7)*1,0)</f>
        <v>0</v>
      </c>
      <c r="L40" s="40">
        <f>IFERROR(_xll.BQL(Ticker,$B40,"FPT",$C$12,"FPO",L$12,"STD",$H$7,"CONSOL",$H$9, "CURRENCY",$L$7)*1,0)</f>
        <v>0</v>
      </c>
      <c r="M40" s="40">
        <f>IFERROR(_xll.BQL(Ticker,$B40,"FPT",$C$12,"FPO",M$12,"STD",$H$7,"CONSOL",$H$9, "CURRENCY",$L$7)*1,0)</f>
        <v>0</v>
      </c>
      <c r="N40" s="40">
        <f>IFERROR(_xll.BQL(Ticker,$B40,"FPT",$C$12,"FPO",N$12,"STD",$H$7,"CONSOL",$H$9, "CURRENCY",$L$7)*1,0)</f>
        <v>0</v>
      </c>
      <c r="O40" s="284"/>
      <c r="P40" s="284"/>
    </row>
    <row r="41" spans="1:16">
      <c r="A41" s="17"/>
      <c r="B41" s="52" t="s">
        <v>496</v>
      </c>
      <c r="C41" s="18" t="s">
        <v>25</v>
      </c>
      <c r="D41" s="40">
        <f>IFERROR(_xll.BQL(Ticker,$B41,"FPT",$C$12,"FPO",D$12,"STD",$H$7,"CONSOL",$H$9, "CURRENCY",$L$7)*1,0)</f>
        <v>0</v>
      </c>
      <c r="E41" s="40">
        <f>IFERROR(_xll.BQL(Ticker,$B41,"FPT",$C$12,"FPO",E$12,"STD",$H$7,"CONSOL",$H$9, "CURRENCY",$L$7)*1,0)</f>
        <v>0</v>
      </c>
      <c r="F41" s="40">
        <f>IFERROR(_xll.BQL(Ticker,$B41,"FPT",$C$12,"FPO",F$12,"STD",$H$7,"CONSOL",$H$9, "CURRENCY",$L$7)*1,0)</f>
        <v>124</v>
      </c>
      <c r="G41" s="40">
        <f>IFERROR(_xll.BQL(Ticker,$B41,"FPT",$C$12,"FPO",G$12,"STD",$H$7,"CONSOL",$H$9, "CURRENCY",$L$7)*1,0)</f>
        <v>0</v>
      </c>
      <c r="H41" s="40">
        <f>IFERROR(_xll.BQL(Ticker,$B41,"FPT",$C$12,"FPO",H$12,"STD",$H$7,"CONSOL",$H$9, "CURRENCY",$L$7)*1,0)</f>
        <v>0</v>
      </c>
      <c r="I41" s="40">
        <f>IFERROR(_xll.BQL(Ticker,$B41,"FPT",$C$12,"FPO",I$12,"STD",$H$7,"CONSOL",$H$9, "CURRENCY",$L$7)*1,0)</f>
        <v>0</v>
      </c>
      <c r="J41" s="40">
        <f>IFERROR(_xll.BQL(Ticker,$B41,"FPT",$C$12,"FPO",J$12,"STD",$H$7,"CONSOL",$H$9, "CURRENCY",$L$7)*1,0)</f>
        <v>0</v>
      </c>
      <c r="K41" s="40">
        <f>IFERROR(_xll.BQL(Ticker,$B41,"FPT",$C$12,"FPO",K$12,"STD",$H$7,"CONSOL",$H$9, "CURRENCY",$L$7)*1,0)</f>
        <v>0</v>
      </c>
      <c r="L41" s="40">
        <f>IFERROR(_xll.BQL(Ticker,$B41,"FPT",$C$12,"FPO",L$12,"STD",$H$7,"CONSOL",$H$9, "CURRENCY",$L$7)*1,0)</f>
        <v>0</v>
      </c>
      <c r="M41" s="40">
        <f>IFERROR(_xll.BQL(Ticker,$B41,"FPT",$C$12,"FPO",M$12,"STD",$H$7,"CONSOL",$H$9, "CURRENCY",$L$7)*1,0)</f>
        <v>0</v>
      </c>
      <c r="N41" s="40">
        <f>IFERROR(_xll.BQL(Ticker,$B41,"FPT",$C$12,"FPO",N$12,"STD",$H$7,"CONSOL",$H$9, "CURRENCY",$L$7)*1,0)</f>
        <v>0</v>
      </c>
    </row>
    <row r="42" spans="1:16">
      <c r="A42" s="17"/>
      <c r="B42" s="52" t="s">
        <v>498</v>
      </c>
      <c r="C42" s="18" t="s">
        <v>26</v>
      </c>
      <c r="D42" s="40">
        <f>IFERROR(_xll.BQL(Ticker,$B42,"FPT",$C$12,"FPO",D$12,"STD",$H$7,"CONSOL",$H$9, "CURRENCY",$L$7)*1,0)</f>
        <v>0</v>
      </c>
      <c r="E42" s="40">
        <f>IFERROR(_xll.BQL(Ticker,$B42,"FPT",$C$12,"FPO",E$12,"STD",$H$7,"CONSOL",$H$9, "CURRENCY",$L$7)*1,0)</f>
        <v>-40.950000000000003</v>
      </c>
      <c r="F42" s="40">
        <f>IFERROR(_xll.BQL(Ticker,$B42,"FPT",$C$12,"FPO",F$12,"STD",$H$7,"CONSOL",$H$9, "CURRENCY",$L$7)*1,0)</f>
        <v>0</v>
      </c>
      <c r="G42" s="40">
        <f>IFERROR(_xll.BQL(Ticker,$B42,"FPT",$C$12,"FPO",G$12,"STD",$H$7,"CONSOL",$H$9, "CURRENCY",$L$7)*1,0)</f>
        <v>0.65</v>
      </c>
      <c r="H42" s="40">
        <f>IFERROR(_xll.BQL(Ticker,$B42,"FPT",$C$12,"FPO",H$12,"STD",$H$7,"CONSOL",$H$9, "CURRENCY",$L$7)*1,0)</f>
        <v>166</v>
      </c>
      <c r="I42" s="40">
        <f>IFERROR(_xll.BQL(Ticker,$B42,"FPT",$C$12,"FPO",I$12,"STD",$H$7,"CONSOL",$H$9, "CURRENCY",$L$7)*1,0)</f>
        <v>523</v>
      </c>
      <c r="J42" s="40">
        <f>IFERROR(_xll.BQL(Ticker,$B42,"FPT",$C$12,"FPO",J$12,"STD",$H$7,"CONSOL",$H$9, "CURRENCY",$L$7)*1,0)</f>
        <v>628</v>
      </c>
      <c r="K42" s="40">
        <f>IFERROR(_xll.BQL(Ticker,$B42,"FPT",$C$12,"FPO",K$12,"STD",$H$7,"CONSOL",$H$9, "CURRENCY",$L$7)*1,0)</f>
        <v>164</v>
      </c>
      <c r="L42" s="40">
        <f>IFERROR(_xll.BQL(Ticker,$B42,"FPT",$C$12,"FPO",L$12,"STD",$H$7,"CONSOL",$H$9, "CURRENCY",$L$7)*1,0)</f>
        <v>-7</v>
      </c>
      <c r="M42" s="40">
        <f>IFERROR(_xll.BQL(Ticker,$B42,"FPT",$C$12,"FPO",M$12,"STD",$H$7,"CONSOL",$H$9, "CURRENCY",$L$7)*1,0)</f>
        <v>25</v>
      </c>
      <c r="N42" s="40">
        <f>IFERROR(_xll.BQL(Ticker,$B42,"FPT",$C$12,"FPO",N$12,"STD",$H$7,"CONSOL",$H$9, "CURRENCY",$L$7)*1,0)</f>
        <v>141</v>
      </c>
    </row>
    <row r="43" spans="1:16">
      <c r="A43" s="17"/>
      <c r="B43" s="52"/>
      <c r="C43" s="18" t="s">
        <v>27</v>
      </c>
      <c r="D43" s="40">
        <f>D37-D39-D40-D41-D42-D44</f>
        <v>97.700000000000045</v>
      </c>
      <c r="E43" s="40">
        <f t="shared" ref="E43:M43" si="5">E37-E39-E40-E41-E42-E44</f>
        <v>54.950000000000045</v>
      </c>
      <c r="F43" s="40">
        <f t="shared" si="5"/>
        <v>-47</v>
      </c>
      <c r="G43" s="40">
        <f t="shared" si="5"/>
        <v>-0.65000000000009095</v>
      </c>
      <c r="H43" s="40">
        <f t="shared" si="5"/>
        <v>-166</v>
      </c>
      <c r="I43" s="40">
        <f t="shared" si="5"/>
        <v>-523</v>
      </c>
      <c r="J43" s="40">
        <f t="shared" si="5"/>
        <v>-628</v>
      </c>
      <c r="K43" s="40">
        <f t="shared" si="5"/>
        <v>-164</v>
      </c>
      <c r="L43" s="40">
        <f t="shared" si="5"/>
        <v>7</v>
      </c>
      <c r="M43" s="40">
        <f t="shared" si="5"/>
        <v>-25</v>
      </c>
      <c r="N43" s="39">
        <f>N37-N39-N40-N41-N42-N44</f>
        <v>-141</v>
      </c>
      <c r="O43" s="283"/>
      <c r="P43" s="283"/>
    </row>
    <row r="44" spans="1:16">
      <c r="A44" s="17"/>
      <c r="B44" s="17" t="s">
        <v>403</v>
      </c>
      <c r="C44" s="44" t="s">
        <v>28</v>
      </c>
      <c r="D44" s="50">
        <f>IFERROR(_xll.BQL(Ticker,$B44,"FPT",$C$12,"FPO",D$12,"STD",$H$7,"CONSOL",$H$9, "CURRENCY",$L$7)*1,0)</f>
        <v>1580.2</v>
      </c>
      <c r="E44" s="50">
        <f>IFERROR(_xll.BQL(Ticker,$B44,"FPT",$C$12,"FPO",E$12,"STD",$H$7,"CONSOL",$H$9, "CURRENCY",$L$7)*1,0)</f>
        <v>1624</v>
      </c>
      <c r="F44" s="50">
        <f>IFERROR(_xll.BQL(Ticker,$B44,"FPT",$C$12,"FPO",F$12,"STD",$H$7,"CONSOL",$H$9, "CURRENCY",$L$7)*1,0)</f>
        <v>1729</v>
      </c>
      <c r="G44" s="50">
        <f>IFERROR(_xll.BQL(Ticker,$B44,"FPT",$C$12,"FPO",G$12,"STD",$H$7,"CONSOL",$H$9, "CURRENCY",$L$7)*1,0)</f>
        <v>1686</v>
      </c>
      <c r="H44" s="50">
        <f>IFERROR(_xll.BQL(Ticker,$B44,"FPT",$C$12,"FPO",H$12,"STD",$H$7,"CONSOL",$H$9, "CURRENCY",$L$7)*1,0)</f>
        <v>1705</v>
      </c>
      <c r="I44" s="50">
        <f>IFERROR(_xll.BQL(Ticker,$B44,"FPT",$C$12,"FPO",I$12,"STD",$H$7,"CONSOL",$H$9, "CURRENCY",$L$7)*1,0)</f>
        <v>1212</v>
      </c>
      <c r="J44" s="50">
        <f>IFERROR(_xll.BQL(Ticker,$B44,"FPT",$C$12,"FPO",J$12,"STD",$H$7,"CONSOL",$H$9, "CURRENCY",$L$7)*1,0)</f>
        <v>1160</v>
      </c>
      <c r="K44" s="50">
        <f>IFERROR(_xll.BQL(Ticker,$B44,"FPT",$C$12,"FPO",K$12,"STD",$H$7,"CONSOL",$H$9, "CURRENCY",$L$7)*1,0)</f>
        <v>1735</v>
      </c>
      <c r="L44" s="50">
        <f>IFERROR(_xll.BQL(Ticker,$B44,"FPT",$C$12,"FPO",L$12,"STD",$H$7,"CONSOL",$H$9, "CURRENCY",$L$7)*1,0)</f>
        <v>1921</v>
      </c>
      <c r="M44" s="50">
        <f>IFERROR(_xll.BQL(Ticker,$B44,"FPT",$C$12,"FPO",M$12,"STD",$H$7,"CONSOL",$H$9, "CURRENCY",$L$7)*1,0)</f>
        <v>2063</v>
      </c>
      <c r="N44" s="50">
        <f>IFERROR(_xll.BQL(Ticker,$B44,"FPT",$C$12,"FPO",N$12,"STD",$H$7,"CONSOL",$H$9, "CURRENCY",$L$7)*1,0)</f>
        <v>2356</v>
      </c>
      <c r="O44" s="283"/>
      <c r="P44" s="284"/>
    </row>
    <row r="45" spans="1:16">
      <c r="A45" s="17"/>
      <c r="B45" s="17"/>
      <c r="C45" s="18"/>
      <c r="D45" s="38"/>
      <c r="E45" s="38"/>
      <c r="F45" s="38"/>
      <c r="G45" s="38"/>
      <c r="H45" s="38"/>
      <c r="I45" s="38"/>
      <c r="J45" s="38"/>
      <c r="K45" s="38"/>
      <c r="L45" s="38"/>
      <c r="M45" s="38"/>
      <c r="N45" s="38"/>
    </row>
    <row r="46" spans="1:16">
      <c r="A46" s="17"/>
      <c r="B46" s="17" t="s">
        <v>404</v>
      </c>
      <c r="C46" s="18" t="s">
        <v>29</v>
      </c>
      <c r="D46" s="40">
        <f>IFERROR(_xll.BQL(Ticker,$B46,"FPT",$C$12,"FPO",D$12,"STD",$H$7,"CONSOL",$H$9, "CURRENCY",$L$7)*1,0)</f>
        <v>432.4</v>
      </c>
      <c r="E46" s="40">
        <f>IFERROR(_xll.BQL(Ticker,$B46,"FPT",$C$12,"FPO",E$12,"STD",$H$7,"CONSOL",$H$9, "CURRENCY",$L$7)*1,0)</f>
        <v>517</v>
      </c>
      <c r="F46" s="40">
        <f>IFERROR(_xll.BQL(Ticker,$B46,"FPT",$C$12,"FPO",F$12,"STD",$H$7,"CONSOL",$H$9, "CURRENCY",$L$7)*1,0)</f>
        <v>456</v>
      </c>
      <c r="G46" s="40">
        <f>IFERROR(_xll.BQL(Ticker,$B46,"FPT",$C$12,"FPO",G$12,"STD",$H$7,"CONSOL",$H$9, "CURRENCY",$L$7)*1,0)</f>
        <v>341</v>
      </c>
      <c r="H46" s="40">
        <f>IFERROR(_xll.BQL(Ticker,$B46,"FPT",$C$12,"FPO",H$12,"STD",$H$7,"CONSOL",$H$9, "CURRENCY",$L$7)*1,0)</f>
        <v>407</v>
      </c>
      <c r="I46" s="40">
        <f>IFERROR(_xll.BQL(Ticker,$B46,"FPT",$C$12,"FPO",I$12,"STD",$H$7,"CONSOL",$H$9, "CURRENCY",$L$7)*1,0)</f>
        <v>206</v>
      </c>
      <c r="J46" s="40">
        <f>IFERROR(_xll.BQL(Ticker,$B46,"FPT",$C$12,"FPO",J$12,"STD",$H$7,"CONSOL",$H$9, "CURRENCY",$L$7)*1,0)</f>
        <v>645</v>
      </c>
      <c r="K46" s="40">
        <f>IFERROR(_xll.BQL(Ticker,$B46,"FPT",$C$12,"FPO",K$12,"STD",$H$7,"CONSOL",$H$9, "CURRENCY",$L$7)*1,0)</f>
        <v>296</v>
      </c>
      <c r="L46" s="40">
        <f>IFERROR(_xll.BQL(Ticker,$B46,"FPT",$C$12,"FPO",L$12,"STD",$H$7,"CONSOL",$H$9, "CURRENCY",$L$7)*1,0)</f>
        <v>274</v>
      </c>
      <c r="M46" s="40">
        <f>IFERROR(_xll.BQL(Ticker,$B46,"FPT",$C$12,"FPO",M$12,"STD",$H$7,"CONSOL",$H$9, "CURRENCY",$L$7)*1,0)</f>
        <v>1043</v>
      </c>
      <c r="N46" s="40">
        <f>IFERROR(_xll.BQL(Ticker,$B46,"FPT",$C$12,"FPO",N$12,"STD",$H$7,"CONSOL",$H$9, "CURRENCY",$L$7)*1,0)</f>
        <v>-1197</v>
      </c>
    </row>
    <row r="47" spans="1:16">
      <c r="A47" s="17"/>
      <c r="B47" s="17"/>
      <c r="C47" s="44" t="s">
        <v>30</v>
      </c>
      <c r="D47" s="50">
        <f t="shared" ref="D47:I47" si="6">D44-D46</f>
        <v>1147.8000000000002</v>
      </c>
      <c r="E47" s="50">
        <f t="shared" si="6"/>
        <v>1107</v>
      </c>
      <c r="F47" s="50">
        <f t="shared" si="6"/>
        <v>1273</v>
      </c>
      <c r="G47" s="50">
        <f t="shared" si="6"/>
        <v>1345</v>
      </c>
      <c r="H47" s="50">
        <f t="shared" si="6"/>
        <v>1298</v>
      </c>
      <c r="I47" s="50">
        <f t="shared" si="6"/>
        <v>1006</v>
      </c>
      <c r="J47" s="50">
        <f>J44-J46</f>
        <v>515</v>
      </c>
      <c r="K47" s="50">
        <f>K44-K46</f>
        <v>1439</v>
      </c>
      <c r="L47" s="50">
        <f>L44-L46</f>
        <v>1647</v>
      </c>
      <c r="M47" s="50">
        <f>M44-M46</f>
        <v>1020</v>
      </c>
      <c r="N47" s="50">
        <f>N44-N46</f>
        <v>3553</v>
      </c>
    </row>
    <row r="48" spans="1:16">
      <c r="A48" s="17"/>
      <c r="B48" s="17"/>
      <c r="C48" s="18"/>
      <c r="D48" s="48"/>
      <c r="E48" s="48"/>
      <c r="F48" s="48"/>
      <c r="G48" s="48"/>
      <c r="H48" s="48"/>
      <c r="I48" s="48"/>
      <c r="J48" s="48"/>
      <c r="K48" s="48"/>
      <c r="L48" s="48"/>
      <c r="M48" s="48"/>
      <c r="N48" s="48"/>
    </row>
    <row r="49" spans="1:14">
      <c r="A49" s="17"/>
      <c r="B49" s="17" t="s">
        <v>405</v>
      </c>
      <c r="C49" s="18" t="s">
        <v>31</v>
      </c>
      <c r="D49" s="40">
        <f>IFERROR(_xll.BQL(Ticker,$B49,"FPT",$C$12,"FPO",D$12,"STD",$H$7,"CONSOL",$H$9, "CURRENCY",$L$7)*1,0)</f>
        <v>0</v>
      </c>
      <c r="E49" s="40">
        <f>IFERROR(_xll.BQL(Ticker,$B49,"FPT",$C$12,"FPO",E$12,"STD",$H$7,"CONSOL",$H$9, "CURRENCY",$L$7)*1,0)</f>
        <v>0</v>
      </c>
      <c r="F49" s="40">
        <f>IFERROR(_xll.BQL(Ticker,$B49,"FPT",$C$12,"FPO",F$12,"STD",$H$7,"CONSOL",$H$9, "CURRENCY",$L$7)*1,0)</f>
        <v>0</v>
      </c>
      <c r="G49" s="40">
        <f>IFERROR(_xll.BQL(Ticker,$B49,"FPT",$C$12,"FPO",G$12,"STD",$H$7,"CONSOL",$H$9, "CURRENCY",$L$7)*1,0)</f>
        <v>0</v>
      </c>
      <c r="H49" s="40">
        <f>IFERROR(_xll.BQL(Ticker,$B49,"FPT",$C$12,"FPO",H$12,"STD",$H$7,"CONSOL",$H$9, "CURRENCY",$L$7)*1,0)</f>
        <v>0</v>
      </c>
      <c r="I49" s="40">
        <f>IFERROR(_xll.BQL(Ticker,$B49,"FPT",$C$12,"FPO",I$12,"STD",$H$7,"CONSOL",$H$9, "CURRENCY",$L$7)*1,0)</f>
        <v>0</v>
      </c>
      <c r="J49" s="40">
        <f>IFERROR(_xll.BQL(Ticker,$B49,"FPT",$C$12,"FPO",J$12,"STD",$H$7,"CONSOL",$H$9, "CURRENCY",$L$7)*1,0)</f>
        <v>0</v>
      </c>
      <c r="K49" s="40">
        <f>IFERROR(_xll.BQL(Ticker,$B49,"FPT",$C$12,"FPO",K$12,"STD",$H$7,"CONSOL",$H$9, "CURRENCY",$L$7)*1,0)</f>
        <v>0</v>
      </c>
      <c r="L49" s="40">
        <f>IFERROR(_xll.BQL(Ticker,$B49,"FPT",$C$12,"FPO",L$12,"STD",$H$7,"CONSOL",$H$9, "CURRENCY",$L$7)*1,0)</f>
        <v>0</v>
      </c>
      <c r="M49" s="40">
        <f>IFERROR(_xll.BQL(Ticker,$B49,"FPT",$C$12,"FPO",M$12,"STD",$H$7,"CONSOL",$H$9, "CURRENCY",$L$7)*1,0)</f>
        <v>0</v>
      </c>
      <c r="N49" s="40">
        <f>IFERROR(_xll.BQL(Ticker,$B49,"FPT",$C$12,"FPO",N$12,"STD",$H$7,"CONSOL",$H$9, "CURRENCY",$L$7)*1,0)</f>
        <v>0</v>
      </c>
    </row>
    <row r="50" spans="1:14">
      <c r="A50" s="17"/>
      <c r="B50" s="17" t="s">
        <v>406</v>
      </c>
      <c r="C50" s="18" t="s">
        <v>32</v>
      </c>
      <c r="D50" s="40">
        <f>IFERROR(_xll.BQL(Ticker,$B50,"FPT",$C$12,"FPO",D$12,"STD",$H$7,"CONSOL",$H$9, "CURRENCY",$L$7)*1,0)</f>
        <v>0</v>
      </c>
      <c r="E50" s="40">
        <f>IFERROR(_xll.BQL(Ticker,$B50,"FPT",$C$12,"FPO",E$12,"STD",$H$7,"CONSOL",$H$9, "CURRENCY",$L$7)*1,0)</f>
        <v>0</v>
      </c>
      <c r="F50" s="40">
        <f>IFERROR(_xll.BQL(Ticker,$B50,"FPT",$C$12,"FPO",F$12,"STD",$H$7,"CONSOL",$H$9, "CURRENCY",$L$7)*1,0)</f>
        <v>0</v>
      </c>
      <c r="G50" s="40">
        <f>IFERROR(_xll.BQL(Ticker,$B50,"FPT",$C$12,"FPO",G$12,"STD",$H$7,"CONSOL",$H$9, "CURRENCY",$L$7)*1,0)</f>
        <v>0</v>
      </c>
      <c r="H50" s="40">
        <f>IFERROR(_xll.BQL(Ticker,$B50,"FPT",$C$12,"FPO",H$12,"STD",$H$7,"CONSOL",$H$9, "CURRENCY",$L$7)*1,0)</f>
        <v>0</v>
      </c>
      <c r="I50" s="40">
        <f>IFERROR(_xll.BQL(Ticker,$B50,"FPT",$C$12,"FPO",I$12,"STD",$H$7,"CONSOL",$H$9, "CURRENCY",$L$7)*1,0)</f>
        <v>0</v>
      </c>
      <c r="J50" s="40">
        <f>IFERROR(_xll.BQL(Ticker,$B50,"FPT",$C$12,"FPO",J$12,"STD",$H$7,"CONSOL",$H$9, "CURRENCY",$L$7)*1,0)</f>
        <v>0</v>
      </c>
      <c r="K50" s="40">
        <f>IFERROR(_xll.BQL(Ticker,$B50,"FPT",$C$12,"FPO",K$12,"STD",$H$7,"CONSOL",$H$9, "CURRENCY",$L$7)*1,0)</f>
        <v>0</v>
      </c>
      <c r="L50" s="40">
        <f>IFERROR(_xll.BQL(Ticker,$B50,"FPT",$C$12,"FPO",L$12,"STD",$H$7,"CONSOL",$H$9, "CURRENCY",$L$7)*1,0)</f>
        <v>0</v>
      </c>
      <c r="M50" s="40">
        <f>IFERROR(_xll.BQL(Ticker,$B50,"FPT",$C$12,"FPO",M$12,"STD",$H$7,"CONSOL",$H$9, "CURRENCY",$L$7)*1,0)</f>
        <v>0</v>
      </c>
      <c r="N50" s="40">
        <f>IFERROR(_xll.BQL(Ticker,$B50,"FPT",$C$12,"FPO",N$12,"STD",$H$7,"CONSOL",$H$9, "CURRENCY",$L$7)*1,0)</f>
        <v>0</v>
      </c>
    </row>
    <row r="51" spans="1:14" ht="15.75" thickBot="1">
      <c r="A51" s="17"/>
      <c r="B51" s="17"/>
      <c r="C51" s="34" t="s">
        <v>33</v>
      </c>
      <c r="D51" s="35">
        <f>D47-SUM(D49:D50)</f>
        <v>1147.8000000000002</v>
      </c>
      <c r="E51" s="35">
        <f t="shared" ref="E51:N51" si="7">E47-SUM(E49:E50)</f>
        <v>1107</v>
      </c>
      <c r="F51" s="35">
        <f t="shared" si="7"/>
        <v>1273</v>
      </c>
      <c r="G51" s="35">
        <f t="shared" si="7"/>
        <v>1345</v>
      </c>
      <c r="H51" s="35">
        <f t="shared" si="7"/>
        <v>1298</v>
      </c>
      <c r="I51" s="35">
        <f t="shared" si="7"/>
        <v>1006</v>
      </c>
      <c r="J51" s="35">
        <f t="shared" si="7"/>
        <v>515</v>
      </c>
      <c r="K51" s="35">
        <f t="shared" si="7"/>
        <v>1439</v>
      </c>
      <c r="L51" s="35">
        <f t="shared" si="7"/>
        <v>1647</v>
      </c>
      <c r="M51" s="35">
        <f t="shared" si="7"/>
        <v>1020</v>
      </c>
      <c r="N51" s="35">
        <f t="shared" si="7"/>
        <v>3553</v>
      </c>
    </row>
    <row r="52" spans="1:14" ht="15.75" thickTop="1">
      <c r="A52" s="17"/>
      <c r="B52" s="17"/>
      <c r="C52" s="18"/>
      <c r="D52" s="48"/>
      <c r="E52" s="48"/>
      <c r="F52" s="48"/>
      <c r="G52" s="48"/>
      <c r="H52" s="48"/>
      <c r="I52" s="48"/>
      <c r="J52" s="48"/>
      <c r="K52" s="48"/>
      <c r="L52" s="48"/>
      <c r="M52" s="48"/>
      <c r="N52" s="48"/>
    </row>
    <row r="53" spans="1:14">
      <c r="A53" s="17"/>
      <c r="B53" s="17" t="s">
        <v>407</v>
      </c>
      <c r="C53" s="18" t="s">
        <v>148</v>
      </c>
      <c r="D53" s="40">
        <f>IFERROR(_xll.BQL(Ticker,$B53,"FPT",$C$12,"FPO",D$12,"STD",$H$7,"CONSOL",$H$9, "CURRENCY",$L$7)*1,0)</f>
        <v>0</v>
      </c>
      <c r="E53" s="40">
        <f>IFERROR(_xll.BQL(Ticker,$B53,"FPT",$C$12,"FPO",E$12,"STD",$H$7,"CONSOL",$H$9, "CURRENCY",$L$7)*1,0)</f>
        <v>0</v>
      </c>
      <c r="F53" s="40">
        <f>IFERROR(_xll.BQL(Ticker,$B53,"FPT",$C$12,"FPO",F$12,"STD",$H$7,"CONSOL",$H$9, "CURRENCY",$L$7)*1,0)</f>
        <v>0</v>
      </c>
      <c r="G53" s="40">
        <f>IFERROR(_xll.BQL(Ticker,$B53,"FPT",$C$12,"FPO",G$12,"STD",$H$7,"CONSOL",$H$9, "CURRENCY",$L$7)*1,0)</f>
        <v>0</v>
      </c>
      <c r="H53" s="40">
        <f>IFERROR(_xll.BQL(Ticker,$B53,"FPT",$C$12,"FPO",H$12,"STD",$H$7,"CONSOL",$H$9, "CURRENCY",$L$7)*1,0)</f>
        <v>0</v>
      </c>
      <c r="I53" s="40">
        <f>IFERROR(_xll.BQL(Ticker,$B53,"FPT",$C$12,"FPO",I$12,"STD",$H$7,"CONSOL",$H$9, "CURRENCY",$L$7)*1,0)</f>
        <v>0</v>
      </c>
      <c r="J53" s="40">
        <f>IFERROR(_xll.BQL(Ticker,$B53,"FPT",$C$12,"FPO",J$12,"STD",$H$7,"CONSOL",$H$9, "CURRENCY",$L$7)*1,0)</f>
        <v>0</v>
      </c>
      <c r="K53" s="40">
        <f>IFERROR(_xll.BQL(Ticker,$B53,"FPT",$C$12,"FPO",K$12,"STD",$H$7,"CONSOL",$H$9, "CURRENCY",$L$7)*1,0)</f>
        <v>0</v>
      </c>
      <c r="L53" s="40">
        <f>IFERROR(_xll.BQL(Ticker,$B53,"FPT",$C$12,"FPO",L$12,"STD",$H$7,"CONSOL",$H$9, "CURRENCY",$L$7)*1,0)</f>
        <v>0</v>
      </c>
      <c r="M53" s="40">
        <f>IFERROR(_xll.BQL(Ticker,$B53,"FPT",$C$12,"FPO",M$12,"STD",$H$7,"CONSOL",$H$9, "CURRENCY",$L$7)*1,0)</f>
        <v>0</v>
      </c>
      <c r="N53" s="40">
        <f>IFERROR(_xll.BQL(Ticker,$B53,"FPT",$C$12,"FPO",N$12,"STD",$H$7,"CONSOL",$H$9, "CURRENCY",$L$7)*1,0)</f>
        <v>0</v>
      </c>
    </row>
    <row r="54" spans="1:14">
      <c r="A54" s="17"/>
      <c r="B54" s="17" t="s">
        <v>408</v>
      </c>
      <c r="C54" s="18" t="s">
        <v>147</v>
      </c>
      <c r="D54" s="40">
        <f>IFERROR(_xll.BQL(Ticker,$B54,"FPT",$C$12,"FPO",D$12,"STD",$H$7,"CONSOL",$H$9, "CURRENCY",$L$7)*1,0)</f>
        <v>0</v>
      </c>
      <c r="E54" s="40">
        <f>IFERROR(_xll.BQL(Ticker,$B54,"FPT",$C$12,"FPO",E$12,"STD",$H$7,"CONSOL",$H$9, "CURRENCY",$L$7)*1,0)</f>
        <v>0</v>
      </c>
      <c r="F54" s="40">
        <f>IFERROR(_xll.BQL(Ticker,$B54,"FPT",$C$12,"FPO",F$12,"STD",$H$7,"CONSOL",$H$9, "CURRENCY",$L$7)*1,0)</f>
        <v>0</v>
      </c>
      <c r="G54" s="40">
        <f>IFERROR(_xll.BQL(Ticker,$B54,"FPT",$C$12,"FPO",G$12,"STD",$H$7,"CONSOL",$H$9, "CURRENCY",$L$7)*1,0)</f>
        <v>0</v>
      </c>
      <c r="H54" s="40">
        <f>IFERROR(_xll.BQL(Ticker,$B54,"FPT",$C$12,"FPO",H$12,"STD",$H$7,"CONSOL",$H$9, "CURRENCY",$L$7)*1,0)</f>
        <v>0</v>
      </c>
      <c r="I54" s="40">
        <f>IFERROR(_xll.BQL(Ticker,$B54,"FPT",$C$12,"FPO",I$12,"STD",$H$7,"CONSOL",$H$9, "CURRENCY",$L$7)*1,0)</f>
        <v>0</v>
      </c>
      <c r="J54" s="40">
        <f>IFERROR(_xll.BQL(Ticker,$B54,"FPT",$C$12,"FPO",J$12,"STD",$H$7,"CONSOL",$H$9, "CURRENCY",$L$7)*1,0)</f>
        <v>0</v>
      </c>
      <c r="K54" s="40">
        <f>IFERROR(_xll.BQL(Ticker,$B54,"FPT",$C$12,"FPO",K$12,"STD",$H$7,"CONSOL",$H$9, "CURRENCY",$L$7)*1,0)</f>
        <v>0</v>
      </c>
      <c r="L54" s="40">
        <f>IFERROR(_xll.BQL(Ticker,$B54,"FPT",$C$12,"FPO",L$12,"STD",$H$7,"CONSOL",$H$9, "CURRENCY",$L$7)*1,0)</f>
        <v>0</v>
      </c>
      <c r="M54" s="40">
        <f>IFERROR(_xll.BQL(Ticker,$B54,"FPT",$C$12,"FPO",M$12,"STD",$H$7,"CONSOL",$H$9, "CURRENCY",$L$7)*1,0)</f>
        <v>0</v>
      </c>
      <c r="N54" s="40">
        <f>IFERROR(_xll.BQL(Ticker,$B54,"FPT",$C$12,"FPO",N$12,"STD",$H$7,"CONSOL",$H$9, "CURRENCY",$L$7)*1,0)</f>
        <v>0</v>
      </c>
    </row>
    <row r="55" spans="1:14">
      <c r="A55" s="17"/>
      <c r="B55" s="17"/>
      <c r="C55" s="18"/>
      <c r="D55" s="48"/>
      <c r="E55" s="48"/>
      <c r="F55" s="48"/>
      <c r="G55" s="48"/>
      <c r="H55" s="48"/>
      <c r="I55" s="48"/>
      <c r="J55" s="42"/>
      <c r="K55" s="42"/>
      <c r="L55" s="42"/>
      <c r="M55" s="42"/>
      <c r="N55" s="42"/>
    </row>
    <row r="56" spans="1:14">
      <c r="A56" s="17"/>
      <c r="B56" s="17"/>
      <c r="C56" s="19" t="s">
        <v>34</v>
      </c>
      <c r="D56" s="43">
        <f t="shared" ref="D56:I56" si="8">D51-SUM(D53:D54)</f>
        <v>1147.8000000000002</v>
      </c>
      <c r="E56" s="43">
        <f t="shared" si="8"/>
        <v>1107</v>
      </c>
      <c r="F56" s="43">
        <f t="shared" si="8"/>
        <v>1273</v>
      </c>
      <c r="G56" s="43">
        <f t="shared" si="8"/>
        <v>1345</v>
      </c>
      <c r="H56" s="43">
        <f t="shared" si="8"/>
        <v>1298</v>
      </c>
      <c r="I56" s="43">
        <f t="shared" si="8"/>
        <v>1006</v>
      </c>
      <c r="J56" s="43">
        <f>J51-SUM(J53:J54)</f>
        <v>515</v>
      </c>
      <c r="K56" s="43">
        <f>K51-SUM(K53:K54)</f>
        <v>1439</v>
      </c>
      <c r="L56" s="43">
        <f>L51-SUM(L53:L54)</f>
        <v>1647</v>
      </c>
      <c r="M56" s="43">
        <f>M51-SUM(M53:M54)</f>
        <v>1020</v>
      </c>
      <c r="N56" s="43">
        <f>N51-SUM(N53:N54)</f>
        <v>3553</v>
      </c>
    </row>
    <row r="57" spans="1:14">
      <c r="A57" s="17"/>
      <c r="B57" s="17" t="s">
        <v>409</v>
      </c>
      <c r="C57" s="18" t="s">
        <v>281</v>
      </c>
      <c r="D57" s="40">
        <f>IFERROR(_xll.BQL(Ticker,$B57,"FPT",$C$12,"FPO",D$12,"STD",$H$7,"CONSOL",$H$9, "CURRENCY",$L$7)*1,0)</f>
        <v>34.9</v>
      </c>
      <c r="E57" s="40">
        <f>IFERROR(_xll.BQL(Ticker,$B57,"FPT",$C$12,"FPO",E$12,"STD",$H$7,"CONSOL",$H$9, "CURRENCY",$L$7)*1,0)</f>
        <v>15</v>
      </c>
      <c r="F57" s="40">
        <f>IFERROR(_xll.BQL(Ticker,$B57,"FPT",$C$12,"FPO",F$12,"STD",$H$7,"CONSOL",$H$9, "CURRENCY",$L$7)*1,0)</f>
        <v>117</v>
      </c>
      <c r="G57" s="40">
        <f>IFERROR(_xll.BQL(Ticker,$B57,"FPT",$C$12,"FPO",G$12,"STD",$H$7,"CONSOL",$H$9, "CURRENCY",$L$7)*1,0)</f>
        <v>286</v>
      </c>
      <c r="H57" s="40">
        <f>IFERROR(_xll.BQL(Ticker,$B57,"FPT",$C$12,"FPO",H$12,"STD",$H$7,"CONSOL",$H$9, "CURRENCY",$L$7)*1,0)</f>
        <v>385</v>
      </c>
      <c r="I57" s="40">
        <f>IFERROR(_xll.BQL(Ticker,$B57,"FPT",$C$12,"FPO",I$12,"STD",$H$7,"CONSOL",$H$9, "CURRENCY",$L$7)*1,0)</f>
        <v>850</v>
      </c>
      <c r="J57" s="40">
        <f>IFERROR(_xll.BQL(Ticker,$B57,"FPT",$C$12,"FPO",J$12,"STD",$H$7,"CONSOL",$H$9, "CURRENCY",$L$7)*1,0)</f>
        <v>980</v>
      </c>
      <c r="K57" s="40">
        <f>IFERROR(_xll.BQL(Ticker,$B57,"FPT",$C$12,"FPO",K$12,"STD",$H$7,"CONSOL",$H$9, "CURRENCY",$L$7)*1,0)</f>
        <v>410</v>
      </c>
      <c r="L57" s="40">
        <f>IFERROR(_xll.BQL(Ticker,$B57,"FPT",$C$12,"FPO",L$12,"STD",$H$7,"CONSOL",$H$9, "CURRENCY",$L$7)*1,0)</f>
        <v>402</v>
      </c>
      <c r="M57" s="40">
        <f>IFERROR(_xll.BQL(Ticker,$B57,"FPT",$C$12,"FPO",M$12,"STD",$H$7,"CONSOL",$H$9, "CURRENCY",$L$7)*1,0)</f>
        <v>470</v>
      </c>
      <c r="N57" s="40">
        <f>IFERROR(_xll.BQL(Ticker,$B57,"FPT",$C$12,"FPO",N$12,"STD",$H$7,"CONSOL",$H$9, "CURRENCY",$L$7)*1,0)</f>
        <v>563</v>
      </c>
    </row>
    <row r="58" spans="1:14">
      <c r="A58" s="17"/>
      <c r="B58" s="17" t="s">
        <v>410</v>
      </c>
      <c r="C58" s="18" t="s">
        <v>282</v>
      </c>
      <c r="D58" s="40">
        <f>IFERROR(_xll.BQL(Ticker,$B58,"FPT",$C$12,"FPO",D$12,"STD",$H$7,"CONSOL",$H$9, "CURRENCY",$L$7)*1,0)</f>
        <v>-13.2</v>
      </c>
      <c r="E58" s="40">
        <f>IFERROR(_xll.BQL(Ticker,$B58,"FPT",$C$12,"FPO",E$12,"STD",$H$7,"CONSOL",$H$9, "CURRENCY",$L$7)*1,0)</f>
        <v>67.2</v>
      </c>
      <c r="F58" s="40">
        <f>IFERROR(_xll.BQL(Ticker,$B58,"FPT",$C$12,"FPO",F$12,"STD",$H$7,"CONSOL",$H$9, "CURRENCY",$L$7)*1,0)</f>
        <v>-49.95</v>
      </c>
      <c r="G58" s="40">
        <f>IFERROR(_xll.BQL(Ticker,$B58,"FPT",$C$12,"FPO",G$12,"STD",$H$7,"CONSOL",$H$9, "CURRENCY",$L$7)*1,0)</f>
        <v>-182.35</v>
      </c>
      <c r="H58" s="40">
        <f>IFERROR(_xll.BQL(Ticker,$B58,"FPT",$C$12,"FPO",H$12,"STD",$H$7,"CONSOL",$H$9, "CURRENCY",$L$7)*1,0)</f>
        <v>-117.8</v>
      </c>
      <c r="I58" s="40">
        <f>IFERROR(_xll.BQL(Ticker,$B58,"FPT",$C$12,"FPO",I$12,"STD",$H$7,"CONSOL",$H$9, "CURRENCY",$L$7)*1,0)</f>
        <v>-255</v>
      </c>
      <c r="J58" s="40">
        <f>IFERROR(_xll.BQL(Ticker,$B58,"FPT",$C$12,"FPO",J$12,"STD",$H$7,"CONSOL",$H$9, "CURRENCY",$L$7)*1,0)</f>
        <v>182</v>
      </c>
      <c r="K58" s="40">
        <f>IFERROR(_xll.BQL(Ticker,$B58,"FPT",$C$12,"FPO",K$12,"STD",$H$7,"CONSOL",$H$9, "CURRENCY",$L$7)*1,0)</f>
        <v>-47</v>
      </c>
      <c r="L58" s="40">
        <f>IFERROR(_xll.BQL(Ticker,$B58,"FPT",$C$12,"FPO",L$12,"STD",$H$7,"CONSOL",$H$9, "CURRENCY",$L$7)*1,0)</f>
        <v>-76</v>
      </c>
      <c r="M58" s="40">
        <f>IFERROR(_xll.BQL(Ticker,$B58,"FPT",$C$12,"FPO",M$12,"STD",$H$7,"CONSOL",$H$9, "CURRENCY",$L$7)*1,0)</f>
        <v>725</v>
      </c>
      <c r="N58" s="40">
        <f>IFERROR(_xll.BQL(Ticker,$B58,"FPT",$C$12,"FPO",N$12,"STD",$H$7,"CONSOL",$H$9, "CURRENCY",$L$7)*1,0)</f>
        <v>-1675</v>
      </c>
    </row>
    <row r="59" spans="1:14">
      <c r="A59" s="17"/>
      <c r="B59" s="17"/>
      <c r="C59" s="19" t="s">
        <v>35</v>
      </c>
      <c r="D59" s="43">
        <f>SUM(D56:D58)</f>
        <v>1169.5000000000002</v>
      </c>
      <c r="E59" s="43">
        <f t="shared" ref="E59:N59" si="9">SUM(E56:E58)</f>
        <v>1189.2</v>
      </c>
      <c r="F59" s="43">
        <f t="shared" si="9"/>
        <v>1340.05</v>
      </c>
      <c r="G59" s="43">
        <f t="shared" si="9"/>
        <v>1448.65</v>
      </c>
      <c r="H59" s="43">
        <f t="shared" si="9"/>
        <v>1565.2</v>
      </c>
      <c r="I59" s="43">
        <f t="shared" si="9"/>
        <v>1601</v>
      </c>
      <c r="J59" s="43">
        <f t="shared" si="9"/>
        <v>1677</v>
      </c>
      <c r="K59" s="43">
        <f t="shared" si="9"/>
        <v>1802</v>
      </c>
      <c r="L59" s="43">
        <f t="shared" si="9"/>
        <v>1973</v>
      </c>
      <c r="M59" s="43">
        <f t="shared" si="9"/>
        <v>2215</v>
      </c>
      <c r="N59" s="43">
        <f t="shared" si="9"/>
        <v>2441</v>
      </c>
    </row>
    <row r="60" spans="1:14">
      <c r="A60" s="17"/>
      <c r="B60" s="17"/>
      <c r="C60" s="18"/>
      <c r="D60" s="48"/>
      <c r="E60" s="48"/>
      <c r="F60" s="48"/>
      <c r="G60" s="48"/>
      <c r="H60" s="630"/>
      <c r="I60" s="48"/>
      <c r="J60" s="48"/>
      <c r="K60" s="48"/>
      <c r="L60" s="48"/>
      <c r="M60" s="48"/>
      <c r="N60" s="48"/>
    </row>
    <row r="61" spans="1:14">
      <c r="A61" s="17"/>
      <c r="B61" s="17"/>
      <c r="C61" s="19" t="s">
        <v>36</v>
      </c>
      <c r="D61" s="48"/>
      <c r="E61" s="48"/>
      <c r="F61" s="48"/>
      <c r="G61" s="48"/>
      <c r="H61" s="48"/>
      <c r="I61" s="48"/>
      <c r="J61" s="48"/>
      <c r="K61" s="48"/>
      <c r="L61" s="48"/>
      <c r="M61" s="48"/>
      <c r="N61" s="48"/>
    </row>
    <row r="62" spans="1:14">
      <c r="A62" s="17"/>
      <c r="B62" s="17" t="s">
        <v>411</v>
      </c>
      <c r="C62" s="18" t="s">
        <v>37</v>
      </c>
      <c r="D62" s="32">
        <f>IFERROR(_xll.BQL(Ticker,$B62,"FPT",$C$12,"FPO",D$12,"STD",$H$7,"CONSOL",$H$9, "CURRENCY",$L$7)*1,0)</f>
        <v>2.81</v>
      </c>
      <c r="E62" s="32">
        <f>IFERROR(_xll.BQL(Ticker,$B62,"FPT",$C$12,"FPO",E$12,"STD",$H$7,"CONSOL",$H$9, "CURRENCY",$L$7)*1,0)</f>
        <v>2.79</v>
      </c>
      <c r="F62" s="32">
        <f>IFERROR(_xll.BQL(Ticker,$B62,"FPT",$C$12,"FPO",F$12,"STD",$H$7,"CONSOL",$H$9, "CURRENCY",$L$7)*1,0)</f>
        <v>3.21</v>
      </c>
      <c r="G62" s="32">
        <f>IFERROR(_xll.BQL(Ticker,$B62,"FPT",$C$12,"FPO",G$12,"STD",$H$7,"CONSOL",$H$9, "CURRENCY",$L$7)*1,0)</f>
        <v>3.48</v>
      </c>
      <c r="H62" s="32">
        <f>IFERROR(_xll.BQL(Ticker,$B62,"FPT",$C$12,"FPO",H$12,"STD",$H$7,"CONSOL",$H$9, "CURRENCY",$L$7)*1,0)</f>
        <v>3.41</v>
      </c>
      <c r="I62" s="32">
        <f>IFERROR(_xll.BQL(Ticker,$B62,"FPT",$C$12,"FPO",I$12,"STD",$H$7,"CONSOL",$H$9, "CURRENCY",$L$7)*1,0)</f>
        <v>2.66</v>
      </c>
      <c r="J62" s="32">
        <f>IFERROR(_xll.BQL(Ticker,$B62,"FPT",$C$12,"FPO",J$12,"STD",$H$7,"CONSOL",$H$9, "CURRENCY",$L$7)*1,0)</f>
        <v>1.36</v>
      </c>
      <c r="K62" s="32">
        <f>IFERROR(_xll.BQL(Ticker,$B62,"FPT",$C$12,"FPO",K$12,"STD",$H$7,"CONSOL",$H$9, "CURRENCY",$L$7)*1,0)</f>
        <v>3.82</v>
      </c>
      <c r="L62" s="32">
        <f>IFERROR(_xll.BQL(Ticker,$B62,"FPT",$C$12,"FPO",L$12,"STD",$H$7,"CONSOL",$H$9, "CURRENCY",$L$7)*1,0)</f>
        <v>4.4000000000000004</v>
      </c>
      <c r="M62" s="32">
        <f>IFERROR(_xll.BQL(Ticker,$B62,"FPT",$C$12,"FPO",M$12,"STD",$H$7,"CONSOL",$H$9, "CURRENCY",$L$7)*1,0)</f>
        <v>2.73</v>
      </c>
      <c r="N62" s="32">
        <f>IFERROR(_xll.BQL(Ticker,$B62,"FPT",$C$12,"FPO",N$12,"STD",$H$7,"CONSOL",$H$9, "CURRENCY",$L$7)*1,0)</f>
        <v>9.5</v>
      </c>
    </row>
    <row r="63" spans="1:14">
      <c r="A63" s="17"/>
      <c r="B63" s="17" t="s">
        <v>412</v>
      </c>
      <c r="C63" s="18" t="s">
        <v>38</v>
      </c>
      <c r="D63" s="32">
        <f>IFERROR(_xll.BQL(Ticker,$B63,"FPT",$C$12,"FPO",D$12,"STD",$H$7,"CONSOL",$H$9, "CURRENCY",$L$7)*1,0)</f>
        <v>2.81</v>
      </c>
      <c r="E63" s="32">
        <f>IFERROR(_xll.BQL(Ticker,$B63,"FPT",$C$12,"FPO",E$12,"STD",$H$7,"CONSOL",$H$9, "CURRENCY",$L$7)*1,0)</f>
        <v>2.79</v>
      </c>
      <c r="F63" s="32">
        <f>IFERROR(_xll.BQL(Ticker,$B63,"FPT",$C$12,"FPO",F$12,"STD",$H$7,"CONSOL",$H$9, "CURRENCY",$L$7)*1,0)</f>
        <v>3.21</v>
      </c>
      <c r="G63" s="32">
        <f>IFERROR(_xll.BQL(Ticker,$B63,"FPT",$C$12,"FPO",G$12,"STD",$H$7,"CONSOL",$H$9, "CURRENCY",$L$7)*1,0)</f>
        <v>3.48</v>
      </c>
      <c r="H63" s="32">
        <f>IFERROR(_xll.BQL(Ticker,$B63,"FPT",$C$12,"FPO",H$12,"STD",$H$7,"CONSOL",$H$9, "CURRENCY",$L$7)*1,0)</f>
        <v>3.41</v>
      </c>
      <c r="I63" s="32">
        <f>IFERROR(_xll.BQL(Ticker,$B63,"FPT",$C$12,"FPO",I$12,"STD",$H$7,"CONSOL",$H$9, "CURRENCY",$L$7)*1,0)</f>
        <v>2.66</v>
      </c>
      <c r="J63" s="32">
        <f>IFERROR(_xll.BQL(Ticker,$B63,"FPT",$C$12,"FPO",J$12,"STD",$H$7,"CONSOL",$H$9, "CURRENCY",$L$7)*1,0)</f>
        <v>1.36</v>
      </c>
      <c r="K63" s="32">
        <f>IFERROR(_xll.BQL(Ticker,$B63,"FPT",$C$12,"FPO",K$12,"STD",$H$7,"CONSOL",$H$9, "CURRENCY",$L$7)*1,0)</f>
        <v>3.82</v>
      </c>
      <c r="L63" s="32">
        <f>IFERROR(_xll.BQL(Ticker,$B63,"FPT",$C$12,"FPO",L$12,"STD",$H$7,"CONSOL",$H$9, "CURRENCY",$L$7)*1,0)</f>
        <v>4.4000000000000004</v>
      </c>
      <c r="M63" s="32">
        <f>IFERROR(_xll.BQL(Ticker,$B63,"FPT",$C$12,"FPO",M$12,"STD",$H$7,"CONSOL",$H$9, "CURRENCY",$L$7)*1,0)</f>
        <v>2.73</v>
      </c>
      <c r="N63" s="32">
        <f>IFERROR(_xll.BQL(Ticker,$B63,"FPT",$C$12,"FPO",N$12,"STD",$H$7,"CONSOL",$H$9, "CURRENCY",$L$7)*1,0)</f>
        <v>9.5</v>
      </c>
    </row>
    <row r="64" spans="1:14">
      <c r="A64" s="17"/>
      <c r="B64" s="17" t="s">
        <v>514</v>
      </c>
      <c r="C64" s="18" t="s">
        <v>39</v>
      </c>
      <c r="D64" s="58">
        <f>IFERROR(_xll.BQL(Ticker,$B64,"FPT",$C$12,"FPO",D$12,"STD",$H$7,"CONSOL",$H$9, "CURRENCY",$L$7)*1,0)</f>
        <v>408.1</v>
      </c>
      <c r="E64" s="58">
        <f>IFERROR(_xll.BQL(Ticker,$B64,"FPT",$C$12,"FPO",E$12,"STD",$H$7,"CONSOL",$H$9, "CURRENCY",$L$7)*1,0)</f>
        <v>397.4</v>
      </c>
      <c r="F64" s="58">
        <f>IFERROR(_xll.BQL(Ticker,$B64,"FPT",$C$12,"FPO",F$12,"STD",$H$7,"CONSOL",$H$9, "CURRENCY",$L$7)*1,0)</f>
        <v>396.4</v>
      </c>
      <c r="G64" s="58">
        <f>IFERROR(_xll.BQL(Ticker,$B64,"FPT",$C$12,"FPO",G$12,"STD",$H$7,"CONSOL",$H$9, "CURRENCY",$L$7)*1,0)</f>
        <v>386.5</v>
      </c>
      <c r="H64" s="58">
        <f>IFERROR(_xll.BQL(Ticker,$B64,"FPT",$C$12,"FPO",H$12,"STD",$H$7,"CONSOL",$H$9, "CURRENCY",$L$7)*1,0)</f>
        <v>380.6</v>
      </c>
      <c r="I64" s="58">
        <f>IFERROR(_xll.BQL(Ticker,$B64,"FPT",$C$12,"FPO",I$12,"STD",$H$7,"CONSOL",$H$9, "CURRENCY",$L$7)*1,0)</f>
        <v>378.6</v>
      </c>
      <c r="J64" s="58">
        <f>IFERROR(_xll.BQL(Ticker,$B64,"FPT",$C$12,"FPO",J$12,"STD",$H$7,"CONSOL",$H$9, "CURRENCY",$L$7)*1,0)</f>
        <v>378.5</v>
      </c>
      <c r="K64" s="58">
        <f>IFERROR(_xll.BQL(Ticker,$B64,"FPT",$C$12,"FPO",K$12,"STD",$H$7,"CONSOL",$H$9, "CURRENCY",$L$7)*1,0)</f>
        <v>376.6</v>
      </c>
      <c r="L64" s="58">
        <f>IFERROR(_xll.BQL(Ticker,$B64,"FPT",$C$12,"FPO",L$12,"STD",$H$7,"CONSOL",$H$9, "CURRENCY",$L$7)*1,0)</f>
        <v>374.1</v>
      </c>
      <c r="M64" s="58">
        <f>IFERROR(_xll.BQL(Ticker,$B64,"FPT",$C$12,"FPO",M$12,"STD",$H$7,"CONSOL",$H$9, "CURRENCY",$L$7)*1,0)</f>
        <v>374</v>
      </c>
      <c r="N64" s="58">
        <f>IFERROR(_xll.BQL(Ticker,$B64,"FPT",$C$12,"FPO",N$12,"STD",$H$7,"CONSOL",$H$9, "CURRENCY",$L$7)*1,0)</f>
        <v>374.1</v>
      </c>
    </row>
    <row r="65" spans="1:14">
      <c r="A65" s="17"/>
      <c r="B65" s="17"/>
      <c r="C65" s="18"/>
      <c r="D65" s="38"/>
      <c r="E65" s="38"/>
      <c r="F65" s="38"/>
      <c r="G65" s="38"/>
      <c r="H65" s="38"/>
      <c r="I65" s="38"/>
      <c r="J65" s="38"/>
      <c r="K65" s="38"/>
      <c r="L65" s="38"/>
      <c r="M65" s="38"/>
      <c r="N65" s="38"/>
    </row>
    <row r="66" spans="1:14">
      <c r="A66" s="17"/>
      <c r="B66" s="17" t="s">
        <v>413</v>
      </c>
      <c r="C66" s="18" t="s">
        <v>40</v>
      </c>
      <c r="D66" s="32">
        <f>IFERROR(_xll.BQL(Ticker,$B66,"FPT",$C$12,"FPO",D$12,"STD",$H$7,"CONSOL",$H$9, "CURRENCY",$L$7)*1,0)</f>
        <v>2.78</v>
      </c>
      <c r="E66" s="32">
        <f>IFERROR(_xll.BQL(Ticker,$B66,"FPT",$C$12,"FPO",E$12,"STD",$H$7,"CONSOL",$H$9, "CURRENCY",$L$7)*1,0)</f>
        <v>2.77</v>
      </c>
      <c r="F66" s="32">
        <f>IFERROR(_xll.BQL(Ticker,$B66,"FPT",$C$12,"FPO",F$12,"STD",$H$7,"CONSOL",$H$9, "CURRENCY",$L$7)*1,0)</f>
        <v>3.19</v>
      </c>
      <c r="G66" s="32">
        <f>IFERROR(_xll.BQL(Ticker,$B66,"FPT",$C$12,"FPO",G$12,"STD",$H$7,"CONSOL",$H$9, "CURRENCY",$L$7)*1,0)</f>
        <v>3.45</v>
      </c>
      <c r="H66" s="32">
        <f>IFERROR(_xll.BQL(Ticker,$B66,"FPT",$C$12,"FPO",H$12,"STD",$H$7,"CONSOL",$H$9, "CURRENCY",$L$7)*1,0)</f>
        <v>3.39</v>
      </c>
      <c r="I66" s="32">
        <f>IFERROR(_xll.BQL(Ticker,$B66,"FPT",$C$12,"FPO",I$12,"STD",$H$7,"CONSOL",$H$9, "CURRENCY",$L$7)*1,0)</f>
        <v>2.63</v>
      </c>
      <c r="J66" s="32">
        <f>IFERROR(_xll.BQL(Ticker,$B66,"FPT",$C$12,"FPO",J$12,"STD",$H$7,"CONSOL",$H$9, "CURRENCY",$L$7)*1,0)</f>
        <v>1.34</v>
      </c>
      <c r="K66" s="32">
        <f>IFERROR(_xll.BQL(Ticker,$B66,"FPT",$C$12,"FPO",K$12,"STD",$H$7,"CONSOL",$H$9, "CURRENCY",$L$7)*1,0)</f>
        <v>3.78</v>
      </c>
      <c r="L66" s="32">
        <f>IFERROR(_xll.BQL(Ticker,$B66,"FPT",$C$12,"FPO",L$12,"STD",$H$7,"CONSOL",$H$9, "CURRENCY",$L$7)*1,0)</f>
        <v>4.3499999999999996</v>
      </c>
      <c r="M66" s="32">
        <f>IFERROR(_xll.BQL(Ticker,$B66,"FPT",$C$12,"FPO",M$12,"STD",$H$7,"CONSOL",$H$9, "CURRENCY",$L$7)*1,0)</f>
        <v>2.68</v>
      </c>
      <c r="N66" s="32">
        <f>IFERROR(_xll.BQL(Ticker,$B66,"FPT",$C$12,"FPO",N$12,"STD",$H$7,"CONSOL",$H$9, "CURRENCY",$L$7)*1,0)</f>
        <v>9.34</v>
      </c>
    </row>
    <row r="67" spans="1:14">
      <c r="A67" s="17"/>
      <c r="B67" s="17" t="s">
        <v>373</v>
      </c>
      <c r="C67" s="18" t="s">
        <v>41</v>
      </c>
      <c r="D67" s="32">
        <f>IFERROR(_xll.BQL(Ticker,$B67,"FPT",$C$12,"FPO",D$12,"STD",$H$7,"CONSOL",$H$9, "CURRENCY",$L$7)*1,0)</f>
        <v>2.78</v>
      </c>
      <c r="E67" s="32">
        <f>IFERROR(_xll.BQL(Ticker,$B67,"FPT",$C$12,"FPO",E$12,"STD",$H$7,"CONSOL",$H$9, "CURRENCY",$L$7)*1,0)</f>
        <v>2.77</v>
      </c>
      <c r="F67" s="32">
        <f>IFERROR(_xll.BQL(Ticker,$B67,"FPT",$C$12,"FPO",F$12,"STD",$H$7,"CONSOL",$H$9, "CURRENCY",$L$7)*1,0)</f>
        <v>3.19</v>
      </c>
      <c r="G67" s="32">
        <f>IFERROR(_xll.BQL(Ticker,$B67,"FPT",$C$12,"FPO",G$12,"STD",$H$7,"CONSOL",$H$9, "CURRENCY",$L$7)*1,0)</f>
        <v>3.45</v>
      </c>
      <c r="H67" s="32">
        <f>IFERROR(_xll.BQL(Ticker,$B67,"FPT",$C$12,"FPO",H$12,"STD",$H$7,"CONSOL",$H$9, "CURRENCY",$L$7)*1,0)</f>
        <v>3.39</v>
      </c>
      <c r="I67" s="32">
        <f>IFERROR(_xll.BQL(Ticker,$B67,"FPT",$C$12,"FPO",I$12,"STD",$H$7,"CONSOL",$H$9, "CURRENCY",$L$7)*1,0)</f>
        <v>2.63</v>
      </c>
      <c r="J67" s="32">
        <f>IFERROR(_xll.BQL(Ticker,$B67,"FPT",$C$12,"FPO",J$12,"STD",$H$7,"CONSOL",$H$9, "CURRENCY",$L$7)*1,0)</f>
        <v>1.34</v>
      </c>
      <c r="K67" s="32">
        <f>IFERROR(_xll.BQL(Ticker,$B67,"FPT",$C$12,"FPO",K$12,"STD",$H$7,"CONSOL",$H$9, "CURRENCY",$L$7)*1,0)</f>
        <v>3.78</v>
      </c>
      <c r="L67" s="32">
        <f>IFERROR(_xll.BQL(Ticker,$B67,"FPT",$C$12,"FPO",L$12,"STD",$H$7,"CONSOL",$H$9, "CURRENCY",$L$7)*1,0)</f>
        <v>4.3499999999999996</v>
      </c>
      <c r="M67" s="32">
        <f>IFERROR(_xll.BQL(Ticker,$B67,"FPT",$C$12,"FPO",M$12,"STD",$H$7,"CONSOL",$H$9, "CURRENCY",$L$7)*1,0)</f>
        <v>2.68</v>
      </c>
      <c r="N67" s="32">
        <f>IFERROR(_xll.BQL(Ticker,$B67,"FPT",$C$12,"FPO",N$12,"STD",$H$7,"CONSOL",$H$9, "CURRENCY",$L$7)*1,0)</f>
        <v>9.34</v>
      </c>
    </row>
    <row r="68" spans="1:14">
      <c r="A68" s="17"/>
      <c r="B68" s="17" t="s">
        <v>515</v>
      </c>
      <c r="C68" s="18" t="s">
        <v>42</v>
      </c>
      <c r="D68" s="58">
        <f>IFERROR(_xll.BQL(Ticker,$B68,"FPT",$C$12,"FPO",D$12,"STD",$H$7,"CONSOL",$H$9, "CURRENCY",$L$7)*1,0)</f>
        <v>413.6</v>
      </c>
      <c r="E68" s="58">
        <f>IFERROR(_xll.BQL(Ticker,$B68,"FPT",$C$12,"FPO",E$12,"STD",$H$7,"CONSOL",$H$9, "CURRENCY",$L$7)*1,0)</f>
        <v>399.4</v>
      </c>
      <c r="F68" s="58">
        <f>IFERROR(_xll.BQL(Ticker,$B68,"FPT",$C$12,"FPO",F$12,"STD",$H$7,"CONSOL",$H$9, "CURRENCY",$L$7)*1,0)</f>
        <v>399.5</v>
      </c>
      <c r="G68" s="58">
        <f>IFERROR(_xll.BQL(Ticker,$B68,"FPT",$C$12,"FPO",G$12,"STD",$H$7,"CONSOL",$H$9, "CURRENCY",$L$7)*1,0)</f>
        <v>389.5</v>
      </c>
      <c r="H68" s="58">
        <f>IFERROR(_xll.BQL(Ticker,$B68,"FPT",$C$12,"FPO",H$12,"STD",$H$7,"CONSOL",$H$9, "CURRENCY",$L$7)*1,0)</f>
        <v>383</v>
      </c>
      <c r="I68" s="58">
        <f>IFERROR(_xll.BQL(Ticker,$B68,"FPT",$C$12,"FPO",I$12,"STD",$H$7,"CONSOL",$H$9, "CURRENCY",$L$7)*1,0)</f>
        <v>382.1</v>
      </c>
      <c r="J68" s="58">
        <f>IFERROR(_xll.BQL(Ticker,$B68,"FPT",$C$12,"FPO",J$12,"STD",$H$7,"CONSOL",$H$9, "CURRENCY",$L$7)*1,0)</f>
        <v>382.8</v>
      </c>
      <c r="K68" s="58">
        <f>IFERROR(_xll.BQL(Ticker,$B68,"FPT",$C$12,"FPO",K$12,"STD",$H$7,"CONSOL",$H$9, "CURRENCY",$L$7)*1,0)</f>
        <v>380.9</v>
      </c>
      <c r="L68" s="58">
        <f>IFERROR(_xll.BQL(Ticker,$B68,"FPT",$C$12,"FPO",L$12,"STD",$H$7,"CONSOL",$H$9, "CURRENCY",$L$7)*1,0)</f>
        <v>378.5</v>
      </c>
      <c r="M68" s="58">
        <f>IFERROR(_xll.BQL(Ticker,$B68,"FPT",$C$12,"FPO",M$12,"STD",$H$7,"CONSOL",$H$9, "CURRENCY",$L$7)*1,0)</f>
        <v>380.1</v>
      </c>
      <c r="N68" s="58">
        <f>IFERROR(_xll.BQL(Ticker,$B68,"FPT",$C$12,"FPO",N$12,"STD",$H$7,"CONSOL",$H$9, "CURRENCY",$L$7)*1,0)</f>
        <v>380.3</v>
      </c>
    </row>
    <row r="69" spans="1:14">
      <c r="A69" s="17"/>
      <c r="B69" s="17"/>
      <c r="C69" s="18"/>
      <c r="D69" s="38"/>
      <c r="E69" s="38"/>
      <c r="F69" s="38"/>
      <c r="G69" s="38"/>
      <c r="H69" s="38"/>
      <c r="I69" s="38"/>
      <c r="J69" s="38"/>
      <c r="K69" s="38"/>
      <c r="L69" s="38"/>
      <c r="M69" s="38"/>
      <c r="N69" s="38"/>
    </row>
    <row r="70" spans="1:14">
      <c r="A70" s="17"/>
      <c r="B70" s="17" t="s">
        <v>414</v>
      </c>
      <c r="C70" s="18" t="s">
        <v>43</v>
      </c>
      <c r="D70" s="32">
        <f>IFERROR(_xll.BQL(Ticker,$B70,"FPT",$C$12,"FPO",D$12,"STD",$H$7,"CONSOL",$H$9, "CURRENCY",$L$7)*1,0)</f>
        <v>2.83</v>
      </c>
      <c r="E70" s="32">
        <f>IFERROR(_xll.BQL(Ticker,$B70,"FPT",$C$12,"FPO",E$12,"STD",$H$7,"CONSOL",$H$9, "CURRENCY",$L$7)*1,0)</f>
        <v>2.9526590000000001</v>
      </c>
      <c r="F70" s="32">
        <f>IFERROR(_xll.BQL(Ticker,$B70,"FPT",$C$12,"FPO",F$12,"STD",$H$7,"CONSOL",$H$9, "CURRENCY",$L$7)*1,0)</f>
        <v>3.3274840000000001</v>
      </c>
      <c r="G70" s="32">
        <f>IFERROR(_xll.BQL(Ticker,$B70,"FPT",$C$12,"FPO",G$12,"STD",$H$7,"CONSOL",$H$9, "CURRENCY",$L$7)*1,0)</f>
        <v>3.72</v>
      </c>
      <c r="H70" s="32">
        <f>IFERROR(_xll.BQL(Ticker,$B70,"FPT",$C$12,"FPO",H$12,"STD",$H$7,"CONSOL",$H$9, "CURRENCY",$L$7)*1,0)</f>
        <v>4.0731070000000003</v>
      </c>
      <c r="I70" s="32">
        <f>IFERROR(_xll.BQL(Ticker,$B70,"FPT",$C$12,"FPO",I$12,"STD",$H$7,"CONSOL",$H$9, "CURRENCY",$L$7)*1,0)</f>
        <v>4.2300000000000004</v>
      </c>
      <c r="J70" s="32">
        <f>IFERROR(_xll.BQL(Ticker,$B70,"FPT",$C$12,"FPO",J$12,"STD",$H$7,"CONSOL",$H$9, "CURRENCY",$L$7)*1,0)</f>
        <v>4.7300000000000004</v>
      </c>
      <c r="K70" s="32">
        <f>IFERROR(_xll.BQL(Ticker,$B70,"FPT",$C$12,"FPO",K$12,"STD",$H$7,"CONSOL",$H$9, "CURRENCY",$L$7)*1,0)</f>
        <v>5.12</v>
      </c>
      <c r="L70" s="32">
        <f>IFERROR(_xll.BQL(Ticker,$B70,"FPT",$C$12,"FPO",L$12,"STD",$H$7,"CONSOL",$H$9, "CURRENCY",$L$7)*1,0)</f>
        <v>5.8</v>
      </c>
      <c r="M70" s="32">
        <f>IFERROR(_xll.BQL(Ticker,$B70,"FPT",$C$12,"FPO",M$12,"STD",$H$7,"CONSOL",$H$9, "CURRENCY",$L$7)*1,0)</f>
        <v>6.49</v>
      </c>
      <c r="N70" s="32">
        <f>IFERROR(_xll.BQL(Ticker,$B70,"FPT",$C$12,"FPO",N$12,"STD",$H$7,"CONSOL",$H$9, "CURRENCY",$L$7)*1,0)</f>
        <v>7.31</v>
      </c>
    </row>
    <row r="71" spans="1:14">
      <c r="A71" s="17"/>
      <c r="B71" s="17" t="s">
        <v>390</v>
      </c>
      <c r="C71" s="18" t="s">
        <v>44</v>
      </c>
      <c r="D71" s="32">
        <f>IFERROR(_xll.BQL(Ticker,$B71,"FPT",$C$12,"FPO",D$12,"STD",$H$7,"CONSOL",$H$9, "CURRENCY",$L$7)*1,0)</f>
        <v>2.83</v>
      </c>
      <c r="E71" s="32">
        <f>IFERROR(_xll.BQL(Ticker,$B71,"FPT",$C$12,"FPO",E$12,"STD",$H$7,"CONSOL",$H$9, "CURRENCY",$L$7)*1,0)</f>
        <v>2.9758089999999999</v>
      </c>
      <c r="F71" s="32">
        <f>IFERROR(_xll.BQL(Ticker,$B71,"FPT",$C$12,"FPO",F$12,"STD",$H$7,"CONSOL",$H$9, "CURRENCY",$L$7)*1,0)</f>
        <v>3.3578350000000001</v>
      </c>
      <c r="G71" s="32">
        <f>IFERROR(_xll.BQL(Ticker,$B71,"FPT",$C$12,"FPO",G$12,"STD",$H$7,"CONSOL",$H$9, "CURRENCY",$L$7)*1,0)</f>
        <v>3.71611</v>
      </c>
      <c r="H71" s="32">
        <f>IFERROR(_xll.BQL(Ticker,$B71,"FPT",$C$12,"FPO",H$12,"STD",$H$7,"CONSOL",$H$9, "CURRENCY",$L$7)*1,0)</f>
        <v>4.08765</v>
      </c>
      <c r="I71" s="32">
        <f>IFERROR(_xll.BQL(Ticker,$B71,"FPT",$C$12,"FPO",I$12,"STD",$H$7,"CONSOL",$H$9, "CURRENCY",$L$7)*1,0)</f>
        <v>4.1871840000000002</v>
      </c>
      <c r="J71" s="32">
        <f>IFERROR(_xll.BQL(Ticker,$B71,"FPT",$C$12,"FPO",J$12,"STD",$H$7,"CONSOL",$H$9, "CURRENCY",$L$7)*1,0)</f>
        <v>4.3755280000000001</v>
      </c>
      <c r="K71" s="32">
        <f>IFERROR(_xll.BQL(Ticker,$B71,"FPT",$C$12,"FPO",K$12,"STD",$H$7,"CONSOL",$H$9, "CURRENCY",$L$7)*1,0)</f>
        <v>4.7330059999999996</v>
      </c>
      <c r="L71" s="32">
        <f>IFERROR(_xll.BQL(Ticker,$B71,"FPT",$C$12,"FPO",L$12,"STD",$H$7,"CONSOL",$H$9, "CURRENCY",$L$7)*1,0)</f>
        <v>5.2112949999999998</v>
      </c>
      <c r="M71" s="32">
        <f>IFERROR(_xll.BQL(Ticker,$B71,"FPT",$C$12,"FPO",M$12,"STD",$H$7,"CONSOL",$H$9, "CURRENCY",$L$7)*1,0)</f>
        <v>5.8239089999999996</v>
      </c>
      <c r="N71" s="32">
        <f>IFERROR(_xll.BQL(Ticker,$B71,"FPT",$C$12,"FPO",N$12,"STD",$H$7,"CONSOL",$H$9, "CURRENCY",$L$7)*1,0)</f>
        <v>6.4159930000000003</v>
      </c>
    </row>
    <row r="72" spans="1:14">
      <c r="A72" s="17"/>
      <c r="B72" s="17"/>
      <c r="C72" s="18"/>
      <c r="D72" s="38"/>
      <c r="E72" s="38"/>
      <c r="F72" s="38"/>
      <c r="G72" s="38"/>
      <c r="H72" s="38"/>
      <c r="I72" s="38"/>
      <c r="J72" s="38"/>
      <c r="K72" s="38"/>
      <c r="L72" s="38"/>
      <c r="M72" s="38"/>
      <c r="N72" s="38"/>
    </row>
    <row r="73" spans="1:14">
      <c r="A73" s="17"/>
      <c r="B73" s="17" t="s">
        <v>415</v>
      </c>
      <c r="C73" s="18" t="s">
        <v>45</v>
      </c>
      <c r="D73" s="40">
        <f>IFERROR(_xll.BQL(Ticker,$B73,"FPT",$C$12,"FPO",D$12,"STD",$H$7,"CONSOL",$H$9, "CURRENCY",$L$7)*1,0)</f>
        <v>0.4</v>
      </c>
      <c r="E73" s="40">
        <f>IFERROR(_xll.BQL(Ticker,$B73,"FPT",$C$12,"FPO",E$12,"STD",$H$7,"CONSOL",$H$9, "CURRENCY",$L$7)*1,0)</f>
        <v>0.25</v>
      </c>
      <c r="F73" s="40">
        <f>IFERROR(_xll.BQL(Ticker,$B73,"FPT",$C$12,"FPO",F$12,"STD",$H$7,"CONSOL",$H$9, "CURRENCY",$L$7)*1,0)</f>
        <v>0.63</v>
      </c>
      <c r="G73" s="40">
        <f>IFERROR(_xll.BQL(Ticker,$B73,"FPT",$C$12,"FPO",G$12,"STD",$H$7,"CONSOL",$H$9, "CURRENCY",$L$7)*1,0)</f>
        <v>0.75249999999999995</v>
      </c>
      <c r="H73" s="40">
        <f>IFERROR(_xll.BQL(Ticker,$B73,"FPT",$C$12,"FPO",H$12,"STD",$H$7,"CONSOL",$H$9, "CURRENCY",$L$7)*1,0)</f>
        <v>0.85</v>
      </c>
      <c r="I73" s="40">
        <f>IFERROR(_xll.BQL(Ticker,$B73,"FPT",$C$12,"FPO",I$12,"STD",$H$7,"CONSOL",$H$9, "CURRENCY",$L$7)*1,0)</f>
        <v>1.06</v>
      </c>
      <c r="J73" s="40">
        <f>IFERROR(_xll.BQL(Ticker,$B73,"FPT",$C$12,"FPO",J$12,"STD",$H$7,"CONSOL",$H$9, "CURRENCY",$L$7)*1,0)</f>
        <v>1.22</v>
      </c>
      <c r="K73" s="40">
        <f>IFERROR(_xll.BQL(Ticker,$B73,"FPT",$C$12,"FPO",K$12,"STD",$H$7,"CONSOL",$H$9, "CURRENCY",$L$7)*1,0)</f>
        <v>1.34</v>
      </c>
      <c r="L73" s="40">
        <f>IFERROR(_xll.BQL(Ticker,$B73,"FPT",$C$12,"FPO",L$12,"STD",$H$7,"CONSOL",$H$9, "CURRENCY",$L$7)*1,0)</f>
        <v>1.52</v>
      </c>
      <c r="M73" s="40">
        <f>IFERROR(_xll.BQL(Ticker,$B73,"FPT",$C$12,"FPO",M$12,"STD",$H$7,"CONSOL",$H$9, "CURRENCY",$L$7)*1,0)</f>
        <v>1.7</v>
      </c>
      <c r="N73" s="40">
        <f>IFERROR(_xll.BQL(Ticker,$B73,"FPT",$C$12,"FPO",N$12,"STD",$H$7,"CONSOL",$H$9, "CURRENCY",$L$7)*1,0)</f>
        <v>1.88</v>
      </c>
    </row>
    <row r="74" spans="1:14">
      <c r="A74" s="17"/>
      <c r="B74" s="17" t="s">
        <v>416</v>
      </c>
      <c r="C74" s="18" t="s">
        <v>46</v>
      </c>
      <c r="D74" s="40">
        <f>IFERROR(_xll.BQL(Ticker,$B74,"FPT",$C$12,"FPO",D$12,"STD",$H$7,"CONSOL",$H$9, "CURRENCY",$L$7)*1,0)</f>
        <v>13.81773828193065</v>
      </c>
      <c r="E74" s="40">
        <f>IFERROR(_xll.BQL(Ticker,$B74,"FPT",$C$12,"FPO",E$12,"STD",$H$7,"CONSOL",$H$9, "CURRENCY",$L$7)*1,0)</f>
        <v>8.9430894308943092</v>
      </c>
      <c r="F74" s="40">
        <f>IFERROR(_xll.BQL(Ticker,$B74,"FPT",$C$12,"FPO",F$12,"STD",$H$7,"CONSOL",$H$9, "CURRENCY",$L$7)*1,0)</f>
        <v>18.719560094265514</v>
      </c>
      <c r="G74" s="40">
        <f>IFERROR(_xll.BQL(Ticker,$B74,"FPT",$C$12,"FPO",G$12,"STD",$H$7,"CONSOL",$H$9, "CURRENCY",$L$7)*1,0)</f>
        <v>20.743494423791823</v>
      </c>
      <c r="H74" s="40">
        <f>IFERROR(_xll.BQL(Ticker,$B74,"FPT",$C$12,"FPO",H$12,"STD",$H$7,"CONSOL",$H$9, "CURRENCY",$L$7)*1,0)</f>
        <v>24.961479198767336</v>
      </c>
      <c r="I74" s="40">
        <f>IFERROR(_xll.BQL(Ticker,$B74,"FPT",$C$12,"FPO",I$12,"STD",$H$7,"CONSOL",$H$9, "CURRENCY",$L$7)*1,0)</f>
        <v>39.860834990059644</v>
      </c>
      <c r="J74" s="40">
        <f>IFERROR(_xll.BQL(Ticker,$B74,"FPT",$C$12,"FPO",J$12,"STD",$H$7,"CONSOL",$H$9, "CURRENCY",$L$7)*1,0)</f>
        <v>89.708737864077676</v>
      </c>
      <c r="K74" s="40">
        <f>IFERROR(_xll.BQL(Ticker,$B74,"FPT",$C$12,"FPO",K$12,"STD",$H$7,"CONSOL",$H$9, "CURRENCY",$L$7)*1,0)</f>
        <v>36.205698401667824</v>
      </c>
      <c r="L74" s="40">
        <f>IFERROR(_xll.BQL(Ticker,$B74,"FPT",$C$12,"FPO",L$12,"STD",$H$7,"CONSOL",$H$9, "CURRENCY",$L$7)*1,0)</f>
        <v>34.486945962355797</v>
      </c>
      <c r="M74" s="40">
        <f>IFERROR(_xll.BQL(Ticker,$B74,"FPT",$C$12,"FPO",M$12,"STD",$H$7,"CONSOL",$H$9, "CURRENCY",$L$7)*1,0)</f>
        <v>62.352941176470587</v>
      </c>
      <c r="N74" s="40">
        <f>IFERROR(_xll.BQL(Ticker,$B74,"FPT",$C$12,"FPO",N$12,"STD",$H$7,"CONSOL",$H$9, "CURRENCY",$L$7)*1,0)</f>
        <v>19.786096256684491</v>
      </c>
    </row>
    <row r="75" spans="1:14">
      <c r="A75" s="17"/>
      <c r="B75" s="17"/>
      <c r="C75" s="18"/>
      <c r="D75" s="38"/>
      <c r="E75" s="38"/>
      <c r="F75" s="38"/>
      <c r="G75" s="38"/>
      <c r="H75" s="38"/>
      <c r="I75" s="38"/>
      <c r="J75" s="38"/>
      <c r="K75" s="38"/>
      <c r="L75" s="38"/>
      <c r="M75" s="38"/>
      <c r="N75" s="38"/>
    </row>
    <row r="76" spans="1:14">
      <c r="A76" s="17"/>
      <c r="B76" s="17"/>
      <c r="C76" s="19" t="s">
        <v>47</v>
      </c>
      <c r="D76" s="38"/>
      <c r="E76" s="38"/>
      <c r="F76" s="38"/>
      <c r="G76" s="38"/>
      <c r="H76" s="38"/>
      <c r="I76" s="38"/>
      <c r="J76" s="38"/>
      <c r="K76" s="38"/>
      <c r="L76" s="38"/>
      <c r="M76" s="38"/>
      <c r="N76" s="38"/>
    </row>
    <row r="77" spans="1:14">
      <c r="A77" s="17"/>
      <c r="B77" s="17" t="s">
        <v>417</v>
      </c>
      <c r="C77" s="18" t="s">
        <v>48</v>
      </c>
      <c r="D77" s="40">
        <f>IFERROR(_xll.BQL(Ticker,$B77,"FPT",$C$12,"FPO",D$12,"STD",$H$7,"CONSOL",$H$9, "CURRENCY",$L$7)*1,0)</f>
        <v>1786.1</v>
      </c>
      <c r="E77" s="40">
        <f>IFERROR(_xll.BQL(Ticker,$B77,"FPT",$C$12,"FPO",E$12,"STD",$H$7,"CONSOL",$H$9, "CURRENCY",$L$7)*1,0)</f>
        <v>1814</v>
      </c>
      <c r="F77" s="40">
        <f>IFERROR(_xll.BQL(Ticker,$B77,"FPT",$C$12,"FPO",F$12,"STD",$H$7,"CONSOL",$H$9, "CURRENCY",$L$7)*1,0)</f>
        <v>1809</v>
      </c>
      <c r="G77" s="40">
        <f>IFERROR(_xll.BQL(Ticker,$B77,"FPT",$C$12,"FPO",G$12,"STD",$H$7,"CONSOL",$H$9, "CURRENCY",$L$7)*1,0)</f>
        <v>1808</v>
      </c>
      <c r="H77" s="40">
        <f>IFERROR(_xll.BQL(Ticker,$B77,"FPT",$C$12,"FPO",H$12,"STD",$H$7,"CONSOL",$H$9, "CURRENCY",$L$7)*1,0)</f>
        <v>1864</v>
      </c>
      <c r="I77" s="40">
        <f>IFERROR(_xll.BQL(Ticker,$B77,"FPT",$C$12,"FPO",I$12,"STD",$H$7,"CONSOL",$H$9, "CURRENCY",$L$7)*1,0)</f>
        <v>1394</v>
      </c>
      <c r="J77" s="40">
        <f>IFERROR(_xll.BQL(Ticker,$B77,"FPT",$C$12,"FPO",J$12,"STD",$H$7,"CONSOL",$H$9, "CURRENCY",$L$7)*1,0)</f>
        <v>1434</v>
      </c>
      <c r="K77" s="40">
        <f>IFERROR(_xll.BQL(Ticker,$B77,"FPT",$C$12,"FPO",K$12,"STD",$H$7,"CONSOL",$H$9, "CURRENCY",$L$7)*1,0)</f>
        <v>2071</v>
      </c>
      <c r="L77" s="40">
        <f>IFERROR(_xll.BQL(Ticker,$B77,"FPT",$C$12,"FPO",L$12,"STD",$H$7,"CONSOL",$H$9, "CURRENCY",$L$7)*1,0)</f>
        <v>2494</v>
      </c>
      <c r="M77" s="40">
        <f>IFERROR(_xll.BQL(Ticker,$B77,"FPT",$C$12,"FPO",M$12,"STD",$H$7,"CONSOL",$H$9, "CURRENCY",$L$7)*1,0)</f>
        <v>2668</v>
      </c>
      <c r="N77" s="40">
        <f>IFERROR(_xll.BQL(Ticker,$B77,"FPT",$C$12,"FPO",N$12,"STD",$H$7,"CONSOL",$H$9, "CURRENCY",$L$7)*1,0)</f>
        <v>2954</v>
      </c>
    </row>
    <row r="78" spans="1:14">
      <c r="A78" s="17"/>
      <c r="B78" s="17" t="s">
        <v>371</v>
      </c>
      <c r="C78" s="18" t="s">
        <v>1</v>
      </c>
      <c r="D78" s="40">
        <f>IFERROR(_xll.BQL(Ticker,$B78,"FPT",$C$12,"FPO",D$12,"STD",$H$7,"CONSOL",$H$9, "CURRENCY",$L$7)*1,0)</f>
        <v>1553.9</v>
      </c>
      <c r="E78" s="40">
        <f>IFERROR(_xll.BQL(Ticker,$B78,"FPT",$C$12,"FPO",E$12,"STD",$H$7,"CONSOL",$H$9, "CURRENCY",$L$7)*1,0)</f>
        <v>1594</v>
      </c>
      <c r="F78" s="40">
        <f>IFERROR(_xll.BQL(Ticker,$B78,"FPT",$C$12,"FPO",F$12,"STD",$H$7,"CONSOL",$H$9, "CURRENCY",$L$7)*1,0)</f>
        <v>1751</v>
      </c>
      <c r="G78" s="40">
        <f>IFERROR(_xll.BQL(Ticker,$B78,"FPT",$C$12,"FPO",G$12,"STD",$H$7,"CONSOL",$H$9, "CURRENCY",$L$7)*1,0)</f>
        <v>1686</v>
      </c>
      <c r="H78" s="40">
        <f>IFERROR(_xll.BQL(Ticker,$B78,"FPT",$C$12,"FPO",H$12,"STD",$H$7,"CONSOL",$H$9, "CURRENCY",$L$7)*1,0)</f>
        <v>1741</v>
      </c>
      <c r="I78" s="40">
        <f>IFERROR(_xll.BQL(Ticker,$B78,"FPT",$C$12,"FPO",I$12,"STD",$H$7,"CONSOL",$H$9, "CURRENCY",$L$7)*1,0)</f>
        <v>1256</v>
      </c>
      <c r="J78" s="40">
        <f>IFERROR(_xll.BQL(Ticker,$B78,"FPT",$C$12,"FPO",J$12,"STD",$H$7,"CONSOL",$H$9, "CURRENCY",$L$7)*1,0)</f>
        <v>1246</v>
      </c>
      <c r="K78" s="40">
        <f>IFERROR(_xll.BQL(Ticker,$B78,"FPT",$C$12,"FPO",K$12,"STD",$H$7,"CONSOL",$H$9, "CURRENCY",$L$7)*1,0)</f>
        <v>1861</v>
      </c>
      <c r="L78" s="40">
        <f>IFERROR(_xll.BQL(Ticker,$B78,"FPT",$C$12,"FPO",L$12,"STD",$H$7,"CONSOL",$H$9, "CURRENCY",$L$7)*1,0)</f>
        <v>2175</v>
      </c>
      <c r="M78" s="40">
        <f>IFERROR(_xll.BQL(Ticker,$B78,"FPT",$C$12,"FPO",M$12,"STD",$H$7,"CONSOL",$H$9, "CURRENCY",$L$7)*1,0)</f>
        <v>2297</v>
      </c>
      <c r="N78" s="40">
        <f>IFERROR(_xll.BQL(Ticker,$B78,"FPT",$C$12,"FPO",N$12,"STD",$H$7,"CONSOL",$H$9, "CURRENCY",$L$7)*1,0)</f>
        <v>2537</v>
      </c>
    </row>
    <row r="79" spans="1:14">
      <c r="A79" s="17"/>
      <c r="B79" s="52" t="s">
        <v>518</v>
      </c>
      <c r="C79" s="18" t="s">
        <v>49</v>
      </c>
      <c r="D79" s="40">
        <f>_xll.BDP(Ticker,$B79,"EQY FUND RELATIVE PERIOD",D$11,"EQY_FUND_CRNCY",$L$7,"EQY_CONSOLIDATED",$H$9,"ACCOUNTING_STANDARD_OVERRIDE",$H$7,"Fill=0")</f>
        <v>0</v>
      </c>
      <c r="E79" s="40">
        <f>_xll.BDP(Ticker,$B79,"EQY FUND RELATIVE PERIOD",E$11,"EQY_FUND_CRNCY",$L$7,"EQY_CONSOLIDATED",$H$9,"ACCOUNTING_STANDARD_OVERRIDE",$H$7,"Fill=0")</f>
        <v>6723</v>
      </c>
      <c r="F79" s="40">
        <f>_xll.BDP(Ticker,$B79,"EQY FUND RELATIVE PERIOD",F$11,"EQY_FUND_CRNCY",$L$7,"EQY_CONSOLIDATED",$H$9,"ACCOUNTING_STANDARD_OVERRIDE",$H$7,"Fill=0")</f>
        <v>7320</v>
      </c>
      <c r="G79" s="40">
        <f>_xll.BDP(Ticker,$B79,"EQY FUND RELATIVE PERIOD",G$11,"EQY_FUND_CRNCY",$L$7,"EQY_CONSOLIDATED",$H$9,"ACCOUNTING_STANDARD_OVERRIDE",$H$7,"Fill=0")</f>
        <v>8307</v>
      </c>
      <c r="H79" s="40">
        <f>_xll.BDP(Ticker,$B79,"EQY FUND RELATIVE PERIOD",H$11,"EQY_FUND_CRNCY",$L$7,"EQY_CONSOLIDATED",$H$9,"ACCOUNTING_STANDARD_OVERRIDE",$H$7,"Fill=0")</f>
        <v>8657</v>
      </c>
      <c r="I79" s="40">
        <f>_xll.BDP(Ticker,$B79,"EQY FUND RELATIVE PERIOD",I$11,"EQY_FUND_CRNCY",$L$7,"EQY_CONSOLIDATED",$H$9,"ACCOUNTING_STANDARD_OVERRIDE",$H$7,"Fill=0")</f>
        <v>9021</v>
      </c>
      <c r="J79" s="40">
        <f>_xll.BDP(Ticker,$B79,"EQY FUND RELATIVE PERIOD",J$11,"EQY_FUND_CRNCY",$L$7,"EQY_CONSOLIDATED",$H$9,"ACCOUNTING_STANDARD_OVERRIDE",$H$7,"Fill=0")</f>
        <v>9675</v>
      </c>
      <c r="K79" s="40">
        <f>_xll.BDP(Ticker,$B79,"EQY FUND RELATIVE PERIOD",K$11,"EQY_FUND_CRNCY",$L$7,"EQY_CONSOLIDATED",$H$9,"ACCOUNTING_STANDARD_OVERRIDE",$H$7,"Fill=0")</f>
        <v>9946</v>
      </c>
      <c r="L79" s="40">
        <f>_xll.BDP(Ticker,$B79,"EQY FUND RELATIVE PERIOD",L$11,"EQY_FUND_CRNCY",$L$7,"EQY_CONSOLIDATED",$H$9,"ACCOUNTING_STANDARD_OVERRIDE",$H$7,"Fill=0")</f>
        <v>11325</v>
      </c>
      <c r="M79" s="40">
        <f>_xll.BDP(Ticker,$B79,"EQY FUND RELATIVE PERIOD",M$11,"EQY_FUND_CRNCY",$L$7,"EQY_CONSOLIDATED",$H$9,"ACCOUNTING_STANDARD_OVERRIDE",$H$7,"Fill=0")</f>
        <v>12444</v>
      </c>
      <c r="N79" s="40">
        <f>_xll.BDP(Ticker,$B79,"EQY FUND RELATIVE PERIOD",N$11,"EQY_FUND_CRNCY",$L$7,"EQY_CONSOLIDATED",$H$9,"ACCOUNTING_STANDARD_OVERRIDE",$H$7,"Fill=0")</f>
        <v>13601</v>
      </c>
    </row>
    <row r="80" spans="1:14">
      <c r="A80" s="17"/>
      <c r="B80" s="17" t="s">
        <v>418</v>
      </c>
      <c r="C80" s="18" t="s">
        <v>50</v>
      </c>
      <c r="D80" s="40">
        <f>IFERROR(_xll.BQL(Ticker,$B80,"FPT",$C$12,"FPO",D$12,"STD",$H$7,"CONSOL",$H$9, "CURRENCY",$L$7)*1,0)</f>
        <v>27.363624857612962</v>
      </c>
      <c r="E80" s="40">
        <f>IFERROR(_xll.BQL(Ticker,$B80,"FPT",$C$12,"FPO",E$12,"STD",$H$7,"CONSOL",$H$9, "CURRENCY",$L$7)*1,0)</f>
        <v>31.834975369458128</v>
      </c>
      <c r="F80" s="40">
        <f>IFERROR(_xll.BQL(Ticker,$B80,"FPT",$C$12,"FPO",F$12,"STD",$H$7,"CONSOL",$H$9, "CURRENCY",$L$7)*1,0)</f>
        <v>26.373626373626372</v>
      </c>
      <c r="G80" s="40">
        <f>IFERROR(_xll.BQL(Ticker,$B80,"FPT",$C$12,"FPO",G$12,"STD",$H$7,"CONSOL",$H$9, "CURRENCY",$L$7)*1,0)</f>
        <v>20.225385527876632</v>
      </c>
      <c r="H80" s="40">
        <f>IFERROR(_xll.BQL(Ticker,$B80,"FPT",$C$12,"FPO",H$12,"STD",$H$7,"CONSOL",$H$9, "CURRENCY",$L$7)*1,0)</f>
        <v>23.870967741935484</v>
      </c>
      <c r="I80" s="40">
        <f>IFERROR(_xll.BQL(Ticker,$B80,"FPT",$C$12,"FPO",I$12,"STD",$H$7,"CONSOL",$H$9, "CURRENCY",$L$7)*1,0)</f>
        <v>16.996699669966997</v>
      </c>
      <c r="J80" s="40">
        <f>IFERROR(_xll.BQL(Ticker,$B80,"FPT",$C$12,"FPO",J$12,"STD",$H$7,"CONSOL",$H$9, "CURRENCY",$L$7)*1,0)</f>
        <v>55.603448275862071</v>
      </c>
      <c r="K80" s="40">
        <f>IFERROR(_xll.BQL(Ticker,$B80,"FPT",$C$12,"FPO",K$12,"STD",$H$7,"CONSOL",$H$9, "CURRENCY",$L$7)*1,0)</f>
        <v>17.060518731988473</v>
      </c>
      <c r="L80" s="40">
        <f>IFERROR(_xll.BQL(Ticker,$B80,"FPT",$C$12,"FPO",L$12,"STD",$H$7,"CONSOL",$H$9, "CURRENCY",$L$7)*1,0)</f>
        <v>14.263404476834982</v>
      </c>
      <c r="M80" s="40">
        <f>IFERROR(_xll.BQL(Ticker,$B80,"FPT",$C$12,"FPO",M$12,"STD",$H$7,"CONSOL",$H$9, "CURRENCY",$L$7)*1,0)</f>
        <v>50.557440620455644</v>
      </c>
      <c r="N80" s="40">
        <f>IFERROR(_xll.BQL(Ticker,$B80,"FPT",$C$12,"FPO",N$12,"STD",$H$7,"CONSOL",$H$9, "CURRENCY",$L$7)*1,0)</f>
        <v>0</v>
      </c>
    </row>
    <row r="81" spans="1:14">
      <c r="A81" s="17"/>
      <c r="B81" s="17"/>
      <c r="C81" s="18"/>
      <c r="D81" s="38"/>
      <c r="E81" s="38"/>
      <c r="F81" s="38"/>
      <c r="G81" s="38"/>
      <c r="H81" s="38"/>
      <c r="I81" s="38"/>
      <c r="J81" s="38"/>
      <c r="K81" s="38"/>
      <c r="L81" s="38"/>
      <c r="M81" s="38"/>
      <c r="N81" s="38"/>
    </row>
    <row r="82" spans="1:14">
      <c r="A82" s="17"/>
      <c r="B82" s="17" t="s">
        <v>419</v>
      </c>
      <c r="C82" s="18" t="s">
        <v>51</v>
      </c>
      <c r="D82" s="40">
        <f>IFERROR(_xll.BQL(Ticker,$B82,"FPT",$C$12,"FPO",D$12,"STD",$H$7,"CONSOL",$H$9, "CURRENCY",$L$7)*1,0)</f>
        <v>1169.5</v>
      </c>
      <c r="E82" s="40">
        <f>IFERROR(_xll.BQL(Ticker,$B82,"FPT",$C$12,"FPO",E$12,"STD",$H$7,"CONSOL",$H$9, "CURRENCY",$L$7)*1,0)</f>
        <v>1189.2</v>
      </c>
      <c r="F82" s="40">
        <f>IFERROR(_xll.BQL(Ticker,$B82,"FPT",$C$12,"FPO",F$12,"STD",$H$7,"CONSOL",$H$9, "CURRENCY",$L$7)*1,0)</f>
        <v>1340.05</v>
      </c>
      <c r="G82" s="40">
        <f>IFERROR(_xll.BQL(Ticker,$B82,"FPT",$C$12,"FPO",G$12,"STD",$H$7,"CONSOL",$H$9, "CURRENCY",$L$7)*1,0)</f>
        <v>1448.65</v>
      </c>
      <c r="H82" s="40">
        <f>IFERROR(_xll.BQL(Ticker,$B82,"FPT",$C$12,"FPO",H$12,"STD",$H$7,"CONSOL",$H$9, "CURRENCY",$L$7)*1,0)</f>
        <v>1565.2</v>
      </c>
      <c r="I82" s="40">
        <f>IFERROR(_xll.BQL(Ticker,$B82,"FPT",$C$12,"FPO",I$12,"STD",$H$7,"CONSOL",$H$9, "CURRENCY",$L$7)*1,0)</f>
        <v>1601</v>
      </c>
      <c r="J82" s="40">
        <f>IFERROR(_xll.BQL(Ticker,$B82,"FPT",$C$12,"FPO",J$12,"STD",$H$7,"CONSOL",$H$9, "CURRENCY",$L$7)*1,0)</f>
        <v>1677</v>
      </c>
      <c r="K82" s="40">
        <f>IFERROR(_xll.BQL(Ticker,$B82,"FPT",$C$12,"FPO",K$12,"STD",$H$7,"CONSOL",$H$9, "CURRENCY",$L$7)*1,0)</f>
        <v>1802</v>
      </c>
      <c r="L82" s="40">
        <f>IFERROR(_xll.BQL(Ticker,$B82,"FPT",$C$12,"FPO",L$12,"STD",$H$7,"CONSOL",$H$9, "CURRENCY",$L$7)*1,0)</f>
        <v>1973</v>
      </c>
      <c r="M82" s="40">
        <f>IFERROR(_xll.BQL(Ticker,$B82,"FPT",$C$12,"FPO",M$12,"STD",$H$7,"CONSOL",$H$9, "CURRENCY",$L$7)*1,0)</f>
        <v>2215</v>
      </c>
      <c r="N82" s="40">
        <f>IFERROR(_xll.BQL(Ticker,$B82,"FPT",$C$12,"FPO",N$12,"STD",$H$7,"CONSOL",$H$9, "CURRENCY",$L$7)*1,0)</f>
        <v>2441</v>
      </c>
    </row>
    <row r="83" spans="1:14">
      <c r="A83" s="17"/>
      <c r="B83" s="17" t="s">
        <v>420</v>
      </c>
      <c r="C83" s="18" t="s">
        <v>52</v>
      </c>
      <c r="D83" s="40">
        <f>IFERROR(_xll.BQL(Ticker,$B83,"FPT",$C$12,"FPO",D$12,"STD",$H$7,"CONSOL",$H$9, "CURRENCY",$L$7)*1,0)</f>
        <v>0</v>
      </c>
      <c r="E83" s="40">
        <f>IFERROR(_xll.BQL(Ticker,$B83,"FPT",$C$12,"FPO",E$12,"STD",$H$7,"CONSOL",$H$9, "CURRENCY",$L$7)*1,0)</f>
        <v>336</v>
      </c>
      <c r="F83" s="40">
        <f>IFERROR(_xll.BQL(Ticker,$B83,"FPT",$C$12,"FPO",F$12,"STD",$H$7,"CONSOL",$H$9, "CURRENCY",$L$7)*1,0)</f>
        <v>0</v>
      </c>
      <c r="G83" s="40">
        <f>IFERROR(_xll.BQL(Ticker,$B83,"FPT",$C$12,"FPO",G$12,"STD",$H$7,"CONSOL",$H$9, "CURRENCY",$L$7)*1,0)</f>
        <v>0</v>
      </c>
      <c r="H83" s="40">
        <f>IFERROR(_xll.BQL(Ticker,$B83,"FPT",$C$12,"FPO",H$12,"STD",$H$7,"CONSOL",$H$9, "CURRENCY",$L$7)*1,0)</f>
        <v>0</v>
      </c>
      <c r="I83" s="40">
        <f>IFERROR(_xll.BQL(Ticker,$B83,"FPT",$C$12,"FPO",I$12,"STD",$H$7,"CONSOL",$H$9, "CURRENCY",$L$7)*1,0)</f>
        <v>0</v>
      </c>
      <c r="J83" s="40">
        <f>IFERROR(_xll.BQL(Ticker,$B83,"FPT",$C$12,"FPO",J$12,"STD",$H$7,"CONSOL",$H$9, "CURRENCY",$L$7)*1,0)</f>
        <v>0</v>
      </c>
      <c r="K83" s="40">
        <f>IFERROR(_xll.BQL(Ticker,$B83,"FPT",$C$12,"FPO",K$12,"STD",$H$7,"CONSOL",$H$9, "CURRENCY",$L$7)*1,0)</f>
        <v>0</v>
      </c>
      <c r="L83" s="40">
        <f>IFERROR(_xll.BQL(Ticker,$B83,"FPT",$C$12,"FPO",L$12,"STD",$H$7,"CONSOL",$H$9, "CURRENCY",$L$7)*1,0)</f>
        <v>0</v>
      </c>
      <c r="M83" s="40">
        <f>IFERROR(_xll.BQL(Ticker,$B83,"FPT",$C$12,"FPO",M$12,"STD",$H$7,"CONSOL",$H$9, "CURRENCY",$L$7)*1,0)</f>
        <v>0</v>
      </c>
      <c r="N83" s="40">
        <f>IFERROR(_xll.BQL(Ticker,$B83,"FPT",$C$12,"FPO",N$12,"STD",$H$7,"CONSOL",$H$9, "CURRENCY",$L$7)*1,0)</f>
        <v>0</v>
      </c>
    </row>
    <row r="84" spans="1:14">
      <c r="A84" s="17"/>
      <c r="B84" s="17"/>
      <c r="C84" s="18"/>
      <c r="D84" s="38"/>
      <c r="E84" s="38"/>
      <c r="F84" s="38"/>
      <c r="G84" s="38"/>
      <c r="H84" s="38"/>
      <c r="I84" s="38"/>
      <c r="J84" s="38"/>
      <c r="K84" s="38"/>
      <c r="L84" s="38"/>
      <c r="M84" s="38"/>
      <c r="N84" s="38"/>
    </row>
    <row r="85" spans="1:14">
      <c r="A85" s="17"/>
      <c r="B85" s="17"/>
      <c r="C85" s="19" t="s">
        <v>53</v>
      </c>
      <c r="D85" s="38"/>
      <c r="E85" s="38"/>
      <c r="F85" s="38"/>
      <c r="G85" s="38"/>
      <c r="H85" s="38"/>
      <c r="I85" s="38"/>
      <c r="J85" s="38"/>
      <c r="K85" s="38"/>
      <c r="L85" s="38"/>
      <c r="M85" s="38"/>
      <c r="N85" s="38"/>
    </row>
    <row r="86" spans="1:14">
      <c r="A86" s="17"/>
      <c r="B86" s="52" t="s">
        <v>519</v>
      </c>
      <c r="C86" s="18" t="s">
        <v>54</v>
      </c>
      <c r="D86" s="40">
        <f>_xll.BDP(Ticker,$B86,"EQY FUND RELATIVE PERIOD",D$11,"EQY_FUND_CRNCY",$L$7,"EQY_CONSOLIDATED",$H$9,"ACCOUNTING_STANDARD_OVERRIDE",$H$7,"Fill=0")</f>
        <v>0</v>
      </c>
      <c r="E86" s="40">
        <f>_xll.BDP(Ticker,$B86,"EQY FUND RELATIVE PERIOD",E$11,"EQY_FUND_CRNCY",$L$7,"EQY_CONSOLIDATED",$H$9,"ACCOUNTING_STANDARD_OVERRIDE",$H$7,"Fill=0")</f>
        <v>0</v>
      </c>
      <c r="F86" s="40">
        <f>_xll.BDP(Ticker,$B86,"EQY FUND RELATIVE PERIOD",F$11,"EQY_FUND_CRNCY",$L$7,"EQY_CONSOLIDATED",$H$9,"ACCOUNTING_STANDARD_OVERRIDE",$H$7,"Fill=0")</f>
        <v>0</v>
      </c>
      <c r="G86" s="40">
        <f>_xll.BDP(Ticker,$B86,"EQY FUND RELATIVE PERIOD",G$11,"EQY_FUND_CRNCY",$L$7,"EQY_CONSOLIDATED",$H$9,"ACCOUNTING_STANDARD_OVERRIDE",$H$7,"Fill=0")</f>
        <v>0</v>
      </c>
      <c r="H86" s="40">
        <f>_xll.BDP(Ticker,$B86,"EQY FUND RELATIVE PERIOD",H$11,"EQY_FUND_CRNCY",$L$7,"EQY_CONSOLIDATED",$H$9,"ACCOUNTING_STANDARD_OVERRIDE",$H$7,"Fill=0")</f>
        <v>0</v>
      </c>
      <c r="I86" s="40">
        <f>_xll.BDP(Ticker,$B86,"EQY FUND RELATIVE PERIOD",I$11,"EQY_FUND_CRNCY",$L$7,"EQY_CONSOLIDATED",$H$9,"ACCOUNTING_STANDARD_OVERRIDE",$H$7,"Fill=0")</f>
        <v>0</v>
      </c>
      <c r="J86" s="40">
        <f>_xll.BDP(Ticker,$B86,"EQY FUND RELATIVE PERIOD",J$11,"EQY_FUND_CRNCY",$L$7,"EQY_CONSOLIDATED",$H$9,"ACCOUNTING_STANDARD_OVERRIDE",$H$7,"Fill=0")</f>
        <v>0</v>
      </c>
      <c r="K86" s="40">
        <f>_xll.BDP(Ticker,$B86,"EQY FUND RELATIVE PERIOD",K$11,"EQY_FUND_CRNCY",$L$7,"EQY_CONSOLIDATED",$H$9,"ACCOUNTING_STANDARD_OVERRIDE",$H$7,"Fill=0")</f>
        <v>0</v>
      </c>
      <c r="L86" s="40">
        <f>_xll.BDP(Ticker,$B86,"EQY FUND RELATIVE PERIOD",L$11,"EQY_FUND_CRNCY",$L$7,"EQY_CONSOLIDATED",$H$9,"ACCOUNTING_STANDARD_OVERRIDE",$H$7,"Fill=0")</f>
        <v>0</v>
      </c>
      <c r="M86" s="40">
        <f>_xll.BDP(Ticker,$B86,"EQY FUND RELATIVE PERIOD",M$11,"EQY_FUND_CRNCY",$L$7,"EQY_CONSOLIDATED",$H$9,"ACCOUNTING_STANDARD_OVERRIDE",$H$7,"Fill=0")</f>
        <v>0</v>
      </c>
      <c r="N86" s="40">
        <f>_xll.BDP(Ticker,$B86,"EQY FUND RELATIVE PERIOD",N$11,"EQY_FUND_CRNCY",$L$7,"EQY_CONSOLIDATED",$H$9,"ACCOUNTING_STANDARD_OVERRIDE",$H$7,"Fill=0")</f>
        <v>0</v>
      </c>
    </row>
    <row r="87" spans="1:14">
      <c r="A87" s="17"/>
      <c r="B87" s="17"/>
      <c r="C87" s="18"/>
      <c r="D87" s="38"/>
      <c r="E87" s="38"/>
      <c r="F87" s="38"/>
      <c r="G87" s="38"/>
      <c r="H87" s="38"/>
      <c r="I87" s="38"/>
      <c r="J87" s="38"/>
      <c r="K87" s="38"/>
      <c r="L87" s="38"/>
      <c r="M87" s="38"/>
      <c r="N87" s="38"/>
    </row>
    <row r="88" spans="1:14">
      <c r="A88" s="17"/>
      <c r="B88" s="52" t="s">
        <v>499</v>
      </c>
      <c r="C88" s="18" t="s">
        <v>55</v>
      </c>
      <c r="D88" s="40">
        <f>IFERROR(_xll.BQL(Ticker,$B88,"FPT",$C$12,"FPO",D$12,"STD",$H$7,"CONSOL",$H$9, "CURRENCY",$L$7)*1,0)</f>
        <v>65.5</v>
      </c>
      <c r="E88" s="40">
        <f>IFERROR(_xll.BQL(Ticker,$B88,"FPT",$C$12,"FPO",E$12,"STD",$H$7,"CONSOL",$H$9, "CURRENCY",$L$7)*1,0)</f>
        <v>62</v>
      </c>
      <c r="F88" s="40">
        <f>IFERROR(_xll.BQL(Ticker,$B88,"FPT",$C$12,"FPO",F$12,"STD",$H$7,"CONSOL",$H$9, "CURRENCY",$L$7)*1,0)</f>
        <v>69</v>
      </c>
      <c r="G88" s="40">
        <f>IFERROR(_xll.BQL(Ticker,$B88,"FPT",$C$12,"FPO",G$12,"STD",$H$7,"CONSOL",$H$9, "CURRENCY",$L$7)*1,0)</f>
        <v>75</v>
      </c>
      <c r="H88" s="40">
        <f>IFERROR(_xll.BQL(Ticker,$B88,"FPT",$C$12,"FPO",H$12,"STD",$H$7,"CONSOL",$H$9, "CURRENCY",$L$7)*1,0)</f>
        <v>75</v>
      </c>
      <c r="I88" s="40">
        <f>IFERROR(_xll.BQL(Ticker,$B88,"FPT",$C$12,"FPO",I$12,"STD",$H$7,"CONSOL",$H$9, "CURRENCY",$L$7)*1,0)</f>
        <v>76</v>
      </c>
      <c r="J88" s="40">
        <f>IFERROR(_xll.BQL(Ticker,$B88,"FPT",$C$12,"FPO",J$12,"STD",$H$7,"CONSOL",$H$9, "CURRENCY",$L$7)*1,0)</f>
        <v>77</v>
      </c>
      <c r="K88" s="40">
        <f>IFERROR(_xll.BQL(Ticker,$B88,"FPT",$C$12,"FPO",K$12,"STD",$H$7,"CONSOL",$H$9, "CURRENCY",$L$7)*1,0)</f>
        <v>86</v>
      </c>
      <c r="L88" s="40">
        <f>IFERROR(_xll.BQL(Ticker,$B88,"FPT",$C$12,"FPO",L$12,"STD",$H$7,"CONSOL",$H$9, "CURRENCY",$L$7)*1,0)</f>
        <v>97</v>
      </c>
      <c r="M88" s="40">
        <f>IFERROR(_xll.BQL(Ticker,$B88,"FPT",$C$12,"FPO",M$12,"STD",$H$7,"CONSOL",$H$9, "CURRENCY",$L$7)*1,0)</f>
        <v>113</v>
      </c>
      <c r="N88" s="40">
        <f>IFERROR(_xll.BQL(Ticker,$B88,"FPT",$C$12,"FPO",N$12,"STD",$H$7,"CONSOL",$H$9, "CURRENCY",$L$7)*1,0)</f>
        <v>119</v>
      </c>
    </row>
    <row r="89" spans="1:14">
      <c r="A89" s="17"/>
      <c r="B89" s="52"/>
      <c r="C89" s="19" t="s">
        <v>56</v>
      </c>
      <c r="D89" s="43">
        <f t="shared" ref="D89:I89" si="10">D88</f>
        <v>65.5</v>
      </c>
      <c r="E89" s="43">
        <f t="shared" si="10"/>
        <v>62</v>
      </c>
      <c r="F89" s="43">
        <f t="shared" si="10"/>
        <v>69</v>
      </c>
      <c r="G89" s="43">
        <f t="shared" si="10"/>
        <v>75</v>
      </c>
      <c r="H89" s="43">
        <f t="shared" si="10"/>
        <v>75</v>
      </c>
      <c r="I89" s="43">
        <f t="shared" si="10"/>
        <v>76</v>
      </c>
      <c r="J89" s="43">
        <f>J88</f>
        <v>77</v>
      </c>
      <c r="K89" s="43">
        <f>K88</f>
        <v>86</v>
      </c>
      <c r="L89" s="43">
        <f>L88</f>
        <v>97</v>
      </c>
      <c r="M89" s="43">
        <f>M88</f>
        <v>113</v>
      </c>
      <c r="N89" s="43">
        <f>N88</f>
        <v>119</v>
      </c>
    </row>
    <row r="90" spans="1:14">
      <c r="A90" s="17"/>
      <c r="B90" s="17"/>
      <c r="C90" s="17"/>
      <c r="D90" s="20"/>
      <c r="E90" s="20"/>
      <c r="F90" s="20"/>
      <c r="G90" s="20"/>
      <c r="H90" s="20"/>
      <c r="I90" s="20"/>
      <c r="J90" s="20"/>
      <c r="K90" s="20"/>
      <c r="L90" s="20"/>
      <c r="M90" s="20"/>
      <c r="N90" s="20"/>
    </row>
    <row r="91" spans="1:14">
      <c r="N91" s="21"/>
    </row>
    <row r="92" spans="1:14">
      <c r="N92" s="21"/>
    </row>
    <row r="93" spans="1:14">
      <c r="N93" s="21"/>
    </row>
    <row r="94" spans="1:14">
      <c r="N94" s="21"/>
    </row>
    <row r="95" spans="1:14">
      <c r="F95" s="22"/>
      <c r="H95" s="22"/>
      <c r="N95" s="21"/>
    </row>
    <row r="96" spans="1:14">
      <c r="N96" s="21"/>
    </row>
    <row r="97" spans="14:14">
      <c r="N97" s="21"/>
    </row>
    <row r="98" spans="14:14">
      <c r="N98" s="21"/>
    </row>
    <row r="99" spans="14:14">
      <c r="N99" s="21"/>
    </row>
    <row r="100" spans="14:14">
      <c r="N100" s="21"/>
    </row>
    <row r="101" spans="14:14">
      <c r="N101" s="21"/>
    </row>
    <row r="102" spans="14:14">
      <c r="N102" s="21"/>
    </row>
    <row r="103" spans="14:14">
      <c r="N103" s="21"/>
    </row>
    <row r="104" spans="14:14">
      <c r="N104" s="21"/>
    </row>
    <row r="105" spans="14:14">
      <c r="N105" s="21"/>
    </row>
    <row r="106" spans="14:14">
      <c r="N106" s="21"/>
    </row>
    <row r="107" spans="14:14">
      <c r="N107" s="21"/>
    </row>
    <row r="108" spans="14:14">
      <c r="N108" s="21"/>
    </row>
    <row r="109" spans="14:14">
      <c r="N109" s="21"/>
    </row>
    <row r="110" spans="14:14">
      <c r="N110" s="21"/>
    </row>
    <row r="111" spans="14:14">
      <c r="N111" s="21"/>
    </row>
    <row r="112" spans="14:14">
      <c r="N112" s="21"/>
    </row>
    <row r="113" spans="14:14">
      <c r="N113" s="21"/>
    </row>
    <row r="114" spans="14:14">
      <c r="N114" s="21"/>
    </row>
    <row r="115" spans="14:14">
      <c r="N115" s="21"/>
    </row>
    <row r="116" spans="14:14">
      <c r="N116" s="21"/>
    </row>
    <row r="117" spans="14:14">
      <c r="N117" s="21"/>
    </row>
    <row r="118" spans="14:14">
      <c r="N118" s="21"/>
    </row>
    <row r="119" spans="14:14">
      <c r="N119" s="21"/>
    </row>
    <row r="120" spans="14:14">
      <c r="N120" s="21"/>
    </row>
    <row r="121" spans="14:14">
      <c r="N121" s="21"/>
    </row>
    <row r="122" spans="14:14">
      <c r="N122" s="21"/>
    </row>
    <row r="123" spans="14:14">
      <c r="N123" s="21"/>
    </row>
    <row r="124" spans="14:14">
      <c r="N124" s="21"/>
    </row>
    <row r="125" spans="14:14">
      <c r="N125" s="21"/>
    </row>
    <row r="126" spans="14:14">
      <c r="N126" s="21"/>
    </row>
    <row r="127" spans="14:14">
      <c r="N127" s="21"/>
    </row>
    <row r="128" spans="14:14">
      <c r="N128" s="21"/>
    </row>
    <row r="129" spans="14:14">
      <c r="N129" s="21"/>
    </row>
    <row r="130" spans="14:14">
      <c r="N130" s="21"/>
    </row>
    <row r="131" spans="14:14">
      <c r="N131" s="21"/>
    </row>
  </sheetData>
  <mergeCells count="6">
    <mergeCell ref="C14:C15"/>
    <mergeCell ref="N8:N9"/>
    <mergeCell ref="F7:G7"/>
    <mergeCell ref="F9:G9"/>
    <mergeCell ref="J7:K7"/>
    <mergeCell ref="J9:K9"/>
  </mergeCells>
  <phoneticPr fontId="0" type="noConversion"/>
  <dataValidations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2" right="0.2" top="0.5" bottom="0.5" header="0.5" footer="0.5"/>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BS">
    <pageSetUpPr autoPageBreaks="0" fitToPage="1"/>
  </sheetPr>
  <dimension ref="A2:IU79"/>
  <sheetViews>
    <sheetView showGridLines="0" showRowColHeaders="0" zoomScale="87" zoomScaleNormal="87" workbookViewId="0">
      <pane xSplit="3" ySplit="15" topLeftCell="D16" activePane="bottomRight" state="frozen"/>
      <selection sqref="A1:XFD1"/>
      <selection pane="topRight" sqref="A1:XFD1"/>
      <selection pane="bottomLeft" sqref="A1:XFD1"/>
      <selection pane="bottomRight" activeCell="D16" sqref="D16"/>
    </sheetView>
  </sheetViews>
  <sheetFormatPr defaultColWidth="9.140625" defaultRowHeight="15" outlineLevelRow="1"/>
  <cols>
    <col min="1" max="1" width="1.7109375" style="1" customWidth="1"/>
    <col min="2" max="2" width="21.42578125" style="1" hidden="1" customWidth="1"/>
    <col min="3" max="3" width="30.7109375" style="1" customWidth="1"/>
    <col min="4" max="14" width="11.7109375" style="1" customWidth="1"/>
    <col min="15" max="21" width="9.140625" style="1"/>
    <col min="22" max="22" width="11.42578125" style="1" bestFit="1" customWidth="1"/>
    <col min="23" max="16384" width="9.140625" style="1"/>
  </cols>
  <sheetData>
    <row r="2" spans="1:255" ht="5.0999999999999996" customHeight="1"/>
    <row r="3" spans="1:255" ht="15" customHeight="1"/>
    <row r="4" spans="1:255" ht="15" customHeight="1"/>
    <row r="5" spans="1:255" ht="15" customHeight="1"/>
    <row r="6" spans="1:255" ht="15" customHeight="1"/>
    <row r="7" spans="1:255" ht="15" customHeight="1">
      <c r="C7" s="198" t="s">
        <v>353</v>
      </c>
      <c r="D7" s="23" t="str">
        <f>Tick</f>
        <v>SYK US</v>
      </c>
      <c r="E7" s="31"/>
      <c r="F7" s="714" t="s">
        <v>344</v>
      </c>
      <c r="G7" s="715"/>
      <c r="H7" s="26" t="s">
        <v>345</v>
      </c>
      <c r="I7" s="56"/>
      <c r="J7" s="714" t="s">
        <v>0</v>
      </c>
      <c r="K7" s="715"/>
      <c r="L7" s="27" t="str">
        <f>_xll.BDP(Ticker,"EQY FUND CRNCY")</f>
        <v>USD</v>
      </c>
      <c r="M7" s="51"/>
      <c r="N7" s="16"/>
      <c r="AA7" s="7"/>
      <c r="AB7" s="7"/>
      <c r="AC7" s="7"/>
      <c r="AD7" s="7"/>
      <c r="AE7" s="7"/>
      <c r="AF7" s="7"/>
      <c r="AG7" s="7"/>
      <c r="AH7" s="7"/>
      <c r="AI7" s="7"/>
      <c r="AJ7" s="7"/>
      <c r="AK7" s="7"/>
      <c r="AL7" s="7"/>
    </row>
    <row r="8" spans="1:255" ht="5.0999999999999996" customHeight="1">
      <c r="E8" s="31"/>
      <c r="F8" s="28"/>
      <c r="G8" s="28"/>
      <c r="H8" s="28"/>
      <c r="I8" s="31"/>
      <c r="J8" s="28"/>
      <c r="K8" s="28"/>
      <c r="L8" s="28"/>
      <c r="M8" s="28"/>
      <c r="N8" s="719"/>
      <c r="AA8" s="7"/>
      <c r="AB8" s="7"/>
      <c r="AC8" s="7"/>
      <c r="AD8" s="7"/>
      <c r="AE8" s="7"/>
      <c r="AF8" s="7"/>
      <c r="AG8" s="7"/>
      <c r="AH8" s="7"/>
      <c r="AI8" s="7"/>
      <c r="AJ8" s="7"/>
      <c r="AK8" s="7"/>
      <c r="AL8" s="7"/>
    </row>
    <row r="9" spans="1:255" ht="15" customHeight="1">
      <c r="C9" s="198" t="s">
        <v>352</v>
      </c>
      <c r="D9" s="26" t="s">
        <v>339</v>
      </c>
      <c r="E9" s="46"/>
      <c r="F9" s="714" t="s">
        <v>342</v>
      </c>
      <c r="G9" s="715"/>
      <c r="H9" s="26" t="s">
        <v>343</v>
      </c>
      <c r="I9" s="47"/>
      <c r="J9" s="721"/>
      <c r="K9" s="721"/>
      <c r="M9" s="30"/>
      <c r="N9" s="719"/>
      <c r="AA9" s="7"/>
      <c r="AB9" s="7"/>
      <c r="AC9" s="7"/>
      <c r="AD9" s="7"/>
      <c r="AE9" s="7"/>
      <c r="AF9" s="7"/>
      <c r="AG9" s="7"/>
      <c r="AH9" s="7"/>
      <c r="AI9" s="7"/>
      <c r="AJ9" s="7"/>
      <c r="AK9" s="7"/>
      <c r="AL9" s="7"/>
    </row>
    <row r="10" spans="1:255" s="11" customFormat="1" ht="15" customHeight="1" collapsed="1">
      <c r="C10" s="7"/>
      <c r="D10" s="12"/>
      <c r="E10" s="29"/>
      <c r="F10" s="55"/>
      <c r="G10" s="55"/>
      <c r="H10" s="55"/>
      <c r="I10" s="55"/>
      <c r="J10" s="55"/>
      <c r="K10" s="55"/>
      <c r="L10" s="55"/>
      <c r="M10" s="55"/>
      <c r="N10" s="55"/>
      <c r="Z10" s="54"/>
      <c r="AA10" s="54"/>
      <c r="AB10" s="54"/>
      <c r="AC10" s="54"/>
      <c r="AD10" s="54"/>
      <c r="AE10" s="54"/>
      <c r="AF10" s="54"/>
      <c r="AG10" s="54"/>
      <c r="AH10" s="54"/>
      <c r="AI10" s="54"/>
      <c r="AJ10" s="54"/>
      <c r="AK10" s="54"/>
    </row>
    <row r="11" spans="1:255" s="11" customFormat="1" ht="15" hidden="1" customHeight="1" outlineLevel="1">
      <c r="C11" s="63" t="str">
        <f>IF($D$9="Annuals","FY",IF($D$9="Quarters","FQ",IF($D$9="Semi-Annuals","FS","")))</f>
        <v>FY</v>
      </c>
      <c r="D11" s="62" t="str">
        <f>"-10"&amp;$C$11</f>
        <v>-10FY</v>
      </c>
      <c r="E11" s="62" t="str">
        <f>"-9"&amp;$C$11</f>
        <v>-9FY</v>
      </c>
      <c r="F11" s="62" t="str">
        <f>"-8"&amp;$C$11</f>
        <v>-8FY</v>
      </c>
      <c r="G11" s="62" t="str">
        <f>"-7"&amp;$C$11</f>
        <v>-7FY</v>
      </c>
      <c r="H11" s="62" t="str">
        <f>"-6"&amp;$C$11</f>
        <v>-6FY</v>
      </c>
      <c r="I11" s="62" t="str">
        <f>"-5"&amp;$C$11</f>
        <v>-5FY</v>
      </c>
      <c r="J11" s="62" t="str">
        <f>"-4"&amp;$C$11</f>
        <v>-4FY</v>
      </c>
      <c r="K11" s="62" t="str">
        <f>"-3"&amp;$C$11</f>
        <v>-3FY</v>
      </c>
      <c r="L11" s="62" t="str">
        <f>"-2"&amp;$C$11</f>
        <v>-2FY</v>
      </c>
      <c r="M11" s="62" t="str">
        <f>"-1"&amp;$C$11</f>
        <v>-1FY</v>
      </c>
      <c r="N11" s="62" t="str">
        <f>"-0"&amp;$C$11</f>
        <v>-0FY</v>
      </c>
      <c r="Z11" s="54"/>
      <c r="AA11" s="54"/>
      <c r="AB11" s="54"/>
      <c r="AC11" s="54"/>
      <c r="AD11" s="54"/>
      <c r="AE11" s="54"/>
      <c r="AF11" s="54"/>
      <c r="AG11" s="54"/>
      <c r="AH11" s="54"/>
      <c r="AI11" s="54"/>
      <c r="AJ11" s="54"/>
      <c r="AK11" s="54"/>
    </row>
    <row r="12" spans="1:255" s="7" customFormat="1" ht="15" hidden="1" customHeight="1" outlineLevel="1">
      <c r="C12" s="63" t="str">
        <f>IF($D$9="Annuals","A",IF($D$9="Quarters","Q",IF($D$9="Semi-Annuals","S","")))</f>
        <v>A</v>
      </c>
      <c r="D12" s="62" t="str">
        <f>"-10"&amp;$C$12</f>
        <v>-10A</v>
      </c>
      <c r="E12" s="62" t="str">
        <f>"-9"&amp;$C$12</f>
        <v>-9A</v>
      </c>
      <c r="F12" s="62" t="str">
        <f>"-8"&amp;$C$12</f>
        <v>-8A</v>
      </c>
      <c r="G12" s="62" t="str">
        <f>"-7"&amp;$C$12</f>
        <v>-7A</v>
      </c>
      <c r="H12" s="62" t="str">
        <f>"-6"&amp;$C$12</f>
        <v>-6A</v>
      </c>
      <c r="I12" s="62" t="str">
        <f>"-5"&amp;$C$12</f>
        <v>-5A</v>
      </c>
      <c r="J12" s="62" t="str">
        <f>"-4"&amp;$C$12</f>
        <v>-4A</v>
      </c>
      <c r="K12" s="62" t="str">
        <f>"-3"&amp;$C$12</f>
        <v>-3A</v>
      </c>
      <c r="L12" s="62" t="str">
        <f>"-2"&amp;$C$12</f>
        <v>-2A</v>
      </c>
      <c r="M12" s="62" t="str">
        <f>"-1"&amp;$C$12</f>
        <v>-1A</v>
      </c>
      <c r="N12" s="62" t="str">
        <f>"-0"&amp;$C$12</f>
        <v>-0A</v>
      </c>
    </row>
    <row r="13" spans="1:255" s="7" customFormat="1" ht="15" hidden="1" customHeight="1" outlineLevel="1">
      <c r="C13" s="63"/>
      <c r="D13" s="62" t="str">
        <f>_xll.BQL(Ticker,"IS_EPS().PERIOD","FPT",$C$12,"FPO",D$12,"STD",$H$7,"CONSOL",$H$9)</f>
        <v>2008 A</v>
      </c>
      <c r="E13" s="62" t="str">
        <f>_xll.BQL(Ticker,"IS_EPS().PERIOD","FPT",$C$12,"FPO",E$12,"STD",$H$7,"CONSOL",$H$9)</f>
        <v>2009 A</v>
      </c>
      <c r="F13" s="62" t="str">
        <f>_xll.BQL(Ticker,"IS_EPS().PERIOD","FPT",$C$12,"FPO",F$12,"STD",$H$7,"CONSOL",$H$9)</f>
        <v>2010 A</v>
      </c>
      <c r="G13" s="62" t="str">
        <f>_xll.BQL(Ticker,"IS_EPS().PERIOD","FPT",$C$12,"FPO",G$12,"STD",$H$7,"CONSOL",$H$9)</f>
        <v>2011 A</v>
      </c>
      <c r="H13" s="62" t="str">
        <f>_xll.BQL(Ticker,"IS_EPS().PERIOD","FPT",$C$12,"FPO",H$12,"STD",$H$7,"CONSOL",$H$9)</f>
        <v>2012 A</v>
      </c>
      <c r="I13" s="62" t="str">
        <f>_xll.BQL(Ticker,"IS_EPS().PERIOD","FPT",$C$12,"FPO",I$12,"STD",$H$7,"CONSOL",$H$9)</f>
        <v>2013 A</v>
      </c>
      <c r="J13" s="62" t="str">
        <f>_xll.BQL(Ticker,"IS_EPS().PERIOD","FPT",$C$12,"FPO",J$12,"STD",$H$7,"CONSOL",$H$9)</f>
        <v>2014 A</v>
      </c>
      <c r="K13" s="62" t="str">
        <f>_xll.BQL(Ticker,"IS_EPS().PERIOD","FPT",$C$12,"FPO",K$12,"STD",$H$7,"CONSOL",$H$9)</f>
        <v>2015 A</v>
      </c>
      <c r="L13" s="62" t="str">
        <f>_xll.BQL(Ticker,"IS_EPS().PERIOD","FPT",$C$12,"FPO",L$12,"STD",$H$7,"CONSOL",$H$9)</f>
        <v>2016 A</v>
      </c>
      <c r="M13" s="62" t="str">
        <f>_xll.BQL(Ticker,"IS_EPS().PERIOD","FPT",$C$12,"FPO",M$12,"STD",$H$7,"CONSOL",$H$9)</f>
        <v>2017 A</v>
      </c>
      <c r="N13" s="62" t="str">
        <f>_xll.BQL(Ticker,"IS_EPS().PERIOD","FPT",$C$12,"FPO",N$12,"STD",$H$7,"CONSOL",$H$9)</f>
        <v>2018 A</v>
      </c>
    </row>
    <row r="14" spans="1:255" ht="15" customHeight="1" collapsed="1">
      <c r="C14" s="717" t="s">
        <v>57</v>
      </c>
      <c r="D14" s="61" t="str">
        <f>IF(D$13="","",IF($C$12="A","FY "&amp;LEFT(D$13,4),"F"&amp;RIGHT(D$13,2)&amp;" "&amp;LEFT(D$13,4)))</f>
        <v>FY 2008</v>
      </c>
      <c r="E14" s="37" t="str">
        <f t="shared" ref="E14:N14" si="0">IF(E$13="","",IF($C$12="A","FY "&amp;LEFT(E$13,4),"F"&amp;RIGHT(E$13,2)&amp;" "&amp;LEFT(E$13,4)))</f>
        <v>FY 2009</v>
      </c>
      <c r="F14" s="37" t="str">
        <f t="shared" si="0"/>
        <v>FY 2010</v>
      </c>
      <c r="G14" s="37" t="str">
        <f t="shared" si="0"/>
        <v>FY 2011</v>
      </c>
      <c r="H14" s="37" t="str">
        <f t="shared" si="0"/>
        <v>FY 2012</v>
      </c>
      <c r="I14" s="37" t="str">
        <f t="shared" si="0"/>
        <v>FY 2013</v>
      </c>
      <c r="J14" s="37" t="str">
        <f t="shared" si="0"/>
        <v>FY 2014</v>
      </c>
      <c r="K14" s="37" t="str">
        <f t="shared" si="0"/>
        <v>FY 2015</v>
      </c>
      <c r="L14" s="37" t="str">
        <f t="shared" si="0"/>
        <v>FY 2016</v>
      </c>
      <c r="M14" s="37" t="str">
        <f t="shared" si="0"/>
        <v>FY 2017</v>
      </c>
      <c r="N14" s="37" t="str">
        <f t="shared" si="0"/>
        <v>FY 2018</v>
      </c>
      <c r="O14" s="2"/>
      <c r="P14" s="2"/>
      <c r="Q14" s="2"/>
      <c r="R14" s="2"/>
      <c r="S14" s="2"/>
      <c r="T14" s="2"/>
      <c r="U14" s="2"/>
      <c r="V14" s="2"/>
      <c r="W14" s="2"/>
      <c r="X14" s="2"/>
      <c r="Y14" s="2"/>
      <c r="Z14" s="5"/>
      <c r="AA14" s="5"/>
      <c r="AB14" s="5"/>
      <c r="AC14" s="5"/>
      <c r="AD14" s="5"/>
      <c r="AE14" s="5"/>
      <c r="AF14" s="5"/>
      <c r="AG14" s="5"/>
      <c r="AH14" s="5"/>
      <c r="AI14" s="5"/>
      <c r="AJ14" s="5"/>
      <c r="AK14" s="5"/>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row>
    <row r="15" spans="1:255" ht="15" customHeight="1">
      <c r="C15" s="718"/>
      <c r="D15" s="295">
        <f>IFERROR(_xll.BQL(Ticker,"IS_EPS().PERIOD_END_DATE","FPT",$C$12,"FPO",D$12,"STD",$H$7,"CONSOL",$H$9)*1,"--")</f>
        <v>39813</v>
      </c>
      <c r="E15" s="301">
        <f>IFERROR(_xll.BQL(Ticker,"IS_EPS().PERIOD_END_DATE","FPT",$C$12,"FPO",E$12,"STD",$H$7,"CONSOL",$H$9)*1,"--")</f>
        <v>40178</v>
      </c>
      <c r="F15" s="301">
        <f>IFERROR(_xll.BQL(Ticker,"IS_EPS().PERIOD_END_DATE","FPT",$C$12,"FPO",F$12,"STD",$H$7,"CONSOL",$H$9)*1,"--")</f>
        <v>40543</v>
      </c>
      <c r="G15" s="301">
        <f>IFERROR(_xll.BQL(Ticker,"IS_EPS().PERIOD_END_DATE","FPT",$C$12,"FPO",G$12,"STD",$H$7,"CONSOL",$H$9)*1,"--")</f>
        <v>40908</v>
      </c>
      <c r="H15" s="301">
        <f>IFERROR(_xll.BQL(Ticker,"IS_EPS().PERIOD_END_DATE","FPT",$C$12,"FPO",H$12,"STD",$H$7,"CONSOL",$H$9)*1,"--")</f>
        <v>41274</v>
      </c>
      <c r="I15" s="301">
        <f>IFERROR(_xll.BQL(Ticker,"IS_EPS().PERIOD_END_DATE","FPT",$C$12,"FPO",I$12,"STD",$H$7,"CONSOL",$H$9)*1,"--")</f>
        <v>41639</v>
      </c>
      <c r="J15" s="301">
        <f>IFERROR(_xll.BQL(Ticker,"IS_EPS().PERIOD_END_DATE","FPT",$C$12,"FPO",J$12,"STD",$H$7,"CONSOL",$H$9)*1,"--")</f>
        <v>42004</v>
      </c>
      <c r="K15" s="301">
        <f>IFERROR(_xll.BQL(Ticker,"IS_EPS().PERIOD_END_DATE","FPT",$C$12,"FPO",K$12,"STD",$H$7,"CONSOL",$H$9)*1,"--")</f>
        <v>42369</v>
      </c>
      <c r="L15" s="301">
        <f>IFERROR(_xll.BQL(Ticker,"IS_EPS().PERIOD_END_DATE","FPT",$C$12,"FPO",L$12,"STD",$H$7,"CONSOL",$H$9)*1,"--")</f>
        <v>42735</v>
      </c>
      <c r="M15" s="301">
        <f>IFERROR(_xll.BQL(Ticker,"IS_EPS().PERIOD_END_DATE","FPT",$C$12,"FPO",M$12,"STD",$H$7,"CONSOL",$H$9)*1,"--")</f>
        <v>43100</v>
      </c>
      <c r="N15" s="301">
        <f>IFERROR(_xll.BQL(Ticker,"IS_EPS().PERIOD_END_DATE","FPT",$C$12,"FPO",N$12,"STD",$H$7,"CONSOL",$H$9)*1,"--")</f>
        <v>43465</v>
      </c>
      <c r="Z15" s="7"/>
      <c r="AA15" s="7"/>
      <c r="AB15" s="7"/>
      <c r="AC15" s="7"/>
      <c r="AD15" s="7"/>
      <c r="AE15" s="7"/>
      <c r="AF15" s="7"/>
      <c r="AG15" s="7"/>
      <c r="AH15" s="7"/>
      <c r="AI15" s="7"/>
      <c r="AJ15" s="7"/>
      <c r="AK15" s="7"/>
    </row>
    <row r="16" spans="1:255" ht="15" customHeight="1">
      <c r="A16" s="17"/>
      <c r="B16" s="17"/>
      <c r="C16" s="53" t="s">
        <v>58</v>
      </c>
      <c r="D16" s="53"/>
      <c r="E16" s="632"/>
      <c r="F16" s="632"/>
      <c r="G16" s="632"/>
      <c r="H16" s="632"/>
      <c r="I16" s="53"/>
      <c r="J16" s="53"/>
      <c r="K16" s="632"/>
      <c r="L16" s="632"/>
      <c r="M16" s="53"/>
      <c r="N16" s="53"/>
      <c r="O16" s="17"/>
    </row>
    <row r="17" spans="1:22" ht="15" customHeight="1">
      <c r="A17" s="17"/>
      <c r="B17" s="17" t="s">
        <v>421</v>
      </c>
      <c r="C17" s="18" t="s">
        <v>59</v>
      </c>
      <c r="D17" s="40">
        <f>IFERROR(_xll.BQL(Ticker,$B17,"FPT",$C$12,"FPO",D$12,"STD",$H$7,"CONSOL",$H$9, "CURRENCY",$L$7)*1,0)</f>
        <v>701.1</v>
      </c>
      <c r="E17" s="40">
        <f>IFERROR(_xll.BQL(Ticker,$B17,"FPT",$C$12,"FPO",E$12,"STD",$H$7,"CONSOL",$H$9, "CURRENCY",$L$7)*1,0)</f>
        <v>658.7</v>
      </c>
      <c r="F17" s="40">
        <f>IFERROR(_xll.BQL(Ticker,$B17,"FPT",$C$12,"FPO",F$12,"STD",$H$7,"CONSOL",$H$9, "CURRENCY",$L$7)*1,0)</f>
        <v>1758</v>
      </c>
      <c r="G17" s="40">
        <f>IFERROR(_xll.BQL(Ticker,$B17,"FPT",$C$12,"FPO",G$12,"STD",$H$7,"CONSOL",$H$9, "CURRENCY",$L$7)*1,0)</f>
        <v>905</v>
      </c>
      <c r="H17" s="40">
        <f>IFERROR(_xll.BQL(Ticker,$B17,"FPT",$C$12,"FPO",H$12,"STD",$H$7,"CONSOL",$H$9, "CURRENCY",$L$7)*1,0)</f>
        <v>1395</v>
      </c>
      <c r="I17" s="40">
        <f>IFERROR(_xll.BQL(Ticker,$B17,"FPT",$C$12,"FPO",I$12,"STD",$H$7,"CONSOL",$H$9, "CURRENCY",$L$7)*1,0)</f>
        <v>1339</v>
      </c>
      <c r="J17" s="40">
        <f>IFERROR(_xll.BQL(Ticker,$B17,"FPT",$C$12,"FPO",J$12,"STD",$H$7,"CONSOL",$H$9, "CURRENCY",$L$7)*1,0)</f>
        <v>1795</v>
      </c>
      <c r="K17" s="40">
        <f>IFERROR(_xll.BQL(Ticker,$B17,"FPT",$C$12,"FPO",K$12,"STD",$H$7,"CONSOL",$H$9, "CURRENCY",$L$7)*1,0)</f>
        <v>3379</v>
      </c>
      <c r="L17" s="40">
        <f>IFERROR(_xll.BQL(Ticker,$B17,"FPT",$C$12,"FPO",L$12,"STD",$H$7,"CONSOL",$H$9, "CURRENCY",$L$7)*1,0)</f>
        <v>3316</v>
      </c>
      <c r="M17" s="40">
        <f>IFERROR(_xll.BQL(Ticker,$B17,"FPT",$C$12,"FPO",M$12,"STD",$H$7,"CONSOL",$H$9, "CURRENCY",$L$7)*1,0)</f>
        <v>2542</v>
      </c>
      <c r="N17" s="40">
        <f>IFERROR(_xll.BQL(Ticker,$B17,"FPT",$C$12,"FPO",N$12,"STD",$H$7,"CONSOL",$H$9, "CURRENCY",$L$7)*1,0)</f>
        <v>3616</v>
      </c>
      <c r="O17" s="17"/>
    </row>
    <row r="18" spans="1:22" ht="15" customHeight="1">
      <c r="A18" s="17"/>
      <c r="B18" s="17" t="s">
        <v>422</v>
      </c>
      <c r="C18" s="18" t="s">
        <v>60</v>
      </c>
      <c r="D18" s="40">
        <f>IFERROR(_xll.BQL(Ticker,$B18,"FPT",$C$12,"FPO",D$12,"STD",$H$7,"CONSOL",$H$9, "CURRENCY",$L$7)*1,0)</f>
        <v>1494.5</v>
      </c>
      <c r="E18" s="40">
        <f>IFERROR(_xll.BQL(Ticker,$B18,"FPT",$C$12,"FPO",E$12,"STD",$H$7,"CONSOL",$H$9, "CURRENCY",$L$7)*1,0)</f>
        <v>2296.1</v>
      </c>
      <c r="F18" s="40">
        <f>IFERROR(_xll.BQL(Ticker,$B18,"FPT",$C$12,"FPO",F$12,"STD",$H$7,"CONSOL",$H$9, "CURRENCY",$L$7)*1,0)</f>
        <v>2622</v>
      </c>
      <c r="G18" s="40">
        <f>IFERROR(_xll.BQL(Ticker,$B18,"FPT",$C$12,"FPO",G$12,"STD",$H$7,"CONSOL",$H$9, "CURRENCY",$L$7)*1,0)</f>
        <v>2513</v>
      </c>
      <c r="H18" s="40">
        <f>IFERROR(_xll.BQL(Ticker,$B18,"FPT",$C$12,"FPO",H$12,"STD",$H$7,"CONSOL",$H$9, "CURRENCY",$L$7)*1,0)</f>
        <v>2890</v>
      </c>
      <c r="I18" s="40">
        <f>IFERROR(_xll.BQL(Ticker,$B18,"FPT",$C$12,"FPO",I$12,"STD",$H$7,"CONSOL",$H$9, "CURRENCY",$L$7)*1,0)</f>
        <v>2641</v>
      </c>
      <c r="J18" s="40">
        <f>IFERROR(_xll.BQL(Ticker,$B18,"FPT",$C$12,"FPO",J$12,"STD",$H$7,"CONSOL",$H$9, "CURRENCY",$L$7)*1,0)</f>
        <v>3205</v>
      </c>
      <c r="K18" s="40">
        <f>IFERROR(_xll.BQL(Ticker,$B18,"FPT",$C$12,"FPO",K$12,"STD",$H$7,"CONSOL",$H$9, "CURRENCY",$L$7)*1,0)</f>
        <v>700</v>
      </c>
      <c r="L18" s="40">
        <f>IFERROR(_xll.BQL(Ticker,$B18,"FPT",$C$12,"FPO",L$12,"STD",$H$7,"CONSOL",$H$9, "CURRENCY",$L$7)*1,0)</f>
        <v>68</v>
      </c>
      <c r="M18" s="40">
        <f>IFERROR(_xll.BQL(Ticker,$B18,"FPT",$C$12,"FPO",M$12,"STD",$H$7,"CONSOL",$H$9, "CURRENCY",$L$7)*1,0)</f>
        <v>251</v>
      </c>
      <c r="N18" s="40">
        <f>IFERROR(_xll.BQL(Ticker,$B18,"FPT",$C$12,"FPO",N$12,"STD",$H$7,"CONSOL",$H$9, "CURRENCY",$L$7)*1,0)</f>
        <v>83</v>
      </c>
      <c r="O18" s="17"/>
    </row>
    <row r="19" spans="1:22" ht="15" customHeight="1">
      <c r="A19" s="17"/>
      <c r="B19" s="17"/>
      <c r="C19" s="19" t="s">
        <v>61</v>
      </c>
      <c r="D19" s="36">
        <f t="shared" ref="D19:I19" si="1">SUM(D17:D18)</f>
        <v>2195.6</v>
      </c>
      <c r="E19" s="36">
        <f t="shared" si="1"/>
        <v>2954.8</v>
      </c>
      <c r="F19" s="36">
        <f t="shared" si="1"/>
        <v>4380</v>
      </c>
      <c r="G19" s="36">
        <f t="shared" si="1"/>
        <v>3418</v>
      </c>
      <c r="H19" s="36">
        <f t="shared" si="1"/>
        <v>4285</v>
      </c>
      <c r="I19" s="36">
        <f t="shared" si="1"/>
        <v>3980</v>
      </c>
      <c r="J19" s="36">
        <f>SUM(J17:J18)</f>
        <v>5000</v>
      </c>
      <c r="K19" s="36">
        <f>SUM(K17:K18)</f>
        <v>4079</v>
      </c>
      <c r="L19" s="36">
        <f>SUM(L17:L18)</f>
        <v>3384</v>
      </c>
      <c r="M19" s="36">
        <f>SUM(M17:M18)</f>
        <v>2793</v>
      </c>
      <c r="N19" s="36">
        <f>SUM(N17:N18)</f>
        <v>3699</v>
      </c>
      <c r="O19" s="17"/>
    </row>
    <row r="20" spans="1:22" ht="15" customHeight="1">
      <c r="A20" s="17"/>
      <c r="B20" s="17" t="s">
        <v>516</v>
      </c>
      <c r="C20" s="18" t="s">
        <v>149</v>
      </c>
      <c r="D20" s="40">
        <f>IFERROR(_xll.BQL(Ticker,$B20,"FPT",$C$12,"FPO",D$12,"STD",$H$7,"CONSOL",$H$9, "CURRENCY",$L$7)*1,0)</f>
        <v>1129.5</v>
      </c>
      <c r="E20" s="40">
        <f>IFERROR(_xll.BQL(Ticker,$B20,"FPT",$C$12,"FPO",E$12,"STD",$H$7,"CONSOL",$H$9, "CURRENCY",$L$7)*1,0)</f>
        <v>1147.0999999999999</v>
      </c>
      <c r="F20" s="40">
        <f>IFERROR(_xll.BQL(Ticker,$B20,"FPT",$C$12,"FPO",F$12,"STD",$H$7,"CONSOL",$H$9, "CURRENCY",$L$7)*1,0)</f>
        <v>1252</v>
      </c>
      <c r="G20" s="40">
        <f>IFERROR(_xll.BQL(Ticker,$B20,"FPT",$C$12,"FPO",G$12,"STD",$H$7,"CONSOL",$H$9, "CURRENCY",$L$7)*1,0)</f>
        <v>1417</v>
      </c>
      <c r="H20" s="40">
        <f>IFERROR(_xll.BQL(Ticker,$B20,"FPT",$C$12,"FPO",H$12,"STD",$H$7,"CONSOL",$H$9, "CURRENCY",$L$7)*1,0)</f>
        <v>1430</v>
      </c>
      <c r="I20" s="40">
        <f>IFERROR(_xll.BQL(Ticker,$B20,"FPT",$C$12,"FPO",I$12,"STD",$H$7,"CONSOL",$H$9, "CURRENCY",$L$7)*1,0)</f>
        <v>1518</v>
      </c>
      <c r="J20" s="40">
        <f>IFERROR(_xll.BQL(Ticker,$B20,"FPT",$C$12,"FPO",J$12,"STD",$H$7,"CONSOL",$H$9, "CURRENCY",$L$7)*1,0)</f>
        <v>1572</v>
      </c>
      <c r="K20" s="40">
        <f>IFERROR(_xll.BQL(Ticker,$B20,"FPT",$C$12,"FPO",K$12,"STD",$H$7,"CONSOL",$H$9, "CURRENCY",$L$7)*1,0)</f>
        <v>1662</v>
      </c>
      <c r="L20" s="40">
        <f>IFERROR(_xll.BQL(Ticker,$B20,"FPT",$C$12,"FPO",L$12,"STD",$H$7,"CONSOL",$H$9, "CURRENCY",$L$7)*1,0)</f>
        <v>1967</v>
      </c>
      <c r="M20" s="40">
        <f>IFERROR(_xll.BQL(Ticker,$B20,"FPT",$C$12,"FPO",M$12,"STD",$H$7,"CONSOL",$H$9, "CURRENCY",$L$7)*1,0)</f>
        <v>2198</v>
      </c>
      <c r="N20" s="40">
        <f>IFERROR(_xll.BQL(Ticker,$B20,"FPT",$C$12,"FPO",N$12,"STD",$H$7,"CONSOL",$H$9, "CURRENCY",$L$7)*1,0)</f>
        <v>2332</v>
      </c>
      <c r="O20" s="17"/>
    </row>
    <row r="21" spans="1:22" ht="15" customHeight="1">
      <c r="A21" s="17"/>
      <c r="B21" s="17"/>
      <c r="C21" s="44" t="s">
        <v>62</v>
      </c>
      <c r="D21" s="50">
        <f t="shared" ref="D21:I21" si="2">D20</f>
        <v>1129.5</v>
      </c>
      <c r="E21" s="50">
        <f t="shared" si="2"/>
        <v>1147.0999999999999</v>
      </c>
      <c r="F21" s="50">
        <f t="shared" si="2"/>
        <v>1252</v>
      </c>
      <c r="G21" s="50">
        <f t="shared" si="2"/>
        <v>1417</v>
      </c>
      <c r="H21" s="50">
        <f t="shared" si="2"/>
        <v>1430</v>
      </c>
      <c r="I21" s="50">
        <f t="shared" si="2"/>
        <v>1518</v>
      </c>
      <c r="J21" s="50">
        <f>J20</f>
        <v>1572</v>
      </c>
      <c r="K21" s="50">
        <f>K20</f>
        <v>1662</v>
      </c>
      <c r="L21" s="50">
        <f>L20</f>
        <v>1967</v>
      </c>
      <c r="M21" s="50">
        <f>M20</f>
        <v>2198</v>
      </c>
      <c r="N21" s="50">
        <f>N20</f>
        <v>2332</v>
      </c>
      <c r="O21" s="17"/>
    </row>
    <row r="22" spans="1:22" ht="15" customHeight="1">
      <c r="A22" s="17"/>
      <c r="B22" s="17"/>
      <c r="C22" s="19"/>
      <c r="D22" s="43"/>
      <c r="E22" s="43"/>
      <c r="F22" s="43"/>
      <c r="G22" s="43"/>
      <c r="H22" s="43"/>
      <c r="I22" s="43"/>
      <c r="J22" s="43"/>
      <c r="K22" s="43"/>
      <c r="L22" s="43"/>
      <c r="M22" s="43"/>
      <c r="N22" s="43"/>
      <c r="O22" s="17"/>
    </row>
    <row r="23" spans="1:22" ht="15" customHeight="1">
      <c r="A23" s="17"/>
      <c r="B23" s="17" t="s">
        <v>423</v>
      </c>
      <c r="C23" s="18" t="s">
        <v>150</v>
      </c>
      <c r="D23" s="40">
        <f>IFERROR(_xll.BQL(Ticker,$B23,"FPT",$C$12,"FPO",D$12,"STD",$H$7,"CONSOL",$H$9, "CURRENCY",$L$7)*1,0)</f>
        <v>952.7</v>
      </c>
      <c r="E23" s="40">
        <f>IFERROR(_xll.BQL(Ticker,$B23,"FPT",$C$12,"FPO",E$12,"STD",$H$7,"CONSOL",$H$9, "CURRENCY",$L$7)*1,0)</f>
        <v>943</v>
      </c>
      <c r="F23" s="40">
        <f>IFERROR(_xll.BQL(Ticker,$B23,"FPT",$C$12,"FPO",F$12,"STD",$H$7,"CONSOL",$H$9, "CURRENCY",$L$7)*1,0)</f>
        <v>1057</v>
      </c>
      <c r="G23" s="40">
        <f>IFERROR(_xll.BQL(Ticker,$B23,"FPT",$C$12,"FPO",G$12,"STD",$H$7,"CONSOL",$H$9, "CURRENCY",$L$7)*1,0)</f>
        <v>1283</v>
      </c>
      <c r="H23" s="40">
        <f>IFERROR(_xll.BQL(Ticker,$B23,"FPT",$C$12,"FPO",H$12,"STD",$H$7,"CONSOL",$H$9, "CURRENCY",$L$7)*1,0)</f>
        <v>1265</v>
      </c>
      <c r="I23" s="40">
        <f>IFERROR(_xll.BQL(Ticker,$B23,"FPT",$C$12,"FPO",I$12,"STD",$H$7,"CONSOL",$H$9, "CURRENCY",$L$7)*1,0)</f>
        <v>1422</v>
      </c>
      <c r="J23" s="40">
        <f>IFERROR(_xll.BQL(Ticker,$B23,"FPT",$C$12,"FPO",J$12,"STD",$H$7,"CONSOL",$H$9, "CURRENCY",$L$7)*1,0)</f>
        <v>1588</v>
      </c>
      <c r="K23" s="40">
        <f>IFERROR(_xll.BQL(Ticker,$B23,"FPT",$C$12,"FPO",K$12,"STD",$H$7,"CONSOL",$H$9, "CURRENCY",$L$7)*1,0)</f>
        <v>1639</v>
      </c>
      <c r="L23" s="40">
        <f>IFERROR(_xll.BQL(Ticker,$B23,"FPT",$C$12,"FPO",L$12,"STD",$H$7,"CONSOL",$H$9, "CURRENCY",$L$7)*1,0)</f>
        <v>2030</v>
      </c>
      <c r="M23" s="40">
        <f>IFERROR(_xll.BQL(Ticker,$B23,"FPT",$C$12,"FPO",M$12,"STD",$H$7,"CONSOL",$H$9, "CURRENCY",$L$7)*1,0)</f>
        <v>2465</v>
      </c>
      <c r="N23" s="40">
        <f>IFERROR(_xll.BQL(Ticker,$B23,"FPT",$C$12,"FPO",N$12,"STD",$H$7,"CONSOL",$H$9, "CURRENCY",$L$7)*1,0)</f>
        <v>2955</v>
      </c>
      <c r="O23" s="17"/>
    </row>
    <row r="24" spans="1:22" ht="15" customHeight="1">
      <c r="A24" s="17"/>
      <c r="B24" s="52" t="s">
        <v>520</v>
      </c>
      <c r="C24" s="18" t="s">
        <v>63</v>
      </c>
      <c r="D24" s="40">
        <f>_xll.BDP(Ticker,$B24,"EQY_FUND_RELATIVE_PERIOD",D$11,"EQY_FUND_CRNCY",$L$7,"EQY_CONSOLIDATED",$H$9,"ACCOUNTING_STANDARD_OVERRIDE",$H$7,"Fill=0")</f>
        <v>179.6</v>
      </c>
      <c r="E24" s="40">
        <f>_xll.BDP(Ticker,$B24,"EQY_FUND_RELATIVE_PERIOD",E$11,"EQY_FUND_CRNCY",$L$7,"EQY_CONSOLIDATED",$H$9,"ACCOUNTING_STANDARD_OVERRIDE",$H$7,"Fill=0")</f>
        <v>204.1</v>
      </c>
      <c r="F24" s="40">
        <f>_xll.BDP(Ticker,$B24,"EQY_FUND_RELATIVE_PERIOD",F$11,"EQY_FUND_CRNCY",$L$7,"EQY_CONSOLIDATED",$H$9,"ACCOUNTING_STANDARD_OVERRIDE",$H$7,"Fill=0")</f>
        <v>290</v>
      </c>
      <c r="G24" s="40">
        <f>_xll.BDP(Ticker,$B24,"EQY_FUND_RELATIVE_PERIOD",G$11,"EQY_FUND_CRNCY",$L$7,"EQY_CONSOLIDATED",$H$9,"ACCOUNTING_STANDARD_OVERRIDE",$H$7,"Fill=0")</f>
        <v>312</v>
      </c>
      <c r="H24" s="40">
        <f>_xll.BDP(Ticker,$B24,"EQY_FUND_RELATIVE_PERIOD",H$11,"EQY_FUND_CRNCY",$L$7,"EQY_CONSOLIDATED",$H$9,"ACCOUNTING_STANDARD_OVERRIDE",$H$7,"Fill=0")</f>
        <v>357</v>
      </c>
      <c r="I24" s="40">
        <f>_xll.BDP(Ticker,$B24,"EQY_FUND_RELATIVE_PERIOD",I$11,"EQY_FUND_CRNCY",$L$7,"EQY_CONSOLIDATED",$H$9,"ACCOUNTING_STANDARD_OVERRIDE",$H$7,"Fill=0")</f>
        <v>535</v>
      </c>
      <c r="J24" s="40">
        <f>_xll.BDP(Ticker,$B24,"EQY_FUND_RELATIVE_PERIOD",J$11,"EQY_FUND_CRNCY",$L$7,"EQY_CONSOLIDATED",$H$9,"ACCOUNTING_STANDARD_OVERRIDE",$H$7,"Fill=0")</f>
        <v>524</v>
      </c>
      <c r="K24" s="40">
        <f>_xll.BDP(Ticker,$B24,"EQY_FUND_RELATIVE_PERIOD",K$11,"EQY_FUND_CRNCY",$L$7,"EQY_CONSOLIDATED",$H$9,"ACCOUNTING_STANDARD_OVERRIDE",$H$7,"Fill=0")</f>
        <v>563</v>
      </c>
      <c r="L24" s="40">
        <f>_xll.BDP(Ticker,$B24,"EQY_FUND_RELATIVE_PERIOD",L$11,"EQY_FUND_CRNCY",$L$7,"EQY_CONSOLIDATED",$H$9,"ACCOUNTING_STANDARD_OVERRIDE",$H$7,"Fill=0")</f>
        <v>480</v>
      </c>
      <c r="M24" s="40">
        <f>_xll.BDP(Ticker,$B24,"EQY_FUND_RELATIVE_PERIOD",M$11,"EQY_FUND_CRNCY",$L$7,"EQY_CONSOLIDATED",$H$9,"ACCOUNTING_STANDARD_OVERRIDE",$H$7,"Fill=0")</f>
        <v>537</v>
      </c>
      <c r="N24" s="40">
        <f>_xll.BDP(Ticker,$B24,"EQY_FUND_RELATIVE_PERIOD",N$11,"EQY_FUND_CRNCY",$L$7,"EQY_CONSOLIDATED",$H$9,"ACCOUNTING_STANDARD_OVERRIDE",$H$7,"Fill=0")</f>
        <v>747</v>
      </c>
      <c r="O24" s="17"/>
    </row>
    <row r="25" spans="1:22" ht="15" customHeight="1">
      <c r="A25" s="17"/>
      <c r="B25" s="52" t="s">
        <v>507</v>
      </c>
      <c r="C25" s="18" t="s">
        <v>64</v>
      </c>
      <c r="D25" s="40">
        <f>IFERROR(_xll.BQL(Ticker,$B25,"FPT",$C$12,"FPO",D$12,"STD",$H$7,"CONSOL",$H$9, "CURRENCY",$L$7)*1,0)</f>
        <v>0</v>
      </c>
      <c r="E25" s="40">
        <f>IFERROR(_xll.BQL(Ticker,$B25,"FPT",$C$12,"FPO",E$12,"STD",$H$7,"CONSOL",$H$9, "CURRENCY",$L$7)*1,0)</f>
        <v>0</v>
      </c>
      <c r="F25" s="40">
        <f>IFERROR(_xll.BQL(Ticker,$B25,"FPT",$C$12,"FPO",F$12,"STD",$H$7,"CONSOL",$H$9, "CURRENCY",$L$7)*1,0)</f>
        <v>0</v>
      </c>
      <c r="G25" s="40">
        <f>IFERROR(_xll.BQL(Ticker,$B25,"FPT",$C$12,"FPO",G$12,"STD",$H$7,"CONSOL",$H$9, "CURRENCY",$L$7)*1,0)</f>
        <v>0</v>
      </c>
      <c r="H25" s="40">
        <f>IFERROR(_xll.BQL(Ticker,$B25,"FPT",$C$12,"FPO",H$12,"STD",$H$7,"CONSOL",$H$9, "CURRENCY",$L$7)*1,0)</f>
        <v>0</v>
      </c>
      <c r="I25" s="40">
        <f>IFERROR(_xll.BQL(Ticker,$B25,"FPT",$C$12,"FPO",I$12,"STD",$H$7,"CONSOL",$H$9, "CURRENCY",$L$7)*1,0)</f>
        <v>0</v>
      </c>
      <c r="J25" s="40">
        <f>IFERROR(_xll.BQL(Ticker,$B25,"FPT",$C$12,"FPO",J$12,"STD",$H$7,"CONSOL",$H$9, "CURRENCY",$L$7)*1,0)</f>
        <v>0</v>
      </c>
      <c r="K25" s="40">
        <f>IFERROR(_xll.BQL(Ticker,$B25,"FPT",$C$12,"FPO",K$12,"STD",$H$7,"CONSOL",$H$9, "CURRENCY",$L$7)*1,0)</f>
        <v>0</v>
      </c>
      <c r="L25" s="40">
        <f>IFERROR(_xll.BQL(Ticker,$B25,"FPT",$C$12,"FPO",L$12,"STD",$H$7,"CONSOL",$H$9, "CURRENCY",$L$7)*1,0)</f>
        <v>0</v>
      </c>
      <c r="M25" s="40">
        <f>IFERROR(_xll.BQL(Ticker,$B25,"FPT",$C$12,"FPO",M$12,"STD",$H$7,"CONSOL",$H$9, "CURRENCY",$L$7)*1,0)</f>
        <v>0</v>
      </c>
      <c r="N25" s="40">
        <f>IFERROR(_xll.BQL(Ticker,$B25,"FPT",$C$12,"FPO",N$12,"STD",$H$7,"CONSOL",$H$9, "CURRENCY",$L$7)*1,0)</f>
        <v>0</v>
      </c>
      <c r="O25" s="52"/>
    </row>
    <row r="26" spans="1:22" ht="15" customHeight="1">
      <c r="A26" s="17"/>
      <c r="B26" s="17" t="s">
        <v>424</v>
      </c>
      <c r="C26" s="18" t="s">
        <v>65</v>
      </c>
      <c r="D26" s="40">
        <f>IFERROR(_xll.BQL(Ticker,$B26,"FPT",$C$12,"FPO",D$12,"STD",$H$7,"CONSOL",$H$9, "CURRENCY",$L$7)*1,0)-SUM(D24:D25)</f>
        <v>521.9</v>
      </c>
      <c r="E26" s="40">
        <f>IFERROR(_xll.BQL(Ticker,$B26,"FPT",$C$12,"FPO",E$12,"STD",$H$7,"CONSOL",$H$9, "CURRENCY",$L$7)*1,0)-SUM(E24:E25)</f>
        <v>602.19999999999993</v>
      </c>
      <c r="F26" s="40">
        <f>IFERROR(_xll.BQL(Ticker,$B26,"FPT",$C$12,"FPO",F$12,"STD",$H$7,"CONSOL",$H$9, "CURRENCY",$L$7)*1,0)-SUM(F24:F25)</f>
        <v>653</v>
      </c>
      <c r="G26" s="40">
        <f>IFERROR(_xll.BQL(Ticker,$B26,"FPT",$C$12,"FPO",G$12,"STD",$H$7,"CONSOL",$H$9, "CURRENCY",$L$7)*1,0)-SUM(G24:G25)</f>
        <v>777</v>
      </c>
      <c r="H26" s="40">
        <f>IFERROR(_xll.BQL(Ticker,$B26,"FPT",$C$12,"FPO",H$12,"STD",$H$7,"CONSOL",$H$9, "CURRENCY",$L$7)*1,0)-SUM(H24:H25)</f>
        <v>811</v>
      </c>
      <c r="I26" s="40">
        <f>IFERROR(_xll.BQL(Ticker,$B26,"FPT",$C$12,"FPO",I$12,"STD",$H$7,"CONSOL",$H$9, "CURRENCY",$L$7)*1,0)-SUM(I24:I25)</f>
        <v>880</v>
      </c>
      <c r="J26" s="40">
        <f>IFERROR(_xll.BQL(Ticker,$B26,"FPT",$C$12,"FPO",J$12,"STD",$H$7,"CONSOL",$H$9, "CURRENCY",$L$7)*1,0)-SUM(J24:J25)</f>
        <v>0</v>
      </c>
      <c r="K26" s="40">
        <f>IFERROR(_xll.BQL(Ticker,$B26,"FPT",$C$12,"FPO",K$12,"STD",$H$7,"CONSOL",$H$9, "CURRENCY",$L$7)*1,0)-SUM(K24:K25)</f>
        <v>1</v>
      </c>
      <c r="L26" s="40">
        <f>IFERROR(_xll.BQL(Ticker,$B26,"FPT",$C$12,"FPO",L$12,"STD",$H$7,"CONSOL",$H$9, "CURRENCY",$L$7)*1,0)-SUM(L24:L25)</f>
        <v>0</v>
      </c>
      <c r="M26" s="40">
        <f>IFERROR(_xll.BQL(Ticker,$B26,"FPT",$C$12,"FPO",M$12,"STD",$H$7,"CONSOL",$H$9, "CURRENCY",$L$7)*1,0)-SUM(M24:M25)</f>
        <v>0</v>
      </c>
      <c r="N26" s="40">
        <f>IFERROR(_xll.BQL(Ticker,$B26,"FPT",$C$12,"FPO",N$12,"STD",$H$7,"CONSOL",$H$9, "CURRENCY",$L$7)*1,0)-SUM(N24:N25)</f>
        <v>0</v>
      </c>
      <c r="O26" s="52"/>
    </row>
    <row r="27" spans="1:22" ht="15" customHeight="1">
      <c r="A27" s="17"/>
      <c r="B27" s="17"/>
      <c r="C27" s="44" t="s">
        <v>66</v>
      </c>
      <c r="D27" s="50">
        <f>SUM(D19,D21,D23:D26)</f>
        <v>4979.3</v>
      </c>
      <c r="E27" s="50">
        <f t="shared" ref="E27:N27" si="3">SUM(E19,E21,E23:E26)</f>
        <v>5851.2</v>
      </c>
      <c r="F27" s="50">
        <f t="shared" si="3"/>
        <v>7632</v>
      </c>
      <c r="G27" s="50">
        <f t="shared" si="3"/>
        <v>7207</v>
      </c>
      <c r="H27" s="50">
        <f t="shared" si="3"/>
        <v>8148</v>
      </c>
      <c r="I27" s="50">
        <f t="shared" si="3"/>
        <v>8335</v>
      </c>
      <c r="J27" s="50">
        <f t="shared" si="3"/>
        <v>8684</v>
      </c>
      <c r="K27" s="50">
        <f t="shared" si="3"/>
        <v>7944</v>
      </c>
      <c r="L27" s="50">
        <f t="shared" si="3"/>
        <v>7861</v>
      </c>
      <c r="M27" s="50">
        <f t="shared" si="3"/>
        <v>7993</v>
      </c>
      <c r="N27" s="50">
        <f t="shared" si="3"/>
        <v>9733</v>
      </c>
      <c r="O27" s="52"/>
      <c r="V27" s="284"/>
    </row>
    <row r="28" spans="1:22" ht="15" customHeight="1">
      <c r="A28" s="17"/>
      <c r="B28" s="17"/>
      <c r="C28" s="18"/>
      <c r="D28" s="48"/>
      <c r="E28" s="48"/>
      <c r="F28" s="48"/>
      <c r="G28" s="48"/>
      <c r="H28" s="48"/>
      <c r="I28" s="48"/>
      <c r="J28" s="48"/>
      <c r="K28" s="48"/>
      <c r="L28" s="48"/>
      <c r="M28" s="48"/>
      <c r="N28" s="48"/>
      <c r="O28" s="52"/>
    </row>
    <row r="29" spans="1:22" ht="15" customHeight="1">
      <c r="A29" s="17"/>
      <c r="B29" s="17" t="s">
        <v>425</v>
      </c>
      <c r="C29" s="44" t="s">
        <v>67</v>
      </c>
      <c r="D29" s="49">
        <f>IFERROR(_xll.BQL(Ticker,$B29,"FPT",$C$12,"FPO",D$12,"STD",$H$7,"CONSOL",$H$9, "CURRENCY",$L$7)*1,0)</f>
        <v>963.8</v>
      </c>
      <c r="E29" s="49">
        <f>IFERROR(_xll.BQL(Ticker,$B29,"FPT",$C$12,"FPO",E$12,"STD",$H$7,"CONSOL",$H$9, "CURRENCY",$L$7)*1,0)</f>
        <v>947.6</v>
      </c>
      <c r="F29" s="49">
        <f>IFERROR(_xll.BQL(Ticker,$B29,"FPT",$C$12,"FPO",F$12,"STD",$H$7,"CONSOL",$H$9, "CURRENCY",$L$7)*1,0)</f>
        <v>798</v>
      </c>
      <c r="G29" s="49">
        <f>IFERROR(_xll.BQL(Ticker,$B29,"FPT",$C$12,"FPO",G$12,"STD",$H$7,"CONSOL",$H$9, "CURRENCY",$L$7)*1,0)</f>
        <v>888</v>
      </c>
      <c r="H29" s="49">
        <f>IFERROR(_xll.BQL(Ticker,$B29,"FPT",$C$12,"FPO",H$12,"STD",$H$7,"CONSOL",$H$9, "CURRENCY",$L$7)*1,0)</f>
        <v>948</v>
      </c>
      <c r="I29" s="49">
        <f>IFERROR(_xll.BQL(Ticker,$B29,"FPT",$C$12,"FPO",I$12,"STD",$H$7,"CONSOL",$H$9, "CURRENCY",$L$7)*1,0)</f>
        <v>1081</v>
      </c>
      <c r="J29" s="49">
        <f>IFERROR(_xll.BQL(Ticker,$B29,"FPT",$C$12,"FPO",J$12,"STD",$H$7,"CONSOL",$H$9, "CURRENCY",$L$7)*1,0)</f>
        <v>1098</v>
      </c>
      <c r="K29" s="49">
        <f>IFERROR(_xll.BQL(Ticker,$B29,"FPT",$C$12,"FPO",K$12,"STD",$H$7,"CONSOL",$H$9, "CURRENCY",$L$7)*1,0)</f>
        <v>1199</v>
      </c>
      <c r="L29" s="49">
        <f>IFERROR(_xll.BQL(Ticker,$B29,"FPT",$C$12,"FPO",L$12,"STD",$H$7,"CONSOL",$H$9, "CURRENCY",$L$7)*1,0)</f>
        <v>1569</v>
      </c>
      <c r="M29" s="49">
        <f>IFERROR(_xll.BQL(Ticker,$B29,"FPT",$C$12,"FPO",M$12,"STD",$H$7,"CONSOL",$H$9, "CURRENCY",$L$7)*1,0)</f>
        <v>1975</v>
      </c>
      <c r="N29" s="49">
        <f>IFERROR(_xll.BQL(Ticker,$B29,"FPT",$C$12,"FPO",N$12,"STD",$H$7,"CONSOL",$H$9, "CURRENCY",$L$7)*1,0)</f>
        <v>2291</v>
      </c>
      <c r="O29" s="52"/>
    </row>
    <row r="30" spans="1:22" ht="15" customHeight="1">
      <c r="A30" s="17"/>
      <c r="B30" s="17"/>
      <c r="C30" s="18"/>
      <c r="D30" s="41"/>
      <c r="E30" s="41"/>
      <c r="F30" s="41"/>
      <c r="G30" s="41"/>
      <c r="H30" s="41"/>
      <c r="I30" s="41"/>
      <c r="J30" s="41"/>
      <c r="K30" s="41"/>
      <c r="L30" s="41"/>
      <c r="M30" s="41"/>
      <c r="N30" s="41"/>
      <c r="O30" s="52"/>
    </row>
    <row r="31" spans="1:22" ht="15" customHeight="1">
      <c r="A31" s="17"/>
      <c r="B31" s="17" t="s">
        <v>426</v>
      </c>
      <c r="C31" s="18" t="s">
        <v>68</v>
      </c>
      <c r="D31" s="40">
        <f>IFERROR(_xll.BQL(Ticker,$B31,"FPT",$C$12,"FPO",D$12,"STD",$H$7,"CONSOL",$H$9, "CURRENCY",$L$7)*1,0)</f>
        <v>0</v>
      </c>
      <c r="E31" s="40">
        <f>IFERROR(_xll.BQL(Ticker,$B31,"FPT",$C$12,"FPO",E$12,"STD",$H$7,"CONSOL",$H$9, "CURRENCY",$L$7)*1,0)</f>
        <v>0</v>
      </c>
      <c r="F31" s="40">
        <f>IFERROR(_xll.BQL(Ticker,$B31,"FPT",$C$12,"FPO",F$12,"STD",$H$7,"CONSOL",$H$9, "CURRENCY",$L$7)*1,0)</f>
        <v>0</v>
      </c>
      <c r="G31" s="40">
        <f>IFERROR(_xll.BQL(Ticker,$B31,"FPT",$C$12,"FPO",G$12,"STD",$H$7,"CONSOL",$H$9, "CURRENCY",$L$7)*1,0)</f>
        <v>0</v>
      </c>
      <c r="H31" s="40">
        <f>IFERROR(_xll.BQL(Ticker,$B31,"FPT",$C$12,"FPO",H$12,"STD",$H$7,"CONSOL",$H$9, "CURRENCY",$L$7)*1,0)</f>
        <v>0</v>
      </c>
      <c r="I31" s="40">
        <f>IFERROR(_xll.BQL(Ticker,$B31,"FPT",$C$12,"FPO",I$12,"STD",$H$7,"CONSOL",$H$9, "CURRENCY",$L$7)*1,0)</f>
        <v>0</v>
      </c>
      <c r="J31" s="40">
        <f>IFERROR(_xll.BQL(Ticker,$B31,"FPT",$C$12,"FPO",J$12,"STD",$H$7,"CONSOL",$H$9, "CURRENCY",$L$7)*1,0)</f>
        <v>0</v>
      </c>
      <c r="K31" s="40">
        <f>IFERROR(_xll.BQL(Ticker,$B31,"FPT",$C$12,"FPO",K$12,"STD",$H$7,"CONSOL",$H$9, "CURRENCY",$L$7)*1,0)</f>
        <v>0</v>
      </c>
      <c r="L31" s="40">
        <f>IFERROR(_xll.BQL(Ticker,$B31,"FPT",$C$12,"FPO",L$12,"STD",$H$7,"CONSOL",$H$9, "CURRENCY",$L$7)*1,0)</f>
        <v>0</v>
      </c>
      <c r="M31" s="40">
        <f>IFERROR(_xll.BQL(Ticker,$B31,"FPT",$C$12,"FPO",M$12,"STD",$H$7,"CONSOL",$H$9, "CURRENCY",$L$7)*1,0)</f>
        <v>0</v>
      </c>
      <c r="N31" s="40">
        <f>IFERROR(_xll.BQL(Ticker,$B31,"FPT",$C$12,"FPO",N$12,"STD",$H$7,"CONSOL",$H$9, "CURRENCY",$L$7)*1,0)</f>
        <v>0</v>
      </c>
      <c r="O31" s="52"/>
    </row>
    <row r="32" spans="1:22" ht="15" customHeight="1">
      <c r="A32" s="17"/>
      <c r="B32" s="52" t="s">
        <v>508</v>
      </c>
      <c r="C32" s="18" t="s">
        <v>69</v>
      </c>
      <c r="D32" s="40">
        <f>IFERROR(_xll.BQL(Ticker,$B32,"FPT",$C$12,"FPO",D$12,"STD",$H$7,"CONSOL",$H$9, "CURRENCY",$L$7)*1,0)</f>
        <v>0</v>
      </c>
      <c r="E32" s="40">
        <f>IFERROR(_xll.BQL(Ticker,$B32,"FPT",$C$12,"FPO",E$12,"STD",$H$7,"CONSOL",$H$9, "CURRENCY",$L$7)*1,0)</f>
        <v>258.89999999999998</v>
      </c>
      <c r="F32" s="40">
        <f>IFERROR(_xll.BQL(Ticker,$B32,"FPT",$C$12,"FPO",F$12,"STD",$H$7,"CONSOL",$H$9, "CURRENCY",$L$7)*1,0)</f>
        <v>248</v>
      </c>
      <c r="G32" s="40">
        <f>IFERROR(_xll.BQL(Ticker,$B32,"FPT",$C$12,"FPO",G$12,"STD",$H$7,"CONSOL",$H$9, "CURRENCY",$L$7)*1,0)</f>
        <v>62</v>
      </c>
      <c r="H32" s="40">
        <f>IFERROR(_xll.BQL(Ticker,$B32,"FPT",$C$12,"FPO",H$12,"STD",$H$7,"CONSOL",$H$9, "CURRENCY",$L$7)*1,0)</f>
        <v>63</v>
      </c>
      <c r="I32" s="40">
        <f>IFERROR(_xll.BQL(Ticker,$B32,"FPT",$C$12,"FPO",I$12,"STD",$H$7,"CONSOL",$H$9, "CURRENCY",$L$7)*1,0)</f>
        <v>34</v>
      </c>
      <c r="J32" s="40">
        <f>IFERROR(_xll.BQL(Ticker,$B32,"FPT",$C$12,"FPO",J$12,"STD",$H$7,"CONSOL",$H$9, "CURRENCY",$L$7)*1,0)</f>
        <v>594</v>
      </c>
      <c r="K32" s="40">
        <f>IFERROR(_xll.BQL(Ticker,$B32,"FPT",$C$12,"FPO",K$12,"STD",$H$7,"CONSOL",$H$9, "CURRENCY",$L$7)*1,0)</f>
        <v>477</v>
      </c>
      <c r="L32" s="40">
        <f>IFERROR(_xll.BQL(Ticker,$B32,"FPT",$C$12,"FPO",L$12,"STD",$H$7,"CONSOL",$H$9, "CURRENCY",$L$7)*1,0)</f>
        <v>302</v>
      </c>
      <c r="M32" s="40">
        <f>IFERROR(_xll.BQL(Ticker,$B32,"FPT",$C$12,"FPO",M$12,"STD",$H$7,"CONSOL",$H$9, "CURRENCY",$L$7)*1,0)</f>
        <v>283</v>
      </c>
      <c r="N32" s="40">
        <f>IFERROR(_xll.BQL(Ticker,$B32,"FPT",$C$12,"FPO",N$12,"STD",$H$7,"CONSOL",$H$9, "CURRENCY",$L$7)*1,0)</f>
        <v>1678</v>
      </c>
      <c r="O32" s="52"/>
    </row>
    <row r="33" spans="1:15" ht="15" customHeight="1">
      <c r="A33" s="17"/>
      <c r="B33" s="17" t="s">
        <v>521</v>
      </c>
      <c r="C33" s="18" t="s">
        <v>70</v>
      </c>
      <c r="D33" s="40">
        <f>IFERROR(_xll.BQL(Ticker,$B33,"FPT",$C$12,"FPO",D$12,"STD",$H$7,"CONSOL",$H$9, "CURRENCY",$L$7)*1,0)-D32</f>
        <v>1660.2</v>
      </c>
      <c r="E33" s="40">
        <f>IFERROR(_xll.BQL(Ticker,$B33,"FPT",$C$12,"FPO",E$12,"STD",$H$7,"CONSOL",$H$9, "CURRENCY",$L$7)*1,0)-E32</f>
        <v>2013.6</v>
      </c>
      <c r="F33" s="40">
        <f>IFERROR(_xll.BQL(Ticker,$B33,"FPT",$C$12,"FPO",F$12,"STD",$H$7,"CONSOL",$H$9, "CURRENCY",$L$7)*1,0)-F32</f>
        <v>2217</v>
      </c>
      <c r="G33" s="40">
        <f>IFERROR(_xll.BQL(Ticker,$B33,"FPT",$C$12,"FPO",G$12,"STD",$H$7,"CONSOL",$H$9, "CURRENCY",$L$7)*1,0)-G32</f>
        <v>3989</v>
      </c>
      <c r="H33" s="40">
        <f>IFERROR(_xll.BQL(Ticker,$B33,"FPT",$C$12,"FPO",H$12,"STD",$H$7,"CONSOL",$H$9, "CURRENCY",$L$7)*1,0)-H32</f>
        <v>4047</v>
      </c>
      <c r="I33" s="40">
        <f>IFERROR(_xll.BQL(Ticker,$B33,"FPT",$C$12,"FPO",I$12,"STD",$H$7,"CONSOL",$H$9, "CURRENCY",$L$7)*1,0)-I32</f>
        <v>6293</v>
      </c>
      <c r="J33" s="40">
        <f>IFERROR(_xll.BQL(Ticker,$B33,"FPT",$C$12,"FPO",J$12,"STD",$H$7,"CONSOL",$H$9, "CURRENCY",$L$7)*1,0)-J32</f>
        <v>6903</v>
      </c>
      <c r="K33" s="40">
        <f>IFERROR(_xll.BQL(Ticker,$B33,"FPT",$C$12,"FPO",K$12,"STD",$H$7,"CONSOL",$H$9, "CURRENCY",$L$7)*1,0)-K32</f>
        <v>6627</v>
      </c>
      <c r="L33" s="40">
        <f>IFERROR(_xll.BQL(Ticker,$B33,"FPT",$C$12,"FPO",L$12,"STD",$H$7,"CONSOL",$H$9, "CURRENCY",$L$7)*1,0)-L32</f>
        <v>10703</v>
      </c>
      <c r="M33" s="40">
        <f>IFERROR(_xll.BQL(Ticker,$B33,"FPT",$C$12,"FPO",M$12,"STD",$H$7,"CONSOL",$H$9, "CURRENCY",$L$7)*1,0)-M32</f>
        <v>11946</v>
      </c>
      <c r="N33" s="40">
        <f>IFERROR(_xll.BQL(Ticker,$B33,"FPT",$C$12,"FPO",N$12,"STD",$H$7,"CONSOL",$H$9, "CURRENCY",$L$7)*1,0)-N32</f>
        <v>13527</v>
      </c>
      <c r="O33" s="52"/>
    </row>
    <row r="34" spans="1:15" ht="15" customHeight="1" thickBot="1">
      <c r="A34" s="17"/>
      <c r="B34" s="17"/>
      <c r="C34" s="34" t="s">
        <v>71</v>
      </c>
      <c r="D34" s="35">
        <f t="shared" ref="D34:I34" si="4">SUM(D27,D29,D31:D33)</f>
        <v>7603.3</v>
      </c>
      <c r="E34" s="35">
        <f t="shared" si="4"/>
        <v>9071.2999999999993</v>
      </c>
      <c r="F34" s="35">
        <f t="shared" si="4"/>
        <v>10895</v>
      </c>
      <c r="G34" s="35">
        <f t="shared" si="4"/>
        <v>12146</v>
      </c>
      <c r="H34" s="35">
        <f t="shared" si="4"/>
        <v>13206</v>
      </c>
      <c r="I34" s="35">
        <f t="shared" si="4"/>
        <v>15743</v>
      </c>
      <c r="J34" s="35">
        <f>SUM(J27,J29,J31:J33)</f>
        <v>17279</v>
      </c>
      <c r="K34" s="35">
        <f>SUM(K27,K29,K31:K33)</f>
        <v>16247</v>
      </c>
      <c r="L34" s="35">
        <f>SUM(L27,L29,L31:L33)</f>
        <v>20435</v>
      </c>
      <c r="M34" s="35">
        <f>SUM(M27,M29,M31:M33)</f>
        <v>22197</v>
      </c>
      <c r="N34" s="35">
        <f>SUM(N27,N29,N31:N33)</f>
        <v>27229</v>
      </c>
      <c r="O34" s="52"/>
    </row>
    <row r="35" spans="1:15" ht="15" customHeight="1" thickTop="1">
      <c r="A35" s="17"/>
      <c r="B35" s="17"/>
      <c r="C35" s="18"/>
      <c r="D35" s="48"/>
      <c r="E35" s="48"/>
      <c r="F35" s="48"/>
      <c r="G35" s="48"/>
      <c r="H35" s="48"/>
      <c r="I35" s="48"/>
      <c r="J35" s="48"/>
      <c r="K35" s="48"/>
      <c r="L35" s="48"/>
      <c r="M35" s="48"/>
      <c r="N35" s="48"/>
      <c r="O35" s="52"/>
    </row>
    <row r="36" spans="1:15" ht="15" customHeight="1">
      <c r="A36" s="17"/>
      <c r="B36" s="17"/>
      <c r="C36" s="19" t="s">
        <v>72</v>
      </c>
      <c r="D36" s="48"/>
      <c r="E36" s="48"/>
      <c r="F36" s="48"/>
      <c r="G36" s="48"/>
      <c r="H36" s="48"/>
      <c r="I36" s="48"/>
      <c r="J36" s="48"/>
      <c r="K36" s="48"/>
      <c r="L36" s="48"/>
      <c r="M36" s="48"/>
      <c r="N36" s="48"/>
      <c r="O36" s="52"/>
    </row>
    <row r="37" spans="1:15" ht="15" customHeight="1">
      <c r="A37" s="17"/>
      <c r="B37" s="52"/>
      <c r="C37" s="18" t="s">
        <v>73</v>
      </c>
      <c r="D37" s="40">
        <f>_xll.BDP(Ticker,"ARD_ACC_COMP_POSTRETIRE_OBLIG","EQY_FUND_RELATIVE_PERIOD",D$11,"EQY_FUND_CRNCY",$L$7,"EQY_CONSOLIDATED",$H$9,"ACCOUNTING_STANDARD_OVERRIDE",$H$7,"Fill=0")+_xll.BDP(Ticker,"ARD_ACCRUED_EXPENSES","EQY_FUND_RELATIVE_PERIOD",D$11,"EQY_FUND_CRNCY",$L$7,"EQY_CONSOLIDATED",$H$9,"ACCOUNTING_STANDARD_OVERRIDE",$H$7,"Fill=0")</f>
        <v>336.8</v>
      </c>
      <c r="E37" s="40">
        <f>_xll.BDP(Ticker,"ARD_ACC_COMP_POSTRETIRE_OBLIG","EQY_FUND_RELATIVE_PERIOD",E$11,"EQY_FUND_CRNCY",$L$7,"EQY_CONSOLIDATED",$H$9,"ACCOUNTING_STANDARD_OVERRIDE",$H$7,"Fill=0")+_xll.BDP(Ticker,"ARD_ACCRUED_EXPENSES","EQY_FUND_RELATIVE_PERIOD",E$11,"EQY_FUND_CRNCY",$L$7,"EQY_CONSOLIDATED",$H$9,"ACCOUNTING_STANDARD_OVERRIDE",$H$7,"Fill=0")</f>
        <v>354.1</v>
      </c>
      <c r="F37" s="40">
        <f>_xll.BDP(Ticker,"ARD_ACC_COMP_POSTRETIRE_OBLIG","EQY_FUND_RELATIVE_PERIOD",F$11,"EQY_FUND_CRNCY",$L$7,"EQY_CONSOLIDATED",$H$9,"ACCOUNTING_STANDARD_OVERRIDE",$H$7,"Fill=0")+_xll.BDP(Ticker,"ARD_ACCRUED_EXPENSES","EQY_FUND_RELATIVE_PERIOD",F$11,"EQY_FUND_CRNCY",$L$7,"EQY_CONSOLIDATED",$H$9,"ACCOUNTING_STANDARD_OVERRIDE",$H$7,"Fill=0")</f>
        <v>418</v>
      </c>
      <c r="G37" s="40">
        <f>_xll.BDP(Ticker,"ARD_ACC_COMP_POSTRETIRE_OBLIG","EQY_FUND_RELATIVE_PERIOD",G$11,"EQY_FUND_CRNCY",$L$7,"EQY_CONSOLIDATED",$H$9,"ACCOUNTING_STANDARD_OVERRIDE",$H$7,"Fill=0")+_xll.BDP(Ticker,"ARD_ACCRUED_EXPENSES","EQY_FUND_RELATIVE_PERIOD",G$11,"EQY_FUND_CRNCY",$L$7,"EQY_CONSOLIDATED",$H$9,"ACCOUNTING_STANDARD_OVERRIDE",$H$7,"Fill=0")</f>
        <v>444</v>
      </c>
      <c r="H37" s="40">
        <f>_xll.BDP(Ticker,"ARD_ACC_COMP_POSTRETIRE_OBLIG","EQY_FUND_RELATIVE_PERIOD",H$11,"EQY_FUND_CRNCY",$L$7,"EQY_CONSOLIDATED",$H$9,"ACCOUNTING_STANDARD_OVERRIDE",$H$7,"Fill=0")+_xll.BDP(Ticker,"ARD_ACCRUED_EXPENSES","EQY_FUND_RELATIVE_PERIOD",H$11,"EQY_FUND_CRNCY",$L$7,"EQY_CONSOLIDATED",$H$9,"ACCOUNTING_STANDARD_OVERRIDE",$H$7,"Fill=0")</f>
        <v>467</v>
      </c>
      <c r="I37" s="40">
        <f>_xll.BDP(Ticker,"ARD_ACC_COMP_POSTRETIRE_OBLIG","EQY_FUND_RELATIVE_PERIOD",I$11,"EQY_FUND_CRNCY",$L$7,"EQY_CONSOLIDATED",$H$9,"ACCOUNTING_STANDARD_OVERRIDE",$H$7,"Fill=0")+_xll.BDP(Ticker,"ARD_ACCRUED_EXPENSES","EQY_FUND_RELATIVE_PERIOD",I$11,"EQY_FUND_CRNCY",$L$7,"EQY_CONSOLIDATED",$H$9,"ACCOUNTING_STANDARD_OVERRIDE",$H$7,"Fill=0")</f>
        <v>535</v>
      </c>
      <c r="J37" s="40">
        <f>_xll.BDP(Ticker,"ARD_ACC_COMP_POSTRETIRE_OBLIG","EQY_FUND_RELATIVE_PERIOD",J$11,"EQY_FUND_CRNCY",$L$7,"EQY_CONSOLIDATED",$H$9,"ACCOUNTING_STANDARD_OVERRIDE",$H$7,"Fill=0")+_xll.BDP(Ticker,"ARD_ACCRUED_EXPENSES","EQY_FUND_RELATIVE_PERIOD",J$11,"EQY_FUND_CRNCY",$L$7,"EQY_CONSOLIDATED",$H$9,"ACCOUNTING_STANDARD_OVERRIDE",$H$7,"Fill=0")</f>
        <v>597</v>
      </c>
      <c r="K37" s="40">
        <f>_xll.BDP(Ticker,"ARD_ACC_COMP_POSTRETIRE_OBLIG","EQY_FUND_RELATIVE_PERIOD",K$11,"EQY_FUND_CRNCY",$L$7,"EQY_CONSOLIDATED",$H$9,"ACCOUNTING_STANDARD_OVERRIDE",$H$7,"Fill=0")+_xll.BDP(Ticker,"ARD_ACCRUED_EXPENSES","EQY_FUND_RELATIVE_PERIOD",K$11,"EQY_FUND_CRNCY",$L$7,"EQY_CONSOLIDATED",$H$9,"ACCOUNTING_STANDARD_OVERRIDE",$H$7,"Fill=0")</f>
        <v>637</v>
      </c>
      <c r="L37" s="40">
        <f>_xll.BDP(Ticker,"ARD_ACC_COMP_POSTRETIRE_OBLIG","EQY_FUND_RELATIVE_PERIOD",L$11,"EQY_FUND_CRNCY",$L$7,"EQY_CONSOLIDATED",$H$9,"ACCOUNTING_STANDARD_OVERRIDE",$H$7,"Fill=0")+_xll.BDP(Ticker,"ARD_ACCRUED_EXPENSES","EQY_FUND_RELATIVE_PERIOD",L$11,"EQY_FUND_CRNCY",$L$7,"EQY_CONSOLIDATED",$H$9,"ACCOUNTING_STANDARD_OVERRIDE",$H$7,"Fill=0")</f>
        <v>767</v>
      </c>
      <c r="M37" s="40">
        <f>_xll.BDP(Ticker,"ARD_ACC_COMP_POSTRETIRE_OBLIG","EQY_FUND_RELATIVE_PERIOD",M$11,"EQY_FUND_CRNCY",$L$7,"EQY_CONSOLIDATED",$H$9,"ACCOUNTING_STANDARD_OVERRIDE",$H$7,"Fill=0")+_xll.BDP(Ticker,"ARD_ACCRUED_EXPENSES","EQY_FUND_RELATIVE_PERIOD",M$11,"EQY_FUND_CRNCY",$L$7,"EQY_CONSOLIDATED",$H$9,"ACCOUNTING_STANDARD_OVERRIDE",$H$7,"Fill=0")</f>
        <v>838</v>
      </c>
      <c r="N37" s="40">
        <f>_xll.BDP(Ticker,"ARD_ACC_COMP_POSTRETIRE_OBLIG","EQY_FUND_RELATIVE_PERIOD",N$11,"EQY_FUND_CRNCY",$L$7,"EQY_CONSOLIDATED",$H$9,"ACCOUNTING_STANDARD_OVERRIDE",$H$7,"Fill=0")+_xll.BDP(Ticker,"ARD_ACCRUED_EXPENSES","EQY_FUND_RELATIVE_PERIOD",N$11,"EQY_FUND_CRNCY",$L$7,"EQY_CONSOLIDATED",$H$9,"ACCOUNTING_STANDARD_OVERRIDE",$H$7,"Fill=0")</f>
        <v>917</v>
      </c>
      <c r="O37" s="52"/>
    </row>
    <row r="38" spans="1:15" ht="15" customHeight="1">
      <c r="A38" s="17"/>
      <c r="B38" s="17" t="s">
        <v>427</v>
      </c>
      <c r="C38" s="18" t="s">
        <v>74</v>
      </c>
      <c r="D38" s="40">
        <f>IFERROR(_xll.BQL(Ticker,$B38,"FPT",$C$12,"FPO",D$12,"STD",$H$7,"CONSOL",$H$9, "CURRENCY",$L$7)*1,0)</f>
        <v>20.5</v>
      </c>
      <c r="E38" s="40">
        <f>IFERROR(_xll.BQL(Ticker,$B38,"FPT",$C$12,"FPO",E$12,"STD",$H$7,"CONSOL",$H$9, "CURRENCY",$L$7)*1,0)</f>
        <v>18</v>
      </c>
      <c r="F38" s="40">
        <f>IFERROR(_xll.BQL(Ticker,$B38,"FPT",$C$12,"FPO",F$12,"STD",$H$7,"CONSOL",$H$9, "CURRENCY",$L$7)*1,0)</f>
        <v>25</v>
      </c>
      <c r="G38" s="40">
        <f>IFERROR(_xll.BQL(Ticker,$B38,"FPT",$C$12,"FPO",G$12,"STD",$H$7,"CONSOL",$H$9, "CURRENCY",$L$7)*1,0)</f>
        <v>17</v>
      </c>
      <c r="H38" s="40">
        <f>IFERROR(_xll.BQL(Ticker,$B38,"FPT",$C$12,"FPO",H$12,"STD",$H$7,"CONSOL",$H$9, "CURRENCY",$L$7)*1,0)</f>
        <v>16</v>
      </c>
      <c r="I38" s="40">
        <f>IFERROR(_xll.BQL(Ticker,$B38,"FPT",$C$12,"FPO",I$12,"STD",$H$7,"CONSOL",$H$9, "CURRENCY",$L$7)*1,0)</f>
        <v>25</v>
      </c>
      <c r="J38" s="40">
        <f>IFERROR(_xll.BQL(Ticker,$B38,"FPT",$C$12,"FPO",J$12,"STD",$H$7,"CONSOL",$H$9, "CURRENCY",$L$7)*1,0)</f>
        <v>727</v>
      </c>
      <c r="K38" s="40">
        <f>IFERROR(_xll.BQL(Ticker,$B38,"FPT",$C$12,"FPO",K$12,"STD",$H$7,"CONSOL",$H$9, "CURRENCY",$L$7)*1,0)</f>
        <v>769</v>
      </c>
      <c r="L38" s="40">
        <f>IFERROR(_xll.BQL(Ticker,$B38,"FPT",$C$12,"FPO",L$12,"STD",$H$7,"CONSOL",$H$9, "CURRENCY",$L$7)*1,0)</f>
        <v>228</v>
      </c>
      <c r="M38" s="40">
        <f>IFERROR(_xll.BQL(Ticker,$B38,"FPT",$C$12,"FPO",M$12,"STD",$H$7,"CONSOL",$H$9, "CURRENCY",$L$7)*1,0)</f>
        <v>632</v>
      </c>
      <c r="N38" s="40">
        <f>IFERROR(_xll.BQL(Ticker,$B38,"FPT",$C$12,"FPO",N$12,"STD",$H$7,"CONSOL",$H$9, "CURRENCY",$L$7)*1,0)</f>
        <v>1373</v>
      </c>
      <c r="O38" s="52"/>
    </row>
    <row r="39" spans="1:15" ht="15" customHeight="1">
      <c r="A39" s="17"/>
      <c r="B39" s="17" t="s">
        <v>428</v>
      </c>
      <c r="C39" s="18" t="s">
        <v>151</v>
      </c>
      <c r="D39" s="40">
        <f>IFERROR(_xll.BQL(Ticker,$B39,"FPT",$C$12,"FPO",D$12,"STD",$H$7,"CONSOL",$H$9, "CURRENCY",$L$7)*1,0)</f>
        <v>274.3</v>
      </c>
      <c r="E39" s="40">
        <f>IFERROR(_xll.BQL(Ticker,$B39,"FPT",$C$12,"FPO",E$12,"STD",$H$7,"CONSOL",$H$9, "CURRENCY",$L$7)*1,0)</f>
        <v>200.2</v>
      </c>
      <c r="F39" s="40">
        <f>IFERROR(_xll.BQL(Ticker,$B39,"FPT",$C$12,"FPO",F$12,"STD",$H$7,"CONSOL",$H$9, "CURRENCY",$L$7)*1,0)</f>
        <v>292</v>
      </c>
      <c r="G39" s="40">
        <f>IFERROR(_xll.BQL(Ticker,$B39,"FPT",$C$12,"FPO",G$12,"STD",$H$7,"CONSOL",$H$9, "CURRENCY",$L$7)*1,0)</f>
        <v>345</v>
      </c>
      <c r="H39" s="40">
        <f>IFERROR(_xll.BQL(Ticker,$B39,"FPT",$C$12,"FPO",H$12,"STD",$H$7,"CONSOL",$H$9, "CURRENCY",$L$7)*1,0)</f>
        <v>288</v>
      </c>
      <c r="I39" s="40">
        <f>IFERROR(_xll.BQL(Ticker,$B39,"FPT",$C$12,"FPO",I$12,"STD",$H$7,"CONSOL",$H$9, "CURRENCY",$L$7)*1,0)</f>
        <v>314</v>
      </c>
      <c r="J39" s="40">
        <f>IFERROR(_xll.BQL(Ticker,$B39,"FPT",$C$12,"FPO",J$12,"STD",$H$7,"CONSOL",$H$9, "CURRENCY",$L$7)*1,0)</f>
        <v>329</v>
      </c>
      <c r="K39" s="40">
        <f>IFERROR(_xll.BQL(Ticker,$B39,"FPT",$C$12,"FPO",K$12,"STD",$H$7,"CONSOL",$H$9, "CURRENCY",$L$7)*1,0)</f>
        <v>410</v>
      </c>
      <c r="L39" s="40">
        <f>IFERROR(_xll.BQL(Ticker,$B39,"FPT",$C$12,"FPO",L$12,"STD",$H$7,"CONSOL",$H$9, "CURRENCY",$L$7)*1,0)</f>
        <v>437</v>
      </c>
      <c r="M39" s="40">
        <f>IFERROR(_xll.BQL(Ticker,$B39,"FPT",$C$12,"FPO",M$12,"STD",$H$7,"CONSOL",$H$9, "CURRENCY",$L$7)*1,0)</f>
        <v>487</v>
      </c>
      <c r="N39" s="40">
        <f>IFERROR(_xll.BQL(Ticker,$B39,"FPT",$C$12,"FPO",N$12,"STD",$H$7,"CONSOL",$H$9, "CURRENCY",$L$7)*1,0)</f>
        <v>646</v>
      </c>
      <c r="O39" s="52"/>
    </row>
    <row r="40" spans="1:15" ht="15" customHeight="1">
      <c r="A40" s="17"/>
      <c r="B40" s="52" t="s">
        <v>509</v>
      </c>
      <c r="C40" s="18" t="s">
        <v>75</v>
      </c>
      <c r="D40" s="40">
        <f>IFERROR(_xll.BQL(Ticker,$B40,"FPT",$C$12,"FPO",D$12,"STD",$H$7,"CONSOL",$H$9, "CURRENCY",$L$7)*1,0)</f>
        <v>30</v>
      </c>
      <c r="E40" s="40">
        <f>IFERROR(_xll.BQL(Ticker,$B40,"FPT",$C$12,"FPO",E$12,"STD",$H$7,"CONSOL",$H$9, "CURRENCY",$L$7)*1,0)</f>
        <v>134.69999999999999</v>
      </c>
      <c r="F40" s="40">
        <f>IFERROR(_xll.BQL(Ticker,$B40,"FPT",$C$12,"FPO",F$12,"STD",$H$7,"CONSOL",$H$9, "CURRENCY",$L$7)*1,0)</f>
        <v>47</v>
      </c>
      <c r="G40" s="40">
        <f>IFERROR(_xll.BQL(Ticker,$B40,"FPT",$C$12,"FPO",G$12,"STD",$H$7,"CONSOL",$H$9, "CURRENCY",$L$7)*1,0)</f>
        <v>155</v>
      </c>
      <c r="H40" s="40">
        <f>IFERROR(_xll.BQL(Ticker,$B40,"FPT",$C$12,"FPO",H$12,"STD",$H$7,"CONSOL",$H$9, "CURRENCY",$L$7)*1,0)</f>
        <v>70</v>
      </c>
      <c r="I40" s="40">
        <f>IFERROR(_xll.BQL(Ticker,$B40,"FPT",$C$12,"FPO",I$12,"STD",$H$7,"CONSOL",$H$9, "CURRENCY",$L$7)*1,0)</f>
        <v>131</v>
      </c>
      <c r="J40" s="40">
        <f>IFERROR(_xll.BQL(Ticker,$B40,"FPT",$C$12,"FPO",J$12,"STD",$H$7,"CONSOL",$H$9, "CURRENCY",$L$7)*1,0)</f>
        <v>333</v>
      </c>
      <c r="K40" s="40">
        <f>IFERROR(_xll.BQL(Ticker,$B40,"FPT",$C$12,"FPO",K$12,"STD",$H$7,"CONSOL",$H$9, "CURRENCY",$L$7)*1,0)</f>
        <v>141</v>
      </c>
      <c r="L40" s="40">
        <f>IFERROR(_xll.BQL(Ticker,$B40,"FPT",$C$12,"FPO",L$12,"STD",$H$7,"CONSOL",$H$9, "CURRENCY",$L$7)*1,0)</f>
        <v>40</v>
      </c>
      <c r="M40" s="40">
        <f>IFERROR(_xll.BQL(Ticker,$B40,"FPT",$C$12,"FPO",M$12,"STD",$H$7,"CONSOL",$H$9, "CURRENCY",$L$7)*1,0)</f>
        <v>143</v>
      </c>
      <c r="N40" s="40">
        <f>IFERROR(_xll.BQL(Ticker,$B40,"FPT",$C$12,"FPO",N$12,"STD",$H$7,"CONSOL",$H$9, "CURRENCY",$L$7)*1,0)</f>
        <v>158</v>
      </c>
      <c r="O40" s="52"/>
    </row>
    <row r="41" spans="1:15" ht="15" customHeight="1">
      <c r="A41" s="17"/>
      <c r="B41" s="17" t="s">
        <v>429</v>
      </c>
      <c r="C41" s="18" t="s">
        <v>76</v>
      </c>
      <c r="D41" s="40">
        <f>IFERROR(_xll.BQL(Ticker,$B41,"FPT",$C$12,"FPO",D$12,"STD",$H$7,"CONSOL",$H$9, "CURRENCY",$L$7)*1,0)-SUM(D37,D40)</f>
        <v>800.5</v>
      </c>
      <c r="E41" s="40">
        <f>_xll.BDP(Ticker,"BS_OTHER_ST_LIAB","EQY_FUND_RELATIVE_PERIOD",E$12,"EQY_FUND_CRNCY",$L$7,"EQY_CONSOLIDATED",$H$9,"ACCOUNTING_STANDARD_OVERRIDE",$H$7,"Fill=0")-SUM(E37,E40)</f>
        <v>2299.1999999999998</v>
      </c>
      <c r="F41" s="40">
        <f>_xll.BDP(Ticker,"BS_OTHER_ST_LIAB","EQY_FUND_RELATIVE_PERIOD",F$12,"EQY_FUND_CRNCY",$L$7,"EQY_CONSOLIDATED",$H$9,"ACCOUNTING_STANDARD_OVERRIDE",$H$7,"Fill=0")-SUM(F37,F40)</f>
        <v>2323</v>
      </c>
      <c r="G41" s="40">
        <f>_xll.BDP(Ticker,"BS_OTHER_ST_LIAB","EQY_FUND_RELATIVE_PERIOD",G$12,"EQY_FUND_CRNCY",$L$7,"EQY_CONSOLIDATED",$H$9,"ACCOUNTING_STANDARD_OVERRIDE",$H$7,"Fill=0")-SUM(G37,G40)</f>
        <v>2189</v>
      </c>
      <c r="H41" s="40">
        <f>_xll.BDP(Ticker,"BS_OTHER_ST_LIAB","EQY_FUND_RELATIVE_PERIOD",H$12,"EQY_FUND_CRNCY",$L$7,"EQY_CONSOLIDATED",$H$9,"ACCOUNTING_STANDARD_OVERRIDE",$H$7,"Fill=0")-SUM(H37,H40)</f>
        <v>2251</v>
      </c>
      <c r="I41" s="40">
        <f>_xll.BDP(Ticker,"BS_OTHER_ST_LIAB","EQY_FUND_RELATIVE_PERIOD",I$12,"EQY_FUND_CRNCY",$L$7,"EQY_CONSOLIDATED",$H$9,"ACCOUNTING_STANDARD_OVERRIDE",$H$7,"Fill=0")-SUM(I37,I40)</f>
        <v>2122</v>
      </c>
      <c r="J41" s="40">
        <f>_xll.BDP(Ticker,"BS_OTHER_ST_LIAB","EQY_FUND_RELATIVE_PERIOD",J$12,"EQY_FUND_CRNCY",$L$7,"EQY_CONSOLIDATED",$H$9,"ACCOUNTING_STANDARD_OVERRIDE",$H$7,"Fill=0")-SUM(J37,J40)</f>
        <v>1858</v>
      </c>
      <c r="K41" s="40">
        <f>_xll.BDP(Ticker,"BS_OTHER_ST_LIAB","EQY_FUND_RELATIVE_PERIOD",K$12,"EQY_FUND_CRNCY",$L$7,"EQY_CONSOLIDATED",$H$9,"ACCOUNTING_STANDARD_OVERRIDE",$H$7,"Fill=0")-SUM(K37,K40)</f>
        <v>2010</v>
      </c>
      <c r="L41" s="40">
        <f>_xll.BDP(Ticker,"BS_OTHER_ST_LIAB","EQY_FUND_RELATIVE_PERIOD",L$12,"EQY_FUND_CRNCY",$L$7,"EQY_CONSOLIDATED",$H$9,"ACCOUNTING_STANDARD_OVERRIDE",$H$7,"Fill=0")-SUM(L37,L40)</f>
        <v>1981</v>
      </c>
      <c r="M41" s="40">
        <f>_xll.BDP(Ticker,"BS_OTHER_ST_LIAB","EQY_FUND_RELATIVE_PERIOD",M$12,"EQY_FUND_CRNCY",$L$7,"EQY_CONSOLIDATED",$H$9,"ACCOUNTING_STANDARD_OVERRIDE",$H$7,"Fill=0")-SUM(M37,M40)</f>
        <v>1807</v>
      </c>
      <c r="N41" s="40">
        <f>_xll.BDP(Ticker,"BS_OTHER_ST_LIAB","EQY_FUND_RELATIVE_PERIOD",N$12,"EQY_FUND_CRNCY",$L$7,"EQY_CONSOLIDATED",$H$9,"ACCOUNTING_STANDARD_OVERRIDE",$H$7,"Fill=0")-SUM(N37,N40)</f>
        <v>1713</v>
      </c>
      <c r="O41" s="52"/>
    </row>
    <row r="42" spans="1:15" ht="15" customHeight="1">
      <c r="A42" s="17"/>
      <c r="B42" s="17"/>
      <c r="C42" s="44" t="s">
        <v>77</v>
      </c>
      <c r="D42" s="50">
        <f>SUM(D37:D41)</f>
        <v>1462.1</v>
      </c>
      <c r="E42" s="50">
        <f t="shared" ref="E42:I42" si="5">SUM(E37:E41)</f>
        <v>3006.2</v>
      </c>
      <c r="F42" s="50">
        <f t="shared" si="5"/>
        <v>3105</v>
      </c>
      <c r="G42" s="50">
        <f t="shared" si="5"/>
        <v>3150</v>
      </c>
      <c r="H42" s="50">
        <f t="shared" si="5"/>
        <v>3092</v>
      </c>
      <c r="I42" s="50">
        <f t="shared" si="5"/>
        <v>3127</v>
      </c>
      <c r="J42" s="50">
        <f>SUM(J37:J41)</f>
        <v>3844</v>
      </c>
      <c r="K42" s="50">
        <f>SUM(K37:K41)</f>
        <v>3967</v>
      </c>
      <c r="L42" s="50">
        <f>SUM(L37:L41)</f>
        <v>3453</v>
      </c>
      <c r="M42" s="50">
        <f>SUM(M37:M41)</f>
        <v>3907</v>
      </c>
      <c r="N42" s="50">
        <f>SUM(N37:N41)</f>
        <v>4807</v>
      </c>
      <c r="O42" s="52"/>
    </row>
    <row r="43" spans="1:15" ht="15" customHeight="1">
      <c r="A43" s="17"/>
      <c r="B43" s="17"/>
      <c r="C43" s="18"/>
      <c r="D43" s="48"/>
      <c r="E43" s="48"/>
      <c r="F43" s="48"/>
      <c r="G43" s="48"/>
      <c r="H43" s="48"/>
      <c r="I43" s="48"/>
      <c r="J43" s="48"/>
      <c r="K43" s="48"/>
      <c r="L43" s="48"/>
      <c r="M43" s="48"/>
      <c r="N43" s="48"/>
      <c r="O43" s="52"/>
    </row>
    <row r="44" spans="1:15" ht="15" customHeight="1">
      <c r="A44" s="17"/>
      <c r="B44" s="17" t="s">
        <v>430</v>
      </c>
      <c r="C44" s="18" t="s">
        <v>78</v>
      </c>
      <c r="D44" s="40">
        <f>IFERROR(_xll.BQL(Ticker,$B44,"FPT",$C$12,"FPO",D$12,"STD",$H$7,"CONSOL",$H$9, "CURRENCY",$L$7)*1,0)</f>
        <v>0</v>
      </c>
      <c r="E44" s="40">
        <f>IFERROR(_xll.BQL(Ticker,$B44,"FPT",$C$12,"FPO",E$12,"STD",$H$7,"CONSOL",$H$9, "CURRENCY",$L$7)*1,0)</f>
        <v>0</v>
      </c>
      <c r="F44" s="40">
        <f>IFERROR(_xll.BQL(Ticker,$B44,"FPT",$C$12,"FPO",F$12,"STD",$H$7,"CONSOL",$H$9, "CURRENCY",$L$7)*1,0)</f>
        <v>996</v>
      </c>
      <c r="G44" s="40">
        <f>IFERROR(_xll.BQL(Ticker,$B44,"FPT",$C$12,"FPO",G$12,"STD",$H$7,"CONSOL",$H$9, "CURRENCY",$L$7)*1,0)</f>
        <v>1751</v>
      </c>
      <c r="H44" s="40">
        <f>IFERROR(_xll.BQL(Ticker,$B44,"FPT",$C$12,"FPO",H$12,"STD",$H$7,"CONSOL",$H$9, "CURRENCY",$L$7)*1,0)</f>
        <v>1746</v>
      </c>
      <c r="I44" s="40">
        <f>IFERROR(_xll.BQL(Ticker,$B44,"FPT",$C$12,"FPO",I$12,"STD",$H$7,"CONSOL",$H$9, "CURRENCY",$L$7)*1,0)</f>
        <v>2739</v>
      </c>
      <c r="J44" s="40">
        <f>IFERROR(_xll.BQL(Ticker,$B44,"FPT",$C$12,"FPO",J$12,"STD",$H$7,"CONSOL",$H$9, "CURRENCY",$L$7)*1,0)</f>
        <v>3246</v>
      </c>
      <c r="K44" s="40">
        <f>IFERROR(_xll.BQL(Ticker,$B44,"FPT",$C$12,"FPO",K$12,"STD",$H$7,"CONSOL",$H$9, "CURRENCY",$L$7)*1,0)</f>
        <v>3253</v>
      </c>
      <c r="L44" s="40">
        <f>IFERROR(_xll.BQL(Ticker,$B44,"FPT",$C$12,"FPO",L$12,"STD",$H$7,"CONSOL",$H$9, "CURRENCY",$L$7)*1,0)</f>
        <v>6686</v>
      </c>
      <c r="M44" s="40">
        <f>IFERROR(_xll.BQL(Ticker,$B44,"FPT",$C$12,"FPO",M$12,"STD",$H$7,"CONSOL",$H$9, "CURRENCY",$L$7)*1,0)</f>
        <v>6590</v>
      </c>
      <c r="N44" s="40">
        <f>IFERROR(_xll.BQL(Ticker,$B44,"FPT",$C$12,"FPO",N$12,"STD",$H$7,"CONSOL",$H$9, "CURRENCY",$L$7)*1,0)</f>
        <v>8486</v>
      </c>
      <c r="O44" s="52"/>
    </row>
    <row r="45" spans="1:15" ht="15" customHeight="1">
      <c r="A45" s="17"/>
      <c r="B45" s="52" t="s">
        <v>510</v>
      </c>
      <c r="C45" s="18" t="s">
        <v>79</v>
      </c>
      <c r="D45" s="40">
        <f>IFERROR(_xll.BQL(Ticker,$B45,"FPT",$C$12,"FPO",D$12,"STD",$H$7,"CONSOL",$H$9, "CURRENCY",$L$7)*1,0)</f>
        <v>0</v>
      </c>
      <c r="E45" s="40">
        <f>IFERROR(_xll.BQL(Ticker,$B45,"FPT",$C$12,"FPO",E$12,"STD",$H$7,"CONSOL",$H$9, "CURRENCY",$L$7)*1,0)</f>
        <v>0</v>
      </c>
      <c r="F45" s="40">
        <f>IFERROR(_xll.BQL(Ticker,$B45,"FPT",$C$12,"FPO",F$12,"STD",$H$7,"CONSOL",$H$9, "CURRENCY",$L$7)*1,0)</f>
        <v>0</v>
      </c>
      <c r="G45" s="40">
        <f>IFERROR(_xll.BQL(Ticker,$B45,"FPT",$C$12,"FPO",G$12,"STD",$H$7,"CONSOL",$H$9, "CURRENCY",$L$7)*1,0)</f>
        <v>0</v>
      </c>
      <c r="H45" s="40">
        <f>IFERROR(_xll.BQL(Ticker,$B45,"FPT",$C$12,"FPO",H$12,"STD",$H$7,"CONSOL",$H$9, "CURRENCY",$L$7)*1,0)</f>
        <v>0</v>
      </c>
      <c r="I45" s="40">
        <f>IFERROR(_xll.BQL(Ticker,$B45,"FPT",$C$12,"FPO",I$12,"STD",$H$7,"CONSOL",$H$9, "CURRENCY",$L$7)*1,0)</f>
        <v>0</v>
      </c>
      <c r="J45" s="40">
        <f>IFERROR(_xll.BQL(Ticker,$B45,"FPT",$C$12,"FPO",J$12,"STD",$H$7,"CONSOL",$H$9, "CURRENCY",$L$7)*1,0)</f>
        <v>0</v>
      </c>
      <c r="K45" s="40">
        <f>IFERROR(_xll.BQL(Ticker,$B45,"FPT",$C$12,"FPO",K$12,"STD",$H$7,"CONSOL",$H$9, "CURRENCY",$L$7)*1,0)</f>
        <v>0</v>
      </c>
      <c r="L45" s="40">
        <f>IFERROR(_xll.BQL(Ticker,$B45,"FPT",$C$12,"FPO",L$12,"STD",$H$7,"CONSOL",$H$9, "CURRENCY",$L$7)*1,0)</f>
        <v>0</v>
      </c>
      <c r="M45" s="40">
        <f>IFERROR(_xll.BQL(Ticker,$B45,"FPT",$C$12,"FPO",M$12,"STD",$H$7,"CONSOL",$H$9, "CURRENCY",$L$7)*1,0)</f>
        <v>0</v>
      </c>
      <c r="N45" s="40">
        <f>IFERROR(_xll.BQL(Ticker,$B45,"FPT",$C$12,"FPO",N$12,"STD",$H$7,"CONSOL",$H$9, "CURRENCY",$L$7)*1,0)</f>
        <v>0</v>
      </c>
      <c r="O45" s="52"/>
    </row>
    <row r="46" spans="1:15" ht="15" customHeight="1">
      <c r="A46" s="17"/>
      <c r="B46" s="17" t="s">
        <v>431</v>
      </c>
      <c r="C46" s="18" t="s">
        <v>80</v>
      </c>
      <c r="D46" s="40">
        <f>IFERROR(_xll.BQL(Ticker,$B46,"FPT",$C$12,"FPO",D$12,"STD",$H$7,"CONSOL",$H$9, "CURRENCY",$L$7)*1,0)-D45</f>
        <v>734.5</v>
      </c>
      <c r="E46" s="40">
        <f>IFERROR(_xll.BQL(Ticker,$B46,"FPT",$C$12,"FPO",E$12,"STD",$H$7,"CONSOL",$H$9, "CURRENCY",$L$7)*1,0)-E45</f>
        <v>1035.2</v>
      </c>
      <c r="F46" s="40">
        <f>IFERROR(_xll.BQL(Ticker,$B46,"FPT",$C$12,"FPO",F$12,"STD",$H$7,"CONSOL",$H$9, "CURRENCY",$L$7)*1,0)-F45</f>
        <v>1120</v>
      </c>
      <c r="G46" s="40">
        <f>IFERROR(_xll.BQL(Ticker,$B46,"FPT",$C$12,"FPO",G$12,"STD",$H$7,"CONSOL",$H$9, "CURRENCY",$L$7)*1,0)-G45</f>
        <v>872</v>
      </c>
      <c r="H46" s="40">
        <f>IFERROR(_xll.BQL(Ticker,$B46,"FPT",$C$12,"FPO",H$12,"STD",$H$7,"CONSOL",$H$9, "CURRENCY",$L$7)*1,0)-H45</f>
        <v>987</v>
      </c>
      <c r="I46" s="40">
        <f>IFERROR(_xll.BQL(Ticker,$B46,"FPT",$C$12,"FPO",I$12,"STD",$H$7,"CONSOL",$H$9, "CURRENCY",$L$7)*1,0)-I45</f>
        <v>1300</v>
      </c>
      <c r="J46" s="40">
        <f>IFERROR(_xll.BQL(Ticker,$B46,"FPT",$C$12,"FPO",J$12,"STD",$H$7,"CONSOL",$H$9, "CURRENCY",$L$7)*1,0)-J45</f>
        <v>977</v>
      </c>
      <c r="K46" s="40">
        <f>IFERROR(_xll.BQL(Ticker,$B46,"FPT",$C$12,"FPO",K$12,"STD",$H$7,"CONSOL",$H$9, "CURRENCY",$L$7)*1,0)-K45</f>
        <v>980</v>
      </c>
      <c r="L46" s="40">
        <f>IFERROR(_xll.BQL(Ticker,$B46,"FPT",$C$12,"FPO",L$12,"STD",$H$7,"CONSOL",$H$9, "CURRENCY",$L$7)*1,0)-L45</f>
        <v>1051</v>
      </c>
      <c r="M46" s="40">
        <f>IFERROR(_xll.BQL(Ticker,$B46,"FPT",$C$12,"FPO",M$12,"STD",$H$7,"CONSOL",$H$9, "CURRENCY",$L$7)*1,0)-M45</f>
        <v>2142</v>
      </c>
      <c r="N46" s="40">
        <f>IFERROR(_xll.BQL(Ticker,$B46,"FPT",$C$12,"FPO",N$12,"STD",$H$7,"CONSOL",$H$9, "CURRENCY",$L$7)*1,0)-N45</f>
        <v>2206</v>
      </c>
      <c r="O46" s="52"/>
    </row>
    <row r="47" spans="1:15" ht="15" customHeight="1">
      <c r="A47" s="17"/>
      <c r="B47" s="17"/>
      <c r="C47" s="44" t="s">
        <v>81</v>
      </c>
      <c r="D47" s="50">
        <f t="shared" ref="D47:I47" si="6">SUM(D42,D44:D46)</f>
        <v>2196.6</v>
      </c>
      <c r="E47" s="50">
        <f t="shared" si="6"/>
        <v>4041.3999999999996</v>
      </c>
      <c r="F47" s="50">
        <f t="shared" si="6"/>
        <v>5221</v>
      </c>
      <c r="G47" s="50">
        <f t="shared" si="6"/>
        <v>5773</v>
      </c>
      <c r="H47" s="50">
        <f t="shared" si="6"/>
        <v>5825</v>
      </c>
      <c r="I47" s="50">
        <f t="shared" si="6"/>
        <v>7166</v>
      </c>
      <c r="J47" s="50">
        <f>SUM(J42,J44:J46)</f>
        <v>8067</v>
      </c>
      <c r="K47" s="50">
        <f>SUM(K42,K44:K46)</f>
        <v>8200</v>
      </c>
      <c r="L47" s="50">
        <f>SUM(L42,L44:L46)</f>
        <v>11190</v>
      </c>
      <c r="M47" s="50">
        <f>SUM(M42,M44:M46)</f>
        <v>12639</v>
      </c>
      <c r="N47" s="50">
        <f>SUM(N42,N44:N46)</f>
        <v>15499</v>
      </c>
      <c r="O47" s="52"/>
    </row>
    <row r="48" spans="1:15" ht="15" customHeight="1">
      <c r="A48" s="17"/>
      <c r="B48" s="17"/>
      <c r="C48" s="18"/>
      <c r="D48" s="48"/>
      <c r="E48" s="48"/>
      <c r="F48" s="48"/>
      <c r="G48" s="48"/>
      <c r="H48" s="48"/>
      <c r="I48" s="48"/>
      <c r="J48" s="48"/>
      <c r="K48" s="48"/>
      <c r="L48" s="48"/>
      <c r="M48" s="48"/>
      <c r="N48" s="48"/>
      <c r="O48" s="52"/>
    </row>
    <row r="49" spans="1:15" ht="15" customHeight="1">
      <c r="A49" s="17"/>
      <c r="B49" s="17" t="s">
        <v>380</v>
      </c>
      <c r="C49" s="18" t="s">
        <v>82</v>
      </c>
      <c r="D49" s="40">
        <f>IFERROR(_xll.BQL(Ticker,$B49,"FPT",$C$12,"FPO",D$12,"STD",$H$7,"CONSOL",$H$9, "CURRENCY",$L$7)*1,0)</f>
        <v>0</v>
      </c>
      <c r="E49" s="40">
        <f>IFERROR(_xll.BQL(Ticker,$B49,"FPT",$C$12,"FPO",E$12,"STD",$H$7,"CONSOL",$H$9, "CURRENCY",$L$7)*1,0)</f>
        <v>0</v>
      </c>
      <c r="F49" s="40">
        <f>IFERROR(_xll.BQL(Ticker,$B49,"FPT",$C$12,"FPO",F$12,"STD",$H$7,"CONSOL",$H$9, "CURRENCY",$L$7)*1,0)</f>
        <v>0</v>
      </c>
      <c r="G49" s="40">
        <f>IFERROR(_xll.BQL(Ticker,$B49,"FPT",$C$12,"FPO",G$12,"STD",$H$7,"CONSOL",$H$9, "CURRENCY",$L$7)*1,0)</f>
        <v>0</v>
      </c>
      <c r="H49" s="40">
        <f>IFERROR(_xll.BQL(Ticker,$B49,"FPT",$C$12,"FPO",H$12,"STD",$H$7,"CONSOL",$H$9, "CURRENCY",$L$7)*1,0)</f>
        <v>0</v>
      </c>
      <c r="I49" s="40">
        <f>IFERROR(_xll.BQL(Ticker,$B49,"FPT",$C$12,"FPO",I$12,"STD",$H$7,"CONSOL",$H$9, "CURRENCY",$L$7)*1,0)</f>
        <v>0</v>
      </c>
      <c r="J49" s="40">
        <f>IFERROR(_xll.BQL(Ticker,$B49,"FPT",$C$12,"FPO",J$12,"STD",$H$7,"CONSOL",$H$9, "CURRENCY",$L$7)*1,0)</f>
        <v>0</v>
      </c>
      <c r="K49" s="40">
        <f>IFERROR(_xll.BQL(Ticker,$B49,"FPT",$C$12,"FPO",K$12,"STD",$H$7,"CONSOL",$H$9, "CURRENCY",$L$7)*1,0)</f>
        <v>0</v>
      </c>
      <c r="L49" s="40">
        <f>IFERROR(_xll.BQL(Ticker,$B49,"FPT",$C$12,"FPO",L$12,"STD",$H$7,"CONSOL",$H$9, "CURRENCY",$L$7)*1,0)</f>
        <v>0</v>
      </c>
      <c r="M49" s="40">
        <f>IFERROR(_xll.BQL(Ticker,$B49,"FPT",$C$12,"FPO",M$12,"STD",$H$7,"CONSOL",$H$9, "CURRENCY",$L$7)*1,0)</f>
        <v>0</v>
      </c>
      <c r="N49" s="40">
        <f>IFERROR(_xll.BQL(Ticker,$B49,"FPT",$C$12,"FPO",N$12,"STD",$H$7,"CONSOL",$H$9, "CURRENCY",$L$7)*1,0)</f>
        <v>0</v>
      </c>
      <c r="O49" s="52"/>
    </row>
    <row r="50" spans="1:15" ht="15" customHeight="1">
      <c r="A50" s="17"/>
      <c r="B50" s="17"/>
      <c r="C50" s="44" t="s">
        <v>83</v>
      </c>
      <c r="D50" s="50">
        <f t="shared" ref="D50:I50" si="7">D49</f>
        <v>0</v>
      </c>
      <c r="E50" s="50">
        <f t="shared" si="7"/>
        <v>0</v>
      </c>
      <c r="F50" s="50">
        <f t="shared" si="7"/>
        <v>0</v>
      </c>
      <c r="G50" s="50">
        <f t="shared" si="7"/>
        <v>0</v>
      </c>
      <c r="H50" s="50">
        <f t="shared" si="7"/>
        <v>0</v>
      </c>
      <c r="I50" s="50">
        <f t="shared" si="7"/>
        <v>0</v>
      </c>
      <c r="J50" s="50">
        <f>J49</f>
        <v>0</v>
      </c>
      <c r="K50" s="50">
        <f>K49</f>
        <v>0</v>
      </c>
      <c r="L50" s="50">
        <f>L49</f>
        <v>0</v>
      </c>
      <c r="M50" s="50">
        <f>M49</f>
        <v>0</v>
      </c>
      <c r="N50" s="50">
        <f>N49</f>
        <v>0</v>
      </c>
      <c r="O50" s="52"/>
    </row>
    <row r="51" spans="1:15" ht="15" customHeight="1">
      <c r="A51" s="17"/>
      <c r="B51" s="17"/>
      <c r="C51" s="18"/>
      <c r="D51" s="48"/>
      <c r="E51" s="48"/>
      <c r="F51" s="48"/>
      <c r="G51" s="48"/>
      <c r="H51" s="48"/>
      <c r="I51" s="48"/>
      <c r="J51" s="48"/>
      <c r="K51" s="48"/>
      <c r="L51" s="48"/>
      <c r="M51" s="48"/>
      <c r="N51" s="48"/>
      <c r="O51" s="52"/>
    </row>
    <row r="52" spans="1:15" ht="15" customHeight="1">
      <c r="A52" s="17"/>
      <c r="B52" s="17" t="s">
        <v>381</v>
      </c>
      <c r="C52" s="18" t="s">
        <v>152</v>
      </c>
      <c r="D52" s="40">
        <f>IFERROR(_xll.BQL(Ticker,$B52,"FPT",$C$12,"FPO",D$12,"STD",$H$7,"CONSOL",$H$9, "CURRENCY",$L$7)*1,0)</f>
        <v>0</v>
      </c>
      <c r="E52" s="40">
        <f>IFERROR(_xll.BQL(Ticker,$B52,"FPT",$C$12,"FPO",E$12,"STD",$H$7,"CONSOL",$H$9, "CURRENCY",$L$7)*1,0)</f>
        <v>0</v>
      </c>
      <c r="F52" s="40">
        <f>IFERROR(_xll.BQL(Ticker,$B52,"FPT",$C$12,"FPO",F$12,"STD",$H$7,"CONSOL",$H$9, "CURRENCY",$L$7)*1,0)</f>
        <v>0</v>
      </c>
      <c r="G52" s="40">
        <f>IFERROR(_xll.BQL(Ticker,$B52,"FPT",$C$12,"FPO",G$12,"STD",$H$7,"CONSOL",$H$9, "CURRENCY",$L$7)*1,0)</f>
        <v>0</v>
      </c>
      <c r="H52" s="40">
        <f>IFERROR(_xll.BQL(Ticker,$B52,"FPT",$C$12,"FPO",H$12,"STD",$H$7,"CONSOL",$H$9, "CURRENCY",$L$7)*1,0)</f>
        <v>0</v>
      </c>
      <c r="I52" s="40">
        <f>IFERROR(_xll.BQL(Ticker,$B52,"FPT",$C$12,"FPO",I$12,"STD",$H$7,"CONSOL",$H$9, "CURRENCY",$L$7)*1,0)</f>
        <v>0</v>
      </c>
      <c r="J52" s="40">
        <f>IFERROR(_xll.BQL(Ticker,$B52,"FPT",$C$12,"FPO",J$12,"STD",$H$7,"CONSOL",$H$9, "CURRENCY",$L$7)*1,0)</f>
        <v>0</v>
      </c>
      <c r="K52" s="40">
        <f>IFERROR(_xll.BQL(Ticker,$B52,"FPT",$C$12,"FPO",K$12,"STD",$H$7,"CONSOL",$H$9, "CURRENCY",$L$7)*1,0)</f>
        <v>0</v>
      </c>
      <c r="L52" s="40">
        <f>IFERROR(_xll.BQL(Ticker,$B52,"FPT",$C$12,"FPO",L$12,"STD",$H$7,"CONSOL",$H$9, "CURRENCY",$L$7)*1,0)</f>
        <v>0</v>
      </c>
      <c r="M52" s="40">
        <f>IFERROR(_xll.BQL(Ticker,$B52,"FPT",$C$12,"FPO",M$12,"STD",$H$7,"CONSOL",$H$9, "CURRENCY",$L$7)*1,0)</f>
        <v>14</v>
      </c>
      <c r="N52" s="40">
        <f>IFERROR(_xll.BQL(Ticker,$B52,"FPT",$C$12,"FPO",N$12,"STD",$H$7,"CONSOL",$H$9, "CURRENCY",$L$7)*1,0)</f>
        <v>0</v>
      </c>
      <c r="O52" s="52"/>
    </row>
    <row r="53" spans="1:15" ht="15" customHeight="1">
      <c r="A53" s="17"/>
      <c r="B53" s="17" t="s">
        <v>432</v>
      </c>
      <c r="C53" s="18" t="s">
        <v>365</v>
      </c>
      <c r="D53" s="40">
        <f>IFERROR(_xll.BQL(Ticker,$B53,"FPT",$C$12,"FPO",D$12,"STD",$H$7,"CONSOL",$H$9, "CURRENCY",$L$7)*1,0)</f>
        <v>0</v>
      </c>
      <c r="E53" s="40">
        <f>IFERROR(_xll.BQL(Ticker,$B53,"FPT",$C$12,"FPO",E$12,"STD",$H$7,"CONSOL",$H$9, "CURRENCY",$L$7)*1,0)</f>
        <v>39.799999999999997</v>
      </c>
      <c r="F53" s="40">
        <f>IFERROR(_xll.BQL(Ticker,$B53,"FPT",$C$12,"FPO",F$12,"STD",$H$7,"CONSOL",$H$9, "CURRENCY",$L$7)*1,0)</f>
        <v>39</v>
      </c>
      <c r="G53" s="40">
        <f>IFERROR(_xll.BQL(Ticker,$B53,"FPT",$C$12,"FPO",G$12,"STD",$H$7,"CONSOL",$H$9, "CURRENCY",$L$7)*1,0)</f>
        <v>38</v>
      </c>
      <c r="H53" s="40">
        <f>IFERROR(_xll.BQL(Ticker,$B53,"FPT",$C$12,"FPO",H$12,"STD",$H$7,"CONSOL",$H$9, "CURRENCY",$L$7)*1,0)</f>
        <v>38</v>
      </c>
      <c r="I53" s="40">
        <f>IFERROR(_xll.BQL(Ticker,$B53,"FPT",$C$12,"FPO",I$12,"STD",$H$7,"CONSOL",$H$9, "CURRENCY",$L$7)*1,0)</f>
        <v>38</v>
      </c>
      <c r="J53" s="40">
        <f>IFERROR(_xll.BQL(Ticker,$B53,"FPT",$C$12,"FPO",J$12,"STD",$H$7,"CONSOL",$H$9, "CURRENCY",$L$7)*1,0)</f>
        <v>38</v>
      </c>
      <c r="K53" s="40">
        <f>IFERROR(_xll.BQL(Ticker,$B53,"FPT",$C$12,"FPO",K$12,"STD",$H$7,"CONSOL",$H$9, "CURRENCY",$L$7)*1,0)</f>
        <v>37</v>
      </c>
      <c r="L53" s="40">
        <f>IFERROR(_xll.BQL(Ticker,$B53,"FPT",$C$12,"FPO",L$12,"STD",$H$7,"CONSOL",$H$9, "CURRENCY",$L$7)*1,0)</f>
        <v>37</v>
      </c>
      <c r="M53" s="40">
        <f>IFERROR(_xll.BQL(Ticker,$B53,"FPT",$C$12,"FPO",M$12,"STD",$H$7,"CONSOL",$H$9, "CURRENCY",$L$7)*1,0)</f>
        <v>37</v>
      </c>
      <c r="N53" s="40">
        <f>IFERROR(_xll.BQL(Ticker,$B53,"FPT",$C$12,"FPO",N$12,"STD",$H$7,"CONSOL",$H$9, "CURRENCY",$L$7)*1,0)</f>
        <v>37</v>
      </c>
      <c r="O53" s="52"/>
    </row>
    <row r="54" spans="1:15" ht="15" customHeight="1">
      <c r="A54" s="17"/>
      <c r="B54" s="17" t="s">
        <v>433</v>
      </c>
      <c r="C54" s="18" t="s">
        <v>84</v>
      </c>
      <c r="D54" s="40">
        <f>IFERROR(_xll.BQL(Ticker,$B54,"FPT",$C$12,"FPO",D$12,"STD",$H$7,"CONSOL",$H$9, "CURRENCY",$L$7)*1,0)-D53</f>
        <v>852.4</v>
      </c>
      <c r="E54" s="40">
        <f>IFERROR(_xll.BQL(Ticker,$B54,"FPT",$C$12,"FPO",E$12,"STD",$H$7,"CONSOL",$H$9, "CURRENCY",$L$7)*1,0)-E53</f>
        <v>899.90000000000009</v>
      </c>
      <c r="F54" s="40">
        <f>IFERROR(_xll.BQL(Ticker,$B54,"FPT",$C$12,"FPO",F$12,"STD",$H$7,"CONSOL",$H$9, "CURRENCY",$L$7)*1,0)-F53</f>
        <v>964</v>
      </c>
      <c r="G54" s="40">
        <f>IFERROR(_xll.BQL(Ticker,$B54,"FPT",$C$12,"FPO",G$12,"STD",$H$7,"CONSOL",$H$9, "CURRENCY",$L$7)*1,0)-G53</f>
        <v>1022</v>
      </c>
      <c r="H54" s="40">
        <f>IFERROR(_xll.BQL(Ticker,$B54,"FPT",$C$12,"FPO",H$12,"STD",$H$7,"CONSOL",$H$9, "CURRENCY",$L$7)*1,0)-H53</f>
        <v>1098</v>
      </c>
      <c r="I54" s="40">
        <f>IFERROR(_xll.BQL(Ticker,$B54,"FPT",$C$12,"FPO",I$12,"STD",$H$7,"CONSOL",$H$9, "CURRENCY",$L$7)*1,0)-I53</f>
        <v>1160</v>
      </c>
      <c r="J54" s="40">
        <f>IFERROR(_xll.BQL(Ticker,$B54,"FPT",$C$12,"FPO",J$12,"STD",$H$7,"CONSOL",$H$9, "CURRENCY",$L$7)*1,0)-J53</f>
        <v>1252</v>
      </c>
      <c r="K54" s="40">
        <f>IFERROR(_xll.BQL(Ticker,$B54,"FPT",$C$12,"FPO",K$12,"STD",$H$7,"CONSOL",$H$9, "CURRENCY",$L$7)*1,0)-K53</f>
        <v>1321</v>
      </c>
      <c r="L54" s="40">
        <f>IFERROR(_xll.BQL(Ticker,$B54,"FPT",$C$12,"FPO",L$12,"STD",$H$7,"CONSOL",$H$9, "CURRENCY",$L$7)*1,0)-L53</f>
        <v>1432</v>
      </c>
      <c r="M54" s="40">
        <f>IFERROR(_xll.BQL(Ticker,$B54,"FPT",$C$12,"FPO",M$12,"STD",$H$7,"CONSOL",$H$9, "CURRENCY",$L$7)*1,0)-M53</f>
        <v>1496</v>
      </c>
      <c r="N54" s="40">
        <f>IFERROR(_xll.BQL(Ticker,$B54,"FPT",$C$12,"FPO",N$12,"STD",$H$7,"CONSOL",$H$9, "CURRENCY",$L$7)*1,0)-N53</f>
        <v>1559</v>
      </c>
      <c r="O54" s="52"/>
    </row>
    <row r="55" spans="1:15" ht="15" customHeight="1">
      <c r="A55" s="17"/>
      <c r="B55" s="52" t="s">
        <v>500</v>
      </c>
      <c r="C55" s="18" t="s">
        <v>85</v>
      </c>
      <c r="D55" s="40">
        <f>IFERROR(_xll.BQL(Ticker,$B55,"FPT",$C$12,"FPO",D$12,"STD",$H$7,"CONSOL",$H$9, "CURRENCY",$L$7)*1,0)</f>
        <v>4389.5</v>
      </c>
      <c r="E55" s="40">
        <f>IFERROR(_xll.BQL(Ticker,$B55,"FPT",$C$12,"FPO",E$12,"STD",$H$7,"CONSOL",$H$9, "CURRENCY",$L$7)*1,0)</f>
        <v>5397.4</v>
      </c>
      <c r="F55" s="40">
        <f>IFERROR(_xll.BQL(Ticker,$B55,"FPT",$C$12,"FPO",F$12,"STD",$H$7,"CONSOL",$H$9, "CURRENCY",$L$7)*1,0)</f>
        <v>6017</v>
      </c>
      <c r="G55" s="40">
        <f>IFERROR(_xll.BQL(Ticker,$B55,"FPT",$C$12,"FPO",G$12,"STD",$H$7,"CONSOL",$H$9, "CURRENCY",$L$7)*1,0)</f>
        <v>6479</v>
      </c>
      <c r="H55" s="40">
        <f>IFERROR(_xll.BQL(Ticker,$B55,"FPT",$C$12,"FPO",H$12,"STD",$H$7,"CONSOL",$H$9, "CURRENCY",$L$7)*1,0)</f>
        <v>7332</v>
      </c>
      <c r="I55" s="40">
        <f>IFERROR(_xll.BQL(Ticker,$B55,"FPT",$C$12,"FPO",I$12,"STD",$H$7,"CONSOL",$H$9, "CURRENCY",$L$7)*1,0)</f>
        <v>7617</v>
      </c>
      <c r="J55" s="40">
        <f>IFERROR(_xll.BQL(Ticker,$B55,"FPT",$C$12,"FPO",J$12,"STD",$H$7,"CONSOL",$H$9, "CURRENCY",$L$7)*1,0)</f>
        <v>7559</v>
      </c>
      <c r="K55" s="40">
        <f>IFERROR(_xll.BQL(Ticker,$B55,"FPT",$C$12,"FPO",K$12,"STD",$H$7,"CONSOL",$H$9, "CURRENCY",$L$7)*1,0)</f>
        <v>7792</v>
      </c>
      <c r="L55" s="40">
        <f>IFERROR(_xll.BQL(Ticker,$B55,"FPT",$C$12,"FPO",L$12,"STD",$H$7,"CONSOL",$H$9, "CURRENCY",$L$7)*1,0)</f>
        <v>8842</v>
      </c>
      <c r="M55" s="40">
        <f>IFERROR(_xll.BQL(Ticker,$B55,"FPT",$C$12,"FPO",M$12,"STD",$H$7,"CONSOL",$H$9, "CURRENCY",$L$7)*1,0)</f>
        <v>8986</v>
      </c>
      <c r="N55" s="40">
        <f>IFERROR(_xll.BQL(Ticker,$B55,"FPT",$C$12,"FPO",N$12,"STD",$H$7,"CONSOL",$H$9, "CURRENCY",$L$7)*1,0)</f>
        <v>10765</v>
      </c>
      <c r="O55" s="52"/>
    </row>
    <row r="56" spans="1:15" ht="15" customHeight="1">
      <c r="A56" s="17"/>
      <c r="B56" s="294" t="s">
        <v>501</v>
      </c>
      <c r="C56" s="18" t="s">
        <v>86</v>
      </c>
      <c r="D56" s="40">
        <f>IFERROR(_xll.BQL(Ticker,$B56,"FPT",$C$12,"FPO",D$12,"STD",$H$7,"CONSOL",$H$9, "CURRENCY",$L$7)*1,0)</f>
        <v>0</v>
      </c>
      <c r="E56" s="40">
        <f>IFERROR(_xll.BQL(Ticker,$B56,"FPT",$C$12,"FPO",E$12,"STD",$H$7,"CONSOL",$H$9, "CURRENCY",$L$7)*1,0)</f>
        <v>0</v>
      </c>
      <c r="F56" s="40">
        <f>IFERROR(_xll.BQL(Ticker,$B56,"FPT",$C$12,"FPO",F$12,"STD",$H$7,"CONSOL",$H$9, "CURRENCY",$L$7)*1,0)</f>
        <v>0</v>
      </c>
      <c r="G56" s="40">
        <f>IFERROR(_xll.BQL(Ticker,$B56,"FPT",$C$12,"FPO",G$12,"STD",$H$7,"CONSOL",$H$9, "CURRENCY",$L$7)*1,0)</f>
        <v>0</v>
      </c>
      <c r="H56" s="40">
        <f>IFERROR(_xll.BQL(Ticker,$B56,"FPT",$C$12,"FPO",H$12,"STD",$H$7,"CONSOL",$H$9, "CURRENCY",$L$7)*1,0)</f>
        <v>0</v>
      </c>
      <c r="I56" s="40">
        <f>IFERROR(_xll.BQL(Ticker,$B56,"FPT",$C$12,"FPO",I$12,"STD",$H$7,"CONSOL",$H$9, "CURRENCY",$L$7)*1,0)</f>
        <v>0</v>
      </c>
      <c r="J56" s="40">
        <f>IFERROR(_xll.BQL(Ticker,$B56,"FPT",$C$12,"FPO",J$12,"STD",$H$7,"CONSOL",$H$9, "CURRENCY",$L$7)*1,0)</f>
        <v>0</v>
      </c>
      <c r="K56" s="40">
        <f>IFERROR(_xll.BQL(Ticker,$B56,"FPT",$C$12,"FPO",K$12,"STD",$H$7,"CONSOL",$H$9, "CURRENCY",$L$7)*1,0)</f>
        <v>0</v>
      </c>
      <c r="L56" s="40">
        <f>IFERROR(_xll.BQL(Ticker,$B56,"FPT",$C$12,"FPO",L$12,"STD",$H$7,"CONSOL",$H$9, "CURRENCY",$L$7)*1,0)</f>
        <v>0</v>
      </c>
      <c r="M56" s="40">
        <f>IFERROR(_xll.BQL(Ticker,$B56,"FPT",$C$12,"FPO",M$12,"STD",$H$7,"CONSOL",$H$9, "CURRENCY",$L$7)*1,0)</f>
        <v>0</v>
      </c>
      <c r="N56" s="40">
        <f>IFERROR(_xll.BQL(Ticker,$B56,"FPT",$C$12,"FPO",N$12,"STD",$H$7,"CONSOL",$H$9, "CURRENCY",$L$7)*1,0)</f>
        <v>0</v>
      </c>
      <c r="O56" s="52"/>
    </row>
    <row r="57" spans="1:15" ht="15" customHeight="1">
      <c r="A57" s="17"/>
      <c r="B57" s="17" t="s">
        <v>434</v>
      </c>
      <c r="C57" s="287" t="s">
        <v>87</v>
      </c>
      <c r="D57" s="288">
        <f>IFERROR(_xll.BQL(Ticker,$B57,"FPT",$C$12,"FPO",D$12,"STD",$H$7,"CONSOL",$H$9, "CURRENCY",$L$7)*1,0)-SUM(D55:D56)</f>
        <v>164.80000000000018</v>
      </c>
      <c r="E57" s="288">
        <f>IFERROR(_xll.BQL(Ticker,$B57,"FPT",$C$12,"FPO",E$12,"STD",$H$7,"CONSOL",$H$9, "CURRENCY",$L$7)*1,0)-SUM(E55:E56)</f>
        <v>258</v>
      </c>
      <c r="F57" s="288">
        <f>IFERROR(_xll.BQL(Ticker,$B57,"FPT",$C$12,"FPO",F$12,"STD",$H$7,"CONSOL",$H$9, "CURRENCY",$L$7)*1,0)-SUM(F55:F56)</f>
        <v>154</v>
      </c>
      <c r="G57" s="288">
        <f>IFERROR(_xll.BQL(Ticker,$B57,"FPT",$C$12,"FPO",G$12,"STD",$H$7,"CONSOL",$H$9, "CURRENCY",$L$7)*1,0)-SUM(G55:G56)</f>
        <v>144</v>
      </c>
      <c r="H57" s="288">
        <f>IFERROR(_xll.BQL(Ticker,$B57,"FPT",$C$12,"FPO",H$12,"STD",$H$7,"CONSOL",$H$9, "CURRENCY",$L$7)*1,0)-SUM(H55:H56)</f>
        <v>129</v>
      </c>
      <c r="I57" s="288">
        <f>IFERROR(_xll.BQL(Ticker,$B57,"FPT",$C$12,"FPO",I$12,"STD",$H$7,"CONSOL",$H$9, "CURRENCY",$L$7)*1,0)-SUM(I55:I56)</f>
        <v>232</v>
      </c>
      <c r="J57" s="288">
        <f>IFERROR(_xll.BQL(Ticker,$B57,"FPT",$C$12,"FPO",J$12,"STD",$H$7,"CONSOL",$H$9, "CURRENCY",$L$7)*1,0)-SUM(J55:J56)</f>
        <v>-254</v>
      </c>
      <c r="K57" s="288">
        <f>IFERROR(_xll.BQL(Ticker,$B57,"FPT",$C$12,"FPO",K$12,"STD",$H$7,"CONSOL",$H$9, "CURRENCY",$L$7)*1,0)-SUM(K55:K56)</f>
        <v>-639</v>
      </c>
      <c r="L57" s="288">
        <f>IFERROR(_xll.BQL(Ticker,$B57,"FPT",$C$12,"FPO",L$12,"STD",$H$7,"CONSOL",$H$9, "CURRENCY",$L$7)*1,0)-SUM(L55:L56)</f>
        <v>-761</v>
      </c>
      <c r="M57" s="288">
        <f>IFERROR(_xll.BQL(Ticker,$B57,"FPT",$C$12,"FPO",M$12,"STD",$H$7,"CONSOL",$H$9, "CURRENCY",$L$7)*1,0)-SUM(M55:M56)</f>
        <v>-553</v>
      </c>
      <c r="N57" s="288">
        <f>IFERROR(_xll.BQL(Ticker,$B57,"FPT",$C$12,"FPO",N$12,"STD",$H$7,"CONSOL",$H$9, "CURRENCY",$L$7)*1,0)-SUM(N55:N56)</f>
        <v>-631</v>
      </c>
      <c r="O57" s="52"/>
    </row>
    <row r="58" spans="1:15" ht="15" customHeight="1">
      <c r="A58" s="17"/>
      <c r="B58" s="17"/>
      <c r="C58" s="19" t="s">
        <v>88</v>
      </c>
      <c r="D58" s="43">
        <f t="shared" ref="D58:N58" si="8">SUM(D50,D52:D57)</f>
        <v>5406.7</v>
      </c>
      <c r="E58" s="43">
        <f t="shared" si="8"/>
        <v>6595.0999999999995</v>
      </c>
      <c r="F58" s="43">
        <f t="shared" si="8"/>
        <v>7174</v>
      </c>
      <c r="G58" s="43">
        <f t="shared" si="8"/>
        <v>7683</v>
      </c>
      <c r="H58" s="43">
        <f t="shared" si="8"/>
        <v>8597</v>
      </c>
      <c r="I58" s="43">
        <f t="shared" si="8"/>
        <v>9047</v>
      </c>
      <c r="J58" s="43">
        <f t="shared" si="8"/>
        <v>8595</v>
      </c>
      <c r="K58" s="43">
        <f t="shared" si="8"/>
        <v>8511</v>
      </c>
      <c r="L58" s="43">
        <f t="shared" si="8"/>
        <v>9550</v>
      </c>
      <c r="M58" s="43">
        <f t="shared" si="8"/>
        <v>9980</v>
      </c>
      <c r="N58" s="43">
        <f t="shared" si="8"/>
        <v>11730</v>
      </c>
      <c r="O58" s="52"/>
    </row>
    <row r="59" spans="1:15" ht="15" customHeight="1">
      <c r="A59" s="17"/>
      <c r="B59" s="17"/>
      <c r="C59" s="18"/>
      <c r="D59" s="48"/>
      <c r="E59" s="48"/>
      <c r="F59" s="48"/>
      <c r="G59" s="48"/>
      <c r="H59" s="48"/>
      <c r="I59" s="48"/>
      <c r="J59" s="48"/>
      <c r="K59" s="48"/>
      <c r="L59" s="48"/>
      <c r="M59" s="48"/>
      <c r="N59" s="48"/>
      <c r="O59" s="52"/>
    </row>
    <row r="60" spans="1:15" ht="15" customHeight="1" thickBot="1">
      <c r="A60" s="17"/>
      <c r="B60" s="17"/>
      <c r="C60" s="34" t="s">
        <v>89</v>
      </c>
      <c r="D60" s="35">
        <f t="shared" ref="D60:N60" si="9">SUM(D47,D58)</f>
        <v>7603.2999999999993</v>
      </c>
      <c r="E60" s="35">
        <f t="shared" si="9"/>
        <v>10636.5</v>
      </c>
      <c r="F60" s="35">
        <f t="shared" si="9"/>
        <v>12395</v>
      </c>
      <c r="G60" s="35">
        <f t="shared" si="9"/>
        <v>13456</v>
      </c>
      <c r="H60" s="629">
        <f t="shared" si="9"/>
        <v>14422</v>
      </c>
      <c r="I60" s="35">
        <f t="shared" si="9"/>
        <v>16213</v>
      </c>
      <c r="J60" s="35">
        <f t="shared" si="9"/>
        <v>16662</v>
      </c>
      <c r="K60" s="35">
        <f t="shared" si="9"/>
        <v>16711</v>
      </c>
      <c r="L60" s="35">
        <f t="shared" si="9"/>
        <v>20740</v>
      </c>
      <c r="M60" s="35">
        <f t="shared" si="9"/>
        <v>22619</v>
      </c>
      <c r="N60" s="35">
        <f t="shared" si="9"/>
        <v>27229</v>
      </c>
      <c r="O60" s="52"/>
    </row>
    <row r="61" spans="1:15" ht="15" customHeight="1" thickTop="1">
      <c r="A61" s="17"/>
      <c r="B61" s="17"/>
      <c r="C61" s="18"/>
      <c r="D61" s="48"/>
      <c r="E61" s="48"/>
      <c r="F61" s="48"/>
      <c r="G61" s="48"/>
      <c r="H61" s="48"/>
      <c r="I61" s="48"/>
      <c r="J61" s="48"/>
      <c r="K61" s="48"/>
      <c r="L61" s="48"/>
      <c r="M61" s="48"/>
      <c r="N61" s="48"/>
      <c r="O61" s="52"/>
    </row>
    <row r="62" spans="1:15" ht="15" customHeight="1">
      <c r="A62" s="17"/>
      <c r="B62" s="17"/>
      <c r="C62" s="19" t="s">
        <v>47</v>
      </c>
      <c r="D62" s="48"/>
      <c r="E62" s="48"/>
      <c r="F62" s="48"/>
      <c r="G62" s="48"/>
      <c r="H62" s="48"/>
      <c r="I62" s="48"/>
      <c r="J62" s="48"/>
      <c r="K62" s="48"/>
      <c r="L62" s="48"/>
      <c r="M62" s="48"/>
      <c r="N62" s="48"/>
      <c r="O62" s="52"/>
    </row>
    <row r="63" spans="1:15" ht="15" customHeight="1">
      <c r="A63" s="17"/>
      <c r="B63" s="17" t="s">
        <v>435</v>
      </c>
      <c r="C63" s="18" t="s">
        <v>90</v>
      </c>
      <c r="D63" s="40">
        <f>IFERROR(_xll.BQL(Ticker,$B63,"FPT",$C$12,"FPO",D$12,"STD",$H$7,"CONSOL",$H$9, "CURRENCY",$L$7)*1,0)</f>
        <v>396.4</v>
      </c>
      <c r="E63" s="40">
        <f>IFERROR(_xll.BQL(Ticker,$B63,"FPT",$C$12,"FPO",E$12,"STD",$H$7,"CONSOL",$H$9, "CURRENCY",$L$7)*1,0)</f>
        <v>397.9</v>
      </c>
      <c r="F63" s="40">
        <f>IFERROR(_xll.BQL(Ticker,$B63,"FPT",$C$12,"FPO",F$12,"STD",$H$7,"CONSOL",$H$9, "CURRENCY",$L$7)*1,0)</f>
        <v>391</v>
      </c>
      <c r="G63" s="40">
        <f>IFERROR(_xll.BQL(Ticker,$B63,"FPT",$C$12,"FPO",G$12,"STD",$H$7,"CONSOL",$H$9, "CURRENCY",$L$7)*1,0)</f>
        <v>381</v>
      </c>
      <c r="H63" s="40">
        <f>IFERROR(_xll.BQL(Ticker,$B63,"FPT",$C$12,"FPO",H$12,"STD",$H$7,"CONSOL",$H$9, "CURRENCY",$L$7)*1,0)</f>
        <v>380</v>
      </c>
      <c r="I63" s="40">
        <f>IFERROR(_xll.BQL(Ticker,$B63,"FPT",$C$12,"FPO",I$12,"STD",$H$7,"CONSOL",$H$9, "CURRENCY",$L$7)*1,0)</f>
        <v>378</v>
      </c>
      <c r="J63" s="40">
        <f>IFERROR(_xll.BQL(Ticker,$B63,"FPT",$C$12,"FPO",J$12,"STD",$H$7,"CONSOL",$H$9, "CURRENCY",$L$7)*1,0)</f>
        <v>378</v>
      </c>
      <c r="K63" s="40">
        <f>IFERROR(_xll.BQL(Ticker,$B63,"FPT",$C$12,"FPO",K$12,"STD",$H$7,"CONSOL",$H$9, "CURRENCY",$L$7)*1,0)</f>
        <v>373</v>
      </c>
      <c r="L63" s="40">
        <f>IFERROR(_xll.BQL(Ticker,$B63,"FPT",$C$12,"FPO",L$12,"STD",$H$7,"CONSOL",$H$9, "CURRENCY",$L$7)*1,0)</f>
        <v>375</v>
      </c>
      <c r="M63" s="40">
        <f>IFERROR(_xll.BQL(Ticker,$B63,"FPT",$C$12,"FPO",M$12,"STD",$H$7,"CONSOL",$H$9, "CURRENCY",$L$7)*1,0)</f>
        <v>374.64206000000001</v>
      </c>
      <c r="N63" s="40">
        <f>IFERROR(_xll.BQL(Ticker,$B63,"FPT",$C$12,"FPO",N$12,"STD",$H$7,"CONSOL",$H$9, "CURRENCY",$L$7)*1,0)</f>
        <v>372.66463599999997</v>
      </c>
      <c r="O63" s="52"/>
    </row>
    <row r="64" spans="1:15" ht="15" customHeight="1">
      <c r="A64" s="17"/>
      <c r="B64" s="17" t="s">
        <v>435</v>
      </c>
      <c r="C64" s="18" t="s">
        <v>91</v>
      </c>
      <c r="D64" s="40">
        <f>IFERROR(_xll.BQL(Ticker,$B64,"FPT",$C$12,"FPO",D$12,"STD",$H$7,"CONSOL",$H$9, "CURRENCY",$L$7)*1,0)</f>
        <v>396.4</v>
      </c>
      <c r="E64" s="40">
        <f>IFERROR(_xll.BQL(Ticker,$B64,"FPT",$C$12,"FPO",E$12,"STD",$H$7,"CONSOL",$H$9, "CURRENCY",$L$7)*1,0)</f>
        <v>397.9</v>
      </c>
      <c r="F64" s="40">
        <f>IFERROR(_xll.BQL(Ticker,$B64,"FPT",$C$12,"FPO",F$12,"STD",$H$7,"CONSOL",$H$9, "CURRENCY",$L$7)*1,0)</f>
        <v>391</v>
      </c>
      <c r="G64" s="40">
        <f>IFERROR(_xll.BQL(Ticker,$B64,"FPT",$C$12,"FPO",G$12,"STD",$H$7,"CONSOL",$H$9, "CURRENCY",$L$7)*1,0)</f>
        <v>381</v>
      </c>
      <c r="H64" s="40">
        <f>IFERROR(_xll.BQL(Ticker,$B64,"FPT",$C$12,"FPO",H$12,"STD",$H$7,"CONSOL",$H$9, "CURRENCY",$L$7)*1,0)</f>
        <v>380</v>
      </c>
      <c r="I64" s="40">
        <f>IFERROR(_xll.BQL(Ticker,$B64,"FPT",$C$12,"FPO",I$12,"STD",$H$7,"CONSOL",$H$9, "CURRENCY",$L$7)*1,0)</f>
        <v>378</v>
      </c>
      <c r="J64" s="40">
        <f>IFERROR(_xll.BQL(Ticker,$B64,"FPT",$C$12,"FPO",J$12,"STD",$H$7,"CONSOL",$H$9, "CURRENCY",$L$7)*1,0)</f>
        <v>378</v>
      </c>
      <c r="K64" s="40">
        <f>IFERROR(_xll.BQL(Ticker,$B64,"FPT",$C$12,"FPO",K$12,"STD",$H$7,"CONSOL",$H$9, "CURRENCY",$L$7)*1,0)</f>
        <v>373</v>
      </c>
      <c r="L64" s="40">
        <f>IFERROR(_xll.BQL(Ticker,$B64,"FPT",$C$12,"FPO",L$12,"STD",$H$7,"CONSOL",$H$9, "CURRENCY",$L$7)*1,0)</f>
        <v>375</v>
      </c>
      <c r="M64" s="40">
        <f>IFERROR(_xll.BQL(Ticker,$B64,"FPT",$C$12,"FPO",M$12,"STD",$H$7,"CONSOL",$H$9, "CURRENCY",$L$7)*1,0)</f>
        <v>374.64206000000001</v>
      </c>
      <c r="N64" s="40">
        <f>IFERROR(_xll.BQL(Ticker,$B64,"FPT",$C$12,"FPO",N$12,"STD",$H$7,"CONSOL",$H$9, "CURRENCY",$L$7)*1,0)</f>
        <v>372.66463599999997</v>
      </c>
      <c r="O64" s="52"/>
    </row>
    <row r="65" spans="1:15" ht="15" customHeight="1">
      <c r="A65" s="17"/>
      <c r="B65" s="17" t="s">
        <v>436</v>
      </c>
      <c r="C65" s="18" t="s">
        <v>92</v>
      </c>
      <c r="D65" s="40">
        <f>IFERROR(_xll.BQL(Ticker,$B65,"FPT",$C$12,"FPO",D$12,"STD",$H$7,"CONSOL",$H$9, "CURRENCY",$L$7)*1,0)</f>
        <v>13.639505549949551</v>
      </c>
      <c r="E65" s="40">
        <f>IFERROR(_xll.BQL(Ticker,$B65,"FPT",$C$12,"FPO",E$12,"STD",$H$7,"CONSOL",$H$9, "CURRENCY",$L$7)*1,0)</f>
        <v>16.574767529530028</v>
      </c>
      <c r="F65" s="40">
        <f>IFERROR(_xll.BQL(Ticker,$B65,"FPT",$C$12,"FPO",F$12,"STD",$H$7,"CONSOL",$H$9, "CURRENCY",$L$7)*1,0)</f>
        <v>18.34782608695652</v>
      </c>
      <c r="G65" s="40">
        <f>IFERROR(_xll.BQL(Ticker,$B65,"FPT",$C$12,"FPO",G$12,"STD",$H$7,"CONSOL",$H$9, "CURRENCY",$L$7)*1,0)</f>
        <v>20.165354330708659</v>
      </c>
      <c r="H65" s="40">
        <f>IFERROR(_xll.BQL(Ticker,$B65,"FPT",$C$12,"FPO",H$12,"STD",$H$7,"CONSOL",$H$9, "CURRENCY",$L$7)*1,0)</f>
        <v>22.623684210526321</v>
      </c>
      <c r="I65" s="40">
        <f>IFERROR(_xll.BQL(Ticker,$B65,"FPT",$C$12,"FPO",I$12,"STD",$H$7,"CONSOL",$H$9, "CURRENCY",$L$7)*1,0)</f>
        <v>23.93386243386243</v>
      </c>
      <c r="J65" s="40">
        <f>IFERROR(_xll.BQL(Ticker,$B65,"FPT",$C$12,"FPO",J$12,"STD",$H$7,"CONSOL",$H$9, "CURRENCY",$L$7)*1,0)</f>
        <v>22.738095238095241</v>
      </c>
      <c r="K65" s="40">
        <f>IFERROR(_xll.BQL(Ticker,$B65,"FPT",$C$12,"FPO",K$12,"STD",$H$7,"CONSOL",$H$9, "CURRENCY",$L$7)*1,0)</f>
        <v>22.817694369973189</v>
      </c>
      <c r="L65" s="40">
        <f>IFERROR(_xll.BQL(Ticker,$B65,"FPT",$C$12,"FPO",L$12,"STD",$H$7,"CONSOL",$H$9, "CURRENCY",$L$7)*1,0)</f>
        <v>25.466666666666669</v>
      </c>
      <c r="M65" s="40">
        <f>IFERROR(_xll.BQL(Ticker,$B65,"FPT",$C$12,"FPO",M$12,"STD",$H$7,"CONSOL",$H$9, "CURRENCY",$L$7)*1,0)</f>
        <v>26.601391205248021</v>
      </c>
      <c r="N65" s="40">
        <f>IFERROR(_xll.BQL(Ticker,$B65,"FPT",$C$12,"FPO",N$12,"STD",$H$7,"CONSOL",$H$9, "CURRENCY",$L$7)*1,0)</f>
        <v>31.476021245010219</v>
      </c>
      <c r="O65" s="52"/>
    </row>
    <row r="66" spans="1:15" ht="15" customHeight="1">
      <c r="A66" s="17"/>
      <c r="B66" s="17"/>
      <c r="C66" s="18" t="s">
        <v>93</v>
      </c>
      <c r="D66" s="33">
        <f t="shared" ref="D66:I66" si="10">D67*D63</f>
        <v>4471.2</v>
      </c>
      <c r="E66" s="33">
        <f t="shared" si="10"/>
        <v>5003.5999999999995</v>
      </c>
      <c r="F66" s="33">
        <f t="shared" si="10"/>
        <v>5399</v>
      </c>
      <c r="G66" s="33">
        <f t="shared" si="10"/>
        <v>4169</v>
      </c>
      <c r="H66" s="33">
        <f t="shared" si="10"/>
        <v>5031</v>
      </c>
      <c r="I66" s="33">
        <f t="shared" si="10"/>
        <v>3214</v>
      </c>
      <c r="J66" s="33">
        <f>J67*J63</f>
        <v>2391</v>
      </c>
      <c r="K66" s="33">
        <f>K67*K63</f>
        <v>2581</v>
      </c>
      <c r="L66" s="33">
        <f>L67*L63</f>
        <v>-314</v>
      </c>
      <c r="M66" s="33">
        <f>M67*M63</f>
        <v>-679</v>
      </c>
      <c r="N66" s="33">
        <f>N67*N63</f>
        <v>-996</v>
      </c>
      <c r="O66" s="52"/>
    </row>
    <row r="67" spans="1:15" ht="15" customHeight="1">
      <c r="A67" s="17"/>
      <c r="B67" s="17" t="s">
        <v>437</v>
      </c>
      <c r="C67" s="18" t="s">
        <v>94</v>
      </c>
      <c r="D67" s="40">
        <f>IFERROR(_xll.BQL(Ticker,$B67,"FPT",$C$12,"FPO",D$12,"STD",$H$7,"CONSOL",$H$9, "CURRENCY",$L$7)*1,0)</f>
        <v>11.279515640766903</v>
      </c>
      <c r="E67" s="40">
        <f>IFERROR(_xll.BQL(Ticker,$B67,"FPT",$C$12,"FPO",E$12,"STD",$H$7,"CONSOL",$H$9, "CURRENCY",$L$7)*1,0)</f>
        <v>12.575018848957024</v>
      </c>
      <c r="F67" s="40">
        <f>IFERROR(_xll.BQL(Ticker,$B67,"FPT",$C$12,"FPO",F$12,"STD",$H$7,"CONSOL",$H$9, "CURRENCY",$L$7)*1,0)</f>
        <v>13.808184143222507</v>
      </c>
      <c r="G67" s="40">
        <f>IFERROR(_xll.BQL(Ticker,$B67,"FPT",$C$12,"FPO",G$12,"STD",$H$7,"CONSOL",$H$9, "CURRENCY",$L$7)*1,0)</f>
        <v>10.94225721784777</v>
      </c>
      <c r="H67" s="40">
        <f>IFERROR(_xll.BQL(Ticker,$B67,"FPT",$C$12,"FPO",H$12,"STD",$H$7,"CONSOL",$H$9, "CURRENCY",$L$7)*1,0)</f>
        <v>13.239473684210527</v>
      </c>
      <c r="I67" s="40">
        <f>IFERROR(_xll.BQL(Ticker,$B67,"FPT",$C$12,"FPO",I$12,"STD",$H$7,"CONSOL",$H$9, "CURRENCY",$L$7)*1,0)</f>
        <v>8.5026455026455032</v>
      </c>
      <c r="J67" s="40">
        <f>IFERROR(_xll.BQL(Ticker,$B67,"FPT",$C$12,"FPO",J$12,"STD",$H$7,"CONSOL",$H$9, "CURRENCY",$L$7)*1,0)</f>
        <v>6.3253968253968251</v>
      </c>
      <c r="K67" s="40">
        <f>IFERROR(_xll.BQL(Ticker,$B67,"FPT",$C$12,"FPO",K$12,"STD",$H$7,"CONSOL",$H$9, "CURRENCY",$L$7)*1,0)</f>
        <v>6.9195710455764079</v>
      </c>
      <c r="L67" s="40">
        <f>IFERROR(_xll.BQL(Ticker,$B67,"FPT",$C$12,"FPO",L$12,"STD",$H$7,"CONSOL",$H$9, "CURRENCY",$L$7)*1,0)</f>
        <v>-0.83733333333333337</v>
      </c>
      <c r="M67" s="40">
        <f>IFERROR(_xll.BQL(Ticker,$B67,"FPT",$C$12,"FPO",M$12,"STD",$H$7,"CONSOL",$H$9, "CURRENCY",$L$7)*1,0)</f>
        <v>-1.8123966113148107</v>
      </c>
      <c r="N67" s="40">
        <f>IFERROR(_xll.BQL(Ticker,$B67,"FPT",$C$12,"FPO",N$12,"STD",$H$7,"CONSOL",$H$9, "CURRENCY",$L$7)*1,0)</f>
        <v>-2.6726442591671082</v>
      </c>
      <c r="O67" s="52"/>
    </row>
    <row r="68" spans="1:15" ht="15" customHeight="1">
      <c r="A68" s="17"/>
      <c r="B68" s="17" t="s">
        <v>379</v>
      </c>
      <c r="C68" s="18" t="s">
        <v>95</v>
      </c>
      <c r="D68" s="40">
        <f>IFERROR(_xll.BQL(Ticker,$B68,"FPT",$C$12,"FPO",D$12,"STD",$H$7,"CONSOL",$H$9, "CURRENCY",$L$7)*1,0)</f>
        <v>20.5</v>
      </c>
      <c r="E68" s="40">
        <f>IFERROR(_xll.BQL(Ticker,$B68,"FPT",$C$12,"FPO",E$12,"STD",$H$7,"CONSOL",$H$9, "CURRENCY",$L$7)*1,0)</f>
        <v>18</v>
      </c>
      <c r="F68" s="40">
        <f>IFERROR(_xll.BQL(Ticker,$B68,"FPT",$C$12,"FPO",F$12,"STD",$H$7,"CONSOL",$H$9, "CURRENCY",$L$7)*1,0)</f>
        <v>1021</v>
      </c>
      <c r="G68" s="40">
        <f>IFERROR(_xll.BQL(Ticker,$B68,"FPT",$C$12,"FPO",G$12,"STD",$H$7,"CONSOL",$H$9, "CURRENCY",$L$7)*1,0)</f>
        <v>1768</v>
      </c>
      <c r="H68" s="40">
        <f>IFERROR(_xll.BQL(Ticker,$B68,"FPT",$C$12,"FPO",H$12,"STD",$H$7,"CONSOL",$H$9, "CURRENCY",$L$7)*1,0)</f>
        <v>1762</v>
      </c>
      <c r="I68" s="40">
        <f>IFERROR(_xll.BQL(Ticker,$B68,"FPT",$C$12,"FPO",I$12,"STD",$H$7,"CONSOL",$H$9, "CURRENCY",$L$7)*1,0)</f>
        <v>2764</v>
      </c>
      <c r="J68" s="40">
        <f>IFERROR(_xll.BQL(Ticker,$B68,"FPT",$C$12,"FPO",J$12,"STD",$H$7,"CONSOL",$H$9, "CURRENCY",$L$7)*1,0)</f>
        <v>3973</v>
      </c>
      <c r="K68" s="40">
        <f>IFERROR(_xll.BQL(Ticker,$B68,"FPT",$C$12,"FPO",K$12,"STD",$H$7,"CONSOL",$H$9, "CURRENCY",$L$7)*1,0)</f>
        <v>4022</v>
      </c>
      <c r="L68" s="40">
        <f>IFERROR(_xll.BQL(Ticker,$B68,"FPT",$C$12,"FPO",L$12,"STD",$H$7,"CONSOL",$H$9, "CURRENCY",$L$7)*1,0)</f>
        <v>6914</v>
      </c>
      <c r="M68" s="40">
        <f>IFERROR(_xll.BQL(Ticker,$B68,"FPT",$C$12,"FPO",M$12,"STD",$H$7,"CONSOL",$H$9, "CURRENCY",$L$7)*1,0)</f>
        <v>7222</v>
      </c>
      <c r="N68" s="40">
        <f>IFERROR(_xll.BQL(Ticker,$B68,"FPT",$C$12,"FPO",N$12,"STD",$H$7,"CONSOL",$H$9, "CURRENCY",$L$7)*1,0)</f>
        <v>9859</v>
      </c>
      <c r="O68" s="52"/>
    </row>
    <row r="69" spans="1:15" ht="15" customHeight="1">
      <c r="A69" s="17"/>
      <c r="B69" s="17" t="s">
        <v>438</v>
      </c>
      <c r="C69" s="18" t="s">
        <v>96</v>
      </c>
      <c r="D69" s="40">
        <f>IFERROR(_xll.BQL(Ticker,$B69,"FPT",$C$12,"FPO",D$12,"STD",$H$7,"CONSOL",$H$9, "CURRENCY",$L$7)*1,0)</f>
        <v>-2175.1</v>
      </c>
      <c r="E69" s="40">
        <f>IFERROR(_xll.BQL(Ticker,$B69,"FPT",$C$12,"FPO",E$12,"STD",$H$7,"CONSOL",$H$9, "CURRENCY",$L$7)*1,0)</f>
        <v>-2936.8</v>
      </c>
      <c r="F69" s="40">
        <f>IFERROR(_xll.BQL(Ticker,$B69,"FPT",$C$12,"FPO",F$12,"STD",$H$7,"CONSOL",$H$9, "CURRENCY",$L$7)*1,0)</f>
        <v>-3359</v>
      </c>
      <c r="G69" s="40">
        <f>IFERROR(_xll.BQL(Ticker,$B69,"FPT",$C$12,"FPO",G$12,"STD",$H$7,"CONSOL",$H$9, "CURRENCY",$L$7)*1,0)</f>
        <v>-1650</v>
      </c>
      <c r="H69" s="40">
        <f>IFERROR(_xll.BQL(Ticker,$B69,"FPT",$C$12,"FPO",H$12,"STD",$H$7,"CONSOL",$H$9, "CURRENCY",$L$7)*1,0)</f>
        <v>-2523</v>
      </c>
      <c r="I69" s="40">
        <f>IFERROR(_xll.BQL(Ticker,$B69,"FPT",$C$12,"FPO",I$12,"STD",$H$7,"CONSOL",$H$9, "CURRENCY",$L$7)*1,0)</f>
        <v>-1216</v>
      </c>
      <c r="J69" s="40">
        <f>IFERROR(_xll.BQL(Ticker,$B69,"FPT",$C$12,"FPO",J$12,"STD",$H$7,"CONSOL",$H$9, "CURRENCY",$L$7)*1,0)</f>
        <v>-1027</v>
      </c>
      <c r="K69" s="40">
        <f>IFERROR(_xll.BQL(Ticker,$B69,"FPT",$C$12,"FPO",K$12,"STD",$H$7,"CONSOL",$H$9, "CURRENCY",$L$7)*1,0)</f>
        <v>-57</v>
      </c>
      <c r="L69" s="40">
        <f>IFERROR(_xll.BQL(Ticker,$B69,"FPT",$C$12,"FPO",L$12,"STD",$H$7,"CONSOL",$H$9, "CURRENCY",$L$7)*1,0)</f>
        <v>3530</v>
      </c>
      <c r="M69" s="40">
        <f>IFERROR(_xll.BQL(Ticker,$B69,"FPT",$C$12,"FPO",M$12,"STD",$H$7,"CONSOL",$H$9, "CURRENCY",$L$7)*1,0)</f>
        <v>4429</v>
      </c>
      <c r="N69" s="40">
        <f>IFERROR(_xll.BQL(Ticker,$B69,"FPT",$C$12,"FPO",N$12,"STD",$H$7,"CONSOL",$H$9, "CURRENCY",$L$7)*1,0)</f>
        <v>6160</v>
      </c>
      <c r="O69" s="52"/>
    </row>
    <row r="70" spans="1:15" ht="15" customHeight="1">
      <c r="A70" s="17"/>
      <c r="B70" s="17" t="s">
        <v>381</v>
      </c>
      <c r="C70" s="18" t="s">
        <v>164</v>
      </c>
      <c r="D70" s="40">
        <f>IFERROR(_xll.BQL(Ticker,$B70,"FPT",$C$12,"FPO",D$12,"STD",$H$7,"CONSOL",$H$9, "CURRENCY",$L$7)*1,0)</f>
        <v>0</v>
      </c>
      <c r="E70" s="40">
        <f>IFERROR(_xll.BQL(Ticker,$B70,"FPT",$C$12,"FPO",E$12,"STD",$H$7,"CONSOL",$H$9, "CURRENCY",$L$7)*1,0)</f>
        <v>0</v>
      </c>
      <c r="F70" s="40">
        <f>IFERROR(_xll.BQL(Ticker,$B70,"FPT",$C$12,"FPO",F$12,"STD",$H$7,"CONSOL",$H$9, "CURRENCY",$L$7)*1,0)</f>
        <v>0</v>
      </c>
      <c r="G70" s="40">
        <f>IFERROR(_xll.BQL(Ticker,$B70,"FPT",$C$12,"FPO",G$12,"STD",$H$7,"CONSOL",$H$9, "CURRENCY",$L$7)*1,0)</f>
        <v>0</v>
      </c>
      <c r="H70" s="40">
        <f>IFERROR(_xll.BQL(Ticker,$B70,"FPT",$C$12,"FPO",H$12,"STD",$H$7,"CONSOL",$H$9, "CURRENCY",$L$7)*1,0)</f>
        <v>0</v>
      </c>
      <c r="I70" s="40">
        <f>IFERROR(_xll.BQL(Ticker,$B70,"FPT",$C$12,"FPO",I$12,"STD",$H$7,"CONSOL",$H$9, "CURRENCY",$L$7)*1,0)</f>
        <v>0</v>
      </c>
      <c r="J70" s="40">
        <f>IFERROR(_xll.BQL(Ticker,$B70,"FPT",$C$12,"FPO",J$12,"STD",$H$7,"CONSOL",$H$9, "CURRENCY",$L$7)*1,0)</f>
        <v>0</v>
      </c>
      <c r="K70" s="40">
        <f>IFERROR(_xll.BQL(Ticker,$B70,"FPT",$C$12,"FPO",K$12,"STD",$H$7,"CONSOL",$H$9, "CURRENCY",$L$7)*1,0)</f>
        <v>0</v>
      </c>
      <c r="L70" s="40">
        <f>IFERROR(_xll.BQL(Ticker,$B70,"FPT",$C$12,"FPO",L$12,"STD",$H$7,"CONSOL",$H$9, "CURRENCY",$L$7)*1,0)</f>
        <v>0</v>
      </c>
      <c r="M70" s="40">
        <f>IFERROR(_xll.BQL(Ticker,$B70,"FPT",$C$12,"FPO",M$12,"STD",$H$7,"CONSOL",$H$9, "CURRENCY",$L$7)*1,0)</f>
        <v>14</v>
      </c>
      <c r="N70" s="40">
        <f>IFERROR(_xll.BQL(Ticker,$B70,"FPT",$C$12,"FPO",N$12,"STD",$H$7,"CONSOL",$H$9, "CURRENCY",$L$7)*1,0)</f>
        <v>0</v>
      </c>
      <c r="O70" s="52"/>
    </row>
    <row r="71" spans="1:15" ht="15" customHeight="1">
      <c r="A71" s="17"/>
      <c r="B71" s="52"/>
      <c r="C71" s="18" t="s">
        <v>97</v>
      </c>
      <c r="D71" s="40" t="str">
        <f>IF(LEFT(_xll.BDP(Ticker,"INVENTORY_METHOD","Fill=--"),1)="#","--",_xll.BDP(Ticker,"INVENTORY_METHOD","Fill=--"))</f>
        <v>FIFO (First-in-first-out)</v>
      </c>
      <c r="E71" s="40" t="str">
        <f>IF(LEFT(_xll.BDP(Ticker,"INVENTORY_METHOD","Fill=--"),1)="#","--",_xll.BDP(Ticker,"INVENTORY_METHOD","Fill=--"))</f>
        <v>FIFO (First-in-first-out)</v>
      </c>
      <c r="F71" s="40" t="str">
        <f>IF(LEFT(_xll.BDP(Ticker,"INVENTORY_METHOD","Fill=--"),1)="#","--",_xll.BDP(Ticker,"INVENTORY_METHOD","Fill=--"))</f>
        <v>FIFO (First-in-first-out)</v>
      </c>
      <c r="G71" s="40" t="str">
        <f>IF(LEFT(_xll.BDP(Ticker,"INVENTORY_METHOD","Fill=--"),1)="#","--",_xll.BDP(Ticker,"INVENTORY_METHOD","Fill=--"))</f>
        <v>FIFO (First-in-first-out)</v>
      </c>
      <c r="H71" s="40" t="str">
        <f>IF(LEFT(_xll.BDP(Ticker,"INVENTORY_METHOD","Fill=--"),1)="#","--",_xll.BDP(Ticker,"INVENTORY_METHOD","Fill=--"))</f>
        <v>FIFO (First-in-first-out)</v>
      </c>
      <c r="I71" s="40" t="str">
        <f>IF(LEFT(_xll.BDP(Ticker,"INVENTORY_METHOD","Fill=--"),1)="#","--",_xll.BDP(Ticker,"INVENTORY_METHOD","Fill=--"))</f>
        <v>FIFO (First-in-first-out)</v>
      </c>
      <c r="J71" s="40" t="str">
        <f>IF(LEFT(_xll.BDP(Ticker,"INVENTORY_METHOD","Fill=--"),1)="#","--",_xll.BDP(Ticker,"INVENTORY_METHOD","Fill=--"))</f>
        <v>FIFO (First-in-first-out)</v>
      </c>
      <c r="K71" s="40" t="str">
        <f>IF(LEFT(_xll.BDP(Ticker,"INVENTORY_METHOD","Fill=--"),1)="#","--",_xll.BDP(Ticker,"INVENTORY_METHOD","Fill=--"))</f>
        <v>FIFO (First-in-first-out)</v>
      </c>
      <c r="L71" s="40" t="str">
        <f>IF(LEFT(_xll.BDP(Ticker,"INVENTORY_METHOD","Fill=--"),1)="#","--",_xll.BDP(Ticker,"INVENTORY_METHOD","Fill=--"))</f>
        <v>FIFO (First-in-first-out)</v>
      </c>
      <c r="M71" s="40" t="str">
        <f>IF(LEFT(_xll.BDP(Ticker,"INVENTORY_METHOD","Fill=--"),1)="#","--",_xll.BDP(Ticker,"INVENTORY_METHOD","Fill=--"))</f>
        <v>FIFO (First-in-first-out)</v>
      </c>
      <c r="N71" s="40" t="str">
        <f>IF(LEFT(_xll.BDP(Ticker,"INVENTORY_METHOD","Fill=--"),1)="#","--",_xll.BDP(Ticker,"INVENTORY_METHOD","Fill=--"))</f>
        <v>FIFO (First-in-first-out)</v>
      </c>
      <c r="O71" s="52"/>
    </row>
    <row r="72" spans="1:15" ht="15" customHeight="1">
      <c r="A72" s="17"/>
      <c r="B72" s="17" t="s">
        <v>439</v>
      </c>
      <c r="C72" s="18" t="s">
        <v>165</v>
      </c>
      <c r="D72" s="40">
        <f>IFERROR(_xll.BQL(Ticker,$B72,"FPT",$C$12,"FPO",D$12,"STD",$H$7,"CONSOL",$H$9, "CURRENCY",$L$7)*1,0)</f>
        <v>138.19999999999999</v>
      </c>
      <c r="E72" s="40">
        <f>IFERROR(_xll.BQL(Ticker,$B72,"FPT",$C$12,"FPO",E$12,"STD",$H$7,"CONSOL",$H$9, "CURRENCY",$L$7)*1,0)</f>
        <v>0</v>
      </c>
      <c r="F72" s="40">
        <f>IFERROR(_xll.BQL(Ticker,$B72,"FPT",$C$12,"FPO",F$12,"STD",$H$7,"CONSOL",$H$9, "CURRENCY",$L$7)*1,0)</f>
        <v>0</v>
      </c>
      <c r="G72" s="40">
        <f>IFERROR(_xll.BQL(Ticker,$B72,"FPT",$C$12,"FPO",G$12,"STD",$H$7,"CONSOL",$H$9, "CURRENCY",$L$7)*1,0)</f>
        <v>0</v>
      </c>
      <c r="H72" s="40">
        <f>IFERROR(_xll.BQL(Ticker,$B72,"FPT",$C$12,"FPO",H$12,"STD",$H$7,"CONSOL",$H$9, "CURRENCY",$L$7)*1,0)</f>
        <v>0</v>
      </c>
      <c r="I72" s="40">
        <f>IFERROR(_xll.BQL(Ticker,$B72,"FPT",$C$12,"FPO",I$12,"STD",$H$7,"CONSOL",$H$9, "CURRENCY",$L$7)*1,0)</f>
        <v>0</v>
      </c>
      <c r="J72" s="40">
        <f>IFERROR(_xll.BQL(Ticker,$B72,"FPT",$C$12,"FPO",J$12,"STD",$H$7,"CONSOL",$H$9, "CURRENCY",$L$7)*1,0)</f>
        <v>0</v>
      </c>
      <c r="K72" s="40">
        <f>IFERROR(_xll.BQL(Ticker,$B72,"FPT",$C$12,"FPO",K$12,"STD",$H$7,"CONSOL",$H$9, "CURRENCY",$L$7)*1,0)</f>
        <v>0</v>
      </c>
      <c r="L72" s="40">
        <f>IFERROR(_xll.BQL(Ticker,$B72,"FPT",$C$12,"FPO",L$12,"STD",$H$7,"CONSOL",$H$9, "CURRENCY",$L$7)*1,0)</f>
        <v>0</v>
      </c>
      <c r="M72" s="40">
        <f>IFERROR(_xll.BQL(Ticker,$B72,"FPT",$C$12,"FPO",M$12,"STD",$H$7,"CONSOL",$H$9, "CURRENCY",$L$7)*1,0)</f>
        <v>0</v>
      </c>
      <c r="N72" s="40">
        <f>IFERROR(_xll.BQL(Ticker,$B72,"FPT",$C$12,"FPO",N$12,"STD",$H$7,"CONSOL",$H$9, "CURRENCY",$L$7)*1,0)</f>
        <v>0</v>
      </c>
      <c r="O72" s="52"/>
    </row>
    <row r="73" spans="1:15" ht="15" customHeight="1">
      <c r="A73" s="17"/>
      <c r="B73" s="17" t="s">
        <v>440</v>
      </c>
      <c r="C73" s="18" t="s">
        <v>166</v>
      </c>
      <c r="D73" s="40">
        <f>IFERROR(_xll.BQL(Ticker,$B73,"FPT",$C$12,"FPO",D$12,"STD",$H$7,"CONSOL",$H$9, "CURRENCY",$L$7)*1,0)</f>
        <v>92.7</v>
      </c>
      <c r="E73" s="40">
        <f>IFERROR(_xll.BQL(Ticker,$B73,"FPT",$C$12,"FPO",E$12,"STD",$H$7,"CONSOL",$H$9, "CURRENCY",$L$7)*1,0)</f>
        <v>84</v>
      </c>
      <c r="F73" s="40">
        <f>IFERROR(_xll.BQL(Ticker,$B73,"FPT",$C$12,"FPO",F$12,"STD",$H$7,"CONSOL",$H$9, "CURRENCY",$L$7)*1,0)</f>
        <v>65</v>
      </c>
      <c r="G73" s="40">
        <f>IFERROR(_xll.BQL(Ticker,$B73,"FPT",$C$12,"FPO",G$12,"STD",$H$7,"CONSOL",$H$9, "CURRENCY",$L$7)*1,0)</f>
        <v>46</v>
      </c>
      <c r="H73" s="40">
        <f>IFERROR(_xll.BQL(Ticker,$B73,"FPT",$C$12,"FPO",H$12,"STD",$H$7,"CONSOL",$H$9, "CURRENCY",$L$7)*1,0)</f>
        <v>71</v>
      </c>
      <c r="I73" s="40">
        <f>IFERROR(_xll.BQL(Ticker,$B73,"FPT",$C$12,"FPO",I$12,"STD",$H$7,"CONSOL",$H$9, "CURRENCY",$L$7)*1,0)</f>
        <v>85</v>
      </c>
      <c r="J73" s="40">
        <f>IFERROR(_xll.BQL(Ticker,$B73,"FPT",$C$12,"FPO",J$12,"STD",$H$7,"CONSOL",$H$9, "CURRENCY",$L$7)*1,0)</f>
        <v>88</v>
      </c>
      <c r="K73" s="40">
        <f>IFERROR(_xll.BQL(Ticker,$B73,"FPT",$C$12,"FPO",K$12,"STD",$H$7,"CONSOL",$H$9, "CURRENCY",$L$7)*1,0)</f>
        <v>103</v>
      </c>
      <c r="L73" s="40">
        <f>IFERROR(_xll.BQL(Ticker,$B73,"FPT",$C$12,"FPO",L$12,"STD",$H$7,"CONSOL",$H$9, "CURRENCY",$L$7)*1,0)</f>
        <v>130</v>
      </c>
      <c r="M73" s="40">
        <f>IFERROR(_xll.BQL(Ticker,$B73,"FPT",$C$12,"FPO",M$12,"STD",$H$7,"CONSOL",$H$9, "CURRENCY",$L$7)*1,0)</f>
        <v>148</v>
      </c>
      <c r="N73" s="40">
        <f>IFERROR(_xll.BQL(Ticker,$B73,"FPT",$C$12,"FPO",N$12,"STD",$H$7,"CONSOL",$H$9, "CURRENCY",$L$7)*1,0)</f>
        <v>149</v>
      </c>
      <c r="O73" s="52"/>
    </row>
    <row r="74" spans="1:15" ht="15" customHeight="1">
      <c r="A74" s="17"/>
      <c r="B74" s="17" t="s">
        <v>441</v>
      </c>
      <c r="C74" s="18" t="s">
        <v>167</v>
      </c>
      <c r="D74" s="40">
        <f>IFERROR(_xll.BQL(Ticker,$B74,"FPT",$C$12,"FPO",D$12,"STD",$H$7,"CONSOL",$H$9, "CURRENCY",$L$7)*1,0)</f>
        <v>727.4</v>
      </c>
      <c r="E74" s="40">
        <f>IFERROR(_xll.BQL(Ticker,$B74,"FPT",$C$12,"FPO",E$12,"STD",$H$7,"CONSOL",$H$9, "CURRENCY",$L$7)*1,0)</f>
        <v>730.4</v>
      </c>
      <c r="F74" s="40">
        <f>IFERROR(_xll.BQL(Ticker,$B74,"FPT",$C$12,"FPO",F$12,"STD",$H$7,"CONSOL",$H$9, "CURRENCY",$L$7)*1,0)</f>
        <v>834</v>
      </c>
      <c r="G74" s="40">
        <f>IFERROR(_xll.BQL(Ticker,$B74,"FPT",$C$12,"FPO",G$12,"STD",$H$7,"CONSOL",$H$9, "CURRENCY",$L$7)*1,0)</f>
        <v>1052</v>
      </c>
      <c r="H74" s="40">
        <f>IFERROR(_xll.BQL(Ticker,$B74,"FPT",$C$12,"FPO",H$12,"STD",$H$7,"CONSOL",$H$9, "CURRENCY",$L$7)*1,0)</f>
        <v>992</v>
      </c>
      <c r="I74" s="40">
        <f>IFERROR(_xll.BQL(Ticker,$B74,"FPT",$C$12,"FPO",I$12,"STD",$H$7,"CONSOL",$H$9, "CURRENCY",$L$7)*1,0)</f>
        <v>1110</v>
      </c>
      <c r="J74" s="40">
        <f>IFERROR(_xll.BQL(Ticker,$B74,"FPT",$C$12,"FPO",J$12,"STD",$H$7,"CONSOL",$H$9, "CURRENCY",$L$7)*1,0)</f>
        <v>1252</v>
      </c>
      <c r="K74" s="40">
        <f>IFERROR(_xll.BQL(Ticker,$B74,"FPT",$C$12,"FPO",K$12,"STD",$H$7,"CONSOL",$H$9, "CURRENCY",$L$7)*1,0)</f>
        <v>1232</v>
      </c>
      <c r="L74" s="40">
        <f>IFERROR(_xll.BQL(Ticker,$B74,"FPT",$C$12,"FPO",L$12,"STD",$H$7,"CONSOL",$H$9, "CURRENCY",$L$7)*1,0)</f>
        <v>1475</v>
      </c>
      <c r="M74" s="40">
        <f>IFERROR(_xll.BQL(Ticker,$B74,"FPT",$C$12,"FPO",M$12,"STD",$H$7,"CONSOL",$H$9, "CURRENCY",$L$7)*1,0)</f>
        <v>1789</v>
      </c>
      <c r="N74" s="40">
        <f>IFERROR(_xll.BQL(Ticker,$B74,"FPT",$C$12,"FPO",N$12,"STD",$H$7,"CONSOL",$H$9, "CURRENCY",$L$7)*1,0)</f>
        <v>2200</v>
      </c>
      <c r="O74" s="52"/>
    </row>
    <row r="75" spans="1:15" ht="15" customHeight="1">
      <c r="A75" s="17"/>
      <c r="B75" s="17" t="s">
        <v>442</v>
      </c>
      <c r="C75" s="18" t="s">
        <v>168</v>
      </c>
      <c r="D75" s="40">
        <f>IFERROR(_xll.BQL(Ticker,$B75,"FPT",$C$12,"FPO",D$12,"STD",$H$7,"CONSOL",$H$9, "CURRENCY",$L$7)*1,0)</f>
        <v>-5.6</v>
      </c>
      <c r="E75" s="40">
        <f>IFERROR(_xll.BQL(Ticker,$B75,"FPT",$C$12,"FPO",E$12,"STD",$H$7,"CONSOL",$H$9, "CURRENCY",$L$7)*1,0)</f>
        <v>-11.5</v>
      </c>
      <c r="F75" s="40">
        <f>IFERROR(_xll.BQL(Ticker,$B75,"FPT",$C$12,"FPO",F$12,"STD",$H$7,"CONSOL",$H$9, "CURRENCY",$L$7)*1,0)</f>
        <v>158</v>
      </c>
      <c r="G75" s="40">
        <f>IFERROR(_xll.BQL(Ticker,$B75,"FPT",$C$12,"FPO",G$12,"STD",$H$7,"CONSOL",$H$9, "CURRENCY",$L$7)*1,0)</f>
        <v>185</v>
      </c>
      <c r="H75" s="40">
        <f>IFERROR(_xll.BQL(Ticker,$B75,"FPT",$C$12,"FPO",H$12,"STD",$H$7,"CONSOL",$H$9, "CURRENCY",$L$7)*1,0)</f>
        <v>202</v>
      </c>
      <c r="I75" s="40">
        <f>IFERROR(_xll.BQL(Ticker,$B75,"FPT",$C$12,"FPO",I$12,"STD",$H$7,"CONSOL",$H$9, "CURRENCY",$L$7)*1,0)</f>
        <v>227</v>
      </c>
      <c r="J75" s="40">
        <f>IFERROR(_xll.BQL(Ticker,$B75,"FPT",$C$12,"FPO",J$12,"STD",$H$7,"CONSOL",$H$9, "CURRENCY",$L$7)*1,0)</f>
        <v>248</v>
      </c>
      <c r="K75" s="40">
        <f>IFERROR(_xll.BQL(Ticker,$B75,"FPT",$C$12,"FPO",K$12,"STD",$H$7,"CONSOL",$H$9, "CURRENCY",$L$7)*1,0)</f>
        <v>304</v>
      </c>
      <c r="L75" s="40">
        <f>IFERROR(_xll.BQL(Ticker,$B75,"FPT",$C$12,"FPO",L$12,"STD",$H$7,"CONSOL",$H$9, "CURRENCY",$L$7)*1,0)</f>
        <v>425</v>
      </c>
      <c r="M75" s="40">
        <f>IFERROR(_xll.BQL(Ticker,$B75,"FPT",$C$12,"FPO",M$12,"STD",$H$7,"CONSOL",$H$9, "CURRENCY",$L$7)*1,0)</f>
        <v>528</v>
      </c>
      <c r="N75" s="40">
        <f>IFERROR(_xll.BQL(Ticker,$B75,"FPT",$C$12,"FPO",N$12,"STD",$H$7,"CONSOL",$H$9, "CURRENCY",$L$7)*1,0)</f>
        <v>606</v>
      </c>
      <c r="O75" s="52"/>
    </row>
    <row r="76" spans="1:15" ht="15" customHeight="1">
      <c r="A76" s="17"/>
      <c r="B76" s="17" t="s">
        <v>443</v>
      </c>
      <c r="C76" s="18" t="s">
        <v>169</v>
      </c>
      <c r="D76" s="40">
        <f>IFERROR(_xll.BQL(Ticker,$B76,"FPT",$C$12,"FPO",D$12,"STD",$H$7,"CONSOL",$H$9, "CURRENCY",$L$7)*1,0)</f>
        <v>44.5</v>
      </c>
      <c r="E76" s="40">
        <f>IFERROR(_xll.BQL(Ticker,$B76,"FPT",$C$12,"FPO",E$12,"STD",$H$7,"CONSOL",$H$9, "CURRENCY",$L$7)*1,0)</f>
        <v>66.3</v>
      </c>
      <c r="F76" s="40">
        <f>IFERROR(_xll.BQL(Ticker,$B76,"FPT",$C$12,"FPO",F$12,"STD",$H$7,"CONSOL",$H$9, "CURRENCY",$L$7)*1,0)</f>
        <v>57</v>
      </c>
      <c r="G76" s="40">
        <f>IFERROR(_xll.BQL(Ticker,$B76,"FPT",$C$12,"FPO",G$12,"STD",$H$7,"CONSOL",$H$9, "CURRENCY",$L$7)*1,0)</f>
        <v>56</v>
      </c>
      <c r="H76" s="40">
        <f>IFERROR(_xll.BQL(Ticker,$B76,"FPT",$C$12,"FPO",H$12,"STD",$H$7,"CONSOL",$H$9, "CURRENCY",$L$7)*1,0)</f>
        <v>58</v>
      </c>
      <c r="I76" s="40">
        <f>IFERROR(_xll.BQL(Ticker,$B76,"FPT",$C$12,"FPO",I$12,"STD",$H$7,"CONSOL",$H$9, "CURRENCY",$L$7)*1,0)</f>
        <v>72</v>
      </c>
      <c r="J76" s="40">
        <f>IFERROR(_xll.BQL(Ticker,$B76,"FPT",$C$12,"FPO",J$12,"STD",$H$7,"CONSOL",$H$9, "CURRENCY",$L$7)*1,0)</f>
        <v>59</v>
      </c>
      <c r="K76" s="40">
        <f>IFERROR(_xll.BQL(Ticker,$B76,"FPT",$C$12,"FPO",K$12,"STD",$H$7,"CONSOL",$H$9, "CURRENCY",$L$7)*1,0)</f>
        <v>61</v>
      </c>
      <c r="L76" s="40">
        <f>IFERROR(_xll.BQL(Ticker,$B76,"FPT",$C$12,"FPO",L$12,"STD",$H$7,"CONSOL",$H$9, "CURRENCY",$L$7)*1,0)</f>
        <v>56</v>
      </c>
      <c r="M76" s="40">
        <f>IFERROR(_xll.BQL(Ticker,$B76,"FPT",$C$12,"FPO",M$12,"STD",$H$7,"CONSOL",$H$9, "CURRENCY",$L$7)*1,0)</f>
        <v>59</v>
      </c>
      <c r="N76" s="40">
        <f>IFERROR(_xll.BQL(Ticker,$B76,"FPT",$C$12,"FPO",N$12,"STD",$H$7,"CONSOL",$H$9, "CURRENCY",$L$7)*1,0)</f>
        <v>64</v>
      </c>
      <c r="O76" s="52"/>
    </row>
    <row r="77" spans="1:15" ht="15" customHeight="1">
      <c r="A77" s="17"/>
      <c r="B77" s="17" t="s">
        <v>517</v>
      </c>
      <c r="C77" s="18" t="s">
        <v>98</v>
      </c>
      <c r="D77" s="58">
        <f>IFERROR(_xll.BQL(Ticker,$B77,"FPT",$C$12,"FPO",D$12,"STD",$H$7,"CONSOL",$H$9, "CURRENCY",$L$7)*1,0)</f>
        <v>17594</v>
      </c>
      <c r="E77" s="58">
        <f>IFERROR(_xll.BQL(Ticker,$B77,"FPT",$C$12,"FPO",E$12,"STD",$H$7,"CONSOL",$H$9, "CURRENCY",$L$7)*1,0)</f>
        <v>18582</v>
      </c>
      <c r="F77" s="58">
        <f>IFERROR(_xll.BQL(Ticker,$B77,"FPT",$C$12,"FPO",F$12,"STD",$H$7,"CONSOL",$H$9, "CURRENCY",$L$7)*1,0)</f>
        <v>20000</v>
      </c>
      <c r="G77" s="58">
        <f>IFERROR(_xll.BQL(Ticker,$B77,"FPT",$C$12,"FPO",G$12,"STD",$H$7,"CONSOL",$H$9, "CURRENCY",$L$7)*1,0)</f>
        <v>21241</v>
      </c>
      <c r="H77" s="58">
        <f>IFERROR(_xll.BQL(Ticker,$B77,"FPT",$C$12,"FPO",H$12,"STD",$H$7,"CONSOL",$H$9, "CURRENCY",$L$7)*1,0)</f>
        <v>22000</v>
      </c>
      <c r="I77" s="58">
        <f>IFERROR(_xll.BQL(Ticker,$B77,"FPT",$C$12,"FPO",I$12,"STD",$H$7,"CONSOL",$H$9, "CURRENCY",$L$7)*1,0)</f>
        <v>25000</v>
      </c>
      <c r="J77" s="58">
        <f>IFERROR(_xll.BQL(Ticker,$B77,"FPT",$C$12,"FPO",J$12,"STD",$H$7,"CONSOL",$H$9, "CURRENCY",$L$7)*1,0)</f>
        <v>26000</v>
      </c>
      <c r="K77" s="58">
        <f>IFERROR(_xll.BQL(Ticker,$B77,"FPT",$C$12,"FPO",K$12,"STD",$H$7,"CONSOL",$H$9, "CURRENCY",$L$7)*1,0)</f>
        <v>27000</v>
      </c>
      <c r="L77" s="58">
        <f>IFERROR(_xll.BQL(Ticker,$B77,"FPT",$C$12,"FPO",L$12,"STD",$H$7,"CONSOL",$H$9, "CURRENCY",$L$7)*1,0)</f>
        <v>33000</v>
      </c>
      <c r="M77" s="58">
        <f>IFERROR(_xll.BQL(Ticker,$B77,"FPT",$C$12,"FPO",M$12,"STD",$H$7,"CONSOL",$H$9, "CURRENCY",$L$7)*1,0)</f>
        <v>33000</v>
      </c>
      <c r="N77" s="58">
        <f>IFERROR(_xll.BQL(Ticker,$B77,"FPT",$C$12,"FPO",N$12,"STD",$H$7,"CONSOL",$H$9, "CURRENCY",$L$7)*1,0)</f>
        <v>36000</v>
      </c>
      <c r="O77" s="52"/>
    </row>
    <row r="78" spans="1:15" ht="15" customHeight="1">
      <c r="D78" s="11"/>
      <c r="E78" s="11"/>
      <c r="F78" s="11"/>
      <c r="G78" s="52"/>
      <c r="H78" s="52"/>
      <c r="I78" s="52"/>
      <c r="J78" s="52"/>
      <c r="K78" s="52"/>
      <c r="L78" s="52"/>
      <c r="M78" s="52"/>
      <c r="N78" s="52"/>
    </row>
    <row r="79" spans="1:15" ht="15" customHeight="1">
      <c r="G79" s="17"/>
      <c r="H79" s="17"/>
      <c r="I79" s="17"/>
      <c r="J79" s="17"/>
      <c r="K79" s="17"/>
      <c r="L79" s="17"/>
      <c r="M79" s="17"/>
      <c r="N79" s="17"/>
    </row>
  </sheetData>
  <mergeCells count="6">
    <mergeCell ref="N8:N9"/>
    <mergeCell ref="C14:C15"/>
    <mergeCell ref="F7:G7"/>
    <mergeCell ref="F9:G9"/>
    <mergeCell ref="J7:K7"/>
    <mergeCell ref="J9:K9"/>
  </mergeCells>
  <phoneticPr fontId="0" type="noConversion"/>
  <dataValidations disablePrompts="1"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2" right="0.2" top="0.5" bottom="0.5" header="0.5" footer="0.5"/>
  <pageSetup scale="61" orientation="portrait" r:id="rId1"/>
  <headerFooter alignWithMargins="0"/>
  <ignoredErrors>
    <ignoredError sqref="D66:N66 D19:N19"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F">
    <pageSetUpPr autoPageBreaks="0"/>
  </sheetPr>
  <dimension ref="A2:IV60"/>
  <sheetViews>
    <sheetView showGridLines="0" showRowColHeaders="0" zoomScale="87" zoomScaleNormal="87" workbookViewId="0">
      <pane xSplit="3" ySplit="14" topLeftCell="D15" activePane="bottomRight" state="frozen"/>
      <selection sqref="A1:XFD1"/>
      <selection pane="topRight" sqref="A1:XFD1"/>
      <selection pane="bottomLeft" sqref="A1:XFD1"/>
      <selection pane="bottomRight" activeCell="D15" sqref="D15"/>
    </sheetView>
  </sheetViews>
  <sheetFormatPr defaultColWidth="9.140625" defaultRowHeight="15" outlineLevelRow="1"/>
  <cols>
    <col min="1" max="1" width="1.7109375" style="65" customWidth="1"/>
    <col min="2" max="2" width="30" style="65" hidden="1" customWidth="1"/>
    <col min="3" max="3" width="30.7109375" style="65" customWidth="1"/>
    <col min="4" max="14" width="11.7109375" style="66" customWidth="1"/>
    <col min="15" max="21" width="9.140625" style="65"/>
    <col min="22" max="22" width="11.42578125" style="65" bestFit="1" customWidth="1"/>
    <col min="23" max="16384" width="9.140625" style="65"/>
  </cols>
  <sheetData>
    <row r="2" spans="1:256" ht="5.0999999999999996" customHeight="1"/>
    <row r="3" spans="1:256" ht="15" customHeight="1"/>
    <row r="4" spans="1:256" ht="15" customHeight="1"/>
    <row r="5" spans="1:256" ht="15" customHeight="1"/>
    <row r="6" spans="1:256" ht="15" customHeight="1"/>
    <row r="7" spans="1:256" ht="15" customHeight="1">
      <c r="C7" s="198" t="s">
        <v>353</v>
      </c>
      <c r="D7" s="23" t="str">
        <f>Tick</f>
        <v>SYK US</v>
      </c>
      <c r="E7" s="69"/>
      <c r="F7" s="714" t="s">
        <v>344</v>
      </c>
      <c r="G7" s="715"/>
      <c r="H7" s="26" t="s">
        <v>345</v>
      </c>
      <c r="I7" s="82"/>
      <c r="J7" s="714" t="s">
        <v>0</v>
      </c>
      <c r="K7" s="715"/>
      <c r="L7" s="27" t="str">
        <f>_xll.BDP(Ticker,"EQY FUND CRNCY")</f>
        <v>USD</v>
      </c>
      <c r="M7" s="83"/>
      <c r="N7" s="81"/>
      <c r="AA7" s="67"/>
      <c r="AB7" s="67"/>
      <c r="AC7" s="67"/>
      <c r="AD7" s="67"/>
      <c r="AE7" s="67"/>
    </row>
    <row r="8" spans="1:256" ht="5.0999999999999996" customHeight="1">
      <c r="D8" s="65"/>
      <c r="E8" s="69"/>
      <c r="F8" s="69"/>
      <c r="G8" s="69"/>
      <c r="H8" s="69"/>
      <c r="I8" s="69"/>
      <c r="J8" s="69"/>
      <c r="K8" s="69"/>
      <c r="L8" s="69"/>
      <c r="M8" s="69"/>
      <c r="N8" s="722"/>
      <c r="AA8" s="67"/>
      <c r="AB8" s="67"/>
      <c r="AC8" s="67"/>
      <c r="AD8" s="67"/>
      <c r="AE8" s="67"/>
    </row>
    <row r="9" spans="1:256" ht="15" customHeight="1">
      <c r="C9" s="198" t="s">
        <v>352</v>
      </c>
      <c r="D9" s="26" t="s">
        <v>339</v>
      </c>
      <c r="E9" s="81"/>
      <c r="F9" s="714" t="s">
        <v>342</v>
      </c>
      <c r="G9" s="715"/>
      <c r="H9" s="26" t="s">
        <v>343</v>
      </c>
      <c r="I9" s="82"/>
      <c r="J9" s="724"/>
      <c r="K9" s="724"/>
      <c r="L9" s="84"/>
      <c r="M9" s="71"/>
      <c r="N9" s="723"/>
      <c r="AA9" s="67"/>
      <c r="AB9" s="67"/>
      <c r="AC9" s="67"/>
      <c r="AD9" s="67"/>
      <c r="AE9" s="67"/>
    </row>
    <row r="10" spans="1:256" s="72" customFormat="1" ht="15" customHeight="1" collapsed="1">
      <c r="C10" s="64"/>
      <c r="D10" s="73"/>
      <c r="E10" s="74"/>
      <c r="F10" s="74"/>
      <c r="G10" s="74"/>
      <c r="H10" s="74"/>
      <c r="I10" s="74"/>
      <c r="J10" s="74"/>
      <c r="K10" s="74"/>
      <c r="L10" s="74"/>
      <c r="M10" s="74"/>
      <c r="N10" s="74"/>
      <c r="AA10" s="75"/>
      <c r="AB10" s="75"/>
      <c r="AC10" s="75"/>
      <c r="AD10" s="75"/>
      <c r="AE10" s="75"/>
    </row>
    <row r="11" spans="1:256" s="67" customFormat="1" ht="15" hidden="1" customHeight="1" outlineLevel="1">
      <c r="C11" s="85" t="str">
        <f>IF($D$9="Annuals","A",IF($D$9="Quarters","Q",IF($D$9="Semi-Annuals","S","")))</f>
        <v>A</v>
      </c>
      <c r="D11" s="62" t="str">
        <f>"-10"&amp;$C$11</f>
        <v>-10A</v>
      </c>
      <c r="E11" s="62" t="str">
        <f>"-9"&amp;$C$11</f>
        <v>-9A</v>
      </c>
      <c r="F11" s="62" t="str">
        <f>"-8"&amp;$C$11</f>
        <v>-8A</v>
      </c>
      <c r="G11" s="62" t="str">
        <f>"-7"&amp;$C$11</f>
        <v>-7A</v>
      </c>
      <c r="H11" s="62" t="str">
        <f>"-6"&amp;$C$11</f>
        <v>-6A</v>
      </c>
      <c r="I11" s="62" t="str">
        <f>"-5"&amp;$C$11</f>
        <v>-5A</v>
      </c>
      <c r="J11" s="62" t="str">
        <f>"-4"&amp;$C$11</f>
        <v>-4A</v>
      </c>
      <c r="K11" s="62" t="str">
        <f>"-3"&amp;$C$11</f>
        <v>-3A</v>
      </c>
      <c r="L11" s="62" t="str">
        <f>"-2"&amp;$C$11</f>
        <v>-2A</v>
      </c>
      <c r="M11" s="62" t="str">
        <f>"-1"&amp;$C$11</f>
        <v>-1A</v>
      </c>
      <c r="N11" s="62" t="str">
        <f>"-0"&amp;$C$11</f>
        <v>-0A</v>
      </c>
    </row>
    <row r="12" spans="1:256" s="67" customFormat="1" ht="15" hidden="1" customHeight="1" outlineLevel="1">
      <c r="C12" s="290"/>
      <c r="D12" s="62" t="str">
        <f>_xll.BQL(Ticker,"IS_EPS().PERIOD","FPT",$C$11,"FPO",D$11,"STD",$H$7,"CONSOL",$H$9)</f>
        <v>2008 A</v>
      </c>
      <c r="E12" s="62" t="str">
        <f>_xll.BQL(Ticker,"IS_EPS().PERIOD","FPT",$C$11,"FPO",E$11,"STD",$H$7,"CONSOL",$H$9)</f>
        <v>2009 A</v>
      </c>
      <c r="F12" s="62" t="str">
        <f>_xll.BQL(Ticker,"IS_EPS().PERIOD","FPT",$C$11,"FPO",F$11,"STD",$H$7,"CONSOL",$H$9)</f>
        <v>2010 A</v>
      </c>
      <c r="G12" s="62" t="str">
        <f>_xll.BQL(Ticker,"IS_EPS().PERIOD","FPT",$C$11,"FPO",G$11,"STD",$H$7,"CONSOL",$H$9)</f>
        <v>2011 A</v>
      </c>
      <c r="H12" s="62" t="str">
        <f>_xll.BQL(Ticker,"IS_EPS().PERIOD","FPT",$C$11,"FPO",H$11,"STD",$H$7,"CONSOL",$H$9)</f>
        <v>2012 A</v>
      </c>
      <c r="I12" s="62" t="str">
        <f>_xll.BQL(Ticker,"IS_EPS().PERIOD","FPT",$C$11,"FPO",I$11,"STD",$H$7,"CONSOL",$H$9)</f>
        <v>2013 A</v>
      </c>
      <c r="J12" s="62" t="str">
        <f>_xll.BQL(Ticker,"IS_EPS().PERIOD","FPT",$C$11,"FPO",J$11,"STD",$H$7,"CONSOL",$H$9)</f>
        <v>2014 A</v>
      </c>
      <c r="K12" s="62" t="str">
        <f>_xll.BQL(Ticker,"IS_EPS().PERIOD","FPT",$C$11,"FPO",K$11,"STD",$H$7,"CONSOL",$H$9)</f>
        <v>2015 A</v>
      </c>
      <c r="L12" s="62" t="str">
        <f>_xll.BQL(Ticker,"IS_EPS().PERIOD","FPT",$C$11,"FPO",L$11,"STD",$H$7,"CONSOL",$H$9)</f>
        <v>2016 A</v>
      </c>
      <c r="M12" s="62" t="str">
        <f>_xll.BQL(Ticker,"IS_EPS().PERIOD","FPT",$C$11,"FPO",M$11,"STD",$H$7,"CONSOL",$H$9)</f>
        <v>2017 A</v>
      </c>
      <c r="N12" s="62" t="str">
        <f>_xll.BQL(Ticker,"IS_EPS().PERIOD","FPT",$C$11,"FPO",N$11,"STD",$H$7,"CONSOL",$H$9)</f>
        <v>2018 A</v>
      </c>
    </row>
    <row r="13" spans="1:256" collapsed="1">
      <c r="C13" s="717" t="s">
        <v>99</v>
      </c>
      <c r="D13" s="61" t="str">
        <f>IF(D$12="","",IF($C$11="A","FY "&amp;LEFT(D$12,4),"F"&amp;RIGHT(D$12,2)&amp;" "&amp;LEFT(D$12,4)))</f>
        <v>FY 2008</v>
      </c>
      <c r="E13" s="37" t="str">
        <f t="shared" ref="E13:N13" si="0">IF(E$12="","",IF($C$11="A","FY "&amp;LEFT(E$12,4),"F"&amp;RIGHT(E$12,2)&amp;" "&amp;LEFT(E$12,4)))</f>
        <v>FY 2009</v>
      </c>
      <c r="F13" s="37" t="str">
        <f t="shared" si="0"/>
        <v>FY 2010</v>
      </c>
      <c r="G13" s="37" t="str">
        <f t="shared" si="0"/>
        <v>FY 2011</v>
      </c>
      <c r="H13" s="37" t="str">
        <f t="shared" si="0"/>
        <v>FY 2012</v>
      </c>
      <c r="I13" s="37" t="str">
        <f t="shared" si="0"/>
        <v>FY 2013</v>
      </c>
      <c r="J13" s="37" t="str">
        <f t="shared" si="0"/>
        <v>FY 2014</v>
      </c>
      <c r="K13" s="37" t="str">
        <f t="shared" si="0"/>
        <v>FY 2015</v>
      </c>
      <c r="L13" s="37" t="str">
        <f t="shared" si="0"/>
        <v>FY 2016</v>
      </c>
      <c r="M13" s="37" t="str">
        <f t="shared" si="0"/>
        <v>FY 2017</v>
      </c>
      <c r="N13" s="37" t="str">
        <f t="shared" si="0"/>
        <v>FY 2018</v>
      </c>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c r="IR13" s="76"/>
      <c r="IS13" s="76"/>
      <c r="IT13" s="76"/>
      <c r="IU13" s="76"/>
      <c r="IV13" s="76"/>
    </row>
    <row r="14" spans="1:256" ht="15" customHeight="1">
      <c r="C14" s="718"/>
      <c r="D14" s="295">
        <f>IFERROR(_xll.BQL(Ticker,"IS_EPS().PERIOD_END_DATE","FPT",$C$11,"FPO",D$11,"STD",$H$7,"CONSOL",$H$9)*1,"--")</f>
        <v>39813</v>
      </c>
      <c r="E14" s="301">
        <f>IFERROR(_xll.BQL(Ticker,"IS_EPS().PERIOD_END_DATE","FPT",$C$11,"FPO",E$11,"STD",$H$7,"CONSOL",$H$9)*1,"--")</f>
        <v>40178</v>
      </c>
      <c r="F14" s="301">
        <f>IFERROR(_xll.BQL(Ticker,"IS_EPS().PERIOD_END_DATE","FPT",$C$11,"FPO",F$11,"STD",$H$7,"CONSOL",$H$9)*1,"--")</f>
        <v>40543</v>
      </c>
      <c r="G14" s="301">
        <f>IFERROR(_xll.BQL(Ticker,"IS_EPS().PERIOD_END_DATE","FPT",$C$11,"FPO",G$11,"STD",$H$7,"CONSOL",$H$9)*1,"--")</f>
        <v>40908</v>
      </c>
      <c r="H14" s="301">
        <f>IFERROR(_xll.BQL(Ticker,"IS_EPS().PERIOD_END_DATE","FPT",$C$11,"FPO",H$11,"STD",$H$7,"CONSOL",$H$9)*1,"--")</f>
        <v>41274</v>
      </c>
      <c r="I14" s="301">
        <f>IFERROR(_xll.BQL(Ticker,"IS_EPS().PERIOD_END_DATE","FPT",$C$11,"FPO",I$11,"STD",$H$7,"CONSOL",$H$9)*1,"--")</f>
        <v>41639</v>
      </c>
      <c r="J14" s="301">
        <f>IFERROR(_xll.BQL(Ticker,"IS_EPS().PERIOD_END_DATE","FPT",$C$11,"FPO",J$11,"STD",$H$7,"CONSOL",$H$9)*1,"--")</f>
        <v>42004</v>
      </c>
      <c r="K14" s="301">
        <f>IFERROR(_xll.BQL(Ticker,"IS_EPS().PERIOD_END_DATE","FPT",$C$11,"FPO",K$11,"STD",$H$7,"CONSOL",$H$9)*1,"--")</f>
        <v>42369</v>
      </c>
      <c r="L14" s="301">
        <f>IFERROR(_xll.BQL(Ticker,"IS_EPS().PERIOD_END_DATE","FPT",$C$11,"FPO",L$11,"STD",$H$7,"CONSOL",$H$9)*1,"--")</f>
        <v>42735</v>
      </c>
      <c r="M14" s="301">
        <f>IFERROR(_xll.BQL(Ticker,"IS_EPS().PERIOD_END_DATE","FPT",$C$11,"FPO",M$11,"STD",$H$7,"CONSOL",$H$9)*1,"--")</f>
        <v>43100</v>
      </c>
      <c r="N14" s="301">
        <f>IFERROR(_xll.BQL(Ticker,"IS_EPS().PERIOD_END_DATE","FPT",$C$11,"FPO",N$11,"STD",$H$7,"CONSOL",$H$9)*1,"--")</f>
        <v>43465</v>
      </c>
    </row>
    <row r="15" spans="1:256" ht="15" customHeight="1">
      <c r="A15" s="77"/>
      <c r="B15" s="77" t="s">
        <v>444</v>
      </c>
      <c r="C15" s="78" t="s">
        <v>2</v>
      </c>
      <c r="D15" s="89">
        <f>IFERROR(_xll.BQL(Ticker,$B15,"FPT",$C$11,"FPO",D$11,"STD",$H$7,"CONSOL",$H$9, "CURRENCY",$L$7)*1,0)</f>
        <v>1147.8</v>
      </c>
      <c r="E15" s="89">
        <f>IFERROR(_xll.BQL(Ticker,$B15,"FPT",$C$11,"FPO",E$11,"STD",$H$7,"CONSOL",$H$9, "CURRENCY",$L$7)*1,0)</f>
        <v>1107</v>
      </c>
      <c r="F15" s="89">
        <f>IFERROR(_xll.BQL(Ticker,$B15,"FPT",$C$11,"FPO",F$11,"STD",$H$7,"CONSOL",$H$9, "CURRENCY",$L$7)*1,0)</f>
        <v>1273</v>
      </c>
      <c r="G15" s="89">
        <f>IFERROR(_xll.BQL(Ticker,$B15,"FPT",$C$11,"FPO",G$11,"STD",$H$7,"CONSOL",$H$9, "CURRENCY",$L$7)*1,0)</f>
        <v>1345</v>
      </c>
      <c r="H15" s="89">
        <f>IFERROR(_xll.BQL(Ticker,$B15,"FPT",$C$11,"FPO",H$11,"STD",$H$7,"CONSOL",$H$9, "CURRENCY",$L$7)*1,0)</f>
        <v>1298</v>
      </c>
      <c r="I15" s="89">
        <f>IFERROR(_xll.BQL(Ticker,$B15,"FPT",$C$11,"FPO",I$11,"STD",$H$7,"CONSOL",$H$9, "CURRENCY",$L$7)*1,0)</f>
        <v>1006</v>
      </c>
      <c r="J15" s="89">
        <f>IFERROR(_xll.BQL(Ticker,$B15,"FPT",$C$11,"FPO",J$11,"STD",$H$7,"CONSOL",$H$9, "CURRENCY",$L$7)*1,0)</f>
        <v>515</v>
      </c>
      <c r="K15" s="89">
        <f>IFERROR(_xll.BQL(Ticker,$B15,"FPT",$C$11,"FPO",K$11,"STD",$H$7,"CONSOL",$H$9, "CURRENCY",$L$7)*1,0)</f>
        <v>1439</v>
      </c>
      <c r="L15" s="89">
        <f>IFERROR(_xll.BQL(Ticker,$B15,"FPT",$C$11,"FPO",L$11,"STD",$H$7,"CONSOL",$H$9, "CURRENCY",$L$7)*1,0)</f>
        <v>1647</v>
      </c>
      <c r="M15" s="89">
        <f>IFERROR(_xll.BQL(Ticker,$B15,"FPT",$C$11,"FPO",M$11,"STD",$H$7,"CONSOL",$H$9, "CURRENCY",$L$7)*1,0)</f>
        <v>1020</v>
      </c>
      <c r="N15" s="89">
        <f>IFERROR(_xll.BQL(Ticker,$B15,"FPT",$C$11,"FPO",N$11,"STD",$H$7,"CONSOL",$H$9, "CURRENCY",$L$7)*1,0)</f>
        <v>3553</v>
      </c>
      <c r="O15" s="77"/>
    </row>
    <row r="16" spans="1:256" ht="15" customHeight="1">
      <c r="A16" s="77"/>
      <c r="B16" s="77" t="s">
        <v>445</v>
      </c>
      <c r="C16" s="92" t="s">
        <v>100</v>
      </c>
      <c r="D16" s="90">
        <f>IFERROR(_xll.BQL(Ticker,$B16,"FPT",$C$11,"FPO",D$11,"STD",$H$7,"CONSOL",$H$9, "CURRENCY",$L$7)*1,0)</f>
        <v>387.6</v>
      </c>
      <c r="E16" s="90">
        <f>IFERROR(_xll.BQL(Ticker,$B16,"FPT",$C$11,"FPO",E$11,"STD",$H$7,"CONSOL",$H$9, "CURRENCY",$L$7)*1,0)</f>
        <v>385</v>
      </c>
      <c r="F16" s="90">
        <f>IFERROR(_xll.BQL(Ticker,$B16,"FPT",$C$11,"FPO",F$11,"STD",$H$7,"CONSOL",$H$9, "CURRENCY",$L$7)*1,0)</f>
        <v>223</v>
      </c>
      <c r="G16" s="90">
        <f>IFERROR(_xll.BQL(Ticker,$B16,"FPT",$C$11,"FPO",G$11,"STD",$H$7,"CONSOL",$H$9, "CURRENCY",$L$7)*1,0)</f>
        <v>282</v>
      </c>
      <c r="H16" s="90">
        <f>IFERROR(_xll.BQL(Ticker,$B16,"FPT",$C$11,"FPO",H$11,"STD",$H$7,"CONSOL",$H$9, "CURRENCY",$L$7)*1,0)</f>
        <v>277</v>
      </c>
      <c r="I16" s="90">
        <f>IFERROR(_xll.BQL(Ticker,$B16,"FPT",$C$11,"FPO",I$11,"STD",$H$7,"CONSOL",$H$9, "CURRENCY",$L$7)*1,0)</f>
        <v>307</v>
      </c>
      <c r="J16" s="90">
        <f>IFERROR(_xll.BQL(Ticker,$B16,"FPT",$C$11,"FPO",J$11,"STD",$H$7,"CONSOL",$H$9, "CURRENCY",$L$7)*1,0)</f>
        <v>378</v>
      </c>
      <c r="K16" s="90">
        <f>IFERROR(_xll.BQL(Ticker,$B16,"FPT",$C$11,"FPO",K$11,"STD",$H$7,"CONSOL",$H$9, "CURRENCY",$L$7)*1,0)</f>
        <v>397</v>
      </c>
      <c r="L16" s="90">
        <f>IFERROR(_xll.BQL(Ticker,$B16,"FPT",$C$11,"FPO",L$11,"STD",$H$7,"CONSOL",$H$9, "CURRENCY",$L$7)*1,0)</f>
        <v>546</v>
      </c>
      <c r="M16" s="90">
        <f>IFERROR(_xll.BQL(Ticker,$B16,"FPT",$C$11,"FPO",M$11,"STD",$H$7,"CONSOL",$H$9, "CURRENCY",$L$7)*1,0)</f>
        <v>642</v>
      </c>
      <c r="N16" s="90">
        <f>IFERROR(_xll.BQL(Ticker,$B16,"FPT",$C$11,"FPO",N$11,"STD",$H$7,"CONSOL",$H$9, "CURRENCY",$L$7)*1,0)</f>
        <v>723</v>
      </c>
      <c r="O16" s="77"/>
    </row>
    <row r="17" spans="1:15" ht="15" customHeight="1">
      <c r="A17" s="77"/>
      <c r="B17" s="77" t="s">
        <v>446</v>
      </c>
      <c r="C17" s="79" t="s">
        <v>158</v>
      </c>
      <c r="D17" s="91">
        <f>IFERROR(_xll.BQL(Ticker,$B17,"FPT",$C$11,"FPO",D$11,"STD",$H$7,"CONSOL",$H$9, "CURRENCY",$L$7)*1,0)</f>
        <v>-83.7</v>
      </c>
      <c r="E17" s="91">
        <f>IFERROR(_xll.BQL(Ticker,$B17,"FPT",$C$11,"FPO",E$11,"STD",$H$7,"CONSOL",$H$9, "CURRENCY",$L$7)*1,0)</f>
        <v>-233</v>
      </c>
      <c r="F17" s="91">
        <f>IFERROR(_xll.BQL(Ticker,$B17,"FPT",$C$11,"FPO",F$11,"STD",$H$7,"CONSOL",$H$9, "CURRENCY",$L$7)*1,0)</f>
        <v>140</v>
      </c>
      <c r="G17" s="91">
        <f>IFERROR(_xll.BQL(Ticker,$B17,"FPT",$C$11,"FPO",G$11,"STD",$H$7,"CONSOL",$H$9, "CURRENCY",$L$7)*1,0)</f>
        <v>18</v>
      </c>
      <c r="H17" s="91">
        <f>IFERROR(_xll.BQL(Ticker,$B17,"FPT",$C$11,"FPO",H$11,"STD",$H$7,"CONSOL",$H$9, "CURRENCY",$L$7)*1,0)</f>
        <v>111</v>
      </c>
      <c r="I17" s="91">
        <f>IFERROR(_xll.BQL(Ticker,$B17,"FPT",$C$11,"FPO",I$11,"STD",$H$7,"CONSOL",$H$9, "CURRENCY",$L$7)*1,0)</f>
        <v>205</v>
      </c>
      <c r="J17" s="91">
        <f>IFERROR(_xll.BQL(Ticker,$B17,"FPT",$C$11,"FPO",J$11,"STD",$H$7,"CONSOL",$H$9, "CURRENCY",$L$7)*1,0)</f>
        <v>71</v>
      </c>
      <c r="K17" s="91">
        <f>IFERROR(_xll.BQL(Ticker,$B17,"FPT",$C$11,"FPO",K$11,"STD",$H$7,"CONSOL",$H$9, "CURRENCY",$L$7)*1,0)</f>
        <v>342</v>
      </c>
      <c r="L17" s="91">
        <f>IFERROR(_xll.BQL(Ticker,$B17,"FPT",$C$11,"FPO",L$11,"STD",$H$7,"CONSOL",$H$9, "CURRENCY",$L$7)*1,0)</f>
        <v>306</v>
      </c>
      <c r="M17" s="91">
        <f>IFERROR(_xll.BQL(Ticker,$B17,"FPT",$C$11,"FPO",M$11,"STD",$H$7,"CONSOL",$H$9, "CURRENCY",$L$7)*1,0)</f>
        <v>90</v>
      </c>
      <c r="N17" s="91">
        <f>IFERROR(_xll.BQL(Ticker,$B17,"FPT",$C$11,"FPO",N$11,"STD",$H$7,"CONSOL",$H$9, "CURRENCY",$L$7)*1,0)</f>
        <v>-1380</v>
      </c>
      <c r="O17" s="77"/>
    </row>
    <row r="18" spans="1:15" ht="15" customHeight="1">
      <c r="A18" s="77"/>
      <c r="B18" s="77" t="s">
        <v>447</v>
      </c>
      <c r="C18" s="79" t="s">
        <v>159</v>
      </c>
      <c r="D18" s="91">
        <f>IFERROR(_xll.BQL(Ticker,$B18,"FPT",$C$11,"FPO",D$11,"STD",$H$7,"CONSOL",$H$9, "CURRENCY",$L$7)*1,0)</f>
        <v>-275.8</v>
      </c>
      <c r="E18" s="91">
        <f>IFERROR(_xll.BQL(Ticker,$B18,"FPT",$C$11,"FPO",E$11,"STD",$H$7,"CONSOL",$H$9, "CURRENCY",$L$7)*1,0)</f>
        <v>202</v>
      </c>
      <c r="F18" s="91">
        <f>IFERROR(_xll.BQL(Ticker,$B18,"FPT",$C$11,"FPO",F$11,"STD",$H$7,"CONSOL",$H$9, "CURRENCY",$L$7)*1,0)</f>
        <v>-89</v>
      </c>
      <c r="G18" s="91">
        <f>IFERROR(_xll.BQL(Ticker,$B18,"FPT",$C$11,"FPO",G$11,"STD",$H$7,"CONSOL",$H$9, "CURRENCY",$L$7)*1,0)</f>
        <v>-211</v>
      </c>
      <c r="H18" s="91">
        <f>IFERROR(_xll.BQL(Ticker,$B18,"FPT",$C$11,"FPO",H$11,"STD",$H$7,"CONSOL",$H$9, "CURRENCY",$L$7)*1,0)</f>
        <v>-29</v>
      </c>
      <c r="I18" s="91">
        <f>IFERROR(_xll.BQL(Ticker,$B18,"FPT",$C$11,"FPO",I$11,"STD",$H$7,"CONSOL",$H$9, "CURRENCY",$L$7)*1,0)</f>
        <v>368</v>
      </c>
      <c r="J18" s="91">
        <f>IFERROR(_xll.BQL(Ticker,$B18,"FPT",$C$11,"FPO",J$11,"STD",$H$7,"CONSOL",$H$9, "CURRENCY",$L$7)*1,0)</f>
        <v>818</v>
      </c>
      <c r="K18" s="91">
        <f>IFERROR(_xll.BQL(Ticker,$B18,"FPT",$C$11,"FPO",K$11,"STD",$H$7,"CONSOL",$H$9, "CURRENCY",$L$7)*1,0)</f>
        <v>-1197</v>
      </c>
      <c r="L18" s="91">
        <f>IFERROR(_xll.BQL(Ticker,$B18,"FPT",$C$11,"FPO",L$11,"STD",$H$7,"CONSOL",$H$9, "CURRENCY",$L$7)*1,0)</f>
        <v>-584</v>
      </c>
      <c r="M18" s="91">
        <f>IFERROR(_xll.BQL(Ticker,$B18,"FPT",$C$11,"FPO",M$11,"STD",$H$7,"CONSOL",$H$9, "CURRENCY",$L$7)*1,0)</f>
        <v>-193</v>
      </c>
      <c r="N18" s="91">
        <f>IFERROR(_xll.BQL(Ticker,$B18,"FPT",$C$11,"FPO",N$11,"STD",$H$7,"CONSOL",$H$9, "CURRENCY",$L$7)*1,0)</f>
        <v>-286</v>
      </c>
      <c r="O18" s="77"/>
    </row>
    <row r="19" spans="1:15" ht="15" customHeight="1" thickBot="1">
      <c r="A19" s="77"/>
      <c r="B19" s="77"/>
      <c r="C19" s="93" t="s">
        <v>101</v>
      </c>
      <c r="D19" s="86">
        <f t="shared" ref="D19:I19" si="1">SUM(D15:D18)</f>
        <v>1175.9000000000001</v>
      </c>
      <c r="E19" s="86">
        <f t="shared" si="1"/>
        <v>1461</v>
      </c>
      <c r="F19" s="86">
        <f t="shared" si="1"/>
        <v>1547</v>
      </c>
      <c r="G19" s="86">
        <f t="shared" si="1"/>
        <v>1434</v>
      </c>
      <c r="H19" s="86">
        <f t="shared" si="1"/>
        <v>1657</v>
      </c>
      <c r="I19" s="86">
        <f t="shared" si="1"/>
        <v>1886</v>
      </c>
      <c r="J19" s="86">
        <f>SUM(J15:J18)</f>
        <v>1782</v>
      </c>
      <c r="K19" s="86">
        <f>SUM(K15:K18)</f>
        <v>981</v>
      </c>
      <c r="L19" s="86">
        <f>SUM(L15:L18)</f>
        <v>1915</v>
      </c>
      <c r="M19" s="86">
        <f>SUM(M15:M18)</f>
        <v>1559</v>
      </c>
      <c r="N19" s="86">
        <f>SUM(N15:N18)</f>
        <v>2610</v>
      </c>
      <c r="O19" s="77"/>
    </row>
    <row r="20" spans="1:15" ht="15" customHeight="1" thickTop="1">
      <c r="A20" s="77"/>
      <c r="B20" s="77"/>
      <c r="C20" s="79"/>
      <c r="D20" s="87"/>
      <c r="E20" s="87"/>
      <c r="F20" s="87"/>
      <c r="G20" s="87"/>
      <c r="H20" s="87"/>
      <c r="I20" s="87"/>
      <c r="J20" s="87"/>
      <c r="K20" s="87"/>
      <c r="L20" s="87"/>
      <c r="M20" s="87"/>
      <c r="N20" s="87"/>
      <c r="O20" s="77"/>
    </row>
    <row r="21" spans="1:15" ht="15" customHeight="1">
      <c r="A21" s="77"/>
      <c r="B21" s="77" t="s">
        <v>448</v>
      </c>
      <c r="C21" s="79" t="s">
        <v>102</v>
      </c>
      <c r="D21" s="91">
        <f>IFERROR(_xll.BQL(Ticker,$B21,"FPT",$C$11,"FPO",D$11,"STD",$H$7,"CONSOL",$H$9, "CURRENCY",$L$7)*1,0)</f>
        <v>-155.19999999999999</v>
      </c>
      <c r="E21" s="91">
        <f>IFERROR(_xll.BQL(Ticker,$B21,"FPT",$C$11,"FPO",E$11,"STD",$H$7,"CONSOL",$H$9, "CURRENCY",$L$7)*1,0)</f>
        <v>-131</v>
      </c>
      <c r="F21" s="91">
        <f>IFERROR(_xll.BQL(Ticker,$B21,"FPT",$C$11,"FPO",F$11,"STD",$H$7,"CONSOL",$H$9, "CURRENCY",$L$7)*1,0)</f>
        <v>-182</v>
      </c>
      <c r="G21" s="91">
        <f>IFERROR(_xll.BQL(Ticker,$B21,"FPT",$C$11,"FPO",G$11,"STD",$H$7,"CONSOL",$H$9, "CURRENCY",$L$7)*1,0)</f>
        <v>-226</v>
      </c>
      <c r="H21" s="91">
        <f>IFERROR(_xll.BQL(Ticker,$B21,"FPT",$C$11,"FPO",H$11,"STD",$H$7,"CONSOL",$H$9, "CURRENCY",$L$7)*1,0)</f>
        <v>-210</v>
      </c>
      <c r="I21" s="91">
        <f>IFERROR(_xll.BQL(Ticker,$B21,"FPT",$C$11,"FPO",I$11,"STD",$H$7,"CONSOL",$H$9, "CURRENCY",$L$7)*1,0)</f>
        <v>-195</v>
      </c>
      <c r="J21" s="91">
        <f>IFERROR(_xll.BQL(Ticker,$B21,"FPT",$C$11,"FPO",J$11,"STD",$H$7,"CONSOL",$H$9, "CURRENCY",$L$7)*1,0)</f>
        <v>-233</v>
      </c>
      <c r="K21" s="91">
        <f>IFERROR(_xll.BQL(Ticker,$B21,"FPT",$C$11,"FPO",K$11,"STD",$H$7,"CONSOL",$H$9, "CURRENCY",$L$7)*1,0)</f>
        <v>-270</v>
      </c>
      <c r="L21" s="91">
        <f>IFERROR(_xll.BQL(Ticker,$B21,"FPT",$C$11,"FPO",L$11,"STD",$H$7,"CONSOL",$H$9, "CURRENCY",$L$7)*1,0)</f>
        <v>-490</v>
      </c>
      <c r="M21" s="91">
        <f>IFERROR(_xll.BQL(Ticker,$B21,"FPT",$C$11,"FPO",M$11,"STD",$H$7,"CONSOL",$H$9, "CURRENCY",$L$7)*1,0)</f>
        <v>-598</v>
      </c>
      <c r="N21" s="91">
        <f>IFERROR(_xll.BQL(Ticker,$B21,"FPT",$C$11,"FPO",N$11,"STD",$H$7,"CONSOL",$H$9, "CURRENCY",$L$7)*1,0)</f>
        <v>-572</v>
      </c>
      <c r="O21" s="77"/>
    </row>
    <row r="22" spans="1:15" ht="15" customHeight="1">
      <c r="A22" s="77"/>
      <c r="B22" s="77" t="s">
        <v>449</v>
      </c>
      <c r="C22" s="79" t="s">
        <v>103</v>
      </c>
      <c r="D22" s="91">
        <f>IFERROR(_xll.BQL(Ticker,$B22,"FPT",$C$11,"FPO",D$11,"STD",$H$7,"CONSOL",$H$9, "CURRENCY",$L$7)*1,0)</f>
        <v>8.6</v>
      </c>
      <c r="E22" s="91">
        <f>IFERROR(_xll.BQL(Ticker,$B22,"FPT",$C$11,"FPO",E$11,"STD",$H$7,"CONSOL",$H$9, "CURRENCY",$L$7)*1,0)</f>
        <v>1</v>
      </c>
      <c r="F22" s="91">
        <f>IFERROR(_xll.BQL(Ticker,$B22,"FPT",$C$11,"FPO",F$11,"STD",$H$7,"CONSOL",$H$9, "CURRENCY",$L$7)*1,0)</f>
        <v>61</v>
      </c>
      <c r="G22" s="91">
        <f>IFERROR(_xll.BQL(Ticker,$B22,"FPT",$C$11,"FPO",G$11,"STD",$H$7,"CONSOL",$H$9, "CURRENCY",$L$7)*1,0)</f>
        <v>67</v>
      </c>
      <c r="H22" s="91">
        <f>IFERROR(_xll.BQL(Ticker,$B22,"FPT",$C$11,"FPO",H$11,"STD",$H$7,"CONSOL",$H$9, "CURRENCY",$L$7)*1,0)</f>
        <v>0</v>
      </c>
      <c r="I22" s="91">
        <f>IFERROR(_xll.BQL(Ticker,$B22,"FPT",$C$11,"FPO",I$11,"STD",$H$7,"CONSOL",$H$9, "CURRENCY",$L$7)*1,0)</f>
        <v>0</v>
      </c>
      <c r="J22" s="91">
        <f>IFERROR(_xll.BQL(Ticker,$B22,"FPT",$C$11,"FPO",J$11,"STD",$H$7,"CONSOL",$H$9, "CURRENCY",$L$7)*1,0)</f>
        <v>0</v>
      </c>
      <c r="K22" s="91">
        <f>IFERROR(_xll.BQL(Ticker,$B22,"FPT",$C$11,"FPO",K$11,"STD",$H$7,"CONSOL",$H$9, "CURRENCY",$L$7)*1,0)</f>
        <v>0</v>
      </c>
      <c r="L22" s="91">
        <f>IFERROR(_xll.BQL(Ticker,$B22,"FPT",$C$11,"FPO",L$11,"STD",$H$7,"CONSOL",$H$9, "CURRENCY",$L$7)*1,0)</f>
        <v>0</v>
      </c>
      <c r="M22" s="91">
        <f>IFERROR(_xll.BQL(Ticker,$B22,"FPT",$C$11,"FPO",M$11,"STD",$H$7,"CONSOL",$H$9, "CURRENCY",$L$7)*1,0)</f>
        <v>0</v>
      </c>
      <c r="N22" s="91">
        <f>IFERROR(_xll.BQL(Ticker,$B22,"FPT",$C$11,"FPO",N$11,"STD",$H$7,"CONSOL",$H$9, "CURRENCY",$L$7)*1,0)</f>
        <v>0</v>
      </c>
      <c r="O22" s="77"/>
    </row>
    <row r="23" spans="1:15" ht="15" customHeight="1">
      <c r="A23" s="77"/>
      <c r="B23" s="77" t="s">
        <v>450</v>
      </c>
      <c r="C23" s="79" t="s">
        <v>104</v>
      </c>
      <c r="D23" s="91">
        <f>IFERROR(_xll.BQL(Ticker,$B23,"FPT",$C$11,"FPO",D$11,"STD",$H$7,"CONSOL",$H$9, "CURRENCY",$L$7)*1,0)</f>
        <v>0</v>
      </c>
      <c r="E23" s="91">
        <f>IFERROR(_xll.BQL(Ticker,$B23,"FPT",$C$11,"FPO",E$11,"STD",$H$7,"CONSOL",$H$9, "CURRENCY",$L$7)*1,0)</f>
        <v>0</v>
      </c>
      <c r="F23" s="91">
        <f>IFERROR(_xll.BQL(Ticker,$B23,"FPT",$C$11,"FPO",F$11,"STD",$H$7,"CONSOL",$H$9, "CURRENCY",$L$7)*1,0)</f>
        <v>0</v>
      </c>
      <c r="G23" s="91">
        <f>IFERROR(_xll.BQL(Ticker,$B23,"FPT",$C$11,"FPO",G$11,"STD",$H$7,"CONSOL",$H$9, "CURRENCY",$L$7)*1,0)</f>
        <v>0</v>
      </c>
      <c r="H23" s="91">
        <f>IFERROR(_xll.BQL(Ticker,$B23,"FPT",$C$11,"FPO",H$11,"STD",$H$7,"CONSOL",$H$9, "CURRENCY",$L$7)*1,0)</f>
        <v>0</v>
      </c>
      <c r="I23" s="91">
        <f>IFERROR(_xll.BQL(Ticker,$B23,"FPT",$C$11,"FPO",I$11,"STD",$H$7,"CONSOL",$H$9, "CURRENCY",$L$7)*1,0)</f>
        <v>0</v>
      </c>
      <c r="J23" s="91">
        <f>IFERROR(_xll.BQL(Ticker,$B23,"FPT",$C$11,"FPO",J$11,"STD",$H$7,"CONSOL",$H$9, "CURRENCY",$L$7)*1,0)</f>
        <v>0</v>
      </c>
      <c r="K23" s="91">
        <f>IFERROR(_xll.BQL(Ticker,$B23,"FPT",$C$11,"FPO",K$11,"STD",$H$7,"CONSOL",$H$9, "CURRENCY",$L$7)*1,0)</f>
        <v>0</v>
      </c>
      <c r="L23" s="91">
        <f>IFERROR(_xll.BQL(Ticker,$B23,"FPT",$C$11,"FPO",L$11,"STD",$H$7,"CONSOL",$H$9, "CURRENCY",$L$7)*1,0)</f>
        <v>0</v>
      </c>
      <c r="M23" s="91">
        <f>IFERROR(_xll.BQL(Ticker,$B23,"FPT",$C$11,"FPO",M$11,"STD",$H$7,"CONSOL",$H$9, "CURRENCY",$L$7)*1,0)</f>
        <v>0</v>
      </c>
      <c r="N23" s="91">
        <f>IFERROR(_xll.BQL(Ticker,$B23,"FPT",$C$11,"FPO",N$11,"STD",$H$7,"CONSOL",$H$9, "CURRENCY",$L$7)*1,0)</f>
        <v>0</v>
      </c>
      <c r="O23" s="77"/>
    </row>
    <row r="24" spans="1:15" ht="15" customHeight="1">
      <c r="A24" s="77"/>
      <c r="B24" s="77" t="s">
        <v>451</v>
      </c>
      <c r="C24" s="79" t="s">
        <v>160</v>
      </c>
      <c r="D24" s="91">
        <f>IFERROR(_xll.BQL(Ticker,$B24,"FPT",$C$11,"FPO",D$11,"STD",$H$7,"CONSOL",$H$9, "CURRENCY",$L$7)*1,0)</f>
        <v>0</v>
      </c>
      <c r="E24" s="91">
        <f>IFERROR(_xll.BQL(Ticker,$B24,"FPT",$C$11,"FPO",E$11,"STD",$H$7,"CONSOL",$H$9, "CURRENCY",$L$7)*1,0)</f>
        <v>0</v>
      </c>
      <c r="F24" s="91">
        <f>IFERROR(_xll.BQL(Ticker,$B24,"FPT",$C$11,"FPO",F$11,"STD",$H$7,"CONSOL",$H$9, "CURRENCY",$L$7)*1,0)</f>
        <v>0</v>
      </c>
      <c r="G24" s="91">
        <f>IFERROR(_xll.BQL(Ticker,$B24,"FPT",$C$11,"FPO",G$11,"STD",$H$7,"CONSOL",$H$9, "CURRENCY",$L$7)*1,0)</f>
        <v>0</v>
      </c>
      <c r="H24" s="91">
        <f>IFERROR(_xll.BQL(Ticker,$B24,"FPT",$C$11,"FPO",H$11,"STD",$H$7,"CONSOL",$H$9, "CURRENCY",$L$7)*1,0)</f>
        <v>0</v>
      </c>
      <c r="I24" s="91">
        <f>IFERROR(_xll.BQL(Ticker,$B24,"FPT",$C$11,"FPO",I$11,"STD",$H$7,"CONSOL",$H$9, "CURRENCY",$L$7)*1,0)</f>
        <v>0</v>
      </c>
      <c r="J24" s="91">
        <f>IFERROR(_xll.BQL(Ticker,$B24,"FPT",$C$11,"FPO",J$11,"STD",$H$7,"CONSOL",$H$9, "CURRENCY",$L$7)*1,0)</f>
        <v>0</v>
      </c>
      <c r="K24" s="91">
        <f>IFERROR(_xll.BQL(Ticker,$B24,"FPT",$C$11,"FPO",K$11,"STD",$H$7,"CONSOL",$H$9, "CURRENCY",$L$7)*1,0)</f>
        <v>0</v>
      </c>
      <c r="L24" s="91">
        <f>IFERROR(_xll.BQL(Ticker,$B24,"FPT",$C$11,"FPO",L$11,"STD",$H$7,"CONSOL",$H$9, "CURRENCY",$L$7)*1,0)</f>
        <v>0</v>
      </c>
      <c r="M24" s="91">
        <f>IFERROR(_xll.BQL(Ticker,$B24,"FPT",$C$11,"FPO",M$11,"STD",$H$7,"CONSOL",$H$9, "CURRENCY",$L$7)*1,0)</f>
        <v>0</v>
      </c>
      <c r="N24" s="91">
        <f>IFERROR(_xll.BQL(Ticker,$B24,"FPT",$C$11,"FPO",N$11,"STD",$H$7,"CONSOL",$H$9, "CURRENCY",$L$7)*1,0)</f>
        <v>0</v>
      </c>
      <c r="O24" s="77"/>
    </row>
    <row r="25" spans="1:15" ht="15" customHeight="1">
      <c r="A25" s="77"/>
      <c r="B25" s="84" t="s">
        <v>502</v>
      </c>
      <c r="C25" s="79" t="s">
        <v>105</v>
      </c>
      <c r="D25" s="91">
        <f>IFERROR(_xll.BQL(Ticker,$B25,"FPT",$C$11,"FPO",D$11,"STD",$H$7,"CONSOL",$H$9, "CURRENCY",$L$7)*1,0)</f>
        <v>0</v>
      </c>
      <c r="E25" s="91">
        <f>IFERROR(_xll.BQL(Ticker,$B25,"FPT",$C$11,"FPO",E$11,"STD",$H$7,"CONSOL",$H$9, "CURRENCY",$L$7)*1,0)</f>
        <v>0</v>
      </c>
      <c r="F25" s="91">
        <f>IFERROR(_xll.BQL(Ticker,$B25,"FPT",$C$11,"FPO",F$11,"STD",$H$7,"CONSOL",$H$9, "CURRENCY",$L$7)*1,0)</f>
        <v>0</v>
      </c>
      <c r="G25" s="91">
        <f>IFERROR(_xll.BQL(Ticker,$B25,"FPT",$C$11,"FPO",G$11,"STD",$H$7,"CONSOL",$H$9, "CURRENCY",$L$7)*1,0)</f>
        <v>0</v>
      </c>
      <c r="H25" s="91">
        <f>IFERROR(_xll.BQL(Ticker,$B25,"FPT",$C$11,"FPO",H$11,"STD",$H$7,"CONSOL",$H$9, "CURRENCY",$L$7)*1,0)</f>
        <v>0</v>
      </c>
      <c r="I25" s="91">
        <f>IFERROR(_xll.BQL(Ticker,$B25,"FPT",$C$11,"FPO",I$11,"STD",$H$7,"CONSOL",$H$9, "CURRENCY",$L$7)*1,0)</f>
        <v>0</v>
      </c>
      <c r="J25" s="91">
        <f>IFERROR(_xll.BQL(Ticker,$B25,"FPT",$C$11,"FPO",J$11,"STD",$H$7,"CONSOL",$H$9, "CURRENCY",$L$7)*1,0)</f>
        <v>0</v>
      </c>
      <c r="K25" s="91">
        <f>IFERROR(_xll.BQL(Ticker,$B25,"FPT",$C$11,"FPO",K$11,"STD",$H$7,"CONSOL",$H$9, "CURRENCY",$L$7)*1,0)</f>
        <v>0</v>
      </c>
      <c r="L25" s="91">
        <f>IFERROR(_xll.BQL(Ticker,$B25,"FPT",$C$11,"FPO",L$11,"STD",$H$7,"CONSOL",$H$9, "CURRENCY",$L$7)*1,0)</f>
        <v>0</v>
      </c>
      <c r="M25" s="91">
        <f>IFERROR(_xll.BQL(Ticker,$B25,"FPT",$C$11,"FPO",M$11,"STD",$H$7,"CONSOL",$H$9, "CURRENCY",$L$7)*1,0)</f>
        <v>0</v>
      </c>
      <c r="N25" s="91">
        <f>IFERROR(_xll.BQL(Ticker,$B25,"FPT",$C$11,"FPO",N$11,"STD",$H$7,"CONSOL",$H$9, "CURRENCY",$L$7)*1,0)</f>
        <v>0</v>
      </c>
      <c r="O25" s="77"/>
    </row>
    <row r="26" spans="1:15" ht="15" customHeight="1">
      <c r="A26" s="77"/>
      <c r="B26" s="84" t="s">
        <v>450</v>
      </c>
      <c r="C26" s="79" t="s">
        <v>106</v>
      </c>
      <c r="D26" s="91">
        <f>IFERROR(_xll.BQL(Ticker,$B26,"FPT",$C$11,"FPO",D$11,"STD",$H$7,"CONSOL",$H$9, "CURRENCY",$L$7)*1,0)</f>
        <v>0</v>
      </c>
      <c r="E26" s="91">
        <f>IFERROR(_xll.BQL(Ticker,$B26,"FPT",$C$11,"FPO",E$11,"STD",$H$7,"CONSOL",$H$9, "CURRENCY",$L$7)*1,0)</f>
        <v>0</v>
      </c>
      <c r="F26" s="91">
        <f>IFERROR(_xll.BQL(Ticker,$B26,"FPT",$C$11,"FPO",F$11,"STD",$H$7,"CONSOL",$H$9, "CURRENCY",$L$7)*1,0)</f>
        <v>0</v>
      </c>
      <c r="G26" s="91">
        <f>IFERROR(_xll.BQL(Ticker,$B26,"FPT",$C$11,"FPO",G$11,"STD",$H$7,"CONSOL",$H$9, "CURRENCY",$L$7)*1,0)</f>
        <v>0</v>
      </c>
      <c r="H26" s="91">
        <f>IFERROR(_xll.BQL(Ticker,$B26,"FPT",$C$11,"FPO",H$11,"STD",$H$7,"CONSOL",$H$9, "CURRENCY",$L$7)*1,0)</f>
        <v>0</v>
      </c>
      <c r="I26" s="91">
        <f>IFERROR(_xll.BQL(Ticker,$B26,"FPT",$C$11,"FPO",I$11,"STD",$H$7,"CONSOL",$H$9, "CURRENCY",$L$7)*1,0)</f>
        <v>0</v>
      </c>
      <c r="J26" s="91">
        <f>IFERROR(_xll.BQL(Ticker,$B26,"FPT",$C$11,"FPO",J$11,"STD",$H$7,"CONSOL",$H$9, "CURRENCY",$L$7)*1,0)</f>
        <v>0</v>
      </c>
      <c r="K26" s="91">
        <f>IFERROR(_xll.BQL(Ticker,$B26,"FPT",$C$11,"FPO",K$11,"STD",$H$7,"CONSOL",$H$9, "CURRENCY",$L$7)*1,0)</f>
        <v>0</v>
      </c>
      <c r="L26" s="91">
        <f>IFERROR(_xll.BQL(Ticker,$B26,"FPT",$C$11,"FPO",L$11,"STD",$H$7,"CONSOL",$H$9, "CURRENCY",$L$7)*1,0)</f>
        <v>0</v>
      </c>
      <c r="M26" s="91">
        <f>IFERROR(_xll.BQL(Ticker,$B26,"FPT",$C$11,"FPO",M$11,"STD",$H$7,"CONSOL",$H$9, "CURRENCY",$L$7)*1,0)</f>
        <v>0</v>
      </c>
      <c r="N26" s="91">
        <f>IFERROR(_xll.BQL(Ticker,$B26,"FPT",$C$11,"FPO",N$11,"STD",$H$7,"CONSOL",$H$9, "CURRENCY",$L$7)*1,0)</f>
        <v>0</v>
      </c>
      <c r="O26" s="77"/>
    </row>
    <row r="27" spans="1:15" ht="15" customHeight="1">
      <c r="A27" s="77"/>
      <c r="B27" s="77" t="s">
        <v>452</v>
      </c>
      <c r="C27" s="79" t="s">
        <v>107</v>
      </c>
      <c r="D27" s="91">
        <f>IFERROR(_xll.BQL(Ticker,$B27,"FPT",$C$11,"FPO",D$11,"STD",$H$7,"CONSOL",$H$9, "CURRENCY",$L$7)*1,0)-SUM(D25:D26)</f>
        <v>0</v>
      </c>
      <c r="E27" s="91">
        <f>IFERROR(_xll.BQL(Ticker,$B27,"FPT",$C$11,"FPO",E$11,"STD",$H$7,"CONSOL",$H$9, "CURRENCY",$L$7)*1,0)-SUM(E25:E26)</f>
        <v>0</v>
      </c>
      <c r="F27" s="91">
        <f>IFERROR(_xll.BQL(Ticker,$B27,"FPT",$C$11,"FPO",F$11,"STD",$H$7,"CONSOL",$H$9, "CURRENCY",$L$7)*1,0)-SUM(F25:F26)</f>
        <v>0</v>
      </c>
      <c r="G27" s="91">
        <f>IFERROR(_xll.BQL(Ticker,$B27,"FPT",$C$11,"FPO",G$11,"STD",$H$7,"CONSOL",$H$9, "CURRENCY",$L$7)*1,0)-SUM(G25:G26)</f>
        <v>0</v>
      </c>
      <c r="H27" s="91">
        <f>IFERROR(_xll.BQL(Ticker,$B27,"FPT",$C$11,"FPO",H$11,"STD",$H$7,"CONSOL",$H$9, "CURRENCY",$L$7)*1,0)-SUM(H25:H26)</f>
        <v>0</v>
      </c>
      <c r="I27" s="91">
        <f>IFERROR(_xll.BQL(Ticker,$B27,"FPT",$C$11,"FPO",I$11,"STD",$H$7,"CONSOL",$H$9, "CURRENCY",$L$7)*1,0)-SUM(I25:I26)</f>
        <v>0</v>
      </c>
      <c r="J27" s="91">
        <f>IFERROR(_xll.BQL(Ticker,$B27,"FPT",$C$11,"FPO",J$11,"STD",$H$7,"CONSOL",$H$9, "CURRENCY",$L$7)*1,0)-SUM(J25:J26)</f>
        <v>0</v>
      </c>
      <c r="K27" s="91">
        <f>IFERROR(_xll.BQL(Ticker,$B27,"FPT",$C$11,"FPO",K$11,"STD",$H$7,"CONSOL",$H$9, "CURRENCY",$L$7)*1,0)-SUM(K25:K26)</f>
        <v>0</v>
      </c>
      <c r="L27" s="91">
        <f>IFERROR(_xll.BQL(Ticker,$B27,"FPT",$C$11,"FPO",L$11,"STD",$H$7,"CONSOL",$H$9, "CURRENCY",$L$7)*1,0)-SUM(L25:L26)</f>
        <v>0</v>
      </c>
      <c r="M27" s="91">
        <f>IFERROR(_xll.BQL(Ticker,$B27,"FPT",$C$11,"FPO",M$11,"STD",$H$7,"CONSOL",$H$9, "CURRENCY",$L$7)*1,0)-SUM(M25:M26)</f>
        <v>0</v>
      </c>
      <c r="N27" s="91">
        <f>IFERROR(_xll.BQL(Ticker,$B27,"FPT",$C$11,"FPO",N$11,"STD",$H$7,"CONSOL",$H$9, "CURRENCY",$L$7)*1,0)-SUM(N25:N26)</f>
        <v>0</v>
      </c>
      <c r="O27" s="77"/>
    </row>
    <row r="28" spans="1:15" ht="15" customHeight="1" thickBot="1">
      <c r="A28" s="77"/>
      <c r="B28" s="77"/>
      <c r="C28" s="93" t="s">
        <v>108</v>
      </c>
      <c r="D28" s="86">
        <f t="shared" ref="D28:I28" si="2">SUM(D21:D27)</f>
        <v>-146.6</v>
      </c>
      <c r="E28" s="86">
        <f t="shared" si="2"/>
        <v>-130</v>
      </c>
      <c r="F28" s="86">
        <f t="shared" si="2"/>
        <v>-121</v>
      </c>
      <c r="G28" s="86">
        <f t="shared" si="2"/>
        <v>-159</v>
      </c>
      <c r="H28" s="86">
        <f t="shared" si="2"/>
        <v>-210</v>
      </c>
      <c r="I28" s="86">
        <f t="shared" si="2"/>
        <v>-195</v>
      </c>
      <c r="J28" s="86">
        <f>SUM(J21:J27)</f>
        <v>-233</v>
      </c>
      <c r="K28" s="86">
        <f>SUM(K21:K27)</f>
        <v>-270</v>
      </c>
      <c r="L28" s="86">
        <f>SUM(L21:L27)</f>
        <v>-490</v>
      </c>
      <c r="M28" s="86">
        <f>SUM(M21:M27)</f>
        <v>-598</v>
      </c>
      <c r="N28" s="86">
        <f>SUM(N21:N27)</f>
        <v>-572</v>
      </c>
      <c r="O28" s="77"/>
    </row>
    <row r="29" spans="1:15" ht="15" customHeight="1" thickTop="1">
      <c r="A29" s="77"/>
      <c r="B29" s="77"/>
      <c r="C29" s="79"/>
      <c r="D29" s="87"/>
      <c r="E29" s="87"/>
      <c r="F29" s="87"/>
      <c r="G29" s="87"/>
      <c r="H29" s="87"/>
      <c r="I29" s="87"/>
      <c r="J29" s="87"/>
      <c r="K29" s="87"/>
      <c r="L29" s="87"/>
      <c r="M29" s="87"/>
      <c r="N29" s="87"/>
      <c r="O29" s="77"/>
    </row>
    <row r="30" spans="1:15" ht="15" customHeight="1">
      <c r="A30" s="77"/>
      <c r="B30" s="77" t="s">
        <v>453</v>
      </c>
      <c r="C30" s="79" t="s">
        <v>154</v>
      </c>
      <c r="D30" s="91">
        <f>IFERROR(_xll.BQL(Ticker,$B30,"FPT",$C$11,"FPO",D$11,"STD",$H$7,"CONSOL",$H$9, "CURRENCY",$L$7)*1,0)</f>
        <v>0</v>
      </c>
      <c r="E30" s="91">
        <f>IFERROR(_xll.BQL(Ticker,$B30,"FPT",$C$11,"FPO",E$11,"STD",$H$7,"CONSOL",$H$9, "CURRENCY",$L$7)*1,0)</f>
        <v>0</v>
      </c>
      <c r="F30" s="91">
        <f>IFERROR(_xll.BQL(Ticker,$B30,"FPT",$C$11,"FPO",F$11,"STD",$H$7,"CONSOL",$H$9, "CURRENCY",$L$7)*1,0)</f>
        <v>0</v>
      </c>
      <c r="G30" s="91">
        <f>IFERROR(_xll.BQL(Ticker,$B30,"FPT",$C$11,"FPO",G$11,"STD",$H$7,"CONSOL",$H$9, "CURRENCY",$L$7)*1,0)</f>
        <v>0</v>
      </c>
      <c r="H30" s="91">
        <f>IFERROR(_xll.BQL(Ticker,$B30,"FPT",$C$11,"FPO",H$11,"STD",$H$7,"CONSOL",$H$9, "CURRENCY",$L$7)*1,0)</f>
        <v>0</v>
      </c>
      <c r="I30" s="91">
        <f>IFERROR(_xll.BQL(Ticker,$B30,"FPT",$C$11,"FPO",I$11,"STD",$H$7,"CONSOL",$H$9, "CURRENCY",$L$7)*1,0)</f>
        <v>0</v>
      </c>
      <c r="J30" s="91">
        <f>IFERROR(_xll.BQL(Ticker,$B30,"FPT",$C$11,"FPO",J$11,"STD",$H$7,"CONSOL",$H$9, "CURRENCY",$L$7)*1,0)</f>
        <v>0</v>
      </c>
      <c r="K30" s="91">
        <f>IFERROR(_xll.BQL(Ticker,$B30,"FPT",$C$11,"FPO",K$11,"STD",$H$7,"CONSOL",$H$9, "CURRENCY",$L$7)*1,0)</f>
        <v>0</v>
      </c>
      <c r="L30" s="91">
        <f>IFERROR(_xll.BQL(Ticker,$B30,"FPT",$C$11,"FPO",L$11,"STD",$H$7,"CONSOL",$H$9, "CURRENCY",$L$7)*1,0)</f>
        <v>209</v>
      </c>
      <c r="M30" s="91">
        <f>IFERROR(_xll.BQL(Ticker,$B30,"FPT",$C$11,"FPO",M$11,"STD",$H$7,"CONSOL",$H$9, "CURRENCY",$L$7)*1,0)</f>
        <v>-200</v>
      </c>
      <c r="N30" s="91">
        <f>IFERROR(_xll.BQL(Ticker,$B30,"FPT",$C$11,"FPO",N$11,"STD",$H$7,"CONSOL",$H$9, "CURRENCY",$L$7)*1,0)</f>
        <v>-1</v>
      </c>
      <c r="O30" s="77"/>
    </row>
    <row r="31" spans="1:15" ht="15" customHeight="1">
      <c r="A31" s="77"/>
      <c r="B31" s="77" t="s">
        <v>454</v>
      </c>
      <c r="C31" s="79" t="s">
        <v>109</v>
      </c>
      <c r="D31" s="91">
        <f>IFERROR(_xll.BQL(Ticker,$B31,"FPT",$C$11,"FPO",D$11,"STD",$H$7,"CONSOL",$H$9, "CURRENCY",$L$7)*1,0)</f>
        <v>26</v>
      </c>
      <c r="E31" s="91">
        <f>IFERROR(_xll.BQL(Ticker,$B31,"FPT",$C$11,"FPO",E$11,"STD",$H$7,"CONSOL",$H$9, "CURRENCY",$L$7)*1,0)</f>
        <v>17</v>
      </c>
      <c r="F31" s="91">
        <f>IFERROR(_xll.BQL(Ticker,$B31,"FPT",$C$11,"FPO",F$11,"STD",$H$7,"CONSOL",$H$9, "CURRENCY",$L$7)*1,0)</f>
        <v>1096</v>
      </c>
      <c r="G31" s="91">
        <f>IFERROR(_xll.BQL(Ticker,$B31,"FPT",$C$11,"FPO",G$11,"STD",$H$7,"CONSOL",$H$9, "CURRENCY",$L$7)*1,0)</f>
        <v>927</v>
      </c>
      <c r="H31" s="91">
        <f>IFERROR(_xll.BQL(Ticker,$B31,"FPT",$C$11,"FPO",H$11,"STD",$H$7,"CONSOL",$H$9, "CURRENCY",$L$7)*1,0)</f>
        <v>178</v>
      </c>
      <c r="I31" s="91">
        <f>IFERROR(_xll.BQL(Ticker,$B31,"FPT",$C$11,"FPO",I$11,"STD",$H$7,"CONSOL",$H$9, "CURRENCY",$L$7)*1,0)</f>
        <v>1360</v>
      </c>
      <c r="J31" s="91">
        <f>IFERROR(_xll.BQL(Ticker,$B31,"FPT",$C$11,"FPO",J$11,"STD",$H$7,"CONSOL",$H$9, "CURRENCY",$L$7)*1,0)</f>
        <v>2587</v>
      </c>
      <c r="K31" s="91">
        <f>IFERROR(_xll.BQL(Ticker,$B31,"FPT",$C$11,"FPO",K$11,"STD",$H$7,"CONSOL",$H$9, "CURRENCY",$L$7)*1,0)</f>
        <v>2320</v>
      </c>
      <c r="L31" s="91">
        <f>IFERROR(_xll.BQL(Ticker,$B31,"FPT",$C$11,"FPO",L$11,"STD",$H$7,"CONSOL",$H$9, "CURRENCY",$L$7)*1,0)</f>
        <v>3453</v>
      </c>
      <c r="M31" s="91">
        <f>IFERROR(_xll.BQL(Ticker,$B31,"FPT",$C$11,"FPO",M$11,"STD",$H$7,"CONSOL",$H$9, "CURRENCY",$L$7)*1,0)</f>
        <v>499</v>
      </c>
      <c r="N31" s="91">
        <f>IFERROR(_xll.BQL(Ticker,$B31,"FPT",$C$11,"FPO",N$11,"STD",$H$7,"CONSOL",$H$9, "CURRENCY",$L$7)*1,0)</f>
        <v>3126</v>
      </c>
      <c r="O31" s="77"/>
    </row>
    <row r="32" spans="1:15" ht="15" customHeight="1">
      <c r="A32" s="77"/>
      <c r="B32" s="77" t="s">
        <v>455</v>
      </c>
      <c r="C32" s="79" t="s">
        <v>110</v>
      </c>
      <c r="D32" s="91">
        <f>IFERROR(_xll.BQL(Ticker,$B32,"FPT",$C$11,"FPO",D$11,"STD",$H$7,"CONSOL",$H$9, "CURRENCY",$L$7)*1,0)</f>
        <v>-19.3</v>
      </c>
      <c r="E32" s="91">
        <f>IFERROR(_xll.BQL(Ticker,$B32,"FPT",$C$11,"FPO",E$11,"STD",$H$7,"CONSOL",$H$9, "CURRENCY",$L$7)*1,0)</f>
        <v>-20</v>
      </c>
      <c r="F32" s="91">
        <f>IFERROR(_xll.BQL(Ticker,$B32,"FPT",$C$11,"FPO",F$11,"STD",$H$7,"CONSOL",$H$9, "CURRENCY",$L$7)*1,0)</f>
        <v>-81</v>
      </c>
      <c r="G32" s="91">
        <f>IFERROR(_xll.BQL(Ticker,$B32,"FPT",$C$11,"FPO",G$11,"STD",$H$7,"CONSOL",$H$9, "CURRENCY",$L$7)*1,0)</f>
        <v>-190</v>
      </c>
      <c r="H32" s="91">
        <f>IFERROR(_xll.BQL(Ticker,$B32,"FPT",$C$11,"FPO",H$11,"STD",$H$7,"CONSOL",$H$9, "CURRENCY",$L$7)*1,0)</f>
        <v>-182</v>
      </c>
      <c r="I32" s="91">
        <f>IFERROR(_xll.BQL(Ticker,$B32,"FPT",$C$11,"FPO",I$11,"STD",$H$7,"CONSOL",$H$9, "CURRENCY",$L$7)*1,0)</f>
        <v>-355</v>
      </c>
      <c r="J32" s="91">
        <f>IFERROR(_xll.BQL(Ticker,$B32,"FPT",$C$11,"FPO",J$11,"STD",$H$7,"CONSOL",$H$9, "CURRENCY",$L$7)*1,0)</f>
        <v>-1428</v>
      </c>
      <c r="K32" s="91">
        <f>IFERROR(_xll.BQL(Ticker,$B32,"FPT",$C$11,"FPO",K$11,"STD",$H$7,"CONSOL",$H$9, "CURRENCY",$L$7)*1,0)</f>
        <v>-2272</v>
      </c>
      <c r="L32" s="91">
        <f>IFERROR(_xll.BQL(Ticker,$B32,"FPT",$C$11,"FPO",L$11,"STD",$H$7,"CONSOL",$H$9, "CURRENCY",$L$7)*1,0)</f>
        <v>-750</v>
      </c>
      <c r="M32" s="91">
        <f>IFERROR(_xll.BQL(Ticker,$B32,"FPT",$C$11,"FPO",M$11,"STD",$H$7,"CONSOL",$H$9, "CURRENCY",$L$7)*1,0)</f>
        <v>0</v>
      </c>
      <c r="N32" s="91">
        <f>IFERROR(_xll.BQL(Ticker,$B32,"FPT",$C$11,"FPO",N$11,"STD",$H$7,"CONSOL",$H$9, "CURRENCY",$L$7)*1,0)</f>
        <v>-669</v>
      </c>
      <c r="O32" s="77"/>
    </row>
    <row r="33" spans="1:15" ht="15" customHeight="1">
      <c r="A33" s="77"/>
      <c r="B33" s="77"/>
      <c r="C33" s="92" t="s">
        <v>153</v>
      </c>
      <c r="D33" s="88">
        <f t="shared" ref="D33:I33" si="3">SUM(D30:D32)</f>
        <v>6.6999999999999993</v>
      </c>
      <c r="E33" s="88">
        <f t="shared" si="3"/>
        <v>-3</v>
      </c>
      <c r="F33" s="88">
        <f t="shared" si="3"/>
        <v>1015</v>
      </c>
      <c r="G33" s="88">
        <f t="shared" si="3"/>
        <v>737</v>
      </c>
      <c r="H33" s="88">
        <f t="shared" si="3"/>
        <v>-4</v>
      </c>
      <c r="I33" s="88">
        <f t="shared" si="3"/>
        <v>1005</v>
      </c>
      <c r="J33" s="88">
        <f>SUM(J30:J32)</f>
        <v>1159</v>
      </c>
      <c r="K33" s="88">
        <f>SUM(K30:K32)</f>
        <v>48</v>
      </c>
      <c r="L33" s="88">
        <f>SUM(L30:L32)</f>
        <v>2912</v>
      </c>
      <c r="M33" s="88">
        <f>SUM(M30:M32)</f>
        <v>299</v>
      </c>
      <c r="N33" s="88">
        <f>SUM(N30:N32)</f>
        <v>2456</v>
      </c>
      <c r="O33" s="77"/>
    </row>
    <row r="34" spans="1:15" ht="15" customHeight="1">
      <c r="A34" s="77"/>
      <c r="B34" s="77"/>
      <c r="C34" s="79"/>
      <c r="D34" s="87"/>
      <c r="E34" s="87"/>
      <c r="F34" s="87"/>
      <c r="G34" s="87"/>
      <c r="H34" s="87"/>
      <c r="I34" s="87"/>
      <c r="J34" s="87"/>
      <c r="K34" s="87"/>
      <c r="L34" s="87"/>
      <c r="M34" s="87"/>
      <c r="N34" s="87"/>
      <c r="O34" s="77"/>
    </row>
    <row r="35" spans="1:15" ht="15" customHeight="1">
      <c r="A35" s="77"/>
      <c r="B35" s="77" t="s">
        <v>456</v>
      </c>
      <c r="C35" s="79" t="s">
        <v>111</v>
      </c>
      <c r="D35" s="91">
        <f>IFERROR(_xll.BQL(Ticker,$B35,"FPT",$C$11,"FPO",D$11,"STD",$H$7,"CONSOL",$H$9, "CURRENCY",$L$7)*1,0)-D40</f>
        <v>-135.6</v>
      </c>
      <c r="E35" s="91">
        <f>IFERROR(_xll.BQL(Ticker,$B35,"FPT",$C$11,"FPO",E$11,"STD",$H$7,"CONSOL",$H$9, "CURRENCY",$L$7)*1,0)-E40</f>
        <v>-198</v>
      </c>
      <c r="F35" s="91">
        <f>IFERROR(_xll.BQL(Ticker,$B35,"FPT",$C$11,"FPO",F$11,"STD",$H$7,"CONSOL",$H$9, "CURRENCY",$L$7)*1,0)-F40</f>
        <v>-238</v>
      </c>
      <c r="G35" s="91">
        <f>IFERROR(_xll.BQL(Ticker,$B35,"FPT",$C$11,"FPO",G$11,"STD",$H$7,"CONSOL",$H$9, "CURRENCY",$L$7)*1,0)-G40</f>
        <v>-279</v>
      </c>
      <c r="H35" s="91">
        <f>IFERROR(_xll.BQL(Ticker,$B35,"FPT",$C$11,"FPO",H$11,"STD",$H$7,"CONSOL",$H$9, "CURRENCY",$L$7)*1,0)-H40</f>
        <v>-324</v>
      </c>
      <c r="I35" s="91">
        <f>IFERROR(_xll.BQL(Ticker,$B35,"FPT",$C$11,"FPO",I$11,"STD",$H$7,"CONSOL",$H$9, "CURRENCY",$L$7)*1,0)-I40</f>
        <v>-401</v>
      </c>
      <c r="J35" s="91">
        <f>IFERROR(_xll.BQL(Ticker,$B35,"FPT",$C$11,"FPO",J$11,"STD",$H$7,"CONSOL",$H$9, "CURRENCY",$L$7)*1,0)-J40</f>
        <v>-462</v>
      </c>
      <c r="K35" s="91">
        <f>IFERROR(_xll.BQL(Ticker,$B35,"FPT",$C$11,"FPO",K$11,"STD",$H$7,"CONSOL",$H$9, "CURRENCY",$L$7)*1,0)-K40</f>
        <v>-521</v>
      </c>
      <c r="L35" s="91">
        <f>IFERROR(_xll.BQL(Ticker,$B35,"FPT",$C$11,"FPO",L$11,"STD",$H$7,"CONSOL",$H$9, "CURRENCY",$L$7)*1,0)-L40</f>
        <v>-568</v>
      </c>
      <c r="M35" s="91">
        <f>IFERROR(_xll.BQL(Ticker,$B35,"FPT",$C$11,"FPO",M$11,"STD",$H$7,"CONSOL",$H$9, "CURRENCY",$L$7)*1,0)-M40</f>
        <v>-636</v>
      </c>
      <c r="N35" s="91">
        <f>IFERROR(_xll.BQL(Ticker,$B35,"FPT",$C$11,"FPO",N$11,"STD",$H$7,"CONSOL",$H$9, "CURRENCY",$L$7)*1,0)-N40</f>
        <v>-703</v>
      </c>
      <c r="O35" s="77"/>
    </row>
    <row r="36" spans="1:15" ht="15" customHeight="1">
      <c r="A36" s="77"/>
      <c r="B36" s="77"/>
      <c r="C36" s="92" t="s">
        <v>112</v>
      </c>
      <c r="D36" s="88">
        <f t="shared" ref="D36:I36" si="4">D35</f>
        <v>-135.6</v>
      </c>
      <c r="E36" s="88">
        <f t="shared" si="4"/>
        <v>-198</v>
      </c>
      <c r="F36" s="88">
        <f t="shared" si="4"/>
        <v>-238</v>
      </c>
      <c r="G36" s="88">
        <f t="shared" si="4"/>
        <v>-279</v>
      </c>
      <c r="H36" s="88">
        <f t="shared" si="4"/>
        <v>-324</v>
      </c>
      <c r="I36" s="88">
        <f t="shared" si="4"/>
        <v>-401</v>
      </c>
      <c r="J36" s="88">
        <f>J35</f>
        <v>-462</v>
      </c>
      <c r="K36" s="88">
        <f>K35</f>
        <v>-521</v>
      </c>
      <c r="L36" s="88">
        <f>L35</f>
        <v>-568</v>
      </c>
      <c r="M36" s="88">
        <f>M35</f>
        <v>-636</v>
      </c>
      <c r="N36" s="88">
        <f>N35</f>
        <v>-703</v>
      </c>
      <c r="O36" s="77"/>
    </row>
    <row r="37" spans="1:15" ht="15" customHeight="1">
      <c r="A37" s="77"/>
      <c r="B37" s="77"/>
      <c r="C37" s="79"/>
      <c r="D37" s="87"/>
      <c r="E37" s="87"/>
      <c r="F37" s="87"/>
      <c r="G37" s="87"/>
      <c r="H37" s="87"/>
      <c r="I37" s="87"/>
      <c r="J37" s="87"/>
      <c r="K37" s="87"/>
      <c r="L37" s="87"/>
      <c r="M37" s="87"/>
      <c r="N37" s="87"/>
      <c r="O37" s="77"/>
    </row>
    <row r="38" spans="1:15" ht="15" customHeight="1">
      <c r="A38" s="77"/>
      <c r="B38" s="77" t="s">
        <v>457</v>
      </c>
      <c r="C38" s="79" t="s">
        <v>155</v>
      </c>
      <c r="D38" s="91">
        <f>IFERROR(_xll.BQL(Ticker,$B38,"FPT",$C$11,"FPO",D$11,"STD",$H$7,"CONSOL",$H$9, "CURRENCY",$L$7)*1,0)</f>
        <v>83.8</v>
      </c>
      <c r="E38" s="91">
        <f>IFERROR(_xll.BQL(Ticker,$B38,"FPT",$C$11,"FPO",E$11,"STD",$H$7,"CONSOL",$H$9, "CURRENCY",$L$7)*1,0)</f>
        <v>0</v>
      </c>
      <c r="F38" s="91">
        <f>IFERROR(_xll.BQL(Ticker,$B38,"FPT",$C$11,"FPO",F$11,"STD",$H$7,"CONSOL",$H$9, "CURRENCY",$L$7)*1,0)</f>
        <v>0</v>
      </c>
      <c r="G38" s="91">
        <f>IFERROR(_xll.BQL(Ticker,$B38,"FPT",$C$11,"FPO",G$11,"STD",$H$7,"CONSOL",$H$9, "CURRENCY",$L$7)*1,0)</f>
        <v>0</v>
      </c>
      <c r="H38" s="91">
        <f>IFERROR(_xll.BQL(Ticker,$B38,"FPT",$C$11,"FPO",H$11,"STD",$H$7,"CONSOL",$H$9, "CURRENCY",$L$7)*1,0)</f>
        <v>0</v>
      </c>
      <c r="I38" s="91">
        <f>IFERROR(_xll.BQL(Ticker,$B38,"FPT",$C$11,"FPO",I$11,"STD",$H$7,"CONSOL",$H$9, "CURRENCY",$L$7)*1,0)</f>
        <v>0</v>
      </c>
      <c r="J38" s="91">
        <f>IFERROR(_xll.BQL(Ticker,$B38,"FPT",$C$11,"FPO",J$11,"STD",$H$7,"CONSOL",$H$9, "CURRENCY",$L$7)*1,0)</f>
        <v>21</v>
      </c>
      <c r="K38" s="91">
        <f>IFERROR(_xll.BQL(Ticker,$B38,"FPT",$C$11,"FPO",K$11,"STD",$H$7,"CONSOL",$H$9, "CURRENCY",$L$7)*1,0)</f>
        <v>0</v>
      </c>
      <c r="L38" s="91">
        <f>IFERROR(_xll.BQL(Ticker,$B38,"FPT",$C$11,"FPO",L$11,"STD",$H$7,"CONSOL",$H$9, "CURRENCY",$L$7)*1,0)</f>
        <v>0</v>
      </c>
      <c r="M38" s="91">
        <f>IFERROR(_xll.BQL(Ticker,$B38,"FPT",$C$11,"FPO",M$11,"STD",$H$7,"CONSOL",$H$9, "CURRENCY",$L$7)*1,0)</f>
        <v>0</v>
      </c>
      <c r="N38" s="91">
        <f>IFERROR(_xll.BQL(Ticker,$B38,"FPT",$C$11,"FPO",N$11,"STD",$H$7,"CONSOL",$H$9, "CURRENCY",$L$7)*1,0)</f>
        <v>0</v>
      </c>
      <c r="O38" s="77"/>
    </row>
    <row r="39" spans="1:15" ht="15" customHeight="1">
      <c r="A39" s="77"/>
      <c r="B39" s="77" t="s">
        <v>458</v>
      </c>
      <c r="C39" s="79" t="s">
        <v>156</v>
      </c>
      <c r="D39" s="91">
        <f>IFERROR(_xll.BQL(Ticker,$B39,"FPT",$C$11,"FPO",D$11,"STD",$H$7,"CONSOL",$H$9, "CURRENCY",$L$7)*1,0)</f>
        <v>-1000</v>
      </c>
      <c r="E39" s="91">
        <f>IFERROR(_xll.BQL(Ticker,$B39,"FPT",$C$11,"FPO",E$11,"STD",$H$7,"CONSOL",$H$9, "CURRENCY",$L$7)*1,0)</f>
        <v>0</v>
      </c>
      <c r="F39" s="91">
        <f>IFERROR(_xll.BQL(Ticker,$B39,"FPT",$C$11,"FPO",F$11,"STD",$H$7,"CONSOL",$H$9, "CURRENCY",$L$7)*1,0)</f>
        <v>-426</v>
      </c>
      <c r="G39" s="91">
        <f>IFERROR(_xll.BQL(Ticker,$B39,"FPT",$C$11,"FPO",G$11,"STD",$H$7,"CONSOL",$H$9, "CURRENCY",$L$7)*1,0)</f>
        <v>-622</v>
      </c>
      <c r="H39" s="91">
        <f>IFERROR(_xll.BQL(Ticker,$B39,"FPT",$C$11,"FPO",H$11,"STD",$H$7,"CONSOL",$H$9, "CURRENCY",$L$7)*1,0)</f>
        <v>-108</v>
      </c>
      <c r="I39" s="91">
        <f>IFERROR(_xll.BQL(Ticker,$B39,"FPT",$C$11,"FPO",I$11,"STD",$H$7,"CONSOL",$H$9, "CURRENCY",$L$7)*1,0)</f>
        <v>-317</v>
      </c>
      <c r="J39" s="91">
        <f>IFERROR(_xll.BQL(Ticker,$B39,"FPT",$C$11,"FPO",J$11,"STD",$H$7,"CONSOL",$H$9, "CURRENCY",$L$7)*1,0)</f>
        <v>-100</v>
      </c>
      <c r="K39" s="91">
        <f>IFERROR(_xll.BQL(Ticker,$B39,"FPT",$C$11,"FPO",K$11,"STD",$H$7,"CONSOL",$H$9, "CURRENCY",$L$7)*1,0)</f>
        <v>-700</v>
      </c>
      <c r="L39" s="91">
        <f>IFERROR(_xll.BQL(Ticker,$B39,"FPT",$C$11,"FPO",L$11,"STD",$H$7,"CONSOL",$H$9, "CURRENCY",$L$7)*1,0)</f>
        <v>-13</v>
      </c>
      <c r="M39" s="91">
        <f>IFERROR(_xll.BQL(Ticker,$B39,"FPT",$C$11,"FPO",M$11,"STD",$H$7,"CONSOL",$H$9, "CURRENCY",$L$7)*1,0)</f>
        <v>-230</v>
      </c>
      <c r="N39" s="91">
        <f>IFERROR(_xll.BQL(Ticker,$B39,"FPT",$C$11,"FPO",N$11,"STD",$H$7,"CONSOL",$H$9, "CURRENCY",$L$7)*1,0)</f>
        <v>-300</v>
      </c>
      <c r="O39" s="77"/>
    </row>
    <row r="40" spans="1:15" ht="15" customHeight="1">
      <c r="A40" s="77"/>
      <c r="B40" s="84" t="s">
        <v>503</v>
      </c>
      <c r="C40" s="79" t="s">
        <v>113</v>
      </c>
      <c r="D40" s="91">
        <f>IFERROR(_xll.BQL(Ticker,$B40,"FPT",$C$11,"FPO",D$11,"STD",$H$7,"CONSOL",$H$9, "CURRENCY",$L$7)*1,0)</f>
        <v>0</v>
      </c>
      <c r="E40" s="91">
        <f>IFERROR(_xll.BQL(Ticker,$B40,"FPT",$C$11,"FPO",E$11,"STD",$H$7,"CONSOL",$H$9, "CURRENCY",$L$7)*1,0)</f>
        <v>0</v>
      </c>
      <c r="F40" s="91">
        <f>IFERROR(_xll.BQL(Ticker,$B40,"FPT",$C$11,"FPO",F$11,"STD",$H$7,"CONSOL",$H$9, "CURRENCY",$L$7)*1,0)</f>
        <v>0</v>
      </c>
      <c r="G40" s="91">
        <f>IFERROR(_xll.BQL(Ticker,$B40,"FPT",$C$11,"FPO",G$11,"STD",$H$7,"CONSOL",$H$9, "CURRENCY",$L$7)*1,0)</f>
        <v>0</v>
      </c>
      <c r="H40" s="91">
        <f>IFERROR(_xll.BQL(Ticker,$B40,"FPT",$C$11,"FPO",H$11,"STD",$H$7,"CONSOL",$H$9, "CURRENCY",$L$7)*1,0)</f>
        <v>0</v>
      </c>
      <c r="I40" s="91">
        <f>IFERROR(_xll.BQL(Ticker,$B40,"FPT",$C$11,"FPO",I$11,"STD",$H$7,"CONSOL",$H$9, "CURRENCY",$L$7)*1,0)</f>
        <v>0</v>
      </c>
      <c r="J40" s="91">
        <f>IFERROR(_xll.BQL(Ticker,$B40,"FPT",$C$11,"FPO",J$11,"STD",$H$7,"CONSOL",$H$9, "CURRENCY",$L$7)*1,0)</f>
        <v>0</v>
      </c>
      <c r="K40" s="91">
        <f>IFERROR(_xll.BQL(Ticker,$B40,"FPT",$C$11,"FPO",K$11,"STD",$H$7,"CONSOL",$H$9, "CURRENCY",$L$7)*1,0)</f>
        <v>0</v>
      </c>
      <c r="L40" s="91">
        <f>IFERROR(_xll.BQL(Ticker,$B40,"FPT",$C$11,"FPO",L$11,"STD",$H$7,"CONSOL",$H$9, "CURRENCY",$L$7)*1,0)</f>
        <v>0</v>
      </c>
      <c r="M40" s="91">
        <f>IFERROR(_xll.BQL(Ticker,$B40,"FPT",$C$11,"FPO",M$11,"STD",$H$7,"CONSOL",$H$9, "CURRENCY",$L$7)*1,0)</f>
        <v>0</v>
      </c>
      <c r="N40" s="91">
        <f>IFERROR(_xll.BQL(Ticker,$B40,"FPT",$C$11,"FPO",N$11,"STD",$H$7,"CONSOL",$H$9, "CURRENCY",$L$7)*1,0)</f>
        <v>0</v>
      </c>
      <c r="O40" s="77"/>
    </row>
    <row r="41" spans="1:15" ht="15" customHeight="1">
      <c r="A41" s="77"/>
      <c r="B41" s="77" t="s">
        <v>459</v>
      </c>
      <c r="C41" s="79" t="s">
        <v>161</v>
      </c>
      <c r="D41" s="91">
        <f>IFERROR(_xll.BQL(Ticker,$B41,"FPT",$C$11,"FPO",D$11,"STD",$H$7,"CONSOL",$H$9, "CURRENCY",$L$7)*1,0)</f>
        <v>0</v>
      </c>
      <c r="E41" s="91">
        <f>IFERROR(_xll.BQL(Ticker,$B41,"FPT",$C$11,"FPO",E$11,"STD",$H$7,"CONSOL",$H$9, "CURRENCY",$L$7)*1,0)</f>
        <v>0</v>
      </c>
      <c r="F41" s="91">
        <f>IFERROR(_xll.BQL(Ticker,$B41,"FPT",$C$11,"FPO",F$11,"STD",$H$7,"CONSOL",$H$9, "CURRENCY",$L$7)*1,0)</f>
        <v>0</v>
      </c>
      <c r="G41" s="91">
        <f>IFERROR(_xll.BQL(Ticker,$B41,"FPT",$C$11,"FPO",G$11,"STD",$H$7,"CONSOL",$H$9, "CURRENCY",$L$7)*1,0)</f>
        <v>0</v>
      </c>
      <c r="H41" s="91">
        <f>IFERROR(_xll.BQL(Ticker,$B41,"FPT",$C$11,"FPO",H$11,"STD",$H$7,"CONSOL",$H$9, "CURRENCY",$L$7)*1,0)</f>
        <v>0</v>
      </c>
      <c r="I41" s="91">
        <f>IFERROR(_xll.BQL(Ticker,$B41,"FPT",$C$11,"FPO",I$11,"STD",$H$7,"CONSOL",$H$9, "CURRENCY",$L$7)*1,0)</f>
        <v>0</v>
      </c>
      <c r="J41" s="91">
        <f>IFERROR(_xll.BQL(Ticker,$B41,"FPT",$C$11,"FPO",J$11,"STD",$H$7,"CONSOL",$H$9, "CURRENCY",$L$7)*1,0)</f>
        <v>0</v>
      </c>
      <c r="K41" s="91">
        <f>IFERROR(_xll.BQL(Ticker,$B41,"FPT",$C$11,"FPO",K$11,"STD",$H$7,"CONSOL",$H$9, "CURRENCY",$L$7)*1,0)</f>
        <v>0</v>
      </c>
      <c r="L41" s="91">
        <f>IFERROR(_xll.BQL(Ticker,$B41,"FPT",$C$11,"FPO",L$11,"STD",$H$7,"CONSOL",$H$9, "CURRENCY",$L$7)*1,0)</f>
        <v>0</v>
      </c>
      <c r="M41" s="91">
        <f>IFERROR(_xll.BQL(Ticker,$B41,"FPT",$C$11,"FPO",M$11,"STD",$H$7,"CONSOL",$H$9, "CURRENCY",$L$7)*1,0)</f>
        <v>0</v>
      </c>
      <c r="N41" s="91">
        <f>IFERROR(_xll.BQL(Ticker,$B41,"FPT",$C$11,"FPO",N$11,"STD",$H$7,"CONSOL",$H$9, "CURRENCY",$L$7)*1,0)</f>
        <v>0</v>
      </c>
      <c r="O41" s="77"/>
    </row>
    <row r="42" spans="1:15" ht="15" customHeight="1">
      <c r="A42" s="77"/>
      <c r="B42" s="77" t="s">
        <v>460</v>
      </c>
      <c r="C42" s="79" t="s">
        <v>162</v>
      </c>
      <c r="D42" s="91">
        <f>IFERROR(_xll.BQL(Ticker,$B42,"FPT",$C$11,"FPO",D$11,"STD",$H$7,"CONSOL",$H$9, "CURRENCY",$L$7)*1,0)</f>
        <v>0</v>
      </c>
      <c r="E42" s="91">
        <f>IFERROR(_xll.BQL(Ticker,$B42,"FPT",$C$11,"FPO",E$11,"STD",$H$7,"CONSOL",$H$9, "CURRENCY",$L$7)*1,0)</f>
        <v>0</v>
      </c>
      <c r="F42" s="91">
        <f>IFERROR(_xll.BQL(Ticker,$B42,"FPT",$C$11,"FPO",F$11,"STD",$H$7,"CONSOL",$H$9, "CURRENCY",$L$7)*1,0)</f>
        <v>0</v>
      </c>
      <c r="G42" s="91">
        <f>IFERROR(_xll.BQL(Ticker,$B42,"FPT",$C$11,"FPO",G$11,"STD",$H$7,"CONSOL",$H$9, "CURRENCY",$L$7)*1,0)</f>
        <v>0</v>
      </c>
      <c r="H42" s="91">
        <f>IFERROR(_xll.BQL(Ticker,$B42,"FPT",$C$11,"FPO",H$11,"STD",$H$7,"CONSOL",$H$9, "CURRENCY",$L$7)*1,0)</f>
        <v>0</v>
      </c>
      <c r="I42" s="91">
        <f>IFERROR(_xll.BQL(Ticker,$B42,"FPT",$C$11,"FPO",I$11,"STD",$H$7,"CONSOL",$H$9, "CURRENCY",$L$7)*1,0)</f>
        <v>0</v>
      </c>
      <c r="J42" s="91">
        <f>IFERROR(_xll.BQL(Ticker,$B42,"FPT",$C$11,"FPO",J$11,"STD",$H$7,"CONSOL",$H$9, "CURRENCY",$L$7)*1,0)</f>
        <v>0</v>
      </c>
      <c r="K42" s="91">
        <f>IFERROR(_xll.BQL(Ticker,$B42,"FPT",$C$11,"FPO",K$11,"STD",$H$7,"CONSOL",$H$9, "CURRENCY",$L$7)*1,0)</f>
        <v>0</v>
      </c>
      <c r="L42" s="91">
        <f>IFERROR(_xll.BQL(Ticker,$B42,"FPT",$C$11,"FPO",L$11,"STD",$H$7,"CONSOL",$H$9, "CURRENCY",$L$7)*1,0)</f>
        <v>0</v>
      </c>
      <c r="M42" s="91">
        <f>IFERROR(_xll.BQL(Ticker,$B42,"FPT",$C$11,"FPO",M$11,"STD",$H$7,"CONSOL",$H$9, "CURRENCY",$L$7)*1,0)</f>
        <v>0</v>
      </c>
      <c r="N42" s="91">
        <f>IFERROR(_xll.BQL(Ticker,$B42,"FPT",$C$11,"FPO",N$11,"STD",$H$7,"CONSOL",$H$9, "CURRENCY",$L$7)*1,0)</f>
        <v>0</v>
      </c>
      <c r="O42" s="77"/>
    </row>
    <row r="43" spans="1:15" ht="15" customHeight="1">
      <c r="A43" s="77"/>
      <c r="B43" s="77" t="s">
        <v>461</v>
      </c>
      <c r="C43" s="79" t="s">
        <v>114</v>
      </c>
      <c r="D43" s="91">
        <f>IFERROR(_xll.BQL(Ticker,$B43,"FPT",$C$11,"FPO",D$11,"STD",$H$7,"CONSOL",$H$9, "CURRENCY",$L$7)*1,0)</f>
        <v>-30.3</v>
      </c>
      <c r="E43" s="91">
        <f>IFERROR(_xll.BQL(Ticker,$B43,"FPT",$C$11,"FPO",E$11,"STD",$H$7,"CONSOL",$H$9, "CURRENCY",$L$7)*1,0)</f>
        <v>26</v>
      </c>
      <c r="F43" s="91">
        <f>IFERROR(_xll.BQL(Ticker,$B43,"FPT",$C$11,"FPO",F$11,"STD",$H$7,"CONSOL",$H$9, "CURRENCY",$L$7)*1,0)</f>
        <v>-4</v>
      </c>
      <c r="G43" s="91">
        <f>IFERROR(_xll.BQL(Ticker,$B43,"FPT",$C$11,"FPO",G$11,"STD",$H$7,"CONSOL",$H$9, "CURRENCY",$L$7)*1,0)</f>
        <v>12</v>
      </c>
      <c r="H43" s="91">
        <f>IFERROR(_xll.BQL(Ticker,$B43,"FPT",$C$11,"FPO",H$11,"STD",$H$7,"CONSOL",$H$9, "CURRENCY",$L$7)*1,0)</f>
        <v>5</v>
      </c>
      <c r="I43" s="91">
        <f>IFERROR(_xll.BQL(Ticker,$B43,"FPT",$C$11,"FPO",I$11,"STD",$H$7,"CONSOL",$H$9, "CURRENCY",$L$7)*1,0)</f>
        <v>-12</v>
      </c>
      <c r="J43" s="91">
        <f>IFERROR(_xll.BQL(Ticker,$B43,"FPT",$C$11,"FPO",J$11,"STD",$H$7,"CONSOL",$H$9, "CURRENCY",$L$7)*1,0)</f>
        <v>-66</v>
      </c>
      <c r="K43" s="91">
        <f>IFERROR(_xll.BQL(Ticker,$B43,"FPT",$C$11,"FPO",K$11,"STD",$H$7,"CONSOL",$H$9, "CURRENCY",$L$7)*1,0)</f>
        <v>-180</v>
      </c>
      <c r="L43" s="91">
        <f>IFERROR(_xll.BQL(Ticker,$B43,"FPT",$C$11,"FPO",L$11,"STD",$H$7,"CONSOL",$H$9, "CURRENCY",$L$7)*1,0)</f>
        <v>-118</v>
      </c>
      <c r="M43" s="91">
        <f>IFERROR(_xll.BQL(Ticker,$B43,"FPT",$C$11,"FPO",M$11,"STD",$H$7,"CONSOL",$H$9, "CURRENCY",$L$7)*1,0)</f>
        <v>-153</v>
      </c>
      <c r="N43" s="91">
        <f>IFERROR(_xll.BQL(Ticker,$B43,"FPT",$C$11,"FPO",N$11,"STD",$H$7,"CONSOL",$H$9, "CURRENCY",$L$7)*1,0)</f>
        <v>-132</v>
      </c>
      <c r="O43" s="77"/>
    </row>
    <row r="44" spans="1:15" ht="15" customHeight="1" thickBot="1">
      <c r="A44" s="77"/>
      <c r="B44" s="77"/>
      <c r="C44" s="93" t="s">
        <v>115</v>
      </c>
      <c r="D44" s="86">
        <f t="shared" ref="D44:I44" si="5">SUM(D33,D36,D38:D43)</f>
        <v>-1075.3999999999999</v>
      </c>
      <c r="E44" s="86">
        <f t="shared" si="5"/>
        <v>-175</v>
      </c>
      <c r="F44" s="86">
        <f t="shared" si="5"/>
        <v>347</v>
      </c>
      <c r="G44" s="86">
        <f t="shared" si="5"/>
        <v>-152</v>
      </c>
      <c r="H44" s="86">
        <f t="shared" si="5"/>
        <v>-431</v>
      </c>
      <c r="I44" s="86">
        <f t="shared" si="5"/>
        <v>275</v>
      </c>
      <c r="J44" s="86">
        <f>SUM(J33,J36,J38:J43)</f>
        <v>552</v>
      </c>
      <c r="K44" s="86">
        <f>SUM(K33,K36,K38:K43)</f>
        <v>-1353</v>
      </c>
      <c r="L44" s="86">
        <f>SUM(L33,L36,L38:L43)</f>
        <v>2213</v>
      </c>
      <c r="M44" s="86">
        <f>SUM(M33,M36,M38:M43)</f>
        <v>-720</v>
      </c>
      <c r="N44" s="86">
        <f>SUM(N33,N36,N38:N43)</f>
        <v>1321</v>
      </c>
      <c r="O44" s="77"/>
    </row>
    <row r="45" spans="1:15" ht="15" customHeight="1" thickTop="1">
      <c r="A45" s="77"/>
      <c r="B45" s="77"/>
      <c r="C45" s="79"/>
      <c r="D45" s="87"/>
      <c r="E45" s="87"/>
      <c r="F45" s="87"/>
      <c r="G45" s="87"/>
      <c r="H45" s="87"/>
      <c r="I45" s="87"/>
      <c r="J45" s="87"/>
      <c r="K45" s="87"/>
      <c r="L45" s="87"/>
      <c r="M45" s="87"/>
      <c r="N45" s="87"/>
      <c r="O45" s="77"/>
    </row>
    <row r="46" spans="1:15" ht="15" customHeight="1" thickBot="1">
      <c r="A46" s="77"/>
      <c r="B46" s="77"/>
      <c r="C46" s="93" t="s">
        <v>116</v>
      </c>
      <c r="D46" s="86">
        <f t="shared" ref="D46:I46" si="6">SUM(D19,D28,D44)</f>
        <v>-46.099999999999682</v>
      </c>
      <c r="E46" s="86">
        <f t="shared" si="6"/>
        <v>1156</v>
      </c>
      <c r="F46" s="86">
        <f t="shared" si="6"/>
        <v>1773</v>
      </c>
      <c r="G46" s="86">
        <f t="shared" si="6"/>
        <v>1123</v>
      </c>
      <c r="H46" s="86">
        <f t="shared" si="6"/>
        <v>1016</v>
      </c>
      <c r="I46" s="86">
        <f t="shared" si="6"/>
        <v>1966</v>
      </c>
      <c r="J46" s="86">
        <f>SUM(J19,J28,J44)</f>
        <v>2101</v>
      </c>
      <c r="K46" s="86">
        <f>SUM(K19,K28,K44)</f>
        <v>-642</v>
      </c>
      <c r="L46" s="86">
        <f>SUM(L19,L28,L44)</f>
        <v>3638</v>
      </c>
      <c r="M46" s="86">
        <f>SUM(M19,M28,M44)</f>
        <v>241</v>
      </c>
      <c r="N46" s="86">
        <f>SUM(N19,N28,N44)</f>
        <v>3359</v>
      </c>
      <c r="O46" s="77"/>
    </row>
    <row r="47" spans="1:15" ht="15" customHeight="1" thickTop="1">
      <c r="A47" s="77"/>
      <c r="B47" s="77"/>
      <c r="C47" s="79"/>
      <c r="D47" s="87"/>
      <c r="E47" s="87"/>
      <c r="F47" s="87"/>
      <c r="G47" s="87"/>
      <c r="H47" s="87"/>
      <c r="I47" s="87"/>
      <c r="J47" s="87"/>
      <c r="K47" s="87"/>
      <c r="L47" s="87"/>
      <c r="M47" s="87"/>
      <c r="N47" s="87"/>
      <c r="O47" s="77"/>
    </row>
    <row r="48" spans="1:15" ht="15" customHeight="1">
      <c r="A48" s="77"/>
      <c r="B48" s="77"/>
      <c r="C48" s="78" t="s">
        <v>47</v>
      </c>
      <c r="D48" s="87"/>
      <c r="E48" s="87"/>
      <c r="F48" s="87"/>
      <c r="G48" s="87"/>
      <c r="H48" s="87"/>
      <c r="I48" s="87"/>
      <c r="J48" s="87"/>
      <c r="K48" s="87"/>
      <c r="L48" s="87"/>
      <c r="M48" s="87"/>
      <c r="N48" s="87"/>
      <c r="O48" s="77"/>
    </row>
    <row r="49" spans="1:15" ht="15" customHeight="1">
      <c r="A49" s="77"/>
      <c r="B49" s="77" t="s">
        <v>462</v>
      </c>
      <c r="C49" s="79" t="s">
        <v>117</v>
      </c>
      <c r="D49" s="91">
        <f>IFERROR(_xll.BQL(Ticker,$B49,"FPT",$C$11,"FPO",D$11,"STD",$H$7,"CONSOL",$H$9, "CURRENCY",$L$7)*1,0)</f>
        <v>5.7</v>
      </c>
      <c r="E49" s="91">
        <f>IFERROR(_xll.BQL(Ticker,$B49,"FPT",$C$11,"FPO",E$11,"STD",$H$7,"CONSOL",$H$9, "CURRENCY",$L$7)*1,0)</f>
        <v>5</v>
      </c>
      <c r="F49" s="91">
        <f>IFERROR(_xll.BQL(Ticker,$B49,"FPT",$C$11,"FPO",F$11,"STD",$H$7,"CONSOL",$H$9, "CURRENCY",$L$7)*1,0)</f>
        <v>39</v>
      </c>
      <c r="G49" s="91">
        <f>IFERROR(_xll.BQL(Ticker,$B49,"FPT",$C$11,"FPO",G$11,"STD",$H$7,"CONSOL",$H$9, "CURRENCY",$L$7)*1,0)</f>
        <v>39</v>
      </c>
      <c r="H49" s="91">
        <f>IFERROR(_xll.BQL(Ticker,$B49,"FPT",$C$11,"FPO",H$11,"STD",$H$7,"CONSOL",$H$9, "CURRENCY",$L$7)*1,0)</f>
        <v>55</v>
      </c>
      <c r="I49" s="91">
        <f>IFERROR(_xll.BQL(Ticker,$B49,"FPT",$C$11,"FPO",I$11,"STD",$H$7,"CONSOL",$H$9, "CURRENCY",$L$7)*1,0)</f>
        <v>88</v>
      </c>
      <c r="J49" s="91">
        <f>IFERROR(_xll.BQL(Ticker,$B49,"FPT",$C$11,"FPO",J$11,"STD",$H$7,"CONSOL",$H$9, "CURRENCY",$L$7)*1,0)</f>
        <v>102</v>
      </c>
      <c r="K49" s="91">
        <f>IFERROR(_xll.BQL(Ticker,$B49,"FPT",$C$11,"FPO",K$11,"STD",$H$7,"CONSOL",$H$9, "CURRENCY",$L$7)*1,0)</f>
        <v>101</v>
      </c>
      <c r="L49" s="91">
        <f>IFERROR(_xll.BQL(Ticker,$B49,"FPT",$C$11,"FPO",L$11,"STD",$H$7,"CONSOL",$H$9, "CURRENCY",$L$7)*1,0)</f>
        <v>180</v>
      </c>
      <c r="M49" s="91">
        <f>IFERROR(_xll.BQL(Ticker,$B49,"FPT",$C$11,"FPO",M$11,"STD",$H$7,"CONSOL",$H$9, "CURRENCY",$L$7)*1,0)</f>
        <v>231</v>
      </c>
      <c r="N49" s="91">
        <f>IFERROR(_xll.BQL(Ticker,$B49,"FPT",$C$11,"FPO",N$11,"STD",$H$7,"CONSOL",$H$9, "CURRENCY",$L$7)*1,0)</f>
        <v>248</v>
      </c>
      <c r="O49" s="77"/>
    </row>
    <row r="50" spans="1:15" ht="15" customHeight="1">
      <c r="A50" s="77"/>
      <c r="B50" s="77" t="s">
        <v>463</v>
      </c>
      <c r="C50" s="79" t="s">
        <v>118</v>
      </c>
      <c r="D50" s="91">
        <f>IFERROR(_xll.BQL(Ticker,$B50,"FPT",$C$11,"FPO",D$11,"STD",$H$7,"CONSOL",$H$9, "CURRENCY",$L$7)*1,0)</f>
        <v>478.5</v>
      </c>
      <c r="E50" s="91">
        <f>IFERROR(_xll.BQL(Ticker,$B50,"FPT",$C$11,"FPO",E$11,"STD",$H$7,"CONSOL",$H$9, "CURRENCY",$L$7)*1,0)</f>
        <v>406</v>
      </c>
      <c r="F50" s="91">
        <f>IFERROR(_xll.BQL(Ticker,$B50,"FPT",$C$11,"FPO",F$11,"STD",$H$7,"CONSOL",$H$9, "CURRENCY",$L$7)*1,0)</f>
        <v>579</v>
      </c>
      <c r="G50" s="91">
        <f>IFERROR(_xll.BQL(Ticker,$B50,"FPT",$C$11,"FPO",G$11,"STD",$H$7,"CONSOL",$H$9, "CURRENCY",$L$7)*1,0)</f>
        <v>574</v>
      </c>
      <c r="H50" s="91">
        <f>IFERROR(_xll.BQL(Ticker,$B50,"FPT",$C$11,"FPO",H$11,"STD",$H$7,"CONSOL",$H$9, "CURRENCY",$L$7)*1,0)</f>
        <v>599</v>
      </c>
      <c r="I50" s="91">
        <f>IFERROR(_xll.BQL(Ticker,$B50,"FPT",$C$11,"FPO",I$11,"STD",$H$7,"CONSOL",$H$9, "CURRENCY",$L$7)*1,0)</f>
        <v>321</v>
      </c>
      <c r="J50" s="91">
        <f>IFERROR(_xll.BQL(Ticker,$B50,"FPT",$C$11,"FPO",J$11,"STD",$H$7,"CONSOL",$H$9, "CURRENCY",$L$7)*1,0)</f>
        <v>437</v>
      </c>
      <c r="K50" s="91">
        <f>IFERROR(_xll.BQL(Ticker,$B50,"FPT",$C$11,"FPO",K$11,"STD",$H$7,"CONSOL",$H$9, "CURRENCY",$L$7)*1,0)</f>
        <v>497</v>
      </c>
      <c r="L50" s="91">
        <f>IFERROR(_xll.BQL(Ticker,$B50,"FPT",$C$11,"FPO",L$11,"STD",$H$7,"CONSOL",$H$9, "CURRENCY",$L$7)*1,0)</f>
        <v>510</v>
      </c>
      <c r="M50" s="91">
        <f>IFERROR(_xll.BQL(Ticker,$B50,"FPT",$C$11,"FPO",M$11,"STD",$H$7,"CONSOL",$H$9, "CURRENCY",$L$7)*1,0)</f>
        <v>312</v>
      </c>
      <c r="N50" s="91">
        <f>IFERROR(_xll.BQL(Ticker,$B50,"FPT",$C$11,"FPO",N$11,"STD",$H$7,"CONSOL",$H$9, "CURRENCY",$L$7)*1,0)</f>
        <v>539</v>
      </c>
      <c r="O50" s="77"/>
    </row>
    <row r="51" spans="1:15" ht="15" customHeight="1">
      <c r="A51" s="77"/>
      <c r="B51" s="77" t="s">
        <v>464</v>
      </c>
      <c r="C51" s="79" t="s">
        <v>157</v>
      </c>
      <c r="D51" s="91">
        <f>IFERROR(_xll.BQL(Ticker,$B51,"FPT",$C$11,"FPO",D$11,"STD",$H$7,"CONSOL",$H$9, "CURRENCY",$L$7)*1,0)</f>
        <v>1020.7</v>
      </c>
      <c r="E51" s="91">
        <f>IFERROR(_xll.BQL(Ticker,$B51,"FPT",$C$11,"FPO",E$11,"STD",$H$7,"CONSOL",$H$9, "CURRENCY",$L$7)*1,0)</f>
        <v>1330</v>
      </c>
      <c r="F51" s="91">
        <f>IFERROR(_xll.BQL(Ticker,$B51,"FPT",$C$11,"FPO",F$11,"STD",$H$7,"CONSOL",$H$9, "CURRENCY",$L$7)*1,0)</f>
        <v>1365</v>
      </c>
      <c r="G51" s="91">
        <f>IFERROR(_xll.BQL(Ticker,$B51,"FPT",$C$11,"FPO",G$11,"STD",$H$7,"CONSOL",$H$9, "CURRENCY",$L$7)*1,0)</f>
        <v>1208</v>
      </c>
      <c r="H51" s="91">
        <f>IFERROR(_xll.BQL(Ticker,$B51,"FPT",$C$11,"FPO",H$11,"STD",$H$7,"CONSOL",$H$9, "CURRENCY",$L$7)*1,0)</f>
        <v>1447</v>
      </c>
      <c r="I51" s="91">
        <f>IFERROR(_xll.BQL(Ticker,$B51,"FPT",$C$11,"FPO",I$11,"STD",$H$7,"CONSOL",$H$9, "CURRENCY",$L$7)*1,0)</f>
        <v>1691</v>
      </c>
      <c r="J51" s="91">
        <f>IFERROR(_xll.BQL(Ticker,$B51,"FPT",$C$11,"FPO",J$11,"STD",$H$7,"CONSOL",$H$9, "CURRENCY",$L$7)*1,0)</f>
        <v>1549</v>
      </c>
      <c r="K51" s="91">
        <f>IFERROR(_xll.BQL(Ticker,$B51,"FPT",$C$11,"FPO",K$11,"STD",$H$7,"CONSOL",$H$9, "CURRENCY",$L$7)*1,0)</f>
        <v>711</v>
      </c>
      <c r="L51" s="91">
        <f>IFERROR(_xll.BQL(Ticker,$B51,"FPT",$C$11,"FPO",L$11,"STD",$H$7,"CONSOL",$H$9, "CURRENCY",$L$7)*1,0)</f>
        <v>1425</v>
      </c>
      <c r="M51" s="91">
        <f>IFERROR(_xll.BQL(Ticker,$B51,"FPT",$C$11,"FPO",M$11,"STD",$H$7,"CONSOL",$H$9, "CURRENCY",$L$7)*1,0)</f>
        <v>961</v>
      </c>
      <c r="N51" s="91">
        <f>IFERROR(_xll.BQL(Ticker,$B51,"FPT",$C$11,"FPO",N$11,"STD",$H$7,"CONSOL",$H$9, "CURRENCY",$L$7)*1,0)</f>
        <v>2038</v>
      </c>
      <c r="O51" s="77"/>
    </row>
    <row r="52" spans="1:15" ht="15" customHeight="1">
      <c r="A52" s="77"/>
      <c r="B52" s="84" t="s">
        <v>447</v>
      </c>
      <c r="C52" s="79" t="s">
        <v>119</v>
      </c>
      <c r="D52" s="91">
        <f>IFERROR(_xll.BQL(Ticker,$B52,"FPT",$C$11,"FPO",D$11,"STD",$H$7,"CONSOL",$H$9, "CURRENCY",$L$7)*1,0)</f>
        <v>-275.8</v>
      </c>
      <c r="E52" s="91">
        <f>IFERROR(_xll.BQL(Ticker,$B52,"FPT",$C$11,"FPO",E$11,"STD",$H$7,"CONSOL",$H$9, "CURRENCY",$L$7)*1,0)</f>
        <v>202</v>
      </c>
      <c r="F52" s="91">
        <f>IFERROR(_xll.BQL(Ticker,$B52,"FPT",$C$11,"FPO",F$11,"STD",$H$7,"CONSOL",$H$9, "CURRENCY",$L$7)*1,0)</f>
        <v>-89</v>
      </c>
      <c r="G52" s="91">
        <f>IFERROR(_xll.BQL(Ticker,$B52,"FPT",$C$11,"FPO",G$11,"STD",$H$7,"CONSOL",$H$9, "CURRENCY",$L$7)*1,0)</f>
        <v>-211</v>
      </c>
      <c r="H52" s="91">
        <f>IFERROR(_xll.BQL(Ticker,$B52,"FPT",$C$11,"FPO",H$11,"STD",$H$7,"CONSOL",$H$9, "CURRENCY",$L$7)*1,0)</f>
        <v>-29</v>
      </c>
      <c r="I52" s="91">
        <f>IFERROR(_xll.BQL(Ticker,$B52,"FPT",$C$11,"FPO",I$11,"STD",$H$7,"CONSOL",$H$9, "CURRENCY",$L$7)*1,0)</f>
        <v>368</v>
      </c>
      <c r="J52" s="91">
        <f>IFERROR(_xll.BQL(Ticker,$B52,"FPT",$C$11,"FPO",J$11,"STD",$H$7,"CONSOL",$H$9, "CURRENCY",$L$7)*1,0)</f>
        <v>818</v>
      </c>
      <c r="K52" s="91">
        <f>IFERROR(_xll.BQL(Ticker,$B52,"FPT",$C$11,"FPO",K$11,"STD",$H$7,"CONSOL",$H$9, "CURRENCY",$L$7)*1,0)</f>
        <v>-1197</v>
      </c>
      <c r="L52" s="91">
        <f>IFERROR(_xll.BQL(Ticker,$B52,"FPT",$C$11,"FPO",L$11,"STD",$H$7,"CONSOL",$H$9, "CURRENCY",$L$7)*1,0)</f>
        <v>-584</v>
      </c>
      <c r="M52" s="91">
        <f>IFERROR(_xll.BQL(Ticker,$B52,"FPT",$C$11,"FPO",M$11,"STD",$H$7,"CONSOL",$H$9, "CURRENCY",$L$7)*1,0)</f>
        <v>-193</v>
      </c>
      <c r="N52" s="91">
        <f>IFERROR(_xll.BQL(Ticker,$B52,"FPT",$C$11,"FPO",N$11,"STD",$H$7,"CONSOL",$H$9, "CURRENCY",$L$7)*1,0)</f>
        <v>-286</v>
      </c>
      <c r="O52" s="77"/>
    </row>
    <row r="53" spans="1:15">
      <c r="A53" s="77"/>
      <c r="B53" s="77"/>
      <c r="C53" s="79"/>
      <c r="D53" s="79"/>
      <c r="E53" s="79"/>
      <c r="F53" s="79"/>
      <c r="G53" s="79"/>
      <c r="H53" s="79"/>
      <c r="I53" s="79"/>
      <c r="J53" s="80"/>
      <c r="K53" s="80"/>
      <c r="L53" s="80"/>
      <c r="M53" s="80"/>
      <c r="N53" s="80"/>
      <c r="O53" s="77"/>
    </row>
    <row r="54" spans="1:15">
      <c r="C54" s="77"/>
      <c r="D54" s="80"/>
      <c r="E54" s="80"/>
      <c r="F54" s="80"/>
      <c r="G54" s="80"/>
      <c r="H54" s="80"/>
      <c r="I54" s="80"/>
      <c r="J54" s="80"/>
    </row>
    <row r="55" spans="1:15">
      <c r="C55" s="77"/>
      <c r="D55" s="80"/>
      <c r="E55" s="80"/>
      <c r="F55" s="80"/>
      <c r="G55" s="80"/>
      <c r="H55" s="80"/>
      <c r="I55" s="80"/>
      <c r="J55" s="80"/>
    </row>
    <row r="60" spans="1:15">
      <c r="H60" s="628"/>
    </row>
  </sheetData>
  <mergeCells count="6">
    <mergeCell ref="N8:N9"/>
    <mergeCell ref="C13:C14"/>
    <mergeCell ref="F7:G7"/>
    <mergeCell ref="F9:G9"/>
    <mergeCell ref="J7:K7"/>
    <mergeCell ref="J9:K9"/>
  </mergeCells>
  <phoneticPr fontId="0" type="noConversion"/>
  <dataValidations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2" right="0.2" top="0.5" bottom="0.5" header="0.5" footer="0.5"/>
  <pageSetup scale="61"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ultiples"/>
  <dimension ref="A2:FS435"/>
  <sheetViews>
    <sheetView showGridLines="0" showRowColHeaders="0" zoomScale="87" zoomScaleNormal="87" workbookViewId="0">
      <pane xSplit="2" ySplit="13" topLeftCell="C14" activePane="bottomRight" state="frozen"/>
      <selection sqref="A1:XFD1"/>
      <selection pane="topRight" sqref="A1:XFD1"/>
      <selection pane="bottomLeft" sqref="A1:XFD1"/>
      <selection pane="bottomRight" activeCell="C14" sqref="C14"/>
    </sheetView>
  </sheetViews>
  <sheetFormatPr defaultColWidth="9.140625" defaultRowHeight="15" outlineLevelRow="1"/>
  <cols>
    <col min="1" max="1" width="1.7109375" style="65" customWidth="1"/>
    <col min="2" max="2" width="30.7109375" style="65" customWidth="1"/>
    <col min="3" max="13" width="11.7109375" style="65" customWidth="1"/>
    <col min="14" max="14" width="12.7109375" style="65" customWidth="1"/>
    <col min="15" max="21" width="9.140625" style="65"/>
    <col min="22" max="22" width="11.42578125" style="65" bestFit="1" customWidth="1"/>
    <col min="23" max="39" width="9.140625" style="65"/>
    <col min="40" max="40" width="10.140625" style="65" bestFit="1" customWidth="1"/>
    <col min="41" max="43" width="9.140625" style="65"/>
    <col min="44" max="44" width="10.140625" style="65" bestFit="1" customWidth="1"/>
    <col min="45" max="48" width="9.140625" style="65"/>
    <col min="49" max="49" width="10.140625" style="65" bestFit="1" customWidth="1"/>
    <col min="50" max="52" width="9.140625" style="65"/>
    <col min="53" max="53" width="10.140625" style="65" bestFit="1" customWidth="1"/>
    <col min="54" max="58" width="9.140625" style="65"/>
    <col min="59" max="59" width="10.140625" style="65" bestFit="1" customWidth="1"/>
    <col min="60" max="62" width="9.140625" style="65"/>
    <col min="63" max="63" width="10.140625" style="65" bestFit="1" customWidth="1"/>
    <col min="64" max="68" width="9.140625" style="65"/>
    <col min="69" max="69" width="10.140625" style="65" bestFit="1" customWidth="1"/>
    <col min="70" max="72" width="9.140625" style="65"/>
    <col min="73" max="73" width="10.140625" style="65" bestFit="1" customWidth="1"/>
    <col min="74" max="78" width="9.140625" style="65"/>
    <col min="79" max="79" width="10.140625" style="65" bestFit="1" customWidth="1"/>
    <col min="80" max="82" width="9.140625" style="65"/>
    <col min="83" max="83" width="10.140625" style="65" bestFit="1" customWidth="1"/>
    <col min="84" max="88" width="9.140625" style="65"/>
    <col min="89" max="89" width="10.140625" style="65" bestFit="1" customWidth="1"/>
    <col min="90" max="92" width="9.140625" style="65"/>
    <col min="93" max="93" width="10.140625" style="65" bestFit="1" customWidth="1"/>
    <col min="94" max="97" width="9.140625" style="65"/>
    <col min="98" max="98" width="10.140625" style="65" bestFit="1" customWidth="1"/>
    <col min="99" max="101" width="9.140625" style="65"/>
    <col min="102" max="102" width="10.140625" style="65" bestFit="1" customWidth="1"/>
    <col min="103" max="107" width="9.140625" style="65"/>
    <col min="108" max="108" width="10.140625" style="65" bestFit="1" customWidth="1"/>
    <col min="109" max="111" width="9.140625" style="65"/>
    <col min="112" max="112" width="10.140625" style="65" bestFit="1" customWidth="1"/>
    <col min="113" max="117" width="9.140625" style="65"/>
    <col min="118" max="118" width="10.140625" style="65" bestFit="1" customWidth="1"/>
    <col min="119" max="121" width="9.140625" style="65"/>
    <col min="122" max="122" width="10.140625" style="65" bestFit="1" customWidth="1"/>
    <col min="123" max="127" width="9.140625" style="65"/>
    <col min="128" max="128" width="10.140625" style="65" bestFit="1" customWidth="1"/>
    <col min="129" max="131" width="9.140625" style="65"/>
    <col min="132" max="132" width="10.140625" style="65" bestFit="1" customWidth="1"/>
    <col min="133" max="137" width="9.140625" style="65"/>
    <col min="138" max="138" width="10.140625" style="65" bestFit="1" customWidth="1"/>
    <col min="139" max="141" width="9.140625" style="65"/>
    <col min="142" max="142" width="10.140625" style="65" bestFit="1" customWidth="1"/>
    <col min="143" max="147" width="9.140625" style="65"/>
    <col min="148" max="148" width="10.140625" style="65" bestFit="1" customWidth="1"/>
    <col min="149" max="151" width="9.140625" style="65"/>
    <col min="152" max="152" width="10.140625" style="65" bestFit="1" customWidth="1"/>
    <col min="153" max="157" width="9.140625" style="65"/>
    <col min="158" max="158" width="10.140625" style="65" bestFit="1" customWidth="1"/>
    <col min="159" max="161" width="9.140625" style="65"/>
    <col min="162" max="162" width="10.140625" style="65" bestFit="1" customWidth="1"/>
    <col min="163" max="167" width="9.140625" style="65"/>
    <col min="168" max="168" width="10.140625" style="65" bestFit="1" customWidth="1"/>
    <col min="169" max="171" width="9.140625" style="65"/>
    <col min="172" max="172" width="10.140625" style="65" bestFit="1" customWidth="1"/>
    <col min="173" max="16384" width="9.140625" style="65"/>
  </cols>
  <sheetData>
    <row r="2" spans="1:175" ht="5.0999999999999996" customHeight="1"/>
    <row r="3" spans="1:175" ht="15" customHeight="1"/>
    <row r="4" spans="1:175" ht="15" customHeight="1"/>
    <row r="5" spans="1:175" ht="15" customHeight="1"/>
    <row r="6" spans="1:175" ht="15" customHeight="1"/>
    <row r="7" spans="1:175" ht="15" customHeight="1">
      <c r="B7" s="198" t="s">
        <v>353</v>
      </c>
      <c r="C7" s="23" t="str">
        <f>Tick</f>
        <v>SYK US</v>
      </c>
      <c r="D7" s="146"/>
      <c r="E7" s="714" t="s">
        <v>344</v>
      </c>
      <c r="F7" s="715"/>
      <c r="G7" s="26" t="s">
        <v>345</v>
      </c>
      <c r="H7" s="127"/>
      <c r="I7" s="127"/>
      <c r="J7" s="127"/>
      <c r="K7" s="127"/>
      <c r="L7" s="127"/>
      <c r="M7" s="127"/>
    </row>
    <row r="8" spans="1:175" ht="5.0999999999999996" customHeight="1">
      <c r="C8" s="127"/>
      <c r="D8" s="95"/>
      <c r="E8" s="95"/>
      <c r="F8" s="127"/>
      <c r="G8" s="144"/>
      <c r="H8" s="127"/>
      <c r="I8" s="127"/>
      <c r="J8" s="127"/>
      <c r="K8" s="127"/>
      <c r="L8" s="127"/>
      <c r="M8" s="127"/>
    </row>
    <row r="9" spans="1:175">
      <c r="B9" s="198" t="s">
        <v>352</v>
      </c>
      <c r="C9" s="26" t="s">
        <v>339</v>
      </c>
      <c r="D9" s="146"/>
      <c r="E9" s="714" t="s">
        <v>342</v>
      </c>
      <c r="F9" s="715"/>
      <c r="G9" s="26" t="s">
        <v>343</v>
      </c>
      <c r="H9" s="724"/>
      <c r="I9" s="724"/>
      <c r="J9" s="69"/>
      <c r="K9" s="69"/>
      <c r="L9" s="69"/>
      <c r="M9" s="69"/>
    </row>
    <row r="10" spans="1:175" s="72" customFormat="1" ht="15" customHeight="1">
      <c r="B10" s="73"/>
      <c r="C10" s="128"/>
      <c r="D10" s="128"/>
      <c r="E10" s="128"/>
      <c r="F10" s="128"/>
      <c r="G10" s="128"/>
      <c r="H10" s="128"/>
      <c r="I10" s="128"/>
      <c r="J10" s="128"/>
      <c r="K10" s="128"/>
      <c r="L10" s="128"/>
      <c r="M10" s="128"/>
    </row>
    <row r="11" spans="1:175" s="67" customFormat="1" hidden="1" outlineLevel="1">
      <c r="B11" s="85" t="str">
        <f>IF($C$9="Annuals","FY",IF($C$9="Quarters","FQ",IF($C$9="Semi-Annuals","FS","")))</f>
        <v>FY</v>
      </c>
      <c r="C11" s="62" t="str">
        <f>"-10"&amp;$B$11</f>
        <v>-10FY</v>
      </c>
      <c r="D11" s="62" t="str">
        <f>"-9"&amp;$B$11</f>
        <v>-9FY</v>
      </c>
      <c r="E11" s="62" t="str">
        <f>"-8"&amp;$B$11</f>
        <v>-8FY</v>
      </c>
      <c r="F11" s="62" t="str">
        <f>"-7"&amp;$B$11</f>
        <v>-7FY</v>
      </c>
      <c r="G11" s="62" t="str">
        <f>"-6"&amp;$B$11</f>
        <v>-6FY</v>
      </c>
      <c r="H11" s="62" t="str">
        <f>"-5"&amp;$B$11</f>
        <v>-5FY</v>
      </c>
      <c r="I11" s="62" t="str">
        <f>"-4"&amp;$B$11</f>
        <v>-4FY</v>
      </c>
      <c r="J11" s="62" t="str">
        <f>"-3"&amp;$B$11</f>
        <v>-3FY</v>
      </c>
      <c r="K11" s="62" t="str">
        <f>"-2"&amp;$B$11</f>
        <v>-2FY</v>
      </c>
      <c r="L11" s="62" t="str">
        <f>"-1"&amp;$B$11</f>
        <v>-1FY</v>
      </c>
      <c r="M11" s="62" t="str">
        <f>"-0"&amp;$B$11</f>
        <v>-0FY</v>
      </c>
      <c r="N11" s="129"/>
      <c r="O11" s="129"/>
      <c r="P11" s="129"/>
      <c r="Q11" s="130"/>
      <c r="R11" s="130"/>
      <c r="S11" s="130"/>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D11" s="129"/>
      <c r="DE11" s="129"/>
      <c r="DF11" s="129"/>
      <c r="DG11" s="129"/>
      <c r="DH11" s="129"/>
      <c r="DI11" s="129"/>
      <c r="DJ11" s="129"/>
      <c r="DK11" s="129"/>
      <c r="DL11" s="129"/>
      <c r="DM11" s="129"/>
      <c r="DN11" s="129"/>
      <c r="DO11" s="129"/>
      <c r="DP11" s="129"/>
      <c r="DQ11" s="129"/>
      <c r="DR11" s="129"/>
      <c r="DS11" s="129"/>
      <c r="DT11" s="129"/>
      <c r="DU11" s="129"/>
      <c r="DV11" s="129"/>
      <c r="DW11" s="129"/>
      <c r="DX11" s="129"/>
      <c r="DY11" s="129"/>
      <c r="DZ11" s="129"/>
      <c r="EA11" s="129"/>
      <c r="EB11" s="129"/>
      <c r="EC11" s="129"/>
      <c r="ED11" s="129"/>
      <c r="EE11" s="129"/>
      <c r="EF11" s="129"/>
      <c r="EG11" s="129"/>
      <c r="EH11" s="129"/>
      <c r="EI11" s="129"/>
      <c r="EJ11" s="129"/>
      <c r="EK11" s="129"/>
      <c r="EL11" s="129"/>
      <c r="EM11" s="129"/>
      <c r="EN11" s="129"/>
      <c r="EO11" s="129"/>
      <c r="EP11" s="129"/>
      <c r="EQ11" s="129"/>
      <c r="ER11" s="129"/>
      <c r="ES11" s="129"/>
      <c r="ET11" s="129"/>
      <c r="EU11" s="129"/>
      <c r="EV11" s="129"/>
      <c r="EW11" s="129"/>
      <c r="EX11" s="129"/>
      <c r="EY11" s="129"/>
      <c r="EZ11" s="129"/>
      <c r="FA11" s="129"/>
      <c r="FB11" s="129"/>
      <c r="FC11" s="129"/>
      <c r="FD11" s="129"/>
      <c r="FE11" s="129"/>
      <c r="FF11" s="129"/>
      <c r="FG11" s="129"/>
      <c r="FH11" s="129"/>
      <c r="FI11" s="129"/>
      <c r="FJ11" s="129"/>
      <c r="FK11" s="129"/>
      <c r="FL11" s="129"/>
      <c r="FM11" s="129"/>
      <c r="FN11" s="129"/>
      <c r="FO11" s="129"/>
      <c r="FP11" s="129"/>
      <c r="FQ11" s="129"/>
      <c r="FR11" s="129"/>
      <c r="FS11" s="129"/>
    </row>
    <row r="12" spans="1:175" collapsed="1">
      <c r="B12" s="717" t="s">
        <v>180</v>
      </c>
      <c r="C12" s="61" t="str">
        <f>IF($B$11="FY","FY "&amp;LEFT(_xll.BDP(Ticker,"FISCAL_YEAR_PERIOD","EQY_FUND_RELATIVE_PERIOD",C$11),4),IF($B$11="FS","FS"&amp;RIGHT(_xll.BDP(Ticker,"FISCAL_YEAR_PERIOD","EQY_FUND_RELATIVE_PERIOD",C$11),1)&amp;" "&amp;LEFT(_xll.BDP(Ticker,"FISCAL_YEAR_PERIOD","EQY_FUND_RELATIVE_PERIOD",C$11),4),IF($B$11="FQ","FQ"&amp;RIGHT(_xll.BDP(Ticker,"FISCAL_YEAR_PERIOD","EQY_FUND_RELATIVE_PERIOD",C$11),1)&amp;" "&amp;LEFT(_xll.BDP(Ticker,"FISCAL_YEAR_PERIOD","EQY_FUND_RELATIVE_PERIOD",C$11),4))))</f>
        <v>FY 2008</v>
      </c>
      <c r="D12" s="37"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2009</v>
      </c>
      <c r="E12" s="37"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2010</v>
      </c>
      <c r="F12" s="37"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2011</v>
      </c>
      <c r="G12" s="37"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2012</v>
      </c>
      <c r="H12" s="37"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2013</v>
      </c>
      <c r="I12" s="37"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2014</v>
      </c>
      <c r="J12" s="37"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2015</v>
      </c>
      <c r="K12" s="37"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2016</v>
      </c>
      <c r="L12" s="37"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2017</v>
      </c>
      <c r="M12" s="37"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2018</v>
      </c>
      <c r="N12" s="132"/>
      <c r="O12" s="132"/>
      <c r="P12" s="132"/>
      <c r="Q12" s="133"/>
      <c r="R12" s="133"/>
      <c r="S12" s="133"/>
      <c r="T12" s="133"/>
      <c r="U12" s="133"/>
      <c r="V12" s="133"/>
      <c r="W12" s="133"/>
      <c r="X12" s="133"/>
      <c r="Y12" s="133"/>
      <c r="Z12" s="133"/>
      <c r="AA12" s="133"/>
      <c r="AB12" s="133"/>
      <c r="AC12" s="133"/>
      <c r="AD12" s="133"/>
      <c r="AE12" s="133"/>
      <c r="AF12" s="133"/>
      <c r="AG12" s="133"/>
      <c r="AH12" s="133"/>
      <c r="AI12" s="133"/>
      <c r="AJ12" s="134"/>
      <c r="AK12" s="134"/>
      <c r="AL12" s="134"/>
      <c r="AM12" s="134"/>
      <c r="AN12" s="134"/>
      <c r="AO12" s="134"/>
      <c r="AP12" s="134"/>
      <c r="AQ12" s="134"/>
      <c r="AR12" s="134"/>
      <c r="AS12" s="134"/>
      <c r="AT12" s="134"/>
      <c r="AU12" s="134"/>
      <c r="AV12" s="134"/>
      <c r="AW12" s="134"/>
      <c r="AX12" s="134"/>
      <c r="AY12" s="134"/>
      <c r="AZ12" s="134"/>
      <c r="BA12" s="134"/>
      <c r="BB12" s="134"/>
      <c r="BC12" s="134"/>
      <c r="BD12" s="134"/>
      <c r="BE12" s="134"/>
      <c r="BF12" s="134"/>
      <c r="BG12" s="134"/>
      <c r="BH12" s="134"/>
      <c r="BI12" s="134"/>
      <c r="BJ12" s="134"/>
      <c r="BK12" s="134"/>
      <c r="BL12" s="134"/>
      <c r="BM12" s="132"/>
      <c r="BN12" s="134"/>
      <c r="BO12" s="134"/>
      <c r="BP12" s="134"/>
      <c r="BQ12" s="134"/>
      <c r="BR12" s="134"/>
      <c r="BS12" s="134"/>
      <c r="BT12" s="134"/>
      <c r="BU12" s="134"/>
      <c r="BV12" s="134"/>
      <c r="BW12" s="132"/>
      <c r="BX12" s="134"/>
      <c r="BY12" s="134"/>
      <c r="BZ12" s="134"/>
      <c r="CA12" s="134"/>
      <c r="CB12" s="134"/>
      <c r="CC12" s="134"/>
      <c r="CD12" s="134"/>
      <c r="CE12" s="134"/>
      <c r="CF12" s="134"/>
      <c r="CG12" s="132"/>
      <c r="CH12" s="134"/>
      <c r="CI12" s="134"/>
      <c r="CJ12" s="134"/>
      <c r="CK12" s="134"/>
      <c r="CL12" s="134"/>
      <c r="CM12" s="134"/>
      <c r="CN12" s="134"/>
      <c r="CO12" s="134"/>
      <c r="CP12" s="132"/>
      <c r="CQ12" s="134"/>
      <c r="CR12" s="134"/>
      <c r="CS12" s="134"/>
      <c r="CT12" s="134"/>
      <c r="CU12" s="134"/>
      <c r="CV12" s="134"/>
      <c r="CW12" s="134"/>
      <c r="CX12" s="134"/>
      <c r="CY12" s="134"/>
      <c r="CZ12" s="132"/>
      <c r="DA12" s="134"/>
      <c r="DB12" s="134"/>
      <c r="DC12" s="134"/>
      <c r="DD12" s="134"/>
      <c r="DE12" s="134"/>
      <c r="DF12" s="134"/>
      <c r="DG12" s="134"/>
      <c r="DH12" s="134"/>
      <c r="DI12" s="134"/>
      <c r="DJ12" s="132"/>
      <c r="DK12" s="134"/>
      <c r="DL12" s="134"/>
      <c r="DM12" s="134"/>
      <c r="DN12" s="134"/>
      <c r="DO12" s="134"/>
      <c r="DP12" s="134"/>
      <c r="DQ12" s="134"/>
      <c r="DR12" s="134"/>
      <c r="DS12" s="134"/>
      <c r="DT12" s="132"/>
      <c r="DU12" s="134"/>
      <c r="DV12" s="134"/>
      <c r="DW12" s="134"/>
      <c r="DX12" s="134"/>
      <c r="DY12" s="134"/>
      <c r="DZ12" s="134"/>
      <c r="EA12" s="134"/>
      <c r="EB12" s="134"/>
      <c r="EC12" s="134"/>
      <c r="ED12" s="132"/>
      <c r="EE12" s="134"/>
      <c r="EF12" s="134"/>
      <c r="EG12" s="134"/>
      <c r="EH12" s="134"/>
      <c r="EI12" s="134"/>
      <c r="EJ12" s="134"/>
      <c r="EK12" s="134"/>
      <c r="EL12" s="134"/>
      <c r="EM12" s="134"/>
      <c r="EN12" s="132"/>
      <c r="EO12" s="134"/>
      <c r="EP12" s="134"/>
      <c r="EQ12" s="134"/>
      <c r="ER12" s="134"/>
      <c r="ES12" s="134"/>
      <c r="ET12" s="134"/>
      <c r="EU12" s="134"/>
      <c r="EV12" s="134"/>
      <c r="EW12" s="134"/>
      <c r="EX12" s="132"/>
      <c r="EY12" s="134"/>
      <c r="EZ12" s="134"/>
      <c r="FA12" s="134"/>
      <c r="FB12" s="134"/>
      <c r="FC12" s="134"/>
      <c r="FD12" s="134"/>
      <c r="FE12" s="134"/>
      <c r="FF12" s="134"/>
      <c r="FG12" s="134"/>
      <c r="FH12" s="132"/>
      <c r="FI12" s="134"/>
      <c r="FJ12" s="134"/>
      <c r="FK12" s="134"/>
      <c r="FL12" s="134"/>
      <c r="FM12" s="134"/>
      <c r="FN12" s="134"/>
      <c r="FO12" s="134"/>
      <c r="FP12" s="134"/>
      <c r="FQ12" s="134"/>
      <c r="FR12" s="132"/>
      <c r="FS12" s="132"/>
    </row>
    <row r="13" spans="1:175" ht="15" customHeight="1">
      <c r="B13" s="718"/>
      <c r="C13" s="60" t="str">
        <f>IF(LEFT(_xll.BDP(Ticker,"LATEST_PERIOD_END_DT_FULL_RECORD","EQY_FUND_RELATIVE_PERIOD",C$11,"EQY_CONSOLIDATED",$G$9),1)="#","--",_xll.BDP(Ticker,"LATEST_PERIOD_END_DT_FULL_RECORD","EQY_FUND_RELATIVE_PERIOD",C$11,"EQY_CONSOLIDATED",$G$9))</f>
        <v>12/31/2008</v>
      </c>
      <c r="D13" s="57" t="str">
        <f>IF(LEFT(_xll.BDP(Ticker,"LATEST_PERIOD_END_DT_FULL_RECORD","EQY_FUND_RELATIVE_PERIOD",D$11,"EQY_CONSOLIDATED",$G$9),1)="#","--",_xll.BDP(Ticker,"LATEST_PERIOD_END_DT_FULL_RECORD","EQY_FUND_RELATIVE_PERIOD",D$11,"EQY_CONSOLIDATED",$G$9))</f>
        <v>12/31/2009</v>
      </c>
      <c r="E13" s="57" t="str">
        <f>IF(LEFT(_xll.BDP(Ticker,"LATEST_PERIOD_END_DT_FULL_RECORD","EQY_FUND_RELATIVE_PERIOD",E$11,"EQY_CONSOLIDATED",$G$9),1)="#","--",_xll.BDP(Ticker,"LATEST_PERIOD_END_DT_FULL_RECORD","EQY_FUND_RELATIVE_PERIOD",E$11,"EQY_CONSOLIDATED",$G$9))</f>
        <v>12/31/2010</v>
      </c>
      <c r="F13" s="57" t="str">
        <f>IF(LEFT(_xll.BDP(Ticker,"LATEST_PERIOD_END_DT_FULL_RECORD","EQY_FUND_RELATIVE_PERIOD",F$11,"EQY_CONSOLIDATED",$G$9),1)="#","--",_xll.BDP(Ticker,"LATEST_PERIOD_END_DT_FULL_RECORD","EQY_FUND_RELATIVE_PERIOD",F$11,"EQY_CONSOLIDATED",$G$9))</f>
        <v>12/31/2011</v>
      </c>
      <c r="G13" s="57" t="str">
        <f>IF(LEFT(_xll.BDP(Ticker,"LATEST_PERIOD_END_DT_FULL_RECORD","EQY_FUND_RELATIVE_PERIOD",G$11,"EQY_CONSOLIDATED",$G$9),1)="#","--",_xll.BDP(Ticker,"LATEST_PERIOD_END_DT_FULL_RECORD","EQY_FUND_RELATIVE_PERIOD",G$11,"EQY_CONSOLIDATED",$G$9))</f>
        <v>12/31/2012</v>
      </c>
      <c r="H13" s="57" t="str">
        <f>IF(LEFT(_xll.BDP(Ticker,"LATEST_PERIOD_END_DT_FULL_RECORD","EQY_FUND_RELATIVE_PERIOD",H$11,"EQY_CONSOLIDATED",$G$9),1)="#","--",_xll.BDP(Ticker,"LATEST_PERIOD_END_DT_FULL_RECORD","EQY_FUND_RELATIVE_PERIOD",H$11,"EQY_CONSOLIDATED",$G$9))</f>
        <v>12/31/2013</v>
      </c>
      <c r="I13" s="57" t="str">
        <f>IF(LEFT(_xll.BDP(Ticker,"LATEST_PERIOD_END_DT_FULL_RECORD","EQY_FUND_RELATIVE_PERIOD",I$11,"EQY_CONSOLIDATED",$G$9),1)="#","--",_xll.BDP(Ticker,"LATEST_PERIOD_END_DT_FULL_RECORD","EQY_FUND_RELATIVE_PERIOD",I$11,"EQY_CONSOLIDATED",$G$9))</f>
        <v>12/31/2014</v>
      </c>
      <c r="J13" s="57" t="str">
        <f>IF(LEFT(_xll.BDP(Ticker,"LATEST_PERIOD_END_DT_FULL_RECORD","EQY_FUND_RELATIVE_PERIOD",J$11,"EQY_CONSOLIDATED",$G$9),1)="#","--",_xll.BDP(Ticker,"LATEST_PERIOD_END_DT_FULL_RECORD","EQY_FUND_RELATIVE_PERIOD",J$11,"EQY_CONSOLIDATED",$G$9))</f>
        <v>12/31/2015</v>
      </c>
      <c r="K13" s="57" t="str">
        <f>IF(LEFT(_xll.BDP(Ticker,"LATEST_PERIOD_END_DT_FULL_RECORD","EQY_FUND_RELATIVE_PERIOD",K$11,"EQY_CONSOLIDATED",$G$9),1)="#","--",_xll.BDP(Ticker,"LATEST_PERIOD_END_DT_FULL_RECORD","EQY_FUND_RELATIVE_PERIOD",K$11,"EQY_CONSOLIDATED",$G$9))</f>
        <v>12/31/2016</v>
      </c>
      <c r="L13" s="57" t="str">
        <f>IF(LEFT(_xll.BDP(Ticker,"LATEST_PERIOD_END_DT_FULL_RECORD","EQY_FUND_RELATIVE_PERIOD",L$11,"EQY_CONSOLIDATED",$G$9),1)="#","--",_xll.BDP(Ticker,"LATEST_PERIOD_END_DT_FULL_RECORD","EQY_FUND_RELATIVE_PERIOD",L$11,"EQY_CONSOLIDATED",$G$9))</f>
        <v>12/31/2017</v>
      </c>
      <c r="M13" s="57" t="str">
        <f>IF(LEFT(_xll.BDP(Ticker,"LATEST_PERIOD_END_DT_FULL_RECORD","EQY_FUND_RELATIVE_PERIOD",M$11,"EQY_CONSOLIDATED",$G$9),1)="#","--",_xll.BDP(Ticker,"LATEST_PERIOD_END_DT_FULL_RECORD","EQY_FUND_RELATIVE_PERIOD",M$11,"EQY_CONSOLIDATED",$G$9))</f>
        <v>12/31/2018</v>
      </c>
      <c r="N13" s="132"/>
      <c r="O13" s="132"/>
      <c r="P13" s="132"/>
      <c r="Q13" s="133"/>
      <c r="R13" s="133"/>
      <c r="S13" s="133"/>
      <c r="T13" s="133"/>
      <c r="U13" s="133"/>
      <c r="V13" s="133"/>
      <c r="W13" s="133"/>
      <c r="X13" s="133"/>
      <c r="Y13" s="133"/>
      <c r="Z13" s="133"/>
      <c r="AA13" s="133"/>
      <c r="AB13" s="133"/>
      <c r="AC13" s="133"/>
      <c r="AD13" s="133"/>
      <c r="AE13" s="133"/>
      <c r="AF13" s="133"/>
      <c r="AG13" s="133"/>
      <c r="AH13" s="133"/>
      <c r="AI13" s="133"/>
      <c r="AJ13" s="134"/>
      <c r="AK13" s="134"/>
      <c r="AL13" s="134"/>
      <c r="AM13" s="134"/>
      <c r="AN13" s="134"/>
      <c r="AO13" s="134"/>
      <c r="AP13" s="134"/>
      <c r="AQ13" s="134"/>
      <c r="AR13" s="134"/>
      <c r="AS13" s="134"/>
      <c r="AT13" s="134"/>
      <c r="AU13" s="134"/>
      <c r="AV13" s="134"/>
      <c r="AW13" s="134"/>
      <c r="AX13" s="134"/>
      <c r="AY13" s="134"/>
      <c r="AZ13" s="134"/>
      <c r="BA13" s="134"/>
      <c r="BB13" s="134"/>
      <c r="BC13" s="134"/>
      <c r="BD13" s="134"/>
      <c r="BE13" s="134"/>
      <c r="BF13" s="134"/>
      <c r="BG13" s="134"/>
      <c r="BH13" s="134"/>
      <c r="BI13" s="134"/>
      <c r="BJ13" s="134"/>
      <c r="BK13" s="134"/>
      <c r="BL13" s="134"/>
      <c r="BM13" s="132"/>
      <c r="BN13" s="134"/>
      <c r="BO13" s="134"/>
      <c r="BP13" s="134"/>
      <c r="BQ13" s="134"/>
      <c r="BR13" s="134"/>
      <c r="BS13" s="134"/>
      <c r="BT13" s="134"/>
      <c r="BU13" s="134"/>
      <c r="BV13" s="134"/>
      <c r="BW13" s="132"/>
      <c r="BX13" s="134"/>
      <c r="BY13" s="134"/>
      <c r="BZ13" s="134"/>
      <c r="CA13" s="134"/>
      <c r="CB13" s="134"/>
      <c r="CC13" s="134"/>
      <c r="CD13" s="134"/>
      <c r="CE13" s="134"/>
      <c r="CF13" s="134"/>
      <c r="CG13" s="132"/>
      <c r="CH13" s="134"/>
      <c r="CI13" s="134"/>
      <c r="CJ13" s="134"/>
      <c r="CK13" s="134"/>
      <c r="CL13" s="134"/>
      <c r="CM13" s="134"/>
      <c r="CN13" s="134"/>
      <c r="CO13" s="134"/>
      <c r="CP13" s="132"/>
      <c r="CQ13" s="134"/>
      <c r="CR13" s="134"/>
      <c r="CS13" s="134"/>
      <c r="CT13" s="134"/>
      <c r="CU13" s="134"/>
      <c r="CV13" s="134"/>
      <c r="CW13" s="134"/>
      <c r="CX13" s="134"/>
      <c r="CY13" s="134"/>
      <c r="CZ13" s="132"/>
      <c r="DA13" s="134"/>
      <c r="DB13" s="134"/>
      <c r="DC13" s="134"/>
      <c r="DD13" s="134"/>
      <c r="DE13" s="134"/>
      <c r="DF13" s="134"/>
      <c r="DG13" s="134"/>
      <c r="DH13" s="134"/>
      <c r="DI13" s="134"/>
      <c r="DJ13" s="132"/>
      <c r="DK13" s="134"/>
      <c r="DL13" s="134"/>
      <c r="DM13" s="134"/>
      <c r="DN13" s="134"/>
      <c r="DO13" s="134"/>
      <c r="DP13" s="134"/>
      <c r="DQ13" s="134"/>
      <c r="DR13" s="134"/>
      <c r="DS13" s="134"/>
      <c r="DT13" s="132"/>
      <c r="DU13" s="134"/>
      <c r="DV13" s="134"/>
      <c r="DW13" s="134"/>
      <c r="DX13" s="134"/>
      <c r="DY13" s="134"/>
      <c r="DZ13" s="134"/>
      <c r="EA13" s="134"/>
      <c r="EB13" s="134"/>
      <c r="EC13" s="134"/>
      <c r="ED13" s="132"/>
      <c r="EE13" s="134"/>
      <c r="EF13" s="134"/>
      <c r="EG13" s="134"/>
      <c r="EH13" s="134"/>
      <c r="EI13" s="134"/>
      <c r="EJ13" s="134"/>
      <c r="EK13" s="134"/>
      <c r="EL13" s="134"/>
      <c r="EM13" s="134"/>
      <c r="EN13" s="132"/>
      <c r="EO13" s="134"/>
      <c r="EP13" s="134"/>
      <c r="EQ13" s="134"/>
      <c r="ER13" s="134"/>
      <c r="ES13" s="134"/>
      <c r="ET13" s="134"/>
      <c r="EU13" s="134"/>
      <c r="EV13" s="134"/>
      <c r="EW13" s="134"/>
      <c r="EX13" s="132"/>
      <c r="EY13" s="134"/>
      <c r="EZ13" s="134"/>
      <c r="FA13" s="134"/>
      <c r="FB13" s="134"/>
      <c r="FC13" s="134"/>
      <c r="FD13" s="134"/>
      <c r="FE13" s="134"/>
      <c r="FF13" s="134"/>
      <c r="FG13" s="134"/>
      <c r="FH13" s="132"/>
      <c r="FI13" s="134"/>
      <c r="FJ13" s="134"/>
      <c r="FK13" s="134"/>
      <c r="FL13" s="134"/>
      <c r="FM13" s="134"/>
      <c r="FN13" s="134"/>
      <c r="FO13" s="134"/>
      <c r="FP13" s="134"/>
      <c r="FQ13" s="134"/>
      <c r="FR13" s="132"/>
      <c r="FS13" s="132"/>
    </row>
    <row r="14" spans="1:175" ht="15" customHeight="1">
      <c r="B14" s="135" t="s">
        <v>170</v>
      </c>
      <c r="C14" s="145"/>
      <c r="D14" s="145"/>
      <c r="E14" s="145"/>
      <c r="F14" s="145"/>
      <c r="G14" s="145"/>
      <c r="H14" s="145"/>
      <c r="I14" s="145"/>
      <c r="J14" s="145"/>
      <c r="K14" s="145"/>
      <c r="L14" s="145"/>
      <c r="M14" s="145"/>
      <c r="N14" s="132"/>
      <c r="O14" s="132"/>
      <c r="P14" s="132"/>
      <c r="Q14" s="133"/>
      <c r="R14" s="133"/>
      <c r="S14" s="133"/>
      <c r="T14" s="133"/>
      <c r="U14" s="133"/>
      <c r="V14" s="133"/>
      <c r="W14" s="133"/>
      <c r="X14" s="133"/>
      <c r="Y14" s="133"/>
      <c r="Z14" s="133"/>
      <c r="AA14" s="133"/>
      <c r="AB14" s="133"/>
      <c r="AC14" s="133"/>
      <c r="AD14" s="133"/>
      <c r="AE14" s="133"/>
      <c r="AF14" s="133"/>
      <c r="AG14" s="133"/>
      <c r="AH14" s="133"/>
      <c r="AI14" s="133"/>
      <c r="AJ14" s="134"/>
      <c r="AK14" s="134"/>
      <c r="AL14" s="134"/>
      <c r="AM14" s="134"/>
      <c r="AN14" s="134"/>
      <c r="AO14" s="134"/>
      <c r="AP14" s="134"/>
      <c r="AQ14" s="134"/>
      <c r="AR14" s="134"/>
      <c r="AS14" s="134"/>
      <c r="AT14" s="134"/>
      <c r="AU14" s="134"/>
      <c r="AV14" s="134"/>
      <c r="AW14" s="134"/>
      <c r="AX14" s="134"/>
      <c r="AY14" s="134"/>
      <c r="AZ14" s="134"/>
      <c r="BA14" s="134"/>
      <c r="BB14" s="134"/>
      <c r="BC14" s="134"/>
      <c r="BD14" s="134"/>
      <c r="BE14" s="134"/>
      <c r="BF14" s="134"/>
      <c r="BG14" s="134"/>
      <c r="BH14" s="134"/>
      <c r="BI14" s="134"/>
      <c r="BJ14" s="134"/>
      <c r="BK14" s="134"/>
      <c r="BL14" s="134"/>
      <c r="BM14" s="132"/>
      <c r="BN14" s="134"/>
      <c r="BO14" s="134"/>
      <c r="BP14" s="134"/>
      <c r="BQ14" s="134"/>
      <c r="BR14" s="134"/>
      <c r="BS14" s="134"/>
      <c r="BT14" s="134"/>
      <c r="BU14" s="134"/>
      <c r="BV14" s="134"/>
      <c r="BW14" s="132"/>
      <c r="BX14" s="134"/>
      <c r="BY14" s="134"/>
      <c r="BZ14" s="134"/>
      <c r="CA14" s="134"/>
      <c r="CB14" s="134"/>
      <c r="CC14" s="134"/>
      <c r="CD14" s="134"/>
      <c r="CE14" s="134"/>
      <c r="CF14" s="134"/>
      <c r="CG14" s="132"/>
      <c r="CH14" s="134"/>
      <c r="CI14" s="134"/>
      <c r="CJ14" s="134"/>
      <c r="CK14" s="134"/>
      <c r="CL14" s="134"/>
      <c r="CM14" s="134"/>
      <c r="CN14" s="134"/>
      <c r="CO14" s="134"/>
      <c r="CP14" s="132"/>
      <c r="CQ14" s="134"/>
      <c r="CR14" s="134"/>
      <c r="CS14" s="134"/>
      <c r="CT14" s="134"/>
      <c r="CU14" s="134"/>
      <c r="CV14" s="134"/>
      <c r="CW14" s="134"/>
      <c r="CX14" s="134"/>
      <c r="CY14" s="134"/>
      <c r="CZ14" s="132"/>
      <c r="DA14" s="134"/>
      <c r="DB14" s="134"/>
      <c r="DC14" s="134"/>
      <c r="DD14" s="134"/>
      <c r="DE14" s="134"/>
      <c r="DF14" s="134"/>
      <c r="DG14" s="134"/>
      <c r="DH14" s="134"/>
      <c r="DI14" s="134"/>
      <c r="DJ14" s="132"/>
      <c r="DK14" s="134"/>
      <c r="DL14" s="134"/>
      <c r="DM14" s="134"/>
      <c r="DN14" s="134"/>
      <c r="DO14" s="134"/>
      <c r="DP14" s="134"/>
      <c r="DQ14" s="134"/>
      <c r="DR14" s="134"/>
      <c r="DS14" s="134"/>
      <c r="DT14" s="132"/>
      <c r="DU14" s="134"/>
      <c r="DV14" s="134"/>
      <c r="DW14" s="134"/>
      <c r="DX14" s="134"/>
      <c r="DY14" s="134"/>
      <c r="DZ14" s="134"/>
      <c r="EA14" s="134"/>
      <c r="EB14" s="134"/>
      <c r="EC14" s="134"/>
      <c r="ED14" s="132"/>
      <c r="EE14" s="134"/>
      <c r="EF14" s="134"/>
      <c r="EG14" s="134"/>
      <c r="EH14" s="134"/>
      <c r="EI14" s="134"/>
      <c r="EJ14" s="134"/>
      <c r="EK14" s="134"/>
      <c r="EL14" s="134"/>
      <c r="EM14" s="134"/>
      <c r="EN14" s="132"/>
      <c r="EO14" s="134"/>
      <c r="EP14" s="134"/>
      <c r="EQ14" s="134"/>
      <c r="ER14" s="134"/>
      <c r="ES14" s="134"/>
      <c r="ET14" s="134"/>
      <c r="EU14" s="134"/>
      <c r="EV14" s="134"/>
      <c r="EW14" s="134"/>
      <c r="EX14" s="132"/>
      <c r="EY14" s="134"/>
      <c r="EZ14" s="134"/>
      <c r="FA14" s="134"/>
      <c r="FB14" s="134"/>
      <c r="FC14" s="134"/>
      <c r="FD14" s="134"/>
      <c r="FE14" s="134"/>
      <c r="FF14" s="134"/>
      <c r="FG14" s="134"/>
      <c r="FH14" s="132"/>
      <c r="FI14" s="134"/>
      <c r="FJ14" s="134"/>
      <c r="FK14" s="134"/>
      <c r="FL14" s="134"/>
      <c r="FM14" s="134"/>
      <c r="FN14" s="134"/>
      <c r="FO14" s="134"/>
      <c r="FP14" s="134"/>
      <c r="FQ14" s="134"/>
      <c r="FR14" s="132"/>
      <c r="FS14" s="132"/>
    </row>
    <row r="15" spans="1:175">
      <c r="B15" s="136" t="s">
        <v>174</v>
      </c>
      <c r="C15" s="147">
        <f>IF(LEFT(_xll.BDH(Ticker,"EV_TO_T12M_SALES",C$11,C$11,"EQY_CONSOLIDATED",$G$9,"ACCOUNTING_STANDARD_OVERRIDE",$G$7,"Per",$B$11,"Days=A"),1)="#","--",_xll.BDH(Ticker,"EV_TO_T12M_SALES",C$11,C$11,"EQY_CONSOLIDATED",$G$9,"ACCOUNTING_STANDARD_OVERRIDE",$G$7,"Per",$B$11,"Days=A"))</f>
        <v>2.0333999999999999</v>
      </c>
      <c r="D15" s="147">
        <f>IF(LEFT(_xll.BDH(Ticker,"EV_TO_T12M_SALES",D$11,D$11,"EQY_CONSOLIDATED",$G$9,"ACCOUNTING_STANDARD_OVERRIDE",$G$7,"Per",$B$11,"Days=A"),1)="#","--",_xll.BDH(Ticker,"EV_TO_T12M_SALES",D$11,D$11,"EQY_CONSOLIDATED",$G$9,"ACCOUNTING_STANDARD_OVERRIDE",$G$7,"Per",$B$11,"Days=A"))</f>
        <v>2.5442999999999998</v>
      </c>
      <c r="E15" s="147">
        <f>IF(LEFT(_xll.BDH(Ticker,"EV_TO_T12M_SALES",E$11,E$11,"EQY_CONSOLIDATED",$G$9,"ACCOUNTING_STANDARD_OVERRIDE",$G$7,"Per",$B$11,"Days=A"),1)="#","--",_xll.BDH(Ticker,"EV_TO_T12M_SALES",E$11,E$11,"EQY_CONSOLIDATED",$G$9,"ACCOUNTING_STANDARD_OVERRIDE",$G$7,"Per",$B$11,"Days=A"))</f>
        <v>2.4095</v>
      </c>
      <c r="F15" s="147">
        <f>IF(LEFT(_xll.BDH(Ticker,"EV_TO_T12M_SALES",F$11,F$11,"EQY_CONSOLIDATED",$G$9,"ACCOUNTING_STANDARD_OVERRIDE",$G$7,"Per",$B$11,"Days=A"),1)="#","--",_xll.BDH(Ticker,"EV_TO_T12M_SALES",F$11,F$11,"EQY_CONSOLIDATED",$G$9,"ACCOUNTING_STANDARD_OVERRIDE",$G$7,"Per",$B$11,"Days=A"))</f>
        <v>2.0813000000000001</v>
      </c>
      <c r="G15" s="147">
        <f>IF(LEFT(_xll.BDH(Ticker,"EV_TO_T12M_SALES",G$11,G$11,"EQY_CONSOLIDATED",$G$9,"ACCOUNTING_STANDARD_OVERRIDE",$G$7,"Per",$B$11,"Days=A"),1)="#","--",_xll.BDH(Ticker,"EV_TO_T12M_SALES",G$11,G$11,"EQY_CONSOLIDATED",$G$9,"ACCOUNTING_STANDARD_OVERRIDE",$G$7,"Per",$B$11,"Days=A"))</f>
        <v>2.1149</v>
      </c>
      <c r="H15" s="147">
        <f>IF(LEFT(_xll.BDH(Ticker,"EV_TO_T12M_SALES",H$11,H$11,"EQY_CONSOLIDATED",$G$9,"ACCOUNTING_STANDARD_OVERRIDE",$G$7,"Per",$B$11,"Days=A"),1)="#","--",_xll.BDH(Ticker,"EV_TO_T12M_SALES",H$11,H$11,"EQY_CONSOLIDATED",$G$9,"ACCOUNTING_STANDARD_OVERRIDE",$G$7,"Per",$B$11,"Days=A"))</f>
        <v>3.0137</v>
      </c>
      <c r="I15" s="147">
        <f>IF(LEFT(_xll.BDH(Ticker,"EV_TO_T12M_SALES",I$11,I$11,"EQY_CONSOLIDATED",$G$9,"ACCOUNTING_STANDARD_OVERRIDE",$G$7,"Per",$B$11,"Days=A"),1)="#","--",_xll.BDH(Ticker,"EV_TO_T12M_SALES",I$11,I$11,"EQY_CONSOLIDATED",$G$9,"ACCOUNTING_STANDARD_OVERRIDE",$G$7,"Per",$B$11,"Days=A"))</f>
        <v>3.5792999999999999</v>
      </c>
      <c r="J15" s="147">
        <f>IF(LEFT(_xll.BDH(Ticker,"EV_TO_T12M_SALES",J$11,J$11,"EQY_CONSOLIDATED",$G$9,"ACCOUNTING_STANDARD_OVERRIDE",$G$7,"Per",$B$11,"Days=A"),1)="#","--",_xll.BDH(Ticker,"EV_TO_T12M_SALES",J$11,J$11,"EQY_CONSOLIDATED",$G$9,"ACCOUNTING_STANDARD_OVERRIDE",$G$7,"Per",$B$11,"Days=A"))</f>
        <v>3.4773000000000001</v>
      </c>
      <c r="K15" s="147">
        <f>IF(LEFT(_xll.BDH(Ticker,"EV_TO_T12M_SALES",K$11,K$11,"EQY_CONSOLIDATED",$G$9,"ACCOUNTING_STANDARD_OVERRIDE",$G$7,"Per",$B$11,"Days=A"),1)="#","--",_xll.BDH(Ticker,"EV_TO_T12M_SALES",K$11,K$11,"EQY_CONSOLIDATED",$G$9,"ACCOUNTING_STANDARD_OVERRIDE",$G$7,"Per",$B$11,"Days=A"))</f>
        <v>4.2789000000000001</v>
      </c>
      <c r="L15" s="147">
        <f>IF(LEFT(_xll.BDH(Ticker,"EV_TO_T12M_SALES",L$11,L$11,"EQY_CONSOLIDATED",$G$9,"ACCOUNTING_STANDARD_OVERRIDE",$G$7,"Per",$B$11,"Days=A"),1)="#","--",_xll.BDH(Ticker,"EV_TO_T12M_SALES",L$11,L$11,"EQY_CONSOLIDATED",$G$9,"ACCOUNTING_STANDARD_OVERRIDE",$G$7,"Per",$B$11,"Days=A"))</f>
        <v>5.0186999999999999</v>
      </c>
      <c r="M15" s="147">
        <f>IF(LEFT(_xll.BDH(Ticker,"EV_TO_T12M_SALES",M$11,M$11,"EQY_CONSOLIDATED",$G$9,"ACCOUNTING_STANDARD_OVERRIDE",$G$7,"Per",$B$11,"Days=A"),1)="#","--",_xll.BDH(Ticker,"EV_TO_T12M_SALES",M$11,M$11,"EQY_CONSOLIDATED",$G$9,"ACCOUNTING_STANDARD_OVERRIDE",$G$7,"Per",$B$11,"Days=A"))</f>
        <v>4.7477999999999998</v>
      </c>
      <c r="N15" s="136"/>
      <c r="O15" s="132"/>
      <c r="P15" s="132"/>
      <c r="Q15" s="137"/>
      <c r="R15" s="137"/>
      <c r="S15" s="137"/>
      <c r="T15" s="137"/>
      <c r="U15" s="137"/>
      <c r="V15" s="137"/>
      <c r="W15" s="137"/>
      <c r="X15" s="137"/>
      <c r="Y15" s="137"/>
      <c r="Z15" s="137"/>
      <c r="AA15" s="137"/>
      <c r="AB15" s="137"/>
      <c r="AC15" s="137"/>
      <c r="AD15" s="137"/>
      <c r="AE15" s="137"/>
      <c r="AF15" s="137"/>
      <c r="AG15" s="137"/>
      <c r="AH15" s="137"/>
      <c r="AI15" s="137"/>
      <c r="AJ15" s="137"/>
      <c r="AK15" s="137"/>
      <c r="AL15" s="137"/>
      <c r="AM15" s="137"/>
      <c r="AN15" s="137"/>
      <c r="AO15" s="137"/>
      <c r="AP15" s="137"/>
      <c r="AQ15" s="137"/>
      <c r="AR15" s="137"/>
      <c r="AS15" s="137"/>
      <c r="AT15" s="137"/>
      <c r="AU15" s="137"/>
      <c r="AV15" s="137"/>
      <c r="AW15" s="137"/>
      <c r="AX15" s="137"/>
      <c r="AY15" s="137"/>
      <c r="AZ15" s="137"/>
      <c r="BA15" s="137"/>
      <c r="BB15" s="137"/>
      <c r="BC15" s="137"/>
      <c r="BD15" s="137"/>
      <c r="BE15" s="137"/>
      <c r="BF15" s="137"/>
      <c r="BG15" s="137"/>
      <c r="BH15" s="137"/>
      <c r="BI15" s="137"/>
      <c r="BJ15" s="137"/>
      <c r="BK15" s="137"/>
      <c r="BL15" s="132"/>
      <c r="BM15" s="132"/>
      <c r="BN15" s="137"/>
      <c r="BO15" s="137"/>
      <c r="BP15" s="137"/>
      <c r="BQ15" s="137"/>
      <c r="BR15" s="137"/>
      <c r="BS15" s="137"/>
      <c r="BT15" s="137"/>
      <c r="BU15" s="137"/>
      <c r="BV15" s="137"/>
      <c r="BW15" s="132"/>
      <c r="BX15" s="137"/>
      <c r="BY15" s="137"/>
      <c r="BZ15" s="137"/>
      <c r="CA15" s="137"/>
      <c r="CB15" s="137"/>
      <c r="CC15" s="137"/>
      <c r="CD15" s="137"/>
      <c r="CE15" s="137"/>
      <c r="CF15" s="137"/>
      <c r="CG15" s="132"/>
      <c r="CH15" s="132"/>
      <c r="CI15" s="132"/>
      <c r="CJ15" s="132"/>
      <c r="CK15" s="132"/>
      <c r="CL15" s="132"/>
      <c r="CM15" s="132"/>
      <c r="CN15" s="132"/>
      <c r="CO15" s="132"/>
      <c r="CP15" s="132"/>
      <c r="CQ15" s="137"/>
      <c r="CR15" s="137"/>
      <c r="CS15" s="137"/>
      <c r="CT15" s="137"/>
      <c r="CU15" s="137"/>
      <c r="CV15" s="137"/>
      <c r="CW15" s="137"/>
      <c r="CX15" s="137"/>
      <c r="CY15" s="132"/>
      <c r="CZ15" s="132"/>
      <c r="DA15" s="137"/>
      <c r="DB15" s="137"/>
      <c r="DC15" s="137"/>
      <c r="DD15" s="137"/>
      <c r="DE15" s="137"/>
      <c r="DF15" s="137"/>
      <c r="DG15" s="137"/>
      <c r="DH15" s="137"/>
      <c r="DI15" s="137"/>
      <c r="DJ15" s="132"/>
      <c r="DK15" s="137"/>
      <c r="DL15" s="137"/>
      <c r="DM15" s="137"/>
      <c r="DN15" s="137"/>
      <c r="DO15" s="137"/>
      <c r="DP15" s="137"/>
      <c r="DQ15" s="137"/>
      <c r="DR15" s="137"/>
      <c r="DS15" s="137"/>
      <c r="DT15" s="132"/>
      <c r="DU15" s="137"/>
      <c r="DV15" s="137"/>
      <c r="DW15" s="137"/>
      <c r="DX15" s="137"/>
      <c r="DY15" s="137"/>
      <c r="DZ15" s="137"/>
      <c r="EA15" s="137"/>
      <c r="EB15" s="137"/>
      <c r="EC15" s="132"/>
      <c r="ED15" s="132"/>
      <c r="EE15" s="137"/>
      <c r="EF15" s="137"/>
      <c r="EG15" s="137"/>
      <c r="EH15" s="137"/>
      <c r="EI15" s="137"/>
      <c r="EJ15" s="137"/>
      <c r="EK15" s="137"/>
      <c r="EL15" s="137"/>
      <c r="EM15" s="137"/>
      <c r="EN15" s="132"/>
      <c r="EO15" s="137"/>
      <c r="EP15" s="137"/>
      <c r="EQ15" s="137"/>
      <c r="ER15" s="137"/>
      <c r="ES15" s="137"/>
      <c r="ET15" s="137"/>
      <c r="EU15" s="137"/>
      <c r="EV15" s="137"/>
      <c r="EW15" s="132"/>
      <c r="EX15" s="132"/>
      <c r="EY15" s="137"/>
      <c r="EZ15" s="137"/>
      <c r="FA15" s="137"/>
      <c r="FB15" s="137"/>
      <c r="FC15" s="137"/>
      <c r="FD15" s="137"/>
      <c r="FE15" s="137"/>
      <c r="FF15" s="137"/>
      <c r="FG15" s="132"/>
      <c r="FH15" s="132"/>
      <c r="FI15" s="137"/>
      <c r="FJ15" s="137"/>
      <c r="FK15" s="137"/>
      <c r="FL15" s="137"/>
      <c r="FM15" s="137"/>
      <c r="FN15" s="137"/>
      <c r="FO15" s="137"/>
      <c r="FP15" s="137"/>
      <c r="FQ15" s="132"/>
      <c r="FR15" s="132"/>
      <c r="FS15" s="132"/>
    </row>
    <row r="16" spans="1:175">
      <c r="A16" s="77"/>
      <c r="B16" s="138" t="s">
        <v>171</v>
      </c>
      <c r="C16" s="148">
        <f>IF(LEFT(_xll.BDH(Ticker,"AVERAGE_EV_TO_T12M_SALES",C$11,C$11,"EQY_CONSOLIDATED",$G$9,"ACCOUNTING_STANDARD_OVERRIDE",$G$7,"Per",$B$11,"Days=A"),1)="#","--",_xll.BDH(Ticker,"AVERAGE_EV_TO_T12M_SALES",C$11,C$11,"EQY_CONSOLIDATED",$G$9,"ACCOUNTING_STANDARD_OVERRIDE",$G$7,"Per",$B$11,"Days=A"))</f>
        <v>3.7404999999999999</v>
      </c>
      <c r="D16" s="148">
        <f>IF(LEFT(_xll.BDH(Ticker,"AVERAGE_EV_TO_T12M_SALES",D$11,D$11,"EQY_CONSOLIDATED",$G$9,"ACCOUNTING_STANDARD_OVERRIDE",$G$7,"Per",$B$11,"Days=A"),1)="#","--",_xll.BDH(Ticker,"AVERAGE_EV_TO_T12M_SALES",D$11,D$11,"EQY_CONSOLIDATED",$G$9,"ACCOUNTING_STANDARD_OVERRIDE",$G$7,"Per",$B$11,"Days=A"))</f>
        <v>2.1499000000000001</v>
      </c>
      <c r="E16" s="148">
        <f>IF(LEFT(_xll.BDH(Ticker,"AVERAGE_EV_TO_T12M_SALES",E$11,E$11,"EQY_CONSOLIDATED",$G$9,"ACCOUNTING_STANDARD_OVERRIDE",$G$7,"Per",$B$11,"Days=A"),1)="#","--",_xll.BDH(Ticker,"AVERAGE_EV_TO_T12M_SALES",E$11,E$11,"EQY_CONSOLIDATED",$G$9,"ACCOUNTING_STANDARD_OVERRIDE",$G$7,"Per",$B$11,"Days=A"))</f>
        <v>2.6389</v>
      </c>
      <c r="F16" s="148">
        <f>IF(LEFT(_xll.BDH(Ticker,"AVERAGE_EV_TO_T12M_SALES",F$11,F$11,"EQY_CONSOLIDATED",$G$9,"ACCOUNTING_STANDARD_OVERRIDE",$G$7,"Per",$B$11,"Days=A"),1)="#","--",_xll.BDH(Ticker,"AVERAGE_EV_TO_T12M_SALES",F$11,F$11,"EQY_CONSOLIDATED",$G$9,"ACCOUNTING_STANDARD_OVERRIDE",$G$7,"Per",$B$11,"Days=A"))</f>
        <v>2.4548000000000001</v>
      </c>
      <c r="G16" s="148">
        <f>IF(LEFT(_xll.BDH(Ticker,"AVERAGE_EV_TO_T12M_SALES",G$11,G$11,"EQY_CONSOLIDATED",$G$9,"ACCOUNTING_STANDARD_OVERRIDE",$G$7,"Per",$B$11,"Days=A"),1)="#","--",_xll.BDH(Ticker,"AVERAGE_EV_TO_T12M_SALES",G$11,G$11,"EQY_CONSOLIDATED",$G$9,"ACCOUNTING_STANDARD_OVERRIDE",$G$7,"Per",$B$11,"Days=A"))</f>
        <v>2.2605</v>
      </c>
      <c r="H16" s="148">
        <f>IF(LEFT(_xll.BDH(Ticker,"AVERAGE_EV_TO_T12M_SALES",H$11,H$11,"EQY_CONSOLIDATED",$G$9,"ACCOUNTING_STANDARD_OVERRIDE",$G$7,"Per",$B$11,"Days=A"),1)="#","--",_xll.BDH(Ticker,"AVERAGE_EV_TO_T12M_SALES",H$11,H$11,"EQY_CONSOLIDATED",$G$9,"ACCOUNTING_STANDARD_OVERRIDE",$G$7,"Per",$B$11,"Days=A"))</f>
        <v>2.6751</v>
      </c>
      <c r="I16" s="148">
        <f>IF(LEFT(_xll.BDH(Ticker,"AVERAGE_EV_TO_T12M_SALES",I$11,I$11,"EQY_CONSOLIDATED",$G$9,"ACCOUNTING_STANDARD_OVERRIDE",$G$7,"Per",$B$11,"Days=A"),1)="#","--",_xll.BDH(Ticker,"AVERAGE_EV_TO_T12M_SALES",I$11,I$11,"EQY_CONSOLIDATED",$G$9,"ACCOUNTING_STANDARD_OVERRIDE",$G$7,"Per",$B$11,"Days=A"))</f>
        <v>3.3509000000000002</v>
      </c>
      <c r="J16" s="148">
        <f>IF(LEFT(_xll.BDH(Ticker,"AVERAGE_EV_TO_T12M_SALES",J$11,J$11,"EQY_CONSOLIDATED",$G$9,"ACCOUNTING_STANDARD_OVERRIDE",$G$7,"Per",$B$11,"Days=A"),1)="#","--",_xll.BDH(Ticker,"AVERAGE_EV_TO_T12M_SALES",J$11,J$11,"EQY_CONSOLIDATED",$G$9,"ACCOUNTING_STANDARD_OVERRIDE",$G$7,"Per",$B$11,"Days=A"))</f>
        <v>3.6271</v>
      </c>
      <c r="K16" s="148">
        <f>IF(LEFT(_xll.BDH(Ticker,"AVERAGE_EV_TO_T12M_SALES",K$11,K$11,"EQY_CONSOLIDATED",$G$9,"ACCOUNTING_STANDARD_OVERRIDE",$G$7,"Per",$B$11,"Days=A"),1)="#","--",_xll.BDH(Ticker,"AVERAGE_EV_TO_T12M_SALES",K$11,K$11,"EQY_CONSOLIDATED",$G$9,"ACCOUNTING_STANDARD_OVERRIDE",$G$7,"Per",$B$11,"Days=A"))</f>
        <v>4.1516999999999999</v>
      </c>
      <c r="L16" s="148">
        <f>IF(LEFT(_xll.BDH(Ticker,"AVERAGE_EV_TO_T12M_SALES",L$11,L$11,"EQY_CONSOLIDATED",$G$9,"ACCOUNTING_STANDARD_OVERRIDE",$G$7,"Per",$B$11,"Days=A"),1)="#","--",_xll.BDH(Ticker,"AVERAGE_EV_TO_T12M_SALES",L$11,L$11,"EQY_CONSOLIDATED",$G$9,"ACCOUNTING_STANDARD_OVERRIDE",$G$7,"Per",$B$11,"Days=A"))</f>
        <v>4.9291999999999998</v>
      </c>
      <c r="M16" s="148">
        <f>IF(LEFT(_xll.BDH(Ticker,"AVERAGE_EV_TO_T12M_SALES",M$11,M$11,"EQY_CONSOLIDATED",$G$9,"ACCOUNTING_STANDARD_OVERRIDE",$G$7,"Per",$B$11,"Days=A"),1)="#","--",_xll.BDH(Ticker,"AVERAGE_EV_TO_T12M_SALES",M$11,M$11,"EQY_CONSOLIDATED",$G$9,"ACCOUNTING_STANDARD_OVERRIDE",$G$7,"Per",$B$11,"Days=A"))</f>
        <v>5.3708</v>
      </c>
      <c r="N16" s="139"/>
      <c r="O16" s="139"/>
      <c r="P16" s="139"/>
      <c r="Q16" s="140"/>
      <c r="R16" s="140"/>
      <c r="S16" s="140"/>
      <c r="T16" s="140"/>
      <c r="U16" s="140"/>
      <c r="V16" s="140"/>
      <c r="W16" s="140"/>
      <c r="X16" s="140"/>
      <c r="Y16" s="140"/>
      <c r="Z16" s="140"/>
      <c r="AA16" s="140"/>
      <c r="AB16" s="140"/>
      <c r="AC16" s="140"/>
      <c r="AD16" s="140"/>
      <c r="AE16" s="140"/>
      <c r="AF16" s="140"/>
      <c r="AG16" s="140"/>
      <c r="AH16" s="140"/>
      <c r="AI16" s="140"/>
      <c r="AJ16" s="140"/>
      <c r="AK16" s="137"/>
      <c r="AL16" s="137"/>
      <c r="AM16" s="137"/>
      <c r="AN16" s="137"/>
      <c r="AO16" s="137"/>
      <c r="AP16" s="137"/>
      <c r="AQ16" s="137"/>
      <c r="AR16" s="137"/>
      <c r="AS16" s="140"/>
      <c r="AT16" s="140"/>
      <c r="AU16" s="140"/>
      <c r="AV16" s="140"/>
      <c r="AW16" s="140"/>
      <c r="AX16" s="140"/>
      <c r="AY16" s="140"/>
      <c r="AZ16" s="140"/>
      <c r="BA16" s="140"/>
      <c r="BB16" s="140"/>
      <c r="BC16" s="140"/>
      <c r="BD16" s="140"/>
      <c r="BE16" s="140"/>
      <c r="BF16" s="140"/>
      <c r="BG16" s="139"/>
      <c r="BH16" s="139"/>
      <c r="BI16" s="139"/>
      <c r="BJ16" s="139"/>
      <c r="BK16" s="139"/>
      <c r="BL16" s="139"/>
      <c r="BM16" s="139"/>
      <c r="BN16" s="139"/>
      <c r="BO16" s="139"/>
      <c r="BP16" s="139"/>
      <c r="BQ16" s="139"/>
      <c r="BR16" s="139"/>
      <c r="BS16" s="139"/>
      <c r="BT16" s="139"/>
      <c r="BU16" s="139"/>
      <c r="BV16" s="139"/>
      <c r="BW16" s="139"/>
      <c r="BX16" s="139"/>
      <c r="BY16" s="139"/>
      <c r="BZ16" s="139"/>
      <c r="CA16" s="139"/>
      <c r="CB16" s="139"/>
      <c r="CC16" s="139"/>
      <c r="CD16" s="139"/>
      <c r="CE16" s="139"/>
      <c r="CF16" s="139"/>
      <c r="CG16" s="139"/>
      <c r="CH16" s="132"/>
      <c r="CI16" s="132"/>
      <c r="CJ16" s="132"/>
      <c r="CK16" s="132"/>
      <c r="CL16" s="132"/>
      <c r="CM16" s="132"/>
      <c r="CN16" s="132"/>
      <c r="CO16" s="132"/>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c r="DL16" s="139"/>
      <c r="DM16" s="139"/>
      <c r="DN16" s="139"/>
      <c r="DO16" s="139"/>
      <c r="DP16" s="139"/>
      <c r="DQ16" s="139"/>
      <c r="DR16" s="139"/>
      <c r="DS16" s="139"/>
      <c r="DT16" s="139"/>
      <c r="DU16" s="139"/>
      <c r="DV16" s="139"/>
      <c r="DW16" s="139"/>
      <c r="DX16" s="139"/>
      <c r="DY16" s="139"/>
      <c r="DZ16" s="139"/>
      <c r="EA16" s="139"/>
      <c r="EB16" s="139"/>
      <c r="EC16" s="139"/>
      <c r="ED16" s="139"/>
      <c r="EE16" s="139"/>
      <c r="EF16" s="139"/>
      <c r="EG16" s="139"/>
      <c r="EH16" s="139"/>
      <c r="EI16" s="139"/>
      <c r="EJ16" s="139"/>
      <c r="EK16" s="139"/>
      <c r="EL16" s="139"/>
      <c r="EM16" s="139"/>
      <c r="EN16" s="139"/>
      <c r="EO16" s="139"/>
      <c r="EP16" s="139"/>
      <c r="EQ16" s="139"/>
      <c r="ER16" s="139"/>
      <c r="ES16" s="139"/>
      <c r="ET16" s="139"/>
      <c r="EU16" s="139"/>
      <c r="EV16" s="139"/>
      <c r="EW16" s="139"/>
      <c r="EX16" s="139"/>
      <c r="EY16" s="139"/>
      <c r="EZ16" s="139"/>
      <c r="FA16" s="139"/>
      <c r="FB16" s="139"/>
      <c r="FC16" s="139"/>
      <c r="FD16" s="139"/>
      <c r="FE16" s="139"/>
      <c r="FF16" s="139"/>
      <c r="FG16" s="139"/>
      <c r="FH16" s="139"/>
      <c r="FI16" s="139"/>
      <c r="FJ16" s="139"/>
      <c r="FK16" s="139"/>
      <c r="FL16" s="139"/>
      <c r="FM16" s="139"/>
      <c r="FN16" s="139"/>
      <c r="FO16" s="139"/>
      <c r="FP16" s="139"/>
      <c r="FQ16" s="139"/>
      <c r="FR16" s="139"/>
      <c r="FS16" s="139"/>
    </row>
    <row r="17" spans="1:175">
      <c r="A17" s="77"/>
      <c r="B17" s="138" t="s">
        <v>172</v>
      </c>
      <c r="C17" s="148">
        <f>IF(LEFT(_xll.BDH(Ticker,"HIGH_EV_TO_T12M_SALES",C$11,C$11,"EQY_CONSOLIDATED",$G$9,"ACCOUNTING_STANDARD_OVERRIDE",$G$7,"Per",$B$11,"Days=A"),1)="#","--",_xll.BDH(Ticker,"HIGH_EV_TO_T12M_SALES",C$11,C$11,"EQY_CONSOLIDATED",$G$9,"ACCOUNTING_STANDARD_OVERRIDE",$G$7,"Per",$B$11,"Days=A"))</f>
        <v>4.6516000000000002</v>
      </c>
      <c r="D17" s="148">
        <f>IF(LEFT(_xll.BDH(Ticker,"HIGH_EV_TO_T12M_SALES",D$11,D$11,"EQY_CONSOLIDATED",$G$9,"ACCOUNTING_STANDARD_OVERRIDE",$G$7,"Per",$B$11,"Days=A"),1)="#","--",_xll.BDH(Ticker,"HIGH_EV_TO_T12M_SALES",D$11,D$11,"EQY_CONSOLIDATED",$G$9,"ACCOUNTING_STANDARD_OVERRIDE",$G$7,"Per",$B$11,"Days=A"))</f>
        <v>2.7665999999999999</v>
      </c>
      <c r="E17" s="148">
        <f>IF(LEFT(_xll.BDH(Ticker,"HIGH_EV_TO_T12M_SALES",E$11,E$11,"EQY_CONSOLIDATED",$G$9,"ACCOUNTING_STANDARD_OVERRIDE",$G$7,"Per",$B$11,"Days=A"),1)="#","--",_xll.BDH(Ticker,"HIGH_EV_TO_T12M_SALES",E$11,E$11,"EQY_CONSOLIDATED",$G$9,"ACCOUNTING_STANDARD_OVERRIDE",$G$7,"Per",$B$11,"Days=A"))</f>
        <v>3.0352000000000001</v>
      </c>
      <c r="F17" s="148">
        <f>IF(LEFT(_xll.BDH(Ticker,"HIGH_EV_TO_T12M_SALES",F$11,F$11,"EQY_CONSOLIDATED",$G$9,"ACCOUNTING_STANDARD_OVERRIDE",$G$7,"Per",$B$11,"Days=A"),1)="#","--",_xll.BDH(Ticker,"HIGH_EV_TO_T12M_SALES",F$11,F$11,"EQY_CONSOLIDATED",$G$9,"ACCOUNTING_STANDARD_OVERRIDE",$G$7,"Per",$B$11,"Days=A"))</f>
        <v>3.0190000000000001</v>
      </c>
      <c r="G17" s="148">
        <f>IF(LEFT(_xll.BDH(Ticker,"HIGH_EV_TO_T12M_SALES",G$11,G$11,"EQY_CONSOLIDATED",$G$9,"ACCOUNTING_STANDARD_OVERRIDE",$G$7,"Per",$B$11,"Days=A"),1)="#","--",_xll.BDH(Ticker,"HIGH_EV_TO_T12M_SALES",G$11,G$11,"EQY_CONSOLIDATED",$G$9,"ACCOUNTING_STANDARD_OVERRIDE",$G$7,"Per",$B$11,"Days=A"))</f>
        <v>2.3904999999999998</v>
      </c>
      <c r="H17" s="148">
        <f>IF(LEFT(_xll.BDH(Ticker,"HIGH_EV_TO_T12M_SALES",H$11,H$11,"EQY_CONSOLIDATED",$G$9,"ACCOUNTING_STANDARD_OVERRIDE",$G$7,"Per",$B$11,"Days=A"),1)="#","--",_xll.BDH(Ticker,"HIGH_EV_TO_T12M_SALES",H$11,H$11,"EQY_CONSOLIDATED",$G$9,"ACCOUNTING_STANDARD_OVERRIDE",$G$7,"Per",$B$11,"Days=A"))</f>
        <v>3.0171999999999999</v>
      </c>
      <c r="I17" s="148">
        <f>IF(LEFT(_xll.BDH(Ticker,"HIGH_EV_TO_T12M_SALES",I$11,I$11,"EQY_CONSOLIDATED",$G$9,"ACCOUNTING_STANDARD_OVERRIDE",$G$7,"Per",$B$11,"Days=A"),1)="#","--",_xll.BDH(Ticker,"HIGH_EV_TO_T12M_SALES",I$11,I$11,"EQY_CONSOLIDATED",$G$9,"ACCOUNTING_STANDARD_OVERRIDE",$G$7,"Per",$B$11,"Days=A"))</f>
        <v>3.9167999999999998</v>
      </c>
      <c r="J17" s="148">
        <f>IF(LEFT(_xll.BDH(Ticker,"HIGH_EV_TO_T12M_SALES",J$11,J$11,"EQY_CONSOLIDATED",$G$9,"ACCOUNTING_STANDARD_OVERRIDE",$G$7,"Per",$B$11,"Days=A"),1)="#","--",_xll.BDH(Ticker,"HIGH_EV_TO_T12M_SALES",J$11,J$11,"EQY_CONSOLIDATED",$G$9,"ACCOUNTING_STANDARD_OVERRIDE",$G$7,"Per",$B$11,"Days=A"))</f>
        <v>3.9622000000000002</v>
      </c>
      <c r="K17" s="148">
        <f>IF(LEFT(_xll.BDH(Ticker,"HIGH_EV_TO_T12M_SALES",K$11,K$11,"EQY_CONSOLIDATED",$G$9,"ACCOUNTING_STANDARD_OVERRIDE",$G$7,"Per",$B$11,"Days=A"),1)="#","--",_xll.BDH(Ticker,"HIGH_EV_TO_T12M_SALES",K$11,K$11,"EQY_CONSOLIDATED",$G$9,"ACCOUNTING_STANDARD_OVERRIDE",$G$7,"Per",$B$11,"Days=A"))</f>
        <v>4.6100000000000003</v>
      </c>
      <c r="L17" s="148">
        <f>IF(LEFT(_xll.BDH(Ticker,"HIGH_EV_TO_T12M_SALES",L$11,L$11,"EQY_CONSOLIDATED",$G$9,"ACCOUNTING_STANDARD_OVERRIDE",$G$7,"Per",$B$11,"Days=A"),1)="#","--",_xll.BDH(Ticker,"HIGH_EV_TO_T12M_SALES",L$11,L$11,"EQY_CONSOLIDATED",$G$9,"ACCOUNTING_STANDARD_OVERRIDE",$G$7,"Per",$B$11,"Days=A"))</f>
        <v>5.5903999999999998</v>
      </c>
      <c r="M17" s="148">
        <f>IF(LEFT(_xll.BDH(Ticker,"HIGH_EV_TO_T12M_SALES",M$11,M$11,"EQY_CONSOLIDATED",$G$9,"ACCOUNTING_STANDARD_OVERRIDE",$G$7,"Per",$B$11,"Days=A"),1)="#","--",_xll.BDH(Ticker,"HIGH_EV_TO_T12M_SALES",M$11,M$11,"EQY_CONSOLIDATED",$G$9,"ACCOUNTING_STANDARD_OVERRIDE",$G$7,"Per",$B$11,"Days=A"))</f>
        <v>5.7561</v>
      </c>
      <c r="N17" s="139"/>
      <c r="O17" s="139"/>
      <c r="P17" s="139"/>
      <c r="Q17" s="140"/>
      <c r="R17" s="140"/>
      <c r="S17" s="140"/>
      <c r="T17" s="140"/>
      <c r="U17" s="140"/>
      <c r="V17" s="140"/>
      <c r="W17" s="140"/>
      <c r="X17" s="140"/>
      <c r="Y17" s="140"/>
      <c r="Z17" s="140"/>
      <c r="AA17" s="140"/>
      <c r="AB17" s="140"/>
      <c r="AC17" s="140"/>
      <c r="AD17" s="140"/>
      <c r="AE17" s="140"/>
      <c r="AF17" s="140"/>
      <c r="AG17" s="140"/>
      <c r="AH17" s="140"/>
      <c r="AI17" s="140"/>
      <c r="AJ17" s="140"/>
      <c r="AK17" s="137"/>
      <c r="AL17" s="137"/>
      <c r="AM17" s="137"/>
      <c r="AN17" s="137"/>
      <c r="AO17" s="137"/>
      <c r="AP17" s="137"/>
      <c r="AQ17" s="137"/>
      <c r="AR17" s="137"/>
      <c r="AS17" s="140"/>
      <c r="AT17" s="140"/>
      <c r="AU17" s="140"/>
      <c r="AV17" s="140"/>
      <c r="AW17" s="140"/>
      <c r="AX17" s="140"/>
      <c r="AY17" s="140"/>
      <c r="AZ17" s="140"/>
      <c r="BA17" s="140"/>
      <c r="BB17" s="140"/>
      <c r="BC17" s="140"/>
      <c r="BD17" s="140"/>
      <c r="BE17" s="140"/>
      <c r="BF17" s="140"/>
      <c r="BG17" s="139"/>
      <c r="BH17" s="139"/>
      <c r="BI17" s="139"/>
      <c r="BJ17" s="139"/>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2"/>
      <c r="CI17" s="132"/>
      <c r="CJ17" s="132"/>
      <c r="CK17" s="132"/>
      <c r="CL17" s="132"/>
      <c r="CM17" s="132"/>
      <c r="CN17" s="132"/>
      <c r="CO17" s="132"/>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c r="DL17" s="139"/>
      <c r="DM17" s="139"/>
      <c r="DN17" s="139"/>
      <c r="DO17" s="139"/>
      <c r="DP17" s="139"/>
      <c r="DQ17" s="139"/>
      <c r="DR17" s="139"/>
      <c r="DS17" s="139"/>
      <c r="DT17" s="139"/>
      <c r="DU17" s="139"/>
      <c r="DV17" s="139"/>
      <c r="DW17" s="139"/>
      <c r="DX17" s="139"/>
      <c r="DY17" s="139"/>
      <c r="DZ17" s="139"/>
      <c r="EA17" s="139"/>
      <c r="EB17" s="139"/>
      <c r="EC17" s="139"/>
      <c r="ED17" s="139"/>
      <c r="EE17" s="139"/>
      <c r="EF17" s="139"/>
      <c r="EG17" s="139"/>
      <c r="EH17" s="139"/>
      <c r="EI17" s="139"/>
      <c r="EJ17" s="139"/>
      <c r="EK17" s="139"/>
      <c r="EL17" s="139"/>
      <c r="EM17" s="139"/>
      <c r="EN17" s="139"/>
      <c r="EO17" s="139"/>
      <c r="EP17" s="139"/>
      <c r="EQ17" s="139"/>
      <c r="ER17" s="139"/>
      <c r="ES17" s="139"/>
      <c r="ET17" s="139"/>
      <c r="EU17" s="139"/>
      <c r="EV17" s="139"/>
      <c r="EW17" s="139"/>
      <c r="EX17" s="139"/>
      <c r="EY17" s="139"/>
      <c r="EZ17" s="139"/>
      <c r="FA17" s="139"/>
      <c r="FB17" s="139"/>
      <c r="FC17" s="139"/>
      <c r="FD17" s="139"/>
      <c r="FE17" s="139"/>
      <c r="FF17" s="139"/>
      <c r="FG17" s="139"/>
      <c r="FH17" s="139"/>
      <c r="FI17" s="139"/>
      <c r="FJ17" s="139"/>
      <c r="FK17" s="139"/>
      <c r="FL17" s="139"/>
      <c r="FM17" s="139"/>
      <c r="FN17" s="139"/>
      <c r="FO17" s="139"/>
      <c r="FP17" s="139"/>
      <c r="FQ17" s="139"/>
      <c r="FR17" s="139"/>
      <c r="FS17" s="139"/>
    </row>
    <row r="18" spans="1:175">
      <c r="A18" s="77"/>
      <c r="B18" s="138" t="s">
        <v>173</v>
      </c>
      <c r="C18" s="148">
        <f>IF(LEFT(_xll.BDH(Ticker,"LOW_EV_TO_T12M_SALES",C$11,C$11,"EQY_CONSOLIDATED",$G$9,"ACCOUNTING_STANDARD_OVERRIDE",$G$7,"Per",$B$11,"Days=A"),1)="#","--",_xll.BDH(Ticker,"LOW_EV_TO_T12M_SALES",C$11,C$11,"EQY_CONSOLIDATED",$G$9,"ACCOUNTING_STANDARD_OVERRIDE",$G$7,"Per",$B$11,"Days=A"))</f>
        <v>2.0554999999999999</v>
      </c>
      <c r="D18" s="148">
        <f>IF(LEFT(_xll.BDH(Ticker,"LOW_EV_TO_T12M_SALES",D$11,D$11,"EQY_CONSOLIDATED",$G$9,"ACCOUNTING_STANDARD_OVERRIDE",$G$7,"Per",$B$11,"Days=A"),1)="#","--",_xll.BDH(Ticker,"LOW_EV_TO_T12M_SALES",D$11,D$11,"EQY_CONSOLIDATED",$G$9,"ACCOUNTING_STANDARD_OVERRIDE",$G$7,"Per",$B$11,"Days=A"))</f>
        <v>1.5171999999999999</v>
      </c>
      <c r="E18" s="148">
        <f>IF(LEFT(_xll.BDH(Ticker,"LOW_EV_TO_T12M_SALES",E$11,E$11,"EQY_CONSOLIDATED",$G$9,"ACCOUNTING_STANDARD_OVERRIDE",$G$7,"Per",$B$11,"Days=A"),1)="#","--",_xll.BDH(Ticker,"LOW_EV_TO_T12M_SALES",E$11,E$11,"EQY_CONSOLIDATED",$G$9,"ACCOUNTING_STANDARD_OVERRIDE",$G$7,"Per",$B$11,"Days=A"))</f>
        <v>2.0949</v>
      </c>
      <c r="F18" s="148">
        <f>IF(LEFT(_xll.BDH(Ticker,"LOW_EV_TO_T12M_SALES",F$11,F$11,"EQY_CONSOLIDATED",$G$9,"ACCOUNTING_STANDARD_OVERRIDE",$G$7,"Per",$B$11,"Days=A"),1)="#","--",_xll.BDH(Ticker,"LOW_EV_TO_T12M_SALES",F$11,F$11,"EQY_CONSOLIDATED",$G$9,"ACCOUNTING_STANDARD_OVERRIDE",$G$7,"Per",$B$11,"Days=A"))</f>
        <v>1.8647</v>
      </c>
      <c r="G18" s="148">
        <f>IF(LEFT(_xll.BDH(Ticker,"LOW_EV_TO_T12M_SALES",G$11,G$11,"EQY_CONSOLIDATED",$G$9,"ACCOUNTING_STANDARD_OVERRIDE",$G$7,"Per",$B$11,"Days=A"),1)="#","--",_xll.BDH(Ticker,"LOW_EV_TO_T12M_SALES",G$11,G$11,"EQY_CONSOLIDATED",$G$9,"ACCOUNTING_STANDARD_OVERRIDE",$G$7,"Per",$B$11,"Days=A"))</f>
        <v>2.0869</v>
      </c>
      <c r="H18" s="148">
        <f>IF(LEFT(_xll.BDH(Ticker,"LOW_EV_TO_T12M_SALES",H$11,H$11,"EQY_CONSOLIDATED",$G$9,"ACCOUNTING_STANDARD_OVERRIDE",$G$7,"Per",$B$11,"Days=A"),1)="#","--",_xll.BDH(Ticker,"LOW_EV_TO_T12M_SALES",H$11,H$11,"EQY_CONSOLIDATED",$G$9,"ACCOUNTING_STANDARD_OVERRIDE",$G$7,"Per",$B$11,"Days=A"))</f>
        <v>2.1627000000000001</v>
      </c>
      <c r="I18" s="148">
        <f>IF(LEFT(_xll.BDH(Ticker,"LOW_EV_TO_T12M_SALES",I$11,I$11,"EQY_CONSOLIDATED",$G$9,"ACCOUNTING_STANDARD_OVERRIDE",$G$7,"Per",$B$11,"Days=A"),1)="#","--",_xll.BDH(Ticker,"LOW_EV_TO_T12M_SALES",I$11,I$11,"EQY_CONSOLIDATED",$G$9,"ACCOUNTING_STANDARD_OVERRIDE",$G$7,"Per",$B$11,"Days=A"))</f>
        <v>2.9958</v>
      </c>
      <c r="J18" s="148">
        <f>IF(LEFT(_xll.BDH(Ticker,"LOW_EV_TO_T12M_SALES",J$11,J$11,"EQY_CONSOLIDATED",$G$9,"ACCOUNTING_STANDARD_OVERRIDE",$G$7,"Per",$B$11,"Days=A"),1)="#","--",_xll.BDH(Ticker,"LOW_EV_TO_T12M_SALES",J$11,J$11,"EQY_CONSOLIDATED",$G$9,"ACCOUNTING_STANDARD_OVERRIDE",$G$7,"Per",$B$11,"Days=A"))</f>
        <v>3.4198</v>
      </c>
      <c r="K18" s="148">
        <f>IF(LEFT(_xll.BDH(Ticker,"LOW_EV_TO_T12M_SALES",K$11,K$11,"EQY_CONSOLIDATED",$G$9,"ACCOUNTING_STANDARD_OVERRIDE",$G$7,"Per",$B$11,"Days=A"),1)="#","--",_xll.BDH(Ticker,"LOW_EV_TO_T12M_SALES",K$11,K$11,"EQY_CONSOLIDATED",$G$9,"ACCOUNTING_STANDARD_OVERRIDE",$G$7,"Per",$B$11,"Days=A"))</f>
        <v>3.2965999999999998</v>
      </c>
      <c r="L18" s="148">
        <f>IF(LEFT(_xll.BDH(Ticker,"LOW_EV_TO_T12M_SALES",L$11,L$11,"EQY_CONSOLIDATED",$G$9,"ACCOUNTING_STANDARD_OVERRIDE",$G$7,"Per",$B$11,"Days=A"),1)="#","--",_xll.BDH(Ticker,"LOW_EV_TO_T12M_SALES",L$11,L$11,"EQY_CONSOLIDATED",$G$9,"ACCOUNTING_STANDARD_OVERRIDE",$G$7,"Per",$B$11,"Days=A"))</f>
        <v>4.2050000000000001</v>
      </c>
      <c r="M18" s="148">
        <f>IF(LEFT(_xll.BDH(Ticker,"LOW_EV_TO_T12M_SALES",M$11,M$11,"EQY_CONSOLIDATED",$G$9,"ACCOUNTING_STANDARD_OVERRIDE",$G$7,"Per",$B$11,"Days=A"),1)="#","--",_xll.BDH(Ticker,"LOW_EV_TO_T12M_SALES",M$11,M$11,"EQY_CONSOLIDATED",$G$9,"ACCOUNTING_STANDARD_OVERRIDE",$G$7,"Per",$B$11,"Days=A"))</f>
        <v>4.7171000000000003</v>
      </c>
      <c r="N18" s="139"/>
      <c r="O18" s="139"/>
      <c r="P18" s="139"/>
      <c r="Q18" s="140"/>
      <c r="R18" s="140"/>
      <c r="S18" s="140"/>
      <c r="T18" s="140"/>
      <c r="U18" s="140"/>
      <c r="V18" s="140"/>
      <c r="W18" s="140"/>
      <c r="X18" s="140"/>
      <c r="Y18" s="140"/>
      <c r="Z18" s="140"/>
      <c r="AA18" s="140"/>
      <c r="AB18" s="140"/>
      <c r="AC18" s="140"/>
      <c r="AD18" s="140"/>
      <c r="AE18" s="140"/>
      <c r="AF18" s="140"/>
      <c r="AG18" s="140"/>
      <c r="AH18" s="140"/>
      <c r="AI18" s="140"/>
      <c r="AJ18" s="140"/>
      <c r="AK18" s="137"/>
      <c r="AL18" s="137"/>
      <c r="AM18" s="137"/>
      <c r="AN18" s="137"/>
      <c r="AO18" s="137"/>
      <c r="AP18" s="137"/>
      <c r="AQ18" s="137"/>
      <c r="AR18" s="137"/>
      <c r="AS18" s="140"/>
      <c r="AT18" s="140"/>
      <c r="AU18" s="140"/>
      <c r="AV18" s="140"/>
      <c r="AW18" s="140"/>
      <c r="AX18" s="140"/>
      <c r="AY18" s="140"/>
      <c r="AZ18" s="140"/>
      <c r="BA18" s="140"/>
      <c r="BB18" s="140"/>
      <c r="BC18" s="140"/>
      <c r="BD18" s="140"/>
      <c r="BE18" s="140"/>
      <c r="BF18" s="140"/>
      <c r="BG18" s="139"/>
      <c r="BH18" s="139"/>
      <c r="BI18" s="139"/>
      <c r="BJ18" s="139"/>
      <c r="BK18" s="139"/>
      <c r="BL18" s="139"/>
      <c r="BM18" s="139"/>
      <c r="BN18" s="139"/>
      <c r="BO18" s="139"/>
      <c r="BP18" s="139"/>
      <c r="BQ18" s="139"/>
      <c r="BR18" s="139"/>
      <c r="BS18" s="139"/>
      <c r="BT18" s="139"/>
      <c r="BU18" s="139"/>
      <c r="BV18" s="139"/>
      <c r="BW18" s="139"/>
      <c r="BX18" s="139"/>
      <c r="BY18" s="139"/>
      <c r="BZ18" s="139"/>
      <c r="CA18" s="139"/>
      <c r="CB18" s="139"/>
      <c r="CC18" s="139"/>
      <c r="CD18" s="139"/>
      <c r="CE18" s="139"/>
      <c r="CF18" s="139"/>
      <c r="CG18" s="139"/>
      <c r="CH18" s="132"/>
      <c r="CI18" s="132"/>
      <c r="CJ18" s="132"/>
      <c r="CK18" s="132"/>
      <c r="CL18" s="132"/>
      <c r="CM18" s="132"/>
      <c r="CN18" s="132"/>
      <c r="CO18" s="132"/>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c r="DL18" s="139"/>
      <c r="DM18" s="139"/>
      <c r="DN18" s="139"/>
      <c r="DO18" s="139"/>
      <c r="DP18" s="139"/>
      <c r="DQ18" s="139"/>
      <c r="DR18" s="139"/>
      <c r="DS18" s="139"/>
      <c r="DT18" s="139"/>
      <c r="DU18" s="139"/>
      <c r="DV18" s="139"/>
      <c r="DW18" s="139"/>
      <c r="DX18" s="139"/>
      <c r="DY18" s="139"/>
      <c r="DZ18" s="139"/>
      <c r="EA18" s="139"/>
      <c r="EB18" s="139"/>
      <c r="EC18" s="139"/>
      <c r="ED18" s="139"/>
      <c r="EE18" s="139"/>
      <c r="EF18" s="139"/>
      <c r="EG18" s="139"/>
      <c r="EH18" s="139"/>
      <c r="EI18" s="139"/>
      <c r="EJ18" s="139"/>
      <c r="EK18" s="139"/>
      <c r="EL18" s="139"/>
      <c r="EM18" s="139"/>
      <c r="EN18" s="139"/>
      <c r="EO18" s="139"/>
      <c r="EP18" s="139"/>
      <c r="EQ18" s="139"/>
      <c r="ER18" s="139"/>
      <c r="ES18" s="139"/>
      <c r="ET18" s="139"/>
      <c r="EU18" s="139"/>
      <c r="EV18" s="139"/>
      <c r="EW18" s="139"/>
      <c r="EX18" s="139"/>
      <c r="EY18" s="139"/>
      <c r="EZ18" s="139"/>
      <c r="FA18" s="139"/>
      <c r="FB18" s="139"/>
      <c r="FC18" s="139"/>
      <c r="FD18" s="139"/>
      <c r="FE18" s="139"/>
      <c r="FF18" s="139"/>
      <c r="FG18" s="139"/>
      <c r="FH18" s="139"/>
      <c r="FI18" s="139"/>
      <c r="FJ18" s="139"/>
      <c r="FK18" s="139"/>
      <c r="FL18" s="139"/>
      <c r="FM18" s="139"/>
      <c r="FN18" s="139"/>
      <c r="FO18" s="139"/>
      <c r="FP18" s="139"/>
      <c r="FQ18" s="139"/>
      <c r="FR18" s="139"/>
      <c r="FS18" s="139"/>
    </row>
    <row r="19" spans="1:175">
      <c r="A19" s="77"/>
      <c r="B19" s="138"/>
      <c r="C19" s="148"/>
      <c r="D19" s="148"/>
      <c r="E19" s="148"/>
      <c r="F19" s="148"/>
      <c r="G19" s="148"/>
      <c r="H19" s="148"/>
      <c r="I19" s="148"/>
      <c r="J19" s="148"/>
      <c r="K19" s="148"/>
      <c r="L19" s="148"/>
      <c r="M19" s="148"/>
      <c r="N19" s="139"/>
      <c r="O19" s="139"/>
      <c r="P19" s="139"/>
      <c r="Q19" s="140"/>
      <c r="R19" s="140"/>
      <c r="S19" s="140"/>
      <c r="T19" s="140"/>
      <c r="U19" s="140"/>
      <c r="V19" s="140"/>
      <c r="W19" s="140"/>
      <c r="X19" s="140"/>
      <c r="Y19" s="140"/>
      <c r="Z19" s="140"/>
      <c r="AA19" s="140"/>
      <c r="AB19" s="140"/>
      <c r="AC19" s="140"/>
      <c r="AD19" s="140"/>
      <c r="AE19" s="140"/>
      <c r="AF19" s="140"/>
      <c r="AG19" s="140"/>
      <c r="AH19" s="140"/>
      <c r="AI19" s="140"/>
      <c r="AJ19" s="140"/>
      <c r="AK19" s="137"/>
      <c r="AL19" s="137"/>
      <c r="AM19" s="137"/>
      <c r="AN19" s="137"/>
      <c r="AO19" s="137"/>
      <c r="AP19" s="137"/>
      <c r="AQ19" s="137"/>
      <c r="AR19" s="137"/>
      <c r="AS19" s="140"/>
      <c r="AT19" s="140"/>
      <c r="AU19" s="140"/>
      <c r="AV19" s="140"/>
      <c r="AW19" s="140"/>
      <c r="AX19" s="140"/>
      <c r="AY19" s="140"/>
      <c r="AZ19" s="140"/>
      <c r="BA19" s="140"/>
      <c r="BB19" s="140"/>
      <c r="BC19" s="140"/>
      <c r="BD19" s="140"/>
      <c r="BE19" s="140"/>
      <c r="BF19" s="140"/>
      <c r="BG19" s="139"/>
      <c r="BH19" s="139"/>
      <c r="BI19" s="139"/>
      <c r="BJ19" s="139"/>
      <c r="BK19" s="139"/>
      <c r="BL19" s="139"/>
      <c r="BM19" s="139"/>
      <c r="BN19" s="139"/>
      <c r="BO19" s="139"/>
      <c r="BP19" s="139"/>
      <c r="BQ19" s="139"/>
      <c r="BR19" s="139"/>
      <c r="BS19" s="139"/>
      <c r="BT19" s="139"/>
      <c r="BU19" s="139"/>
      <c r="BV19" s="139"/>
      <c r="BW19" s="139"/>
      <c r="BX19" s="139"/>
      <c r="BY19" s="139"/>
      <c r="BZ19" s="139"/>
      <c r="CA19" s="139"/>
      <c r="CB19" s="139"/>
      <c r="CC19" s="139"/>
      <c r="CD19" s="139"/>
      <c r="CE19" s="139"/>
      <c r="CF19" s="139"/>
      <c r="CG19" s="139"/>
      <c r="CH19" s="132"/>
      <c r="CI19" s="132"/>
      <c r="CJ19" s="132"/>
      <c r="CK19" s="132"/>
      <c r="CL19" s="132"/>
      <c r="CM19" s="132"/>
      <c r="CN19" s="132"/>
      <c r="CO19" s="132"/>
      <c r="CP19" s="139"/>
      <c r="CQ19" s="139"/>
      <c r="CR19" s="139"/>
      <c r="CS19" s="139"/>
      <c r="CT19" s="139"/>
      <c r="CU19" s="139"/>
      <c r="CV19" s="139"/>
      <c r="CW19" s="139"/>
      <c r="CX19" s="139"/>
      <c r="CY19" s="139"/>
      <c r="CZ19" s="139"/>
      <c r="DA19" s="139"/>
      <c r="DB19" s="139"/>
      <c r="DC19" s="139"/>
      <c r="DD19" s="139"/>
      <c r="DE19" s="139"/>
      <c r="DF19" s="139"/>
      <c r="DG19" s="139"/>
      <c r="DH19" s="139"/>
      <c r="DI19" s="139"/>
      <c r="DJ19" s="139"/>
      <c r="DK19" s="139"/>
      <c r="DL19" s="139"/>
      <c r="DM19" s="139"/>
      <c r="DN19" s="139"/>
      <c r="DO19" s="139"/>
      <c r="DP19" s="139"/>
      <c r="DQ19" s="139"/>
      <c r="DR19" s="139"/>
      <c r="DS19" s="139"/>
      <c r="DT19" s="139"/>
      <c r="DU19" s="139"/>
      <c r="DV19" s="139"/>
      <c r="DW19" s="139"/>
      <c r="DX19" s="139"/>
      <c r="DY19" s="139"/>
      <c r="DZ19" s="139"/>
      <c r="EA19" s="139"/>
      <c r="EB19" s="139"/>
      <c r="EC19" s="139"/>
      <c r="ED19" s="139"/>
      <c r="EE19" s="139"/>
      <c r="EF19" s="139"/>
      <c r="EG19" s="139"/>
      <c r="EH19" s="139"/>
      <c r="EI19" s="139"/>
      <c r="EJ19" s="139"/>
      <c r="EK19" s="139"/>
      <c r="EL19" s="139"/>
      <c r="EM19" s="139"/>
      <c r="EN19" s="139"/>
      <c r="EO19" s="139"/>
      <c r="EP19" s="139"/>
      <c r="EQ19" s="139"/>
      <c r="ER19" s="139"/>
      <c r="ES19" s="139"/>
      <c r="ET19" s="139"/>
      <c r="EU19" s="139"/>
      <c r="EV19" s="139"/>
      <c r="EW19" s="139"/>
      <c r="EX19" s="139"/>
      <c r="EY19" s="139"/>
      <c r="EZ19" s="139"/>
      <c r="FA19" s="139"/>
      <c r="FB19" s="139"/>
      <c r="FC19" s="139"/>
      <c r="FD19" s="139"/>
      <c r="FE19" s="139"/>
      <c r="FF19" s="139"/>
      <c r="FG19" s="139"/>
      <c r="FH19" s="139"/>
      <c r="FI19" s="139"/>
      <c r="FJ19" s="139"/>
      <c r="FK19" s="139"/>
      <c r="FL19" s="139"/>
      <c r="FM19" s="139"/>
      <c r="FN19" s="139"/>
      <c r="FO19" s="139"/>
      <c r="FP19" s="139"/>
      <c r="FQ19" s="139"/>
      <c r="FR19" s="139"/>
      <c r="FS19" s="139"/>
    </row>
    <row r="20" spans="1:175">
      <c r="A20" s="77"/>
      <c r="B20" s="135" t="s">
        <v>175</v>
      </c>
      <c r="C20" s="148"/>
      <c r="D20" s="148"/>
      <c r="E20" s="148"/>
      <c r="F20" s="148"/>
      <c r="G20" s="148"/>
      <c r="H20" s="148"/>
      <c r="I20" s="148"/>
      <c r="J20" s="148"/>
      <c r="K20" s="148"/>
      <c r="L20" s="149"/>
      <c r="M20" s="148"/>
      <c r="N20" s="139"/>
      <c r="O20" s="139"/>
      <c r="P20" s="139"/>
      <c r="Q20" s="140"/>
      <c r="R20" s="140"/>
      <c r="S20" s="140"/>
      <c r="T20" s="140"/>
      <c r="U20" s="140"/>
      <c r="V20" s="140"/>
      <c r="W20" s="140"/>
      <c r="X20" s="140"/>
      <c r="Y20" s="140"/>
      <c r="Z20" s="140"/>
      <c r="AA20" s="140"/>
      <c r="AB20" s="140"/>
      <c r="AC20" s="140"/>
      <c r="AD20" s="140"/>
      <c r="AE20" s="140"/>
      <c r="AF20" s="140"/>
      <c r="AG20" s="140"/>
      <c r="AH20" s="140"/>
      <c r="AI20" s="140"/>
      <c r="AJ20" s="140"/>
      <c r="AK20" s="137"/>
      <c r="AL20" s="137"/>
      <c r="AM20" s="137"/>
      <c r="AN20" s="137"/>
      <c r="AO20" s="137"/>
      <c r="AP20" s="137"/>
      <c r="AQ20" s="137"/>
      <c r="AR20" s="137"/>
      <c r="AS20" s="140"/>
      <c r="AT20" s="140"/>
      <c r="AU20" s="140"/>
      <c r="AV20" s="140"/>
      <c r="AW20" s="140"/>
      <c r="AX20" s="140"/>
      <c r="AY20" s="140"/>
      <c r="AZ20" s="140"/>
      <c r="BA20" s="140"/>
      <c r="BB20" s="140"/>
      <c r="BC20" s="140"/>
      <c r="BD20" s="140"/>
      <c r="BE20" s="140"/>
      <c r="BF20" s="140"/>
      <c r="BG20" s="139"/>
      <c r="BH20" s="139"/>
      <c r="BI20" s="139"/>
      <c r="BJ20" s="139"/>
      <c r="BK20" s="139"/>
      <c r="BL20" s="139"/>
      <c r="BM20" s="139"/>
      <c r="BN20" s="139"/>
      <c r="BO20" s="139"/>
      <c r="BP20" s="139"/>
      <c r="BQ20" s="139"/>
      <c r="BR20" s="139"/>
      <c r="BS20" s="139"/>
      <c r="BT20" s="139"/>
      <c r="BU20" s="139"/>
      <c r="BV20" s="139"/>
      <c r="BW20" s="139"/>
      <c r="BX20" s="139"/>
      <c r="BY20" s="139"/>
      <c r="BZ20" s="139"/>
      <c r="CA20" s="139"/>
      <c r="CB20" s="139"/>
      <c r="CC20" s="139"/>
      <c r="CD20" s="139"/>
      <c r="CE20" s="139"/>
      <c r="CF20" s="139"/>
      <c r="CG20" s="139"/>
      <c r="CH20" s="132"/>
      <c r="CI20" s="132"/>
      <c r="CJ20" s="132"/>
      <c r="CK20" s="132"/>
      <c r="CL20" s="132"/>
      <c r="CM20" s="132"/>
      <c r="CN20" s="132"/>
      <c r="CO20" s="132"/>
      <c r="CP20" s="139"/>
      <c r="CQ20" s="139"/>
      <c r="CR20" s="139"/>
      <c r="CS20" s="139"/>
      <c r="CT20" s="139"/>
      <c r="CU20" s="139"/>
      <c r="CV20" s="139"/>
      <c r="CW20" s="139"/>
      <c r="CX20" s="139"/>
      <c r="CY20" s="139"/>
      <c r="CZ20" s="139"/>
      <c r="DA20" s="139"/>
      <c r="DB20" s="139"/>
      <c r="DC20" s="139"/>
      <c r="DD20" s="139"/>
      <c r="DE20" s="139"/>
      <c r="DF20" s="139"/>
      <c r="DG20" s="139"/>
      <c r="DH20" s="139"/>
      <c r="DI20" s="139"/>
      <c r="DJ20" s="139"/>
      <c r="DK20" s="139"/>
      <c r="DL20" s="139"/>
      <c r="DM20" s="139"/>
      <c r="DN20" s="139"/>
      <c r="DO20" s="139"/>
      <c r="DP20" s="139"/>
      <c r="DQ20" s="139"/>
      <c r="DR20" s="139"/>
      <c r="DS20" s="139"/>
      <c r="DT20" s="139"/>
      <c r="DU20" s="139"/>
      <c r="DV20" s="139"/>
      <c r="DW20" s="139"/>
      <c r="DX20" s="139"/>
      <c r="DY20" s="139"/>
      <c r="DZ20" s="139"/>
      <c r="EA20" s="139"/>
      <c r="EB20" s="139"/>
      <c r="EC20" s="139"/>
      <c r="ED20" s="139"/>
      <c r="EE20" s="139"/>
      <c r="EF20" s="139"/>
      <c r="EG20" s="139"/>
      <c r="EH20" s="139"/>
      <c r="EI20" s="139"/>
      <c r="EJ20" s="139"/>
      <c r="EK20" s="139"/>
      <c r="EL20" s="139"/>
      <c r="EM20" s="139"/>
      <c r="EN20" s="139"/>
      <c r="EO20" s="139"/>
      <c r="EP20" s="139"/>
      <c r="EQ20" s="139"/>
      <c r="ER20" s="139"/>
      <c r="ES20" s="139"/>
      <c r="ET20" s="139"/>
      <c r="EU20" s="139"/>
      <c r="EV20" s="139"/>
      <c r="EW20" s="139"/>
      <c r="EX20" s="139"/>
      <c r="EY20" s="139"/>
      <c r="EZ20" s="139"/>
      <c r="FA20" s="139"/>
      <c r="FB20" s="139"/>
      <c r="FC20" s="139"/>
      <c r="FD20" s="139"/>
      <c r="FE20" s="139"/>
      <c r="FF20" s="139"/>
      <c r="FG20" s="139"/>
      <c r="FH20" s="139"/>
      <c r="FI20" s="139"/>
      <c r="FJ20" s="139"/>
      <c r="FK20" s="139"/>
      <c r="FL20" s="139"/>
      <c r="FM20" s="139"/>
      <c r="FN20" s="139"/>
      <c r="FO20" s="139"/>
      <c r="FP20" s="139"/>
      <c r="FQ20" s="139"/>
      <c r="FR20" s="139"/>
      <c r="FS20" s="139"/>
    </row>
    <row r="21" spans="1:175">
      <c r="A21" s="77"/>
      <c r="B21" s="136" t="s">
        <v>174</v>
      </c>
      <c r="C21" s="147">
        <f>IF(LEFT(_xll.BDH(Ticker,"EV_TO_T12M_EBITDA",C$11,C$11,"EQY_CONSOLIDATED",$G$9,"ACCOUNTING_STANDARD_OVERRIDE",$G$7,"Per",$B$11,"Days=A"),1)="#","--",_xll.BDH(Ticker,"EV_TO_T12M_EBITDA",C$11,C$11,"EQY_CONSOLIDATED",$G$9,"ACCOUNTING_STANDARD_OVERRIDE",$G$7,"Per",$B$11,"Days=A"))</f>
        <v>7.0364000000000004</v>
      </c>
      <c r="D21" s="147">
        <f>IF(LEFT(_xll.BDH(Ticker,"EV_TO_T12M_EBITDA",D$11,D$11,"EQY_CONSOLIDATED",$G$9,"ACCOUNTING_STANDARD_OVERRIDE",$G$7,"Per",$B$11,"Days=A"),1)="#","--",_xll.BDH(Ticker,"EV_TO_T12M_EBITDA",D$11,D$11,"EQY_CONSOLIDATED",$G$9,"ACCOUNTING_STANDARD_OVERRIDE",$G$7,"Per",$B$11,"Days=A"))</f>
        <v>8.6434999999999995</v>
      </c>
      <c r="E21" s="147">
        <f>IF(LEFT(_xll.BDH(Ticker,"EV_TO_T12M_EBITDA",E$11,E$11,"EQY_CONSOLIDATED",$G$9,"ACCOUNTING_STANDARD_OVERRIDE",$G$7,"Per",$B$11,"Days=A"),1)="#","--",_xll.BDH(Ticker,"EV_TO_T12M_EBITDA",E$11,E$11,"EQY_CONSOLIDATED",$G$9,"ACCOUNTING_STANDARD_OVERRIDE",$G$7,"Per",$B$11,"Days=A"))</f>
        <v>8.9350000000000005</v>
      </c>
      <c r="F21" s="147">
        <f>IF(LEFT(_xll.BDH(Ticker,"EV_TO_T12M_EBITDA",F$11,F$11,"EQY_CONSOLIDATED",$G$9,"ACCOUNTING_STANDARD_OVERRIDE",$G$7,"Per",$B$11,"Days=A"),1)="#","--",_xll.BDH(Ticker,"EV_TO_T12M_EBITDA",F$11,F$11,"EQY_CONSOLIDATED",$G$9,"ACCOUNTING_STANDARD_OVERRIDE",$G$7,"Per",$B$11,"Days=A"))</f>
        <v>8.7852999999999994</v>
      </c>
      <c r="G21" s="147">
        <f>IF(LEFT(_xll.BDH(Ticker,"EV_TO_T12M_EBITDA",G$11,G$11,"EQY_CONSOLIDATED",$G$9,"ACCOUNTING_STANDARD_OVERRIDE",$G$7,"Per",$B$11,"Days=A"),1)="#","--",_xll.BDH(Ticker,"EV_TO_T12M_EBITDA",G$11,G$11,"EQY_CONSOLIDATED",$G$9,"ACCOUNTING_STANDARD_OVERRIDE",$G$7,"Per",$B$11,"Days=A"))</f>
        <v>9.0725999999999996</v>
      </c>
      <c r="H21" s="147">
        <f>IF(LEFT(_xll.BDH(Ticker,"EV_TO_T12M_EBITDA",H$11,H$11,"EQY_CONSOLIDATED",$G$9,"ACCOUNTING_STANDARD_OVERRIDE",$G$7,"Per",$B$11,"Days=A"),1)="#","--",_xll.BDH(Ticker,"EV_TO_T12M_EBITDA",H$11,H$11,"EQY_CONSOLIDATED",$G$9,"ACCOUNTING_STANDARD_OVERRIDE",$G$7,"Per",$B$11,"Days=A"))</f>
        <v>17.394100000000002</v>
      </c>
      <c r="I21" s="147">
        <f>IF(LEFT(_xll.BDH(Ticker,"EV_TO_T12M_EBITDA",I$11,I$11,"EQY_CONSOLIDATED",$G$9,"ACCOUNTING_STANDARD_OVERRIDE",$G$7,"Per",$B$11,"Days=A"),1)="#","--",_xll.BDH(Ticker,"EV_TO_T12M_EBITDA",I$11,I$11,"EQY_CONSOLIDATED",$G$9,"ACCOUNTING_STANDARD_OVERRIDE",$G$7,"Per",$B$11,"Days=A"))</f>
        <v>21.323699999999999</v>
      </c>
      <c r="J21" s="147">
        <f>IF(LEFT(_xll.BDH(Ticker,"EV_TO_T12M_EBITDA",J$11,J$11,"EQY_CONSOLIDATED",$G$9,"ACCOUNTING_STANDARD_OVERRIDE",$G$7,"Per",$B$11,"Days=A"),1)="#","--",_xll.BDH(Ticker,"EV_TO_T12M_EBITDA",J$11,J$11,"EQY_CONSOLIDATED",$G$9,"ACCOUNTING_STANDARD_OVERRIDE",$G$7,"Per",$B$11,"Days=A"))</f>
        <v>15.3169</v>
      </c>
      <c r="K21" s="147">
        <f>IF(LEFT(_xll.BDH(Ticker,"EV_TO_T12M_EBITDA",K$11,K$11,"EQY_CONSOLIDATED",$G$9,"ACCOUNTING_STANDARD_OVERRIDE",$G$7,"Per",$B$11,"Days=A"),1)="#","--",_xll.BDH(Ticker,"EV_TO_T12M_EBITDA",K$11,K$11,"EQY_CONSOLIDATED",$G$9,"ACCOUNTING_STANDARD_OVERRIDE",$G$7,"Per",$B$11,"Days=A"))</f>
        <v>17.809200000000001</v>
      </c>
      <c r="L21" s="147">
        <f>IF(LEFT(_xll.BDH(Ticker,"EV_TO_T12M_EBITDA",L$11,L$11,"EQY_CONSOLIDATED",$G$9,"ACCOUNTING_STANDARD_OVERRIDE",$G$7,"Per",$B$11,"Days=A"),1)="#","--",_xll.BDH(Ticker,"EV_TO_T12M_EBITDA",L$11,L$11,"EQY_CONSOLIDATED",$G$9,"ACCOUNTING_STANDARD_OVERRIDE",$G$7,"Per",$B$11,"Days=A"))</f>
        <v>21.249600000000001</v>
      </c>
      <c r="M21" s="147">
        <f>IF(LEFT(_xll.BDH(Ticker,"EV_TO_T12M_EBITDA",M$11,M$11,"EQY_CONSOLIDATED",$G$9,"ACCOUNTING_STANDARD_OVERRIDE",$G$7,"Per",$B$11,"Days=A"),1)="#","--",_xll.BDH(Ticker,"EV_TO_T12M_EBITDA",M$11,M$11,"EQY_CONSOLIDATED",$G$9,"ACCOUNTING_STANDARD_OVERRIDE",$G$7,"Per",$B$11,"Days=A"))</f>
        <v>19.808299999999999</v>
      </c>
      <c r="N21" s="132"/>
      <c r="O21" s="132"/>
      <c r="P21" s="132"/>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c r="BE21" s="137"/>
      <c r="BF21" s="137"/>
      <c r="BG21" s="132"/>
      <c r="BH21" s="132"/>
      <c r="BI21" s="132"/>
      <c r="BJ21" s="132"/>
      <c r="BK21" s="132"/>
      <c r="BL21" s="132"/>
      <c r="BM21" s="132"/>
      <c r="BN21" s="132"/>
      <c r="BO21" s="132"/>
      <c r="BP21" s="132"/>
      <c r="BQ21" s="132"/>
      <c r="BR21" s="132"/>
      <c r="BS21" s="132"/>
      <c r="BT21" s="132"/>
      <c r="BU21" s="132"/>
      <c r="BV21" s="132"/>
      <c r="BW21" s="132"/>
      <c r="BX21" s="132"/>
      <c r="BY21" s="132"/>
      <c r="BZ21" s="132"/>
      <c r="CA21" s="132"/>
      <c r="CB21" s="132"/>
      <c r="CC21" s="132"/>
      <c r="CD21" s="132"/>
      <c r="CE21" s="132"/>
      <c r="CF21" s="132"/>
      <c r="CG21" s="132"/>
      <c r="CH21" s="132"/>
      <c r="CI21" s="132"/>
      <c r="CJ21" s="132"/>
      <c r="CK21" s="132"/>
      <c r="CL21" s="132"/>
      <c r="CM21" s="132"/>
      <c r="CN21" s="132"/>
      <c r="CO21" s="132"/>
      <c r="CP21" s="132"/>
      <c r="CQ21" s="132"/>
      <c r="CR21" s="132"/>
      <c r="CS21" s="132"/>
      <c r="CT21" s="132"/>
      <c r="CU21" s="132"/>
      <c r="CV21" s="132"/>
      <c r="CW21" s="132"/>
      <c r="CX21" s="132"/>
      <c r="CY21" s="132"/>
      <c r="CZ21" s="132"/>
      <c r="DA21" s="132"/>
      <c r="DB21" s="132"/>
      <c r="DC21" s="132"/>
      <c r="DD21" s="132"/>
      <c r="DE21" s="132"/>
      <c r="DF21" s="132"/>
      <c r="DG21" s="132"/>
      <c r="DH21" s="132"/>
      <c r="DI21" s="132"/>
      <c r="DJ21" s="132"/>
      <c r="DK21" s="132"/>
      <c r="DL21" s="132"/>
      <c r="DM21" s="132"/>
      <c r="DN21" s="132"/>
      <c r="DO21" s="132"/>
      <c r="DP21" s="132"/>
      <c r="DQ21" s="132"/>
      <c r="DR21" s="132"/>
      <c r="DS21" s="132"/>
      <c r="DT21" s="132"/>
      <c r="DU21" s="132"/>
      <c r="DV21" s="132"/>
      <c r="DW21" s="132"/>
      <c r="DX21" s="132"/>
      <c r="DY21" s="132"/>
      <c r="DZ21" s="132"/>
      <c r="EA21" s="132"/>
      <c r="EB21" s="132"/>
      <c r="EC21" s="132"/>
      <c r="ED21" s="132"/>
      <c r="EE21" s="132"/>
      <c r="EF21" s="132"/>
      <c r="EG21" s="132"/>
      <c r="EH21" s="132"/>
      <c r="EI21" s="132"/>
      <c r="EJ21" s="132"/>
      <c r="EK21" s="132"/>
      <c r="EL21" s="132"/>
      <c r="EM21" s="132"/>
      <c r="EN21" s="132"/>
      <c r="EO21" s="132"/>
      <c r="EP21" s="132"/>
      <c r="EQ21" s="132"/>
      <c r="ER21" s="132"/>
      <c r="ES21" s="132"/>
      <c r="ET21" s="132"/>
      <c r="EU21" s="132"/>
      <c r="EV21" s="132"/>
      <c r="EW21" s="132"/>
      <c r="EX21" s="132"/>
      <c r="EY21" s="132"/>
      <c r="EZ21" s="132"/>
      <c r="FA21" s="132"/>
      <c r="FB21" s="132"/>
      <c r="FC21" s="132"/>
      <c r="FD21" s="132"/>
      <c r="FE21" s="132"/>
      <c r="FF21" s="132"/>
      <c r="FG21" s="132"/>
      <c r="FH21" s="132"/>
      <c r="FI21" s="132"/>
      <c r="FJ21" s="132"/>
      <c r="FK21" s="132"/>
      <c r="FL21" s="132"/>
      <c r="FM21" s="132"/>
      <c r="FN21" s="132"/>
      <c r="FO21" s="132"/>
      <c r="FP21" s="132"/>
      <c r="FQ21" s="132"/>
      <c r="FR21" s="132"/>
      <c r="FS21" s="132"/>
    </row>
    <row r="22" spans="1:175">
      <c r="A22" s="77"/>
      <c r="B22" s="138" t="s">
        <v>171</v>
      </c>
      <c r="C22" s="148">
        <f>IF(LEFT(_xll.BDH(Ticker,"AVG_EV_TO_T12M_EBITDA",C$11,C$11,"EQY_CONSOLIDATED",$G$9,"ACCOUNTING_STANDARD_OVERRIDE",$G$7,"Per",$B$11,"Days=A"),1)="#","--",_xll.BDH(Ticker,"AVG_EV_TO_T12M_EBITDA",C$11,C$11,"EQY_CONSOLIDATED",$G$9,"ACCOUNTING_STANDARD_OVERRIDE",$G$7,"Per",$B$11,"Days=A"))</f>
        <v>13.251300000000001</v>
      </c>
      <c r="D22" s="148">
        <f>IF(LEFT(_xll.BDH(Ticker,"AVG_EV_TO_T12M_EBITDA",D$11,D$11,"EQY_CONSOLIDATED",$G$9,"ACCOUNTING_STANDARD_OVERRIDE",$G$7,"Per",$B$11,"Days=A"),1)="#","--",_xll.BDH(Ticker,"AVG_EV_TO_T12M_EBITDA",D$11,D$11,"EQY_CONSOLIDATED",$G$9,"ACCOUNTING_STANDARD_OVERRIDE",$G$7,"Per",$B$11,"Days=A"))</f>
        <v>7.4386999999999999</v>
      </c>
      <c r="E22" s="148">
        <f>IF(LEFT(_xll.BDH(Ticker,"AVG_EV_TO_T12M_EBITDA",E$11,E$11,"EQY_CONSOLIDATED",$G$9,"ACCOUNTING_STANDARD_OVERRIDE",$G$7,"Per",$B$11,"Days=A"),1)="#","--",_xll.BDH(Ticker,"AVG_EV_TO_T12M_EBITDA",E$11,E$11,"EQY_CONSOLIDATED",$G$9,"ACCOUNTING_STANDARD_OVERRIDE",$G$7,"Per",$B$11,"Days=A"))</f>
        <v>8.9678000000000004</v>
      </c>
      <c r="F22" s="148">
        <f>IF(LEFT(_xll.BDH(Ticker,"AVG_EV_TO_T12M_EBITDA",F$11,F$11,"EQY_CONSOLIDATED",$G$9,"ACCOUNTING_STANDARD_OVERRIDE",$G$7,"Per",$B$11,"Days=A"),1)="#","--",_xll.BDH(Ticker,"AVG_EV_TO_T12M_EBITDA",F$11,F$11,"EQY_CONSOLIDATED",$G$9,"ACCOUNTING_STANDARD_OVERRIDE",$G$7,"Per",$B$11,"Days=A"))</f>
        <v>9.1073000000000004</v>
      </c>
      <c r="G22" s="148">
        <f>IF(LEFT(_xll.BDH(Ticker,"AVG_EV_TO_T12M_EBITDA",G$11,G$11,"EQY_CONSOLIDATED",$G$9,"ACCOUNTING_STANDARD_OVERRIDE",$G$7,"Per",$B$11,"Days=A"),1)="#","--",_xll.BDH(Ticker,"AVG_EV_TO_T12M_EBITDA",G$11,G$11,"EQY_CONSOLIDATED",$G$9,"ACCOUNTING_STANDARD_OVERRIDE",$G$7,"Per",$B$11,"Days=A"))</f>
        <v>9.5420999999999996</v>
      </c>
      <c r="H22" s="148">
        <f>IF(LEFT(_xll.BDH(Ticker,"AVG_EV_TO_T12M_EBITDA",H$11,H$11,"EQY_CONSOLIDATED",$G$9,"ACCOUNTING_STANDARD_OVERRIDE",$G$7,"Per",$B$11,"Days=A"),1)="#","--",_xll.BDH(Ticker,"AVG_EV_TO_T12M_EBITDA",H$11,H$11,"EQY_CONSOLIDATED",$G$9,"ACCOUNTING_STANDARD_OVERRIDE",$G$7,"Per",$B$11,"Days=A"))</f>
        <v>11.493600000000001</v>
      </c>
      <c r="I22" s="148">
        <f>IF(LEFT(_xll.BDH(Ticker,"AVG_EV_TO_T12M_EBITDA",I$11,I$11,"EQY_CONSOLIDATED",$G$9,"ACCOUNTING_STANDARD_OVERRIDE",$G$7,"Per",$B$11,"Days=A"),1)="#","--",_xll.BDH(Ticker,"AVG_EV_TO_T12M_EBITDA",I$11,I$11,"EQY_CONSOLIDATED",$G$9,"ACCOUNTING_STANDARD_OVERRIDE",$G$7,"Per",$B$11,"Days=A"))</f>
        <v>19.342500000000001</v>
      </c>
      <c r="J22" s="148">
        <f>IF(LEFT(_xll.BDH(Ticker,"AVG_EV_TO_T12M_EBITDA",J$11,J$11,"EQY_CONSOLIDATED",$G$9,"ACCOUNTING_STANDARD_OVERRIDE",$G$7,"Per",$B$11,"Days=A"),1)="#","--",_xll.BDH(Ticker,"AVG_EV_TO_T12M_EBITDA",J$11,J$11,"EQY_CONSOLIDATED",$G$9,"ACCOUNTING_STANDARD_OVERRIDE",$G$7,"Per",$B$11,"Days=A"))</f>
        <v>21.587199999999999</v>
      </c>
      <c r="K22" s="148">
        <f>IF(LEFT(_xll.BDH(Ticker,"AVG_EV_TO_T12M_EBITDA",K$11,K$11,"EQY_CONSOLIDATED",$G$9,"ACCOUNTING_STANDARD_OVERRIDE",$G$7,"Per",$B$11,"Days=A"),1)="#","--",_xll.BDH(Ticker,"AVG_EV_TO_T12M_EBITDA",K$11,K$11,"EQY_CONSOLIDATED",$G$9,"ACCOUNTING_STANDARD_OVERRIDE",$G$7,"Per",$B$11,"Days=A"))</f>
        <v>18.283200000000001</v>
      </c>
      <c r="L22" s="148">
        <f>IF(LEFT(_xll.BDH(Ticker,"AVG_EV_TO_T12M_EBITDA",L$11,L$11,"EQY_CONSOLIDATED",$G$9,"ACCOUNTING_STANDARD_OVERRIDE",$G$7,"Per",$B$11,"Days=A"),1)="#","--",_xll.BDH(Ticker,"AVG_EV_TO_T12M_EBITDA",L$11,L$11,"EQY_CONSOLIDATED",$G$9,"ACCOUNTING_STANDARD_OVERRIDE",$G$7,"Per",$B$11,"Days=A"))</f>
        <v>20.517199999999999</v>
      </c>
      <c r="M22" s="148">
        <f>IF(LEFT(_xll.BDH(Ticker,"AVG_EV_TO_T12M_EBITDA",M$11,M$11,"EQY_CONSOLIDATED",$G$9,"ACCOUNTING_STANDARD_OVERRIDE",$G$7,"Per",$B$11,"Days=A"),1)="#","--",_xll.BDH(Ticker,"AVG_EV_TO_T12M_EBITDA",M$11,M$11,"EQY_CONSOLIDATED",$G$9,"ACCOUNTING_STANDARD_OVERRIDE",$G$7,"Per",$B$11,"Days=A"))</f>
        <v>22.7393</v>
      </c>
      <c r="N22" s="139"/>
      <c r="O22" s="139"/>
      <c r="P22" s="139"/>
      <c r="Q22" s="140"/>
      <c r="R22" s="140"/>
      <c r="S22" s="140"/>
      <c r="T22" s="140"/>
      <c r="U22" s="140"/>
      <c r="V22" s="140"/>
      <c r="W22" s="140"/>
      <c r="X22" s="140"/>
      <c r="Y22" s="140"/>
      <c r="Z22" s="140"/>
      <c r="AA22" s="140"/>
      <c r="AB22" s="140"/>
      <c r="AC22" s="140"/>
      <c r="AD22" s="140"/>
      <c r="AE22" s="140"/>
      <c r="AF22" s="140"/>
      <c r="AG22" s="140"/>
      <c r="AH22" s="140"/>
      <c r="AI22" s="140"/>
      <c r="AJ22" s="140"/>
      <c r="AK22" s="137"/>
      <c r="AL22" s="137"/>
      <c r="AM22" s="137"/>
      <c r="AN22" s="137"/>
      <c r="AO22" s="137"/>
      <c r="AP22" s="137"/>
      <c r="AQ22" s="137"/>
      <c r="AR22" s="137"/>
      <c r="AS22" s="140"/>
      <c r="AT22" s="140"/>
      <c r="AU22" s="140"/>
      <c r="AV22" s="140"/>
      <c r="AW22" s="140"/>
      <c r="AX22" s="140"/>
      <c r="AY22" s="140"/>
      <c r="AZ22" s="140"/>
      <c r="BA22" s="140"/>
      <c r="BB22" s="140"/>
      <c r="BC22" s="140"/>
      <c r="BD22" s="140"/>
      <c r="BE22" s="140"/>
      <c r="BF22" s="140"/>
      <c r="BG22" s="139"/>
      <c r="BH22" s="139"/>
      <c r="BI22" s="139"/>
      <c r="BJ22" s="139"/>
      <c r="BK22" s="139"/>
      <c r="BL22" s="139"/>
      <c r="BM22" s="139"/>
      <c r="BN22" s="139"/>
      <c r="BO22" s="139"/>
      <c r="BP22" s="139"/>
      <c r="BQ22" s="139"/>
      <c r="BR22" s="139"/>
      <c r="BS22" s="139"/>
      <c r="BT22" s="139"/>
      <c r="BU22" s="139"/>
      <c r="BV22" s="139"/>
      <c r="BW22" s="139"/>
      <c r="BX22" s="139"/>
      <c r="BY22" s="139"/>
      <c r="BZ22" s="139"/>
      <c r="CA22" s="139"/>
      <c r="CB22" s="139"/>
      <c r="CC22" s="139"/>
      <c r="CD22" s="139"/>
      <c r="CE22" s="139"/>
      <c r="CF22" s="139"/>
      <c r="CG22" s="139"/>
      <c r="CH22" s="132"/>
      <c r="CI22" s="132"/>
      <c r="CJ22" s="132"/>
      <c r="CK22" s="132"/>
      <c r="CL22" s="132"/>
      <c r="CM22" s="132"/>
      <c r="CN22" s="132"/>
      <c r="CO22" s="132"/>
      <c r="CP22" s="139"/>
      <c r="CQ22" s="139"/>
      <c r="CR22" s="139"/>
      <c r="CS22" s="139"/>
      <c r="CT22" s="139"/>
      <c r="CU22" s="139"/>
      <c r="CV22" s="139"/>
      <c r="CW22" s="139"/>
      <c r="CX22" s="139"/>
      <c r="CY22" s="139"/>
      <c r="CZ22" s="139"/>
      <c r="DA22" s="139"/>
      <c r="DB22" s="139"/>
      <c r="DC22" s="139"/>
      <c r="DD22" s="139"/>
      <c r="DE22" s="139"/>
      <c r="DF22" s="139"/>
      <c r="DG22" s="139"/>
      <c r="DH22" s="139"/>
      <c r="DI22" s="139"/>
      <c r="DJ22" s="139"/>
      <c r="DK22" s="139"/>
      <c r="DL22" s="139"/>
      <c r="DM22" s="139"/>
      <c r="DN22" s="139"/>
      <c r="DO22" s="139"/>
      <c r="DP22" s="139"/>
      <c r="DQ22" s="139"/>
      <c r="DR22" s="139"/>
      <c r="DS22" s="139"/>
      <c r="DT22" s="139"/>
      <c r="DU22" s="139"/>
      <c r="DV22" s="139"/>
      <c r="DW22" s="139"/>
      <c r="DX22" s="139"/>
      <c r="DY22" s="139"/>
      <c r="DZ22" s="139"/>
      <c r="EA22" s="139"/>
      <c r="EB22" s="139"/>
      <c r="EC22" s="139"/>
      <c r="ED22" s="139"/>
      <c r="EE22" s="139"/>
      <c r="EF22" s="139"/>
      <c r="EG22" s="139"/>
      <c r="EH22" s="139"/>
      <c r="EI22" s="139"/>
      <c r="EJ22" s="139"/>
      <c r="EK22" s="139"/>
      <c r="EL22" s="139"/>
      <c r="EM22" s="139"/>
      <c r="EN22" s="139"/>
      <c r="EO22" s="139"/>
      <c r="EP22" s="139"/>
      <c r="EQ22" s="139"/>
      <c r="ER22" s="139"/>
      <c r="ES22" s="139"/>
      <c r="ET22" s="139"/>
      <c r="EU22" s="139"/>
      <c r="EV22" s="139"/>
      <c r="EW22" s="139"/>
      <c r="EX22" s="139"/>
      <c r="EY22" s="139"/>
      <c r="EZ22" s="139"/>
      <c r="FA22" s="139"/>
      <c r="FB22" s="139"/>
      <c r="FC22" s="139"/>
      <c r="FD22" s="139"/>
      <c r="FE22" s="139"/>
      <c r="FF22" s="139"/>
      <c r="FG22" s="139"/>
      <c r="FH22" s="139"/>
      <c r="FI22" s="139"/>
      <c r="FJ22" s="139"/>
      <c r="FK22" s="139"/>
      <c r="FL22" s="139"/>
      <c r="FM22" s="139"/>
      <c r="FN22" s="139"/>
      <c r="FO22" s="139"/>
      <c r="FP22" s="139"/>
      <c r="FQ22" s="139"/>
      <c r="FR22" s="139"/>
      <c r="FS22" s="139"/>
    </row>
    <row r="23" spans="1:175">
      <c r="A23" s="77"/>
      <c r="B23" s="138" t="s">
        <v>172</v>
      </c>
      <c r="C23" s="148">
        <f>IF(LEFT(_xll.BDH(Ticker,"HIGH_EV_TO_T12M_EBITDA",C$11,C$11,"EQY_CONSOLIDATED",$G$9,"ACCOUNTING_STANDARD_OVERRIDE",$G$7,"Per",$B$11,"Days=A"),1)="#","--",_xll.BDH(Ticker,"HIGH_EV_TO_T12M_EBITDA",C$11,C$11,"EQY_CONSOLIDATED",$G$9,"ACCOUNTING_STANDARD_OVERRIDE",$G$7,"Per",$B$11,"Days=A"))</f>
        <v>16.479900000000001</v>
      </c>
      <c r="D23" s="148">
        <f>IF(LEFT(_xll.BDH(Ticker,"HIGH_EV_TO_T12M_EBITDA",D$11,D$11,"EQY_CONSOLIDATED",$G$9,"ACCOUNTING_STANDARD_OVERRIDE",$G$7,"Per",$B$11,"Days=A"),1)="#","--",_xll.BDH(Ticker,"HIGH_EV_TO_T12M_EBITDA",D$11,D$11,"EQY_CONSOLIDATED",$G$9,"ACCOUNTING_STANDARD_OVERRIDE",$G$7,"Per",$B$11,"Days=A"))</f>
        <v>9.5734999999999992</v>
      </c>
      <c r="E23" s="148">
        <f>IF(LEFT(_xll.BDH(Ticker,"HIGH_EV_TO_T12M_EBITDA",E$11,E$11,"EQY_CONSOLIDATED",$G$9,"ACCOUNTING_STANDARD_OVERRIDE",$G$7,"Per",$B$11,"Days=A"),1)="#","--",_xll.BDH(Ticker,"HIGH_EV_TO_T12M_EBITDA",E$11,E$11,"EQY_CONSOLIDATED",$G$9,"ACCOUNTING_STANDARD_OVERRIDE",$G$7,"Per",$B$11,"Days=A"))</f>
        <v>10.311</v>
      </c>
      <c r="F23" s="148">
        <f>IF(LEFT(_xll.BDH(Ticker,"HIGH_EV_TO_T12M_EBITDA",F$11,F$11,"EQY_CONSOLIDATED",$G$9,"ACCOUNTING_STANDARD_OVERRIDE",$G$7,"Per",$B$11,"Days=A"),1)="#","--",_xll.BDH(Ticker,"HIGH_EV_TO_T12M_EBITDA",F$11,F$11,"EQY_CONSOLIDATED",$G$9,"ACCOUNTING_STANDARD_OVERRIDE",$G$7,"Per",$B$11,"Days=A"))</f>
        <v>11.1952</v>
      </c>
      <c r="G23" s="148">
        <f>IF(LEFT(_xll.BDH(Ticker,"HIGH_EV_TO_T12M_EBITDA",G$11,G$11,"EQY_CONSOLIDATED",$G$9,"ACCOUNTING_STANDARD_OVERRIDE",$G$7,"Per",$B$11,"Days=A"),1)="#","--",_xll.BDH(Ticker,"HIGH_EV_TO_T12M_EBITDA",G$11,G$11,"EQY_CONSOLIDATED",$G$9,"ACCOUNTING_STANDARD_OVERRIDE",$G$7,"Per",$B$11,"Days=A"))</f>
        <v>10.090400000000001</v>
      </c>
      <c r="H23" s="148">
        <f>IF(LEFT(_xll.BDH(Ticker,"HIGH_EV_TO_T12M_EBITDA",H$11,H$11,"EQY_CONSOLIDATED",$G$9,"ACCOUNTING_STANDARD_OVERRIDE",$G$7,"Per",$B$11,"Days=A"),1)="#","--",_xll.BDH(Ticker,"HIGH_EV_TO_T12M_EBITDA",H$11,H$11,"EQY_CONSOLIDATED",$G$9,"ACCOUNTING_STANDARD_OVERRIDE",$G$7,"Per",$B$11,"Days=A"))</f>
        <v>17.414200000000001</v>
      </c>
      <c r="I23" s="148">
        <f>IF(LEFT(_xll.BDH(Ticker,"HIGH_EV_TO_T12M_EBITDA",I$11,I$11,"EQY_CONSOLIDATED",$G$9,"ACCOUNTING_STANDARD_OVERRIDE",$G$7,"Per",$B$11,"Days=A"),1)="#","--",_xll.BDH(Ticker,"HIGH_EV_TO_T12M_EBITDA",I$11,I$11,"EQY_CONSOLIDATED",$G$9,"ACCOUNTING_STANDARD_OVERRIDE",$G$7,"Per",$B$11,"Days=A"))</f>
        <v>22.606200000000001</v>
      </c>
      <c r="J23" s="148">
        <f>IF(LEFT(_xll.BDH(Ticker,"HIGH_EV_TO_T12M_EBITDA",J$11,J$11,"EQY_CONSOLIDATED",$G$9,"ACCOUNTING_STANDARD_OVERRIDE",$G$7,"Per",$B$11,"Days=A"),1)="#","--",_xll.BDH(Ticker,"HIGH_EV_TO_T12M_EBITDA",J$11,J$11,"EQY_CONSOLIDATED",$G$9,"ACCOUNTING_STANDARD_OVERRIDE",$G$7,"Per",$B$11,"Days=A"))</f>
        <v>23.6051</v>
      </c>
      <c r="K23" s="148">
        <f>IF(LEFT(_xll.BDH(Ticker,"HIGH_EV_TO_T12M_EBITDA",K$11,K$11,"EQY_CONSOLIDATED",$G$9,"ACCOUNTING_STANDARD_OVERRIDE",$G$7,"Per",$B$11,"Days=A"),1)="#","--",_xll.BDH(Ticker,"HIGH_EV_TO_T12M_EBITDA",K$11,K$11,"EQY_CONSOLIDATED",$G$9,"ACCOUNTING_STANDARD_OVERRIDE",$G$7,"Per",$B$11,"Days=A"))</f>
        <v>20.3062</v>
      </c>
      <c r="L23" s="148">
        <f>IF(LEFT(_xll.BDH(Ticker,"HIGH_EV_TO_T12M_EBITDA",L$11,L$11,"EQY_CONSOLIDATED",$G$9,"ACCOUNTING_STANDARD_OVERRIDE",$G$7,"Per",$B$11,"Days=A"),1)="#","--",_xll.BDH(Ticker,"HIGH_EV_TO_T12M_EBITDA",L$11,L$11,"EQY_CONSOLIDATED",$G$9,"ACCOUNTING_STANDARD_OVERRIDE",$G$7,"Per",$B$11,"Days=A"))</f>
        <v>23.267399999999999</v>
      </c>
      <c r="M23" s="148">
        <f>IF(LEFT(_xll.BDH(Ticker,"HIGH_EV_TO_T12M_EBITDA",M$11,M$11,"EQY_CONSOLIDATED",$G$9,"ACCOUNTING_STANDARD_OVERRIDE",$G$7,"Per",$B$11,"Days=A"),1)="#","--",_xll.BDH(Ticker,"HIGH_EV_TO_T12M_EBITDA",M$11,M$11,"EQY_CONSOLIDATED",$G$9,"ACCOUNTING_STANDARD_OVERRIDE",$G$7,"Per",$B$11,"Days=A"))</f>
        <v>24.3718</v>
      </c>
      <c r="N23" s="139"/>
      <c r="O23" s="139"/>
      <c r="P23" s="139"/>
      <c r="Q23" s="140"/>
      <c r="R23" s="140"/>
      <c r="S23" s="140"/>
      <c r="T23" s="140"/>
      <c r="U23" s="140"/>
      <c r="V23" s="140"/>
      <c r="W23" s="140"/>
      <c r="X23" s="140"/>
      <c r="Y23" s="140"/>
      <c r="Z23" s="140"/>
      <c r="AA23" s="140"/>
      <c r="AB23" s="140"/>
      <c r="AC23" s="140"/>
      <c r="AD23" s="140"/>
      <c r="AE23" s="140"/>
      <c r="AF23" s="140"/>
      <c r="AG23" s="140"/>
      <c r="AH23" s="140"/>
      <c r="AI23" s="140"/>
      <c r="AJ23" s="140"/>
      <c r="AK23" s="137"/>
      <c r="AL23" s="137"/>
      <c r="AM23" s="137"/>
      <c r="AN23" s="137"/>
      <c r="AO23" s="137"/>
      <c r="AP23" s="137"/>
      <c r="AQ23" s="137"/>
      <c r="AR23" s="137"/>
      <c r="AS23" s="140"/>
      <c r="AT23" s="140"/>
      <c r="AU23" s="140"/>
      <c r="AV23" s="140"/>
      <c r="AW23" s="140"/>
      <c r="AX23" s="140"/>
      <c r="AY23" s="140"/>
      <c r="AZ23" s="140"/>
      <c r="BA23" s="140"/>
      <c r="BB23" s="140"/>
      <c r="BC23" s="140"/>
      <c r="BD23" s="140"/>
      <c r="BE23" s="140"/>
      <c r="BF23" s="140"/>
      <c r="BG23" s="139"/>
      <c r="BH23" s="139"/>
      <c r="BI23" s="139"/>
      <c r="BJ23" s="139"/>
      <c r="BK23" s="139"/>
      <c r="BL23" s="139"/>
      <c r="BM23" s="139"/>
      <c r="BN23" s="139"/>
      <c r="BO23" s="139"/>
      <c r="BP23" s="139"/>
      <c r="BQ23" s="139"/>
      <c r="BR23" s="139"/>
      <c r="BS23" s="139"/>
      <c r="BT23" s="139"/>
      <c r="BU23" s="139"/>
      <c r="BV23" s="139"/>
      <c r="BW23" s="139"/>
      <c r="BX23" s="139"/>
      <c r="BY23" s="139"/>
      <c r="BZ23" s="139"/>
      <c r="CA23" s="139"/>
      <c r="CB23" s="139"/>
      <c r="CC23" s="139"/>
      <c r="CD23" s="139"/>
      <c r="CE23" s="139"/>
      <c r="CF23" s="139"/>
      <c r="CG23" s="139"/>
      <c r="CH23" s="132"/>
      <c r="CI23" s="132"/>
      <c r="CJ23" s="132"/>
      <c r="CK23" s="132"/>
      <c r="CL23" s="132"/>
      <c r="CM23" s="132"/>
      <c r="CN23" s="132"/>
      <c r="CO23" s="132"/>
      <c r="CP23" s="139"/>
      <c r="CQ23" s="139"/>
      <c r="CR23" s="139"/>
      <c r="CS23" s="139"/>
      <c r="CT23" s="139"/>
      <c r="CU23" s="139"/>
      <c r="CV23" s="139"/>
      <c r="CW23" s="139"/>
      <c r="CX23" s="139"/>
      <c r="CY23" s="139"/>
      <c r="CZ23" s="139"/>
      <c r="DA23" s="139"/>
      <c r="DB23" s="139"/>
      <c r="DC23" s="139"/>
      <c r="DD23" s="139"/>
      <c r="DE23" s="139"/>
      <c r="DF23" s="139"/>
      <c r="DG23" s="139"/>
      <c r="DH23" s="139"/>
      <c r="DI23" s="139"/>
      <c r="DJ23" s="139"/>
      <c r="DK23" s="139"/>
      <c r="DL23" s="139"/>
      <c r="DM23" s="139"/>
      <c r="DN23" s="139"/>
      <c r="DO23" s="139"/>
      <c r="DP23" s="139"/>
      <c r="DQ23" s="139"/>
      <c r="DR23" s="139"/>
      <c r="DS23" s="139"/>
      <c r="DT23" s="139"/>
      <c r="DU23" s="139"/>
      <c r="DV23" s="139"/>
      <c r="DW23" s="139"/>
      <c r="DX23" s="139"/>
      <c r="DY23" s="139"/>
      <c r="DZ23" s="139"/>
      <c r="EA23" s="139"/>
      <c r="EB23" s="139"/>
      <c r="EC23" s="139"/>
      <c r="ED23" s="139"/>
      <c r="EE23" s="139"/>
      <c r="EF23" s="139"/>
      <c r="EG23" s="139"/>
      <c r="EH23" s="139"/>
      <c r="EI23" s="139"/>
      <c r="EJ23" s="139"/>
      <c r="EK23" s="139"/>
      <c r="EL23" s="139"/>
      <c r="EM23" s="139"/>
      <c r="EN23" s="139"/>
      <c r="EO23" s="139"/>
      <c r="EP23" s="139"/>
      <c r="EQ23" s="139"/>
      <c r="ER23" s="139"/>
      <c r="ES23" s="139"/>
      <c r="ET23" s="139"/>
      <c r="EU23" s="139"/>
      <c r="EV23" s="139"/>
      <c r="EW23" s="139"/>
      <c r="EX23" s="139"/>
      <c r="EY23" s="139"/>
      <c r="EZ23" s="139"/>
      <c r="FA23" s="139"/>
      <c r="FB23" s="139"/>
      <c r="FC23" s="139"/>
      <c r="FD23" s="139"/>
      <c r="FE23" s="139"/>
      <c r="FF23" s="139"/>
      <c r="FG23" s="139"/>
      <c r="FH23" s="139"/>
      <c r="FI23" s="139"/>
      <c r="FJ23" s="139"/>
      <c r="FK23" s="139"/>
      <c r="FL23" s="139"/>
      <c r="FM23" s="139"/>
      <c r="FN23" s="139"/>
      <c r="FO23" s="139"/>
      <c r="FP23" s="139"/>
      <c r="FQ23" s="139"/>
      <c r="FR23" s="139"/>
      <c r="FS23" s="139"/>
    </row>
    <row r="24" spans="1:175">
      <c r="A24" s="77"/>
      <c r="B24" s="138" t="s">
        <v>173</v>
      </c>
      <c r="C24" s="148">
        <f>IF(LEFT(_xll.BDH(Ticker,"LOW_EV_TO_T12M_EBITDA",C$11,C$11,"EQY_CONSOLIDATED",$G$9,"ACCOUNTING_STANDARD_OVERRIDE",$G$7,"Per",$B$11,"Days=A"),1)="#","--",_xll.BDH(Ticker,"LOW_EV_TO_T12M_EBITDA",C$11,C$11,"EQY_CONSOLIDATED",$G$9,"ACCOUNTING_STANDARD_OVERRIDE",$G$7,"Per",$B$11,"Days=A"))</f>
        <v>7.1872999999999996</v>
      </c>
      <c r="D24" s="148">
        <f>IF(LEFT(_xll.BDH(Ticker,"LOW_EV_TO_T12M_EBITDA",D$11,D$11,"EQY_CONSOLIDATED",$G$9,"ACCOUNTING_STANDARD_OVERRIDE",$G$7,"Per",$B$11,"Days=A"),1)="#","--",_xll.BDH(Ticker,"LOW_EV_TO_T12M_EBITDA",D$11,D$11,"EQY_CONSOLIDATED",$G$9,"ACCOUNTING_STANDARD_OVERRIDE",$G$7,"Per",$B$11,"Days=A"))</f>
        <v>5.2499000000000002</v>
      </c>
      <c r="E24" s="148">
        <f>IF(LEFT(_xll.BDH(Ticker,"LOW_EV_TO_T12M_EBITDA",E$11,E$11,"EQY_CONSOLIDATED",$G$9,"ACCOUNTING_STANDARD_OVERRIDE",$G$7,"Per",$B$11,"Days=A"),1)="#","--",_xll.BDH(Ticker,"LOW_EV_TO_T12M_EBITDA",E$11,E$11,"EQY_CONSOLIDATED",$G$9,"ACCOUNTING_STANDARD_OVERRIDE",$G$7,"Per",$B$11,"Days=A"))</f>
        <v>7.1166999999999998</v>
      </c>
      <c r="F24" s="148">
        <f>IF(LEFT(_xll.BDH(Ticker,"LOW_EV_TO_T12M_EBITDA",F$11,F$11,"EQY_CONSOLIDATED",$G$9,"ACCOUNTING_STANDARD_OVERRIDE",$G$7,"Per",$B$11,"Days=A"),1)="#","--",_xll.BDH(Ticker,"LOW_EV_TO_T12M_EBITDA",F$11,F$11,"EQY_CONSOLIDATED",$G$9,"ACCOUNTING_STANDARD_OVERRIDE",$G$7,"Per",$B$11,"Days=A"))</f>
        <v>6.9147999999999996</v>
      </c>
      <c r="G24" s="148">
        <f>IF(LEFT(_xll.BDH(Ticker,"LOW_EV_TO_T12M_EBITDA",G$11,G$11,"EQY_CONSOLIDATED",$G$9,"ACCOUNTING_STANDARD_OVERRIDE",$G$7,"Per",$B$11,"Days=A"),1)="#","--",_xll.BDH(Ticker,"LOW_EV_TO_T12M_EBITDA",G$11,G$11,"EQY_CONSOLIDATED",$G$9,"ACCOUNTING_STANDARD_OVERRIDE",$G$7,"Per",$B$11,"Days=A"))</f>
        <v>8.8087999999999997</v>
      </c>
      <c r="H24" s="148">
        <f>IF(LEFT(_xll.BDH(Ticker,"LOW_EV_TO_T12M_EBITDA",H$11,H$11,"EQY_CONSOLIDATED",$G$9,"ACCOUNTING_STANDARD_OVERRIDE",$G$7,"Per",$B$11,"Days=A"),1)="#","--",_xll.BDH(Ticker,"LOW_EV_TO_T12M_EBITDA",H$11,H$11,"EQY_CONSOLIDATED",$G$9,"ACCOUNTING_STANDARD_OVERRIDE",$G$7,"Per",$B$11,"Days=A"))</f>
        <v>9.2777999999999992</v>
      </c>
      <c r="I24" s="148">
        <f>IF(LEFT(_xll.BDH(Ticker,"LOW_EV_TO_T12M_EBITDA",I$11,I$11,"EQY_CONSOLIDATED",$G$9,"ACCOUNTING_STANDARD_OVERRIDE",$G$7,"Per",$B$11,"Days=A"),1)="#","--",_xll.BDH(Ticker,"LOW_EV_TO_T12M_EBITDA",I$11,I$11,"EQY_CONSOLIDATED",$G$9,"ACCOUNTING_STANDARD_OVERRIDE",$G$7,"Per",$B$11,"Days=A"))</f>
        <v>17.290700000000001</v>
      </c>
      <c r="J24" s="148">
        <f>IF(LEFT(_xll.BDH(Ticker,"LOW_EV_TO_T12M_EBITDA",J$11,J$11,"EQY_CONSOLIDATED",$G$9,"ACCOUNTING_STANDARD_OVERRIDE",$G$7,"Per",$B$11,"Days=A"),1)="#","--",_xll.BDH(Ticker,"LOW_EV_TO_T12M_EBITDA",J$11,J$11,"EQY_CONSOLIDATED",$G$9,"ACCOUNTING_STANDARD_OVERRIDE",$G$7,"Per",$B$11,"Days=A"))</f>
        <v>15.4207</v>
      </c>
      <c r="K24" s="148">
        <f>IF(LEFT(_xll.BDH(Ticker,"LOW_EV_TO_T12M_EBITDA",K$11,K$11,"EQY_CONSOLIDATED",$G$9,"ACCOUNTING_STANDARD_OVERRIDE",$G$7,"Per",$B$11,"Days=A"),1)="#","--",_xll.BDH(Ticker,"LOW_EV_TO_T12M_EBITDA",K$11,K$11,"EQY_CONSOLIDATED",$G$9,"ACCOUNTING_STANDARD_OVERRIDE",$G$7,"Per",$B$11,"Days=A"))</f>
        <v>14.521000000000001</v>
      </c>
      <c r="L24" s="148">
        <f>IF(LEFT(_xll.BDH(Ticker,"LOW_EV_TO_T12M_EBITDA",L$11,L$11,"EQY_CONSOLIDATED",$G$9,"ACCOUNTING_STANDARD_OVERRIDE",$G$7,"Per",$B$11,"Days=A"),1)="#","--",_xll.BDH(Ticker,"LOW_EV_TO_T12M_EBITDA",L$11,L$11,"EQY_CONSOLIDATED",$G$9,"ACCOUNTING_STANDARD_OVERRIDE",$G$7,"Per",$B$11,"Days=A"))</f>
        <v>17.5015</v>
      </c>
      <c r="M24" s="148">
        <f>IF(LEFT(_xll.BDH(Ticker,"LOW_EV_TO_T12M_EBITDA",M$11,M$11,"EQY_CONSOLIDATED",$G$9,"ACCOUNTING_STANDARD_OVERRIDE",$G$7,"Per",$B$11,"Days=A"),1)="#","--",_xll.BDH(Ticker,"LOW_EV_TO_T12M_EBITDA",M$11,M$11,"EQY_CONSOLIDATED",$G$9,"ACCOUNTING_STANDARD_OVERRIDE",$G$7,"Per",$B$11,"Days=A"))</f>
        <v>19.881599999999999</v>
      </c>
      <c r="N24" s="139"/>
      <c r="O24" s="139"/>
      <c r="P24" s="139"/>
      <c r="Q24" s="140"/>
      <c r="R24" s="140"/>
      <c r="S24" s="140"/>
      <c r="T24" s="140"/>
      <c r="U24" s="140"/>
      <c r="V24" s="140"/>
      <c r="W24" s="140"/>
      <c r="X24" s="140"/>
      <c r="Y24" s="140"/>
      <c r="Z24" s="140"/>
      <c r="AA24" s="140"/>
      <c r="AB24" s="140"/>
      <c r="AC24" s="140"/>
      <c r="AD24" s="140"/>
      <c r="AE24" s="140"/>
      <c r="AF24" s="140"/>
      <c r="AG24" s="140"/>
      <c r="AH24" s="140"/>
      <c r="AI24" s="140"/>
      <c r="AJ24" s="140"/>
      <c r="AK24" s="137"/>
      <c r="AL24" s="137"/>
      <c r="AM24" s="137"/>
      <c r="AN24" s="137"/>
      <c r="AO24" s="137"/>
      <c r="AP24" s="137"/>
      <c r="AQ24" s="137"/>
      <c r="AR24" s="137"/>
      <c r="AS24" s="140"/>
      <c r="AT24" s="140"/>
      <c r="AU24" s="140"/>
      <c r="AV24" s="140"/>
      <c r="AW24" s="140"/>
      <c r="AX24" s="140"/>
      <c r="AY24" s="140"/>
      <c r="AZ24" s="140"/>
      <c r="BA24" s="140"/>
      <c r="BB24" s="140"/>
      <c r="BC24" s="140"/>
      <c r="BD24" s="140"/>
      <c r="BE24" s="140"/>
      <c r="BF24" s="140"/>
      <c r="BG24" s="139"/>
      <c r="BH24" s="139"/>
      <c r="BI24" s="139"/>
      <c r="BJ24" s="139"/>
      <c r="BK24" s="139"/>
      <c r="BL24" s="139"/>
      <c r="BM24" s="139"/>
      <c r="BN24" s="139"/>
      <c r="BO24" s="139"/>
      <c r="BP24" s="139"/>
      <c r="BQ24" s="139"/>
      <c r="BR24" s="139"/>
      <c r="BS24" s="139"/>
      <c r="BT24" s="139"/>
      <c r="BU24" s="139"/>
      <c r="BV24" s="139"/>
      <c r="BW24" s="139"/>
      <c r="BX24" s="139"/>
      <c r="BY24" s="139"/>
      <c r="BZ24" s="139"/>
      <c r="CA24" s="139"/>
      <c r="CB24" s="139"/>
      <c r="CC24" s="139"/>
      <c r="CD24" s="139"/>
      <c r="CE24" s="139"/>
      <c r="CF24" s="139"/>
      <c r="CG24" s="139"/>
      <c r="CH24" s="132"/>
      <c r="CI24" s="132"/>
      <c r="CJ24" s="132"/>
      <c r="CK24" s="132"/>
      <c r="CL24" s="132"/>
      <c r="CM24" s="132"/>
      <c r="CN24" s="132"/>
      <c r="CO24" s="132"/>
      <c r="CP24" s="139"/>
      <c r="CQ24" s="139"/>
      <c r="CR24" s="139"/>
      <c r="CS24" s="139"/>
      <c r="CT24" s="139"/>
      <c r="CU24" s="139"/>
      <c r="CV24" s="139"/>
      <c r="CW24" s="139"/>
      <c r="CX24" s="139"/>
      <c r="CY24" s="139"/>
      <c r="CZ24" s="139"/>
      <c r="DA24" s="139"/>
      <c r="DB24" s="139"/>
      <c r="DC24" s="139"/>
      <c r="DD24" s="139"/>
      <c r="DE24" s="139"/>
      <c r="DF24" s="139"/>
      <c r="DG24" s="139"/>
      <c r="DH24" s="139"/>
      <c r="DI24" s="139"/>
      <c r="DJ24" s="139"/>
      <c r="DK24" s="139"/>
      <c r="DL24" s="139"/>
      <c r="DM24" s="139"/>
      <c r="DN24" s="139"/>
      <c r="DO24" s="139"/>
      <c r="DP24" s="139"/>
      <c r="DQ24" s="139"/>
      <c r="DR24" s="139"/>
      <c r="DS24" s="139"/>
      <c r="DT24" s="139"/>
      <c r="DU24" s="139"/>
      <c r="DV24" s="139"/>
      <c r="DW24" s="139"/>
      <c r="DX24" s="139"/>
      <c r="DY24" s="139"/>
      <c r="DZ24" s="139"/>
      <c r="EA24" s="139"/>
      <c r="EB24" s="139"/>
      <c r="EC24" s="139"/>
      <c r="ED24" s="139"/>
      <c r="EE24" s="139"/>
      <c r="EF24" s="139"/>
      <c r="EG24" s="139"/>
      <c r="EH24" s="139"/>
      <c r="EI24" s="139"/>
      <c r="EJ24" s="139"/>
      <c r="EK24" s="139"/>
      <c r="EL24" s="139"/>
      <c r="EM24" s="139"/>
      <c r="EN24" s="139"/>
      <c r="EO24" s="139"/>
      <c r="EP24" s="139"/>
      <c r="EQ24" s="139"/>
      <c r="ER24" s="139"/>
      <c r="ES24" s="139"/>
      <c r="ET24" s="139"/>
      <c r="EU24" s="139"/>
      <c r="EV24" s="139"/>
      <c r="EW24" s="139"/>
      <c r="EX24" s="139"/>
      <c r="EY24" s="139"/>
      <c r="EZ24" s="139"/>
      <c r="FA24" s="139"/>
      <c r="FB24" s="139"/>
      <c r="FC24" s="139"/>
      <c r="FD24" s="139"/>
      <c r="FE24" s="139"/>
      <c r="FF24" s="139"/>
      <c r="FG24" s="139"/>
      <c r="FH24" s="139"/>
      <c r="FI24" s="139"/>
      <c r="FJ24" s="139"/>
      <c r="FK24" s="139"/>
      <c r="FL24" s="139"/>
      <c r="FM24" s="139"/>
      <c r="FN24" s="139"/>
      <c r="FO24" s="139"/>
      <c r="FP24" s="139"/>
      <c r="FQ24" s="139"/>
      <c r="FR24" s="139"/>
      <c r="FS24" s="139"/>
    </row>
    <row r="25" spans="1:175">
      <c r="A25" s="77"/>
      <c r="B25" s="138"/>
      <c r="C25" s="148"/>
      <c r="D25" s="148"/>
      <c r="E25" s="148"/>
      <c r="F25" s="148"/>
      <c r="G25" s="148"/>
      <c r="H25" s="148"/>
      <c r="I25" s="148"/>
      <c r="J25" s="148"/>
      <c r="K25" s="148"/>
      <c r="L25" s="148"/>
      <c r="M25" s="148"/>
      <c r="N25" s="139"/>
      <c r="O25" s="139"/>
      <c r="P25" s="139"/>
      <c r="Q25" s="140"/>
      <c r="R25" s="140"/>
      <c r="S25" s="140"/>
      <c r="T25" s="140"/>
      <c r="U25" s="140"/>
      <c r="V25" s="140"/>
      <c r="W25" s="140"/>
      <c r="X25" s="140"/>
      <c r="Y25" s="140"/>
      <c r="Z25" s="140"/>
      <c r="AA25" s="140"/>
      <c r="AB25" s="140"/>
      <c r="AC25" s="140"/>
      <c r="AD25" s="140"/>
      <c r="AE25" s="140"/>
      <c r="AF25" s="140"/>
      <c r="AG25" s="140"/>
      <c r="AH25" s="140"/>
      <c r="AI25" s="140"/>
      <c r="AJ25" s="140"/>
      <c r="AK25" s="137"/>
      <c r="AL25" s="137"/>
      <c r="AM25" s="137"/>
      <c r="AN25" s="137"/>
      <c r="AO25" s="137"/>
      <c r="AP25" s="137"/>
      <c r="AQ25" s="137"/>
      <c r="AR25" s="137"/>
      <c r="AS25" s="140"/>
      <c r="AT25" s="140"/>
      <c r="AU25" s="140"/>
      <c r="AV25" s="140"/>
      <c r="AW25" s="140"/>
      <c r="AX25" s="140"/>
      <c r="AY25" s="140"/>
      <c r="AZ25" s="140"/>
      <c r="BA25" s="140"/>
      <c r="BB25" s="140"/>
      <c r="BC25" s="140"/>
      <c r="BD25" s="140"/>
      <c r="BE25" s="140"/>
      <c r="BF25" s="140"/>
      <c r="BG25" s="139"/>
      <c r="BH25" s="139"/>
      <c r="BI25" s="139"/>
      <c r="BJ25" s="139"/>
      <c r="BK25" s="139"/>
      <c r="BL25" s="139"/>
      <c r="BM25" s="139"/>
      <c r="BN25" s="139"/>
      <c r="BO25" s="139"/>
      <c r="BP25" s="139"/>
      <c r="BQ25" s="139"/>
      <c r="BR25" s="139"/>
      <c r="BS25" s="139"/>
      <c r="BT25" s="139"/>
      <c r="BU25" s="139"/>
      <c r="BV25" s="139"/>
      <c r="BW25" s="139"/>
      <c r="BX25" s="139"/>
      <c r="BY25" s="139"/>
      <c r="BZ25" s="139"/>
      <c r="CA25" s="139"/>
      <c r="CB25" s="139"/>
      <c r="CC25" s="139"/>
      <c r="CD25" s="139"/>
      <c r="CE25" s="139"/>
      <c r="CF25" s="139"/>
      <c r="CG25" s="139"/>
      <c r="CH25" s="132"/>
      <c r="CI25" s="132"/>
      <c r="CJ25" s="132"/>
      <c r="CK25" s="132"/>
      <c r="CL25" s="132"/>
      <c r="CM25" s="132"/>
      <c r="CN25" s="132"/>
      <c r="CO25" s="132"/>
      <c r="CP25" s="139"/>
      <c r="CQ25" s="139"/>
      <c r="CR25" s="139"/>
      <c r="CS25" s="139"/>
      <c r="CT25" s="139"/>
      <c r="CU25" s="139"/>
      <c r="CV25" s="139"/>
      <c r="CW25" s="139"/>
      <c r="CX25" s="139"/>
      <c r="CY25" s="139"/>
      <c r="CZ25" s="139"/>
      <c r="DA25" s="139"/>
      <c r="DB25" s="139"/>
      <c r="DC25" s="139"/>
      <c r="DD25" s="139"/>
      <c r="DE25" s="139"/>
      <c r="DF25" s="139"/>
      <c r="DG25" s="139"/>
      <c r="DH25" s="139"/>
      <c r="DI25" s="139"/>
      <c r="DJ25" s="139"/>
      <c r="DK25" s="139"/>
      <c r="DL25" s="139"/>
      <c r="DM25" s="139"/>
      <c r="DN25" s="139"/>
      <c r="DO25" s="139"/>
      <c r="DP25" s="139"/>
      <c r="DQ25" s="139"/>
      <c r="DR25" s="139"/>
      <c r="DS25" s="139"/>
      <c r="DT25" s="139"/>
      <c r="DU25" s="139"/>
      <c r="DV25" s="139"/>
      <c r="DW25" s="139"/>
      <c r="DX25" s="139"/>
      <c r="DY25" s="139"/>
      <c r="DZ25" s="139"/>
      <c r="EA25" s="139"/>
      <c r="EB25" s="139"/>
      <c r="EC25" s="139"/>
      <c r="ED25" s="139"/>
      <c r="EE25" s="139"/>
      <c r="EF25" s="139"/>
      <c r="EG25" s="139"/>
      <c r="EH25" s="139"/>
      <c r="EI25" s="139"/>
      <c r="EJ25" s="139"/>
      <c r="EK25" s="139"/>
      <c r="EL25" s="139"/>
      <c r="EM25" s="139"/>
      <c r="EN25" s="139"/>
      <c r="EO25" s="139"/>
      <c r="EP25" s="139"/>
      <c r="EQ25" s="139"/>
      <c r="ER25" s="139"/>
      <c r="ES25" s="139"/>
      <c r="ET25" s="139"/>
      <c r="EU25" s="139"/>
      <c r="EV25" s="139"/>
      <c r="EW25" s="139"/>
      <c r="EX25" s="139"/>
      <c r="EY25" s="139"/>
      <c r="EZ25" s="139"/>
      <c r="FA25" s="139"/>
      <c r="FB25" s="139"/>
      <c r="FC25" s="139"/>
      <c r="FD25" s="139"/>
      <c r="FE25" s="139"/>
      <c r="FF25" s="139"/>
      <c r="FG25" s="139"/>
      <c r="FH25" s="139"/>
      <c r="FI25" s="139"/>
      <c r="FJ25" s="139"/>
      <c r="FK25" s="139"/>
      <c r="FL25" s="139"/>
      <c r="FM25" s="139"/>
      <c r="FN25" s="139"/>
      <c r="FO25" s="139"/>
      <c r="FP25" s="139"/>
      <c r="FQ25" s="139"/>
      <c r="FR25" s="139"/>
      <c r="FS25" s="139"/>
    </row>
    <row r="26" spans="1:175">
      <c r="A26" s="77"/>
      <c r="B26" s="135" t="s">
        <v>176</v>
      </c>
      <c r="C26" s="148"/>
      <c r="D26" s="148"/>
      <c r="E26" s="148"/>
      <c r="F26" s="148"/>
      <c r="G26" s="148"/>
      <c r="H26" s="148"/>
      <c r="I26" s="148"/>
      <c r="J26" s="148"/>
      <c r="K26" s="148"/>
      <c r="L26" s="149"/>
      <c r="M26" s="148"/>
      <c r="N26" s="139"/>
      <c r="O26" s="139"/>
      <c r="P26" s="139"/>
      <c r="Q26" s="140"/>
      <c r="R26" s="140"/>
      <c r="S26" s="140"/>
      <c r="T26" s="140"/>
      <c r="U26" s="140"/>
      <c r="V26" s="140"/>
      <c r="W26" s="140"/>
      <c r="X26" s="140"/>
      <c r="Y26" s="140"/>
      <c r="Z26" s="140"/>
      <c r="AA26" s="140"/>
      <c r="AB26" s="140"/>
      <c r="AC26" s="140"/>
      <c r="AD26" s="140"/>
      <c r="AE26" s="140"/>
      <c r="AF26" s="140"/>
      <c r="AG26" s="140"/>
      <c r="AH26" s="140"/>
      <c r="AI26" s="140"/>
      <c r="AJ26" s="140"/>
      <c r="AK26" s="137"/>
      <c r="AL26" s="137"/>
      <c r="AM26" s="137"/>
      <c r="AN26" s="137"/>
      <c r="AO26" s="137"/>
      <c r="AP26" s="137"/>
      <c r="AQ26" s="137"/>
      <c r="AR26" s="137"/>
      <c r="AS26" s="140"/>
      <c r="AT26" s="140"/>
      <c r="AU26" s="140"/>
      <c r="AV26" s="140"/>
      <c r="AW26" s="140"/>
      <c r="AX26" s="140"/>
      <c r="AY26" s="140"/>
      <c r="AZ26" s="140"/>
      <c r="BA26" s="140"/>
      <c r="BB26" s="140"/>
      <c r="BC26" s="140"/>
      <c r="BD26" s="140"/>
      <c r="BE26" s="140"/>
      <c r="BF26" s="140"/>
      <c r="BG26" s="139"/>
      <c r="BH26" s="139"/>
      <c r="BI26" s="139"/>
      <c r="BJ26" s="139"/>
      <c r="BK26" s="139"/>
      <c r="BL26" s="139"/>
      <c r="BM26" s="139"/>
      <c r="BN26" s="139"/>
      <c r="BO26" s="139"/>
      <c r="BP26" s="139"/>
      <c r="BQ26" s="139"/>
      <c r="BR26" s="139"/>
      <c r="BS26" s="139"/>
      <c r="BT26" s="139"/>
      <c r="BU26" s="139"/>
      <c r="BV26" s="139"/>
      <c r="BW26" s="139"/>
      <c r="BX26" s="139"/>
      <c r="BY26" s="139"/>
      <c r="BZ26" s="139"/>
      <c r="CA26" s="139"/>
      <c r="CB26" s="139"/>
      <c r="CC26" s="139"/>
      <c r="CD26" s="139"/>
      <c r="CE26" s="139"/>
      <c r="CF26" s="139"/>
      <c r="CG26" s="139"/>
      <c r="CH26" s="132"/>
      <c r="CI26" s="132"/>
      <c r="CJ26" s="132"/>
      <c r="CK26" s="132"/>
      <c r="CL26" s="132"/>
      <c r="CM26" s="132"/>
      <c r="CN26" s="132"/>
      <c r="CO26" s="132"/>
      <c r="CP26" s="139"/>
      <c r="CQ26" s="139"/>
      <c r="CR26" s="139"/>
      <c r="CS26" s="139"/>
      <c r="CT26" s="139"/>
      <c r="CU26" s="139"/>
      <c r="CV26" s="139"/>
      <c r="CW26" s="139"/>
      <c r="CX26" s="139"/>
      <c r="CY26" s="139"/>
      <c r="CZ26" s="139"/>
      <c r="DA26" s="139"/>
      <c r="DB26" s="139"/>
      <c r="DC26" s="139"/>
      <c r="DD26" s="139"/>
      <c r="DE26" s="139"/>
      <c r="DF26" s="139"/>
      <c r="DG26" s="139"/>
      <c r="DH26" s="139"/>
      <c r="DI26" s="139"/>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139"/>
      <c r="EJ26" s="139"/>
      <c r="EK26" s="139"/>
      <c r="EL26" s="139"/>
      <c r="EM26" s="139"/>
      <c r="EN26" s="139"/>
      <c r="EO26" s="139"/>
      <c r="EP26" s="139"/>
      <c r="EQ26" s="139"/>
      <c r="ER26" s="139"/>
      <c r="ES26" s="139"/>
      <c r="ET26" s="139"/>
      <c r="EU26" s="139"/>
      <c r="EV26" s="139"/>
      <c r="EW26" s="139"/>
      <c r="EX26" s="139"/>
      <c r="EY26" s="139"/>
      <c r="EZ26" s="139"/>
      <c r="FA26" s="139"/>
      <c r="FB26" s="139"/>
      <c r="FC26" s="139"/>
      <c r="FD26" s="139"/>
      <c r="FE26" s="139"/>
      <c r="FF26" s="139"/>
      <c r="FG26" s="139"/>
      <c r="FH26" s="139"/>
      <c r="FI26" s="139"/>
      <c r="FJ26" s="139"/>
      <c r="FK26" s="139"/>
      <c r="FL26" s="139"/>
      <c r="FM26" s="139"/>
      <c r="FN26" s="139"/>
      <c r="FO26" s="139"/>
      <c r="FP26" s="139"/>
      <c r="FQ26" s="139"/>
      <c r="FR26" s="139"/>
      <c r="FS26" s="139"/>
    </row>
    <row r="27" spans="1:175">
      <c r="A27" s="77"/>
      <c r="B27" s="136" t="s">
        <v>174</v>
      </c>
      <c r="C27" s="147">
        <f>IF(LEFT(_xll.BDH(Ticker,"EV_TO_T12M_EBIT",C$11,C$11,"EQY_CONSOLIDATED",$G$9,"ACCOUNTING_STANDARD_OVERRIDE",$G$7,"Per",$B$11,"Days=A"),1)="#","--",_xll.BDH(Ticker,"EV_TO_T12M_EBIT",C$11,C$11,"EQY_CONSOLIDATED",$G$9,"ACCOUNTING_STANDARD_OVERRIDE",$G$7,"Per",$B$11,"Days=A"))</f>
        <v>8.7914999999999992</v>
      </c>
      <c r="D27" s="147">
        <f>IF(LEFT(_xll.BDH(Ticker,"EV_TO_T12M_EBIT",D$11,D$11,"EQY_CONSOLIDATED",$G$9,"ACCOUNTING_STANDARD_OVERRIDE",$G$7,"Per",$B$11,"Days=A"),1)="#","--",_xll.BDH(Ticker,"EV_TO_T12M_EBIT",D$11,D$11,"EQY_CONSOLIDATED",$G$9,"ACCOUNTING_STANDARD_OVERRIDE",$G$7,"Per",$B$11,"Days=A"))</f>
        <v>10.7311</v>
      </c>
      <c r="E27" s="147">
        <f>IF(LEFT(_xll.BDH(Ticker,"EV_TO_T12M_EBIT",E$11,E$11,"EQY_CONSOLIDATED",$G$9,"ACCOUNTING_STANDARD_OVERRIDE",$G$7,"Per",$B$11,"Days=A"),1)="#","--",_xll.BDH(Ticker,"EV_TO_T12M_EBIT",E$11,E$11,"EQY_CONSOLIDATED",$G$9,"ACCOUNTING_STANDARD_OVERRIDE",$G$7,"Per",$B$11,"Days=A"))</f>
        <v>10.072900000000001</v>
      </c>
      <c r="F27" s="147">
        <f>IF(LEFT(_xll.BDH(Ticker,"EV_TO_T12M_EBIT",F$11,F$11,"EQY_CONSOLIDATED",$G$9,"ACCOUNTING_STANDARD_OVERRIDE",$G$7,"Per",$B$11,"Days=A"),1)="#","--",_xll.BDH(Ticker,"EV_TO_T12M_EBIT",F$11,F$11,"EQY_CONSOLIDATED",$G$9,"ACCOUNTING_STANDARD_OVERRIDE",$G$7,"Per",$B$11,"Days=A"))</f>
        <v>10.254799999999999</v>
      </c>
      <c r="G27" s="147">
        <f>IF(LEFT(_xll.BDH(Ticker,"EV_TO_T12M_EBIT",G$11,G$11,"EQY_CONSOLIDATED",$G$9,"ACCOUNTING_STANDARD_OVERRIDE",$G$7,"Per",$B$11,"Days=A"),1)="#","--",_xll.BDH(Ticker,"EV_TO_T12M_EBIT",G$11,G$11,"EQY_CONSOLIDATED",$G$9,"ACCOUNTING_STANDARD_OVERRIDE",$G$7,"Per",$B$11,"Days=A"))</f>
        <v>10.5161</v>
      </c>
      <c r="H27" s="147">
        <f>IF(LEFT(_xll.BDH(Ticker,"EV_TO_T12M_EBIT",H$11,H$11,"EQY_CONSOLIDATED",$G$9,"ACCOUNTING_STANDARD_OVERRIDE",$G$7,"Per",$B$11,"Days=A"),1)="#","--",_xll.BDH(Ticker,"EV_TO_T12M_EBIT",H$11,H$11,"EQY_CONSOLIDATED",$G$9,"ACCOUNTING_STANDARD_OVERRIDE",$G$7,"Per",$B$11,"Days=A"))</f>
        <v>21.645600000000002</v>
      </c>
      <c r="I27" s="147">
        <f>IF(LEFT(_xll.BDH(Ticker,"EV_TO_T12M_EBIT",I$11,I$11,"EQY_CONSOLIDATED",$G$9,"ACCOUNTING_STANDARD_OVERRIDE",$G$7,"Per",$B$11,"Days=A"),1)="#","--",_xll.BDH(Ticker,"EV_TO_T12M_EBIT",I$11,I$11,"EQY_CONSOLIDATED",$G$9,"ACCOUNTING_STANDARD_OVERRIDE",$G$7,"Per",$B$11,"Days=A"))</f>
        <v>27.7927</v>
      </c>
      <c r="J27" s="147">
        <f>IF(LEFT(_xll.BDH(Ticker,"EV_TO_T12M_EBIT",J$11,J$11,"EQY_CONSOLIDATED",$G$9,"ACCOUNTING_STANDARD_OVERRIDE",$G$7,"Per",$B$11,"Days=A"),1)="#","--",_xll.BDH(Ticker,"EV_TO_T12M_EBIT",J$11,J$11,"EQY_CONSOLIDATED",$G$9,"ACCOUNTING_STANDARD_OVERRIDE",$G$7,"Per",$B$11,"Days=A"))</f>
        <v>18.584399999999999</v>
      </c>
      <c r="K27" s="147">
        <f>IF(LEFT(_xll.BDH(Ticker,"EV_TO_T12M_EBIT",K$11,K$11,"EQY_CONSOLIDATED",$G$9,"ACCOUNTING_STANDARD_OVERRIDE",$G$7,"Per",$B$11,"Days=A"),1)="#","--",_xll.BDH(Ticker,"EV_TO_T12M_EBIT",K$11,K$11,"EQY_CONSOLIDATED",$G$9,"ACCOUNTING_STANDARD_OVERRIDE",$G$7,"Per",$B$11,"Days=A"))</f>
        <v>22.279900000000001</v>
      </c>
      <c r="L27" s="147">
        <f>IF(LEFT(_xll.BDH(Ticker,"EV_TO_T12M_EBIT",L$11,L$11,"EQY_CONSOLIDATED",$G$9,"ACCOUNTING_STANDARD_OVERRIDE",$G$7,"Per",$B$11,"Days=A"),1)="#","--",_xll.BDH(Ticker,"EV_TO_T12M_EBIT",L$11,L$11,"EQY_CONSOLIDATED",$G$9,"ACCOUNTING_STANDARD_OVERRIDE",$G$7,"Per",$B$11,"Days=A"))</f>
        <v>27.188800000000001</v>
      </c>
      <c r="M27" s="147">
        <f>IF(LEFT(_xll.BDH(Ticker,"EV_TO_T12M_EBIT",M$11,M$11,"EQY_CONSOLIDATED",$G$9,"ACCOUNTING_STANDARD_OVERRIDE",$G$7,"Per",$B$11,"Days=A"),1)="#","--",_xll.BDH(Ticker,"EV_TO_T12M_EBIT",M$11,M$11,"EQY_CONSOLIDATED",$G$9,"ACCOUNTING_STANDARD_OVERRIDE",$G$7,"Per",$B$11,"Days=A"))</f>
        <v>25.453399999999998</v>
      </c>
      <c r="N27" s="132"/>
      <c r="O27" s="132"/>
      <c r="P27" s="132"/>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2"/>
      <c r="BH27" s="132"/>
      <c r="BI27" s="132"/>
      <c r="BJ27" s="132"/>
      <c r="BK27" s="132"/>
      <c r="BL27" s="132"/>
      <c r="BM27" s="132"/>
      <c r="BN27" s="132"/>
      <c r="BO27" s="132"/>
      <c r="BP27" s="132"/>
      <c r="BQ27" s="132"/>
      <c r="BR27" s="132"/>
      <c r="BS27" s="132"/>
      <c r="BT27" s="132"/>
      <c r="BU27" s="132"/>
      <c r="BV27" s="132"/>
      <c r="BW27" s="132"/>
      <c r="BX27" s="132"/>
      <c r="BY27" s="132"/>
      <c r="BZ27" s="132"/>
      <c r="CA27" s="132"/>
      <c r="CB27" s="132"/>
      <c r="CC27" s="132"/>
      <c r="CD27" s="132"/>
      <c r="CE27" s="132"/>
      <c r="CF27" s="132"/>
      <c r="CG27" s="132"/>
      <c r="CH27" s="132"/>
      <c r="CI27" s="132"/>
      <c r="CJ27" s="132"/>
      <c r="CK27" s="132"/>
      <c r="CL27" s="132"/>
      <c r="CM27" s="132"/>
      <c r="CN27" s="132"/>
      <c r="CO27" s="132"/>
      <c r="CP27" s="132"/>
      <c r="CQ27" s="132"/>
      <c r="CR27" s="132"/>
      <c r="CS27" s="132"/>
      <c r="CT27" s="132"/>
      <c r="CU27" s="132"/>
      <c r="CV27" s="132"/>
      <c r="CW27" s="132"/>
      <c r="CX27" s="132"/>
      <c r="CY27" s="132"/>
      <c r="CZ27" s="132"/>
      <c r="DA27" s="132"/>
      <c r="DB27" s="132"/>
      <c r="DC27" s="132"/>
      <c r="DD27" s="132"/>
      <c r="DE27" s="132"/>
      <c r="DF27" s="132"/>
      <c r="DG27" s="132"/>
      <c r="DH27" s="132"/>
      <c r="DI27" s="132"/>
      <c r="DJ27" s="132"/>
      <c r="DK27" s="132"/>
      <c r="DL27" s="132"/>
      <c r="DM27" s="132"/>
      <c r="DN27" s="132"/>
      <c r="DO27" s="132"/>
      <c r="DP27" s="132"/>
      <c r="DQ27" s="132"/>
      <c r="DR27" s="132"/>
      <c r="DS27" s="132"/>
      <c r="DT27" s="132"/>
      <c r="DU27" s="132"/>
      <c r="DV27" s="132"/>
      <c r="DW27" s="132"/>
      <c r="DX27" s="132"/>
      <c r="DY27" s="132"/>
      <c r="DZ27" s="132"/>
      <c r="EA27" s="132"/>
      <c r="EB27" s="132"/>
      <c r="EC27" s="132"/>
      <c r="ED27" s="132"/>
      <c r="EE27" s="132"/>
      <c r="EF27" s="132"/>
      <c r="EG27" s="132"/>
      <c r="EH27" s="132"/>
      <c r="EI27" s="132"/>
      <c r="EJ27" s="132"/>
      <c r="EK27" s="132"/>
      <c r="EL27" s="132"/>
      <c r="EM27" s="132"/>
      <c r="EN27" s="132"/>
      <c r="EO27" s="132"/>
      <c r="EP27" s="132"/>
      <c r="EQ27" s="132"/>
      <c r="ER27" s="132"/>
      <c r="ES27" s="132"/>
      <c r="ET27" s="132"/>
      <c r="EU27" s="132"/>
      <c r="EV27" s="132"/>
      <c r="EW27" s="132"/>
      <c r="EX27" s="132"/>
      <c r="EY27" s="132"/>
      <c r="EZ27" s="132"/>
      <c r="FA27" s="132"/>
      <c r="FB27" s="132"/>
      <c r="FC27" s="132"/>
      <c r="FD27" s="132"/>
      <c r="FE27" s="132"/>
      <c r="FF27" s="132"/>
      <c r="FG27" s="132"/>
      <c r="FH27" s="132"/>
      <c r="FI27" s="132"/>
      <c r="FJ27" s="132"/>
      <c r="FK27" s="132"/>
      <c r="FL27" s="132"/>
      <c r="FM27" s="132"/>
      <c r="FN27" s="132"/>
      <c r="FO27" s="132"/>
      <c r="FP27" s="132"/>
      <c r="FQ27" s="132"/>
      <c r="FR27" s="132"/>
      <c r="FS27" s="132"/>
    </row>
    <row r="28" spans="1:175">
      <c r="A28" s="77"/>
      <c r="B28" s="138" t="s">
        <v>171</v>
      </c>
      <c r="C28" s="148">
        <f>IF(LEFT(_xll.BDH(Ticker,"AVERAGE_EV_TO_T12M_EBIT",C$11,C$11,"EQY_CONSOLIDATED",$G$9,"ACCOUNTING_STANDARD_OVERRIDE",$G$7,"Per",$B$11,"Days=A"),1)="#","--",_xll.BDH(Ticker,"AVERAGE_EV_TO_T12M_EBIT",C$11,C$11,"EQY_CONSOLIDATED",$G$9,"ACCOUNTING_STANDARD_OVERRIDE",$G$7,"Per",$B$11,"Days=A"))</f>
        <v>16.911100000000001</v>
      </c>
      <c r="D28" s="148">
        <f>IF(LEFT(_xll.BDH(Ticker,"AVERAGE_EV_TO_T12M_EBIT",D$11,D$11,"EQY_CONSOLIDATED",$G$9,"ACCOUNTING_STANDARD_OVERRIDE",$G$7,"Per",$B$11,"Days=A"),1)="#","--",_xll.BDH(Ticker,"AVERAGE_EV_TO_T12M_EBIT",D$11,D$11,"EQY_CONSOLIDATED",$G$9,"ACCOUNTING_STANDARD_OVERRIDE",$G$7,"Per",$B$11,"Days=A"))</f>
        <v>9.2939000000000007</v>
      </c>
      <c r="E28" s="148">
        <f>IF(LEFT(_xll.BDH(Ticker,"AVERAGE_EV_TO_T12M_EBIT",E$11,E$11,"EQY_CONSOLIDATED",$G$9,"ACCOUNTING_STANDARD_OVERRIDE",$G$7,"Per",$B$11,"Days=A"),1)="#","--",_xll.BDH(Ticker,"AVERAGE_EV_TO_T12M_EBIT",E$11,E$11,"EQY_CONSOLIDATED",$G$9,"ACCOUNTING_STANDARD_OVERRIDE",$G$7,"Per",$B$11,"Days=A"))</f>
        <v>11.1296</v>
      </c>
      <c r="F28" s="148">
        <f>IF(LEFT(_xll.BDH(Ticker,"AVERAGE_EV_TO_T12M_EBIT",F$11,F$11,"EQY_CONSOLIDATED",$G$9,"ACCOUNTING_STANDARD_OVERRIDE",$G$7,"Per",$B$11,"Days=A"),1)="#","--",_xll.BDH(Ticker,"AVERAGE_EV_TO_T12M_EBIT",F$11,F$11,"EQY_CONSOLIDATED",$G$9,"ACCOUNTING_STANDARD_OVERRIDE",$G$7,"Per",$B$11,"Days=A"))</f>
        <v>10.268599999999999</v>
      </c>
      <c r="G28" s="148">
        <f>IF(LEFT(_xll.BDH(Ticker,"AVERAGE_EV_TO_T12M_EBIT",G$11,G$11,"EQY_CONSOLIDATED",$G$9,"ACCOUNTING_STANDARD_OVERRIDE",$G$7,"Per",$B$11,"Days=A"),1)="#","--",_xll.BDH(Ticker,"AVERAGE_EV_TO_T12M_EBIT",G$11,G$11,"EQY_CONSOLIDATED",$G$9,"ACCOUNTING_STANDARD_OVERRIDE",$G$7,"Per",$B$11,"Days=A"))</f>
        <v>11.1378</v>
      </c>
      <c r="H28" s="148">
        <f>IF(LEFT(_xll.BDH(Ticker,"AVERAGE_EV_TO_T12M_EBIT",H$11,H$11,"EQY_CONSOLIDATED",$G$9,"ACCOUNTING_STANDARD_OVERRIDE",$G$7,"Per",$B$11,"Days=A"),1)="#","--",_xll.BDH(Ticker,"AVERAGE_EV_TO_T12M_EBIT",H$11,H$11,"EQY_CONSOLIDATED",$G$9,"ACCOUNTING_STANDARD_OVERRIDE",$G$7,"Per",$B$11,"Days=A"))</f>
        <v>13.328200000000001</v>
      </c>
      <c r="I28" s="148">
        <f>IF(LEFT(_xll.BDH(Ticker,"AVERAGE_EV_TO_T12M_EBIT",I$11,I$11,"EQY_CONSOLIDATED",$G$9,"ACCOUNTING_STANDARD_OVERRIDE",$G$7,"Per",$B$11,"Days=A"),1)="#","--",_xll.BDH(Ticker,"AVERAGE_EV_TO_T12M_EBIT",I$11,I$11,"EQY_CONSOLIDATED",$G$9,"ACCOUNTING_STANDARD_OVERRIDE",$G$7,"Per",$B$11,"Days=A"))</f>
        <v>24.075399999999998</v>
      </c>
      <c r="J28" s="148">
        <f>IF(LEFT(_xll.BDH(Ticker,"AVERAGE_EV_TO_T12M_EBIT",J$11,J$11,"EQY_CONSOLIDATED",$G$9,"ACCOUNTING_STANDARD_OVERRIDE",$G$7,"Per",$B$11,"Days=A"),1)="#","--",_xll.BDH(Ticker,"AVERAGE_EV_TO_T12M_EBIT",J$11,J$11,"EQY_CONSOLIDATED",$G$9,"ACCOUNTING_STANDARD_OVERRIDE",$G$7,"Per",$B$11,"Days=A"))</f>
        <v>28.130600000000001</v>
      </c>
      <c r="K28" s="148">
        <f>IF(LEFT(_xll.BDH(Ticker,"AVERAGE_EV_TO_T12M_EBIT",K$11,K$11,"EQY_CONSOLIDATED",$G$9,"ACCOUNTING_STANDARD_OVERRIDE",$G$7,"Per",$B$11,"Days=A"),1)="#","--",_xll.BDH(Ticker,"AVERAGE_EV_TO_T12M_EBIT",K$11,K$11,"EQY_CONSOLIDATED",$G$9,"ACCOUNTING_STANDARD_OVERRIDE",$G$7,"Per",$B$11,"Days=A"))</f>
        <v>22.186199999999999</v>
      </c>
      <c r="L28" s="148">
        <f>IF(LEFT(_xll.BDH(Ticker,"AVERAGE_EV_TO_T12M_EBIT",L$11,L$11,"EQY_CONSOLIDATED",$G$9,"ACCOUNTING_STANDARD_OVERRIDE",$G$7,"Per",$B$11,"Days=A"),1)="#","--",_xll.BDH(Ticker,"AVERAGE_EV_TO_T12M_EBIT",L$11,L$11,"EQY_CONSOLIDATED",$G$9,"ACCOUNTING_STANDARD_OVERRIDE",$G$7,"Per",$B$11,"Days=A"))</f>
        <v>25.670100000000001</v>
      </c>
      <c r="M28" s="148">
        <f>IF(LEFT(_xll.BDH(Ticker,"AVERAGE_EV_TO_T12M_EBIT",M$11,M$11,"EQY_CONSOLIDATED",$G$9,"ACCOUNTING_STANDARD_OVERRIDE",$G$7,"Per",$B$11,"Days=A"),1)="#","--",_xll.BDH(Ticker,"AVERAGE_EV_TO_T12M_EBIT",M$11,M$11,"EQY_CONSOLIDATED",$G$9,"ACCOUNTING_STANDARD_OVERRIDE",$G$7,"Per",$B$11,"Days=A"))</f>
        <v>29.095199999999998</v>
      </c>
      <c r="N28" s="139"/>
      <c r="O28" s="139"/>
      <c r="P28" s="139"/>
      <c r="Q28" s="140"/>
      <c r="R28" s="140"/>
      <c r="S28" s="140"/>
      <c r="T28" s="140"/>
      <c r="U28" s="140"/>
      <c r="V28" s="140"/>
      <c r="W28" s="140"/>
      <c r="X28" s="140"/>
      <c r="Y28" s="140"/>
      <c r="Z28" s="140"/>
      <c r="AA28" s="140"/>
      <c r="AB28" s="140"/>
      <c r="AC28" s="140"/>
      <c r="AD28" s="140"/>
      <c r="AE28" s="140"/>
      <c r="AF28" s="140"/>
      <c r="AG28" s="140"/>
      <c r="AH28" s="140"/>
      <c r="AI28" s="140"/>
      <c r="AJ28" s="140"/>
      <c r="AK28" s="137"/>
      <c r="AL28" s="137"/>
      <c r="AM28" s="137"/>
      <c r="AN28" s="137"/>
      <c r="AO28" s="137"/>
      <c r="AP28" s="137"/>
      <c r="AQ28" s="137"/>
      <c r="AR28" s="137"/>
      <c r="AS28" s="140"/>
      <c r="AT28" s="140"/>
      <c r="AU28" s="140"/>
      <c r="AV28" s="140"/>
      <c r="AW28" s="140"/>
      <c r="AX28" s="140"/>
      <c r="AY28" s="140"/>
      <c r="AZ28" s="140"/>
      <c r="BA28" s="140"/>
      <c r="BB28" s="140"/>
      <c r="BC28" s="140"/>
      <c r="BD28" s="140"/>
      <c r="BE28" s="140"/>
      <c r="BF28" s="140"/>
      <c r="BG28" s="139"/>
      <c r="BH28" s="139"/>
      <c r="BI28" s="139"/>
      <c r="BJ28" s="139"/>
      <c r="BK28" s="139"/>
      <c r="BL28" s="139"/>
      <c r="BM28" s="139"/>
      <c r="BN28" s="139"/>
      <c r="BO28" s="139"/>
      <c r="BP28" s="139"/>
      <c r="BQ28" s="139"/>
      <c r="BR28" s="139"/>
      <c r="BS28" s="139"/>
      <c r="BT28" s="139"/>
      <c r="BU28" s="139"/>
      <c r="BV28" s="139"/>
      <c r="BW28" s="139"/>
      <c r="BX28" s="139"/>
      <c r="BY28" s="139"/>
      <c r="BZ28" s="139"/>
      <c r="CA28" s="139"/>
      <c r="CB28" s="139"/>
      <c r="CC28" s="139"/>
      <c r="CD28" s="139"/>
      <c r="CE28" s="139"/>
      <c r="CF28" s="139"/>
      <c r="CG28" s="139"/>
      <c r="CH28" s="132"/>
      <c r="CI28" s="132"/>
      <c r="CJ28" s="132"/>
      <c r="CK28" s="132"/>
      <c r="CL28" s="132"/>
      <c r="CM28" s="132"/>
      <c r="CN28" s="132"/>
      <c r="CO28" s="132"/>
      <c r="CP28" s="139"/>
      <c r="CQ28" s="139"/>
      <c r="CR28" s="139"/>
      <c r="CS28" s="139"/>
      <c r="CT28" s="139"/>
      <c r="CU28" s="139"/>
      <c r="CV28" s="139"/>
      <c r="CW28" s="139"/>
      <c r="CX28" s="139"/>
      <c r="CY28" s="139"/>
      <c r="CZ28" s="139"/>
      <c r="DA28" s="139"/>
      <c r="DB28" s="139"/>
      <c r="DC28" s="139"/>
      <c r="DD28" s="139"/>
      <c r="DE28" s="139"/>
      <c r="DF28" s="139"/>
      <c r="DG28" s="139"/>
      <c r="DH28" s="139"/>
      <c r="DI28" s="139"/>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9"/>
      <c r="EZ28" s="139"/>
      <c r="FA28" s="139"/>
      <c r="FB28" s="139"/>
      <c r="FC28" s="139"/>
      <c r="FD28" s="139"/>
      <c r="FE28" s="139"/>
      <c r="FF28" s="139"/>
      <c r="FG28" s="139"/>
      <c r="FH28" s="139"/>
      <c r="FI28" s="139"/>
      <c r="FJ28" s="139"/>
      <c r="FK28" s="139"/>
      <c r="FL28" s="139"/>
      <c r="FM28" s="139"/>
      <c r="FN28" s="139"/>
      <c r="FO28" s="139"/>
      <c r="FP28" s="139"/>
      <c r="FQ28" s="139"/>
      <c r="FR28" s="139"/>
      <c r="FS28" s="139"/>
    </row>
    <row r="29" spans="1:175">
      <c r="A29" s="77"/>
      <c r="B29" s="138" t="s">
        <v>172</v>
      </c>
      <c r="C29" s="148">
        <f>IF(LEFT(_xll.BDH(Ticker,"HIGH_EV_TO_T12M_EBIT",C$11,C$11,"EQY_CONSOLIDATED",$G$9,"ACCOUNTING_STANDARD_OVERRIDE",$G$7,"Per",$B$11,"Days=A"),1)="#","--",_xll.BDH(Ticker,"HIGH_EV_TO_T12M_EBIT",C$11,C$11,"EQY_CONSOLIDATED",$G$9,"ACCOUNTING_STANDARD_OVERRIDE",$G$7,"Per",$B$11,"Days=A"))</f>
        <v>21.032399999999999</v>
      </c>
      <c r="D29" s="148">
        <f>IF(LEFT(_xll.BDH(Ticker,"HIGH_EV_TO_T12M_EBIT",D$11,D$11,"EQY_CONSOLIDATED",$G$9,"ACCOUNTING_STANDARD_OVERRIDE",$G$7,"Per",$B$11,"Days=A"),1)="#","--",_xll.BDH(Ticker,"HIGH_EV_TO_T12M_EBIT",D$11,D$11,"EQY_CONSOLIDATED",$G$9,"ACCOUNTING_STANDARD_OVERRIDE",$G$7,"Per",$B$11,"Days=A"))</f>
        <v>11.961399999999999</v>
      </c>
      <c r="E29" s="148">
        <f>IF(LEFT(_xll.BDH(Ticker,"HIGH_EV_TO_T12M_EBIT",E$11,E$11,"EQY_CONSOLIDATED",$G$9,"ACCOUNTING_STANDARD_OVERRIDE",$G$7,"Per",$B$11,"Days=A"),1)="#","--",_xll.BDH(Ticker,"HIGH_EV_TO_T12M_EBIT",E$11,E$11,"EQY_CONSOLIDATED",$G$9,"ACCOUNTING_STANDARD_OVERRIDE",$G$7,"Per",$B$11,"Days=A"))</f>
        <v>12.801399999999999</v>
      </c>
      <c r="F29" s="148">
        <f>IF(LEFT(_xll.BDH(Ticker,"HIGH_EV_TO_T12M_EBIT",F$11,F$11,"EQY_CONSOLIDATED",$G$9,"ACCOUNTING_STANDARD_OVERRIDE",$G$7,"Per",$B$11,"Days=A"),1)="#","--",_xll.BDH(Ticker,"HIGH_EV_TO_T12M_EBIT",F$11,F$11,"EQY_CONSOLIDATED",$G$9,"ACCOUNTING_STANDARD_OVERRIDE",$G$7,"Per",$B$11,"Days=A"))</f>
        <v>12.621</v>
      </c>
      <c r="G29" s="148">
        <f>IF(LEFT(_xll.BDH(Ticker,"HIGH_EV_TO_T12M_EBIT",G$11,G$11,"EQY_CONSOLIDATED",$G$9,"ACCOUNTING_STANDARD_OVERRIDE",$G$7,"Per",$B$11,"Days=A"),1)="#","--",_xll.BDH(Ticker,"HIGH_EV_TO_T12M_EBIT",G$11,G$11,"EQY_CONSOLIDATED",$G$9,"ACCOUNTING_STANDARD_OVERRIDE",$G$7,"Per",$B$11,"Days=A"))</f>
        <v>11.7781</v>
      </c>
      <c r="H29" s="148">
        <f>IF(LEFT(_xll.BDH(Ticker,"HIGH_EV_TO_T12M_EBIT",H$11,H$11,"EQY_CONSOLIDATED",$G$9,"ACCOUNTING_STANDARD_OVERRIDE",$G$7,"Per",$B$11,"Days=A"),1)="#","--",_xll.BDH(Ticker,"HIGH_EV_TO_T12M_EBIT",H$11,H$11,"EQY_CONSOLIDATED",$G$9,"ACCOUNTING_STANDARD_OVERRIDE",$G$7,"Per",$B$11,"Days=A"))</f>
        <v>21.6707</v>
      </c>
      <c r="I29" s="148">
        <f>IF(LEFT(_xll.BDH(Ticker,"HIGH_EV_TO_T12M_EBIT",I$11,I$11,"EQY_CONSOLIDATED",$G$9,"ACCOUNTING_STANDARD_OVERRIDE",$G$7,"Per",$B$11,"Days=A"),1)="#","--",_xll.BDH(Ticker,"HIGH_EV_TO_T12M_EBIT",I$11,I$11,"EQY_CONSOLIDATED",$G$9,"ACCOUNTING_STANDARD_OVERRIDE",$G$7,"Per",$B$11,"Days=A"))</f>
        <v>28.131799999999998</v>
      </c>
      <c r="J29" s="148">
        <f>IF(LEFT(_xll.BDH(Ticker,"HIGH_EV_TO_T12M_EBIT",J$11,J$11,"EQY_CONSOLIDATED",$G$9,"ACCOUNTING_STANDARD_OVERRIDE",$G$7,"Per",$B$11,"Days=A"),1)="#","--",_xll.BDH(Ticker,"HIGH_EV_TO_T12M_EBIT",J$11,J$11,"EQY_CONSOLIDATED",$G$9,"ACCOUNTING_STANDARD_OVERRIDE",$G$7,"Per",$B$11,"Days=A"))</f>
        <v>30.766200000000001</v>
      </c>
      <c r="K29" s="148">
        <f>IF(LEFT(_xll.BDH(Ticker,"HIGH_EV_TO_T12M_EBIT",K$11,K$11,"EQY_CONSOLIDATED",$G$9,"ACCOUNTING_STANDARD_OVERRIDE",$G$7,"Per",$B$11,"Days=A"),1)="#","--",_xll.BDH(Ticker,"HIGH_EV_TO_T12M_EBIT",K$11,K$11,"EQY_CONSOLIDATED",$G$9,"ACCOUNTING_STANDARD_OVERRIDE",$G$7,"Per",$B$11,"Days=A"))</f>
        <v>24.638000000000002</v>
      </c>
      <c r="L29" s="148">
        <f>IF(LEFT(_xll.BDH(Ticker,"HIGH_EV_TO_T12M_EBIT",L$11,L$11,"EQY_CONSOLIDATED",$G$9,"ACCOUNTING_STANDARD_OVERRIDE",$G$7,"Per",$B$11,"Days=A"),1)="#","--",_xll.BDH(Ticker,"HIGH_EV_TO_T12M_EBIT",L$11,L$11,"EQY_CONSOLIDATED",$G$9,"ACCOUNTING_STANDARD_OVERRIDE",$G$7,"Per",$B$11,"Days=A"))</f>
        <v>29.1084</v>
      </c>
      <c r="M29" s="148">
        <f>IF(LEFT(_xll.BDH(Ticker,"HIGH_EV_TO_T12M_EBIT",M$11,M$11,"EQY_CONSOLIDATED",$G$9,"ACCOUNTING_STANDARD_OVERRIDE",$G$7,"Per",$B$11,"Days=A"),1)="#","--",_xll.BDH(Ticker,"HIGH_EV_TO_T12M_EBIT",M$11,M$11,"EQY_CONSOLIDATED",$G$9,"ACCOUNTING_STANDARD_OVERRIDE",$G$7,"Per",$B$11,"Days=A"))</f>
        <v>31.183599999999998</v>
      </c>
      <c r="N29" s="139"/>
      <c r="O29" s="139"/>
      <c r="P29" s="139"/>
      <c r="Q29" s="140"/>
      <c r="R29" s="140"/>
      <c r="S29" s="140"/>
      <c r="T29" s="140"/>
      <c r="U29" s="140"/>
      <c r="V29" s="140"/>
      <c r="W29" s="140"/>
      <c r="X29" s="140"/>
      <c r="Y29" s="140"/>
      <c r="Z29" s="140"/>
      <c r="AA29" s="140"/>
      <c r="AB29" s="140"/>
      <c r="AC29" s="140"/>
      <c r="AD29" s="140"/>
      <c r="AE29" s="140"/>
      <c r="AF29" s="140"/>
      <c r="AG29" s="140"/>
      <c r="AH29" s="140"/>
      <c r="AI29" s="140"/>
      <c r="AJ29" s="140"/>
      <c r="AK29" s="137"/>
      <c r="AL29" s="137"/>
      <c r="AM29" s="137"/>
      <c r="AN29" s="137"/>
      <c r="AO29" s="137"/>
      <c r="AP29" s="137"/>
      <c r="AQ29" s="137"/>
      <c r="AR29" s="137"/>
      <c r="AS29" s="140"/>
      <c r="AT29" s="140"/>
      <c r="AU29" s="140"/>
      <c r="AV29" s="140"/>
      <c r="AW29" s="140"/>
      <c r="AX29" s="140"/>
      <c r="AY29" s="140"/>
      <c r="AZ29" s="140"/>
      <c r="BA29" s="140"/>
      <c r="BB29" s="140"/>
      <c r="BC29" s="140"/>
      <c r="BD29" s="140"/>
      <c r="BE29" s="140"/>
      <c r="BF29" s="140"/>
      <c r="BG29" s="139"/>
      <c r="BH29" s="139"/>
      <c r="BI29" s="139"/>
      <c r="BJ29" s="139"/>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2"/>
      <c r="CI29" s="132"/>
      <c r="CJ29" s="132"/>
      <c r="CK29" s="132"/>
      <c r="CL29" s="132"/>
      <c r="CM29" s="132"/>
      <c r="CN29" s="132"/>
      <c r="CO29" s="132"/>
      <c r="CP29" s="139"/>
      <c r="CQ29" s="139"/>
      <c r="CR29" s="139"/>
      <c r="CS29" s="139"/>
      <c r="CT29" s="139"/>
      <c r="CU29" s="139"/>
      <c r="CV29" s="139"/>
      <c r="CW29" s="139"/>
      <c r="CX29" s="139"/>
      <c r="CY29" s="139"/>
      <c r="CZ29" s="139"/>
      <c r="DA29" s="139"/>
      <c r="DB29" s="139"/>
      <c r="DC29" s="139"/>
      <c r="DD29" s="139"/>
      <c r="DE29" s="139"/>
      <c r="DF29" s="139"/>
      <c r="DG29" s="139"/>
      <c r="DH29" s="139"/>
      <c r="DI29" s="139"/>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139"/>
      <c r="EJ29" s="139"/>
      <c r="EK29" s="139"/>
      <c r="EL29" s="139"/>
      <c r="EM29" s="139"/>
      <c r="EN29" s="139"/>
      <c r="EO29" s="139"/>
      <c r="EP29" s="139"/>
      <c r="EQ29" s="139"/>
      <c r="ER29" s="139"/>
      <c r="ES29" s="139"/>
      <c r="ET29" s="139"/>
      <c r="EU29" s="139"/>
      <c r="EV29" s="139"/>
      <c r="EW29" s="139"/>
      <c r="EX29" s="139"/>
      <c r="EY29" s="139"/>
      <c r="EZ29" s="139"/>
      <c r="FA29" s="139"/>
      <c r="FB29" s="139"/>
      <c r="FC29" s="139"/>
      <c r="FD29" s="139"/>
      <c r="FE29" s="139"/>
      <c r="FF29" s="139"/>
      <c r="FG29" s="139"/>
      <c r="FH29" s="139"/>
      <c r="FI29" s="139"/>
      <c r="FJ29" s="139"/>
      <c r="FK29" s="139"/>
      <c r="FL29" s="139"/>
      <c r="FM29" s="139"/>
      <c r="FN29" s="139"/>
      <c r="FO29" s="139"/>
      <c r="FP29" s="139"/>
      <c r="FQ29" s="139"/>
      <c r="FR29" s="139"/>
      <c r="FS29" s="139"/>
    </row>
    <row r="30" spans="1:175">
      <c r="A30" s="77"/>
      <c r="B30" s="138" t="s">
        <v>173</v>
      </c>
      <c r="C30" s="148">
        <f>IF(LEFT(_xll.BDH(Ticker,"LOW_EV_TO_T12M_EBIT",C$11,C$11,"EQY_CONSOLIDATED",$G$9,"ACCOUNTING_STANDARD_OVERRIDE",$G$7,"Per",$B$11,"Days=A"),1)="#","--",_xll.BDH(Ticker,"LOW_EV_TO_T12M_EBIT",C$11,C$11,"EQY_CONSOLIDATED",$G$9,"ACCOUNTING_STANDARD_OVERRIDE",$G$7,"Per",$B$11,"Days=A"))</f>
        <v>8.98</v>
      </c>
      <c r="D30" s="148">
        <f>IF(LEFT(_xll.BDH(Ticker,"LOW_EV_TO_T12M_EBIT",D$11,D$11,"EQY_CONSOLIDATED",$G$9,"ACCOUNTING_STANDARD_OVERRIDE",$G$7,"Per",$B$11,"Days=A"),1)="#","--",_xll.BDH(Ticker,"LOW_EV_TO_T12M_EBIT",D$11,D$11,"EQY_CONSOLIDATED",$G$9,"ACCOUNTING_STANDARD_OVERRIDE",$G$7,"Per",$B$11,"Days=A"))</f>
        <v>6.5594000000000001</v>
      </c>
      <c r="E30" s="148">
        <f>IF(LEFT(_xll.BDH(Ticker,"LOW_EV_TO_T12M_EBIT",E$11,E$11,"EQY_CONSOLIDATED",$G$9,"ACCOUNTING_STANDARD_OVERRIDE",$G$7,"Per",$B$11,"Days=A"),1)="#","--",_xll.BDH(Ticker,"LOW_EV_TO_T12M_EBIT",E$11,E$11,"EQY_CONSOLIDATED",$G$9,"ACCOUNTING_STANDARD_OVERRIDE",$G$7,"Per",$B$11,"Days=A"))</f>
        <v>8.8355999999999995</v>
      </c>
      <c r="F30" s="148">
        <f>IF(LEFT(_xll.BDH(Ticker,"LOW_EV_TO_T12M_EBIT",F$11,F$11,"EQY_CONSOLIDATED",$G$9,"ACCOUNTING_STANDARD_OVERRIDE",$G$7,"Per",$B$11,"Days=A"),1)="#","--",_xll.BDH(Ticker,"LOW_EV_TO_T12M_EBIT",F$11,F$11,"EQY_CONSOLIDATED",$G$9,"ACCOUNTING_STANDARD_OVERRIDE",$G$7,"Per",$B$11,"Days=A"))</f>
        <v>7.7953999999999999</v>
      </c>
      <c r="G30" s="148">
        <f>IF(LEFT(_xll.BDH(Ticker,"LOW_EV_TO_T12M_EBIT",G$11,G$11,"EQY_CONSOLIDATED",$G$9,"ACCOUNTING_STANDARD_OVERRIDE",$G$7,"Per",$B$11,"Days=A"),1)="#","--",_xll.BDH(Ticker,"LOW_EV_TO_T12M_EBIT",G$11,G$11,"EQY_CONSOLIDATED",$G$9,"ACCOUNTING_STANDARD_OVERRIDE",$G$7,"Per",$B$11,"Days=A"))</f>
        <v>10.2821</v>
      </c>
      <c r="H30" s="148">
        <f>IF(LEFT(_xll.BDH(Ticker,"LOW_EV_TO_T12M_EBIT",H$11,H$11,"EQY_CONSOLIDATED",$G$9,"ACCOUNTING_STANDARD_OVERRIDE",$G$7,"Per",$B$11,"Days=A"),1)="#","--",_xll.BDH(Ticker,"LOW_EV_TO_T12M_EBIT",H$11,H$11,"EQY_CONSOLIDATED",$G$9,"ACCOUNTING_STANDARD_OVERRIDE",$G$7,"Per",$B$11,"Days=A"))</f>
        <v>10.7539</v>
      </c>
      <c r="I30" s="148">
        <f>IF(LEFT(_xll.BDH(Ticker,"LOW_EV_TO_T12M_EBIT",I$11,I$11,"EQY_CONSOLIDATED",$G$9,"ACCOUNTING_STANDARD_OVERRIDE",$G$7,"Per",$B$11,"Days=A"),1)="#","--",_xll.BDH(Ticker,"LOW_EV_TO_T12M_EBIT",I$11,I$11,"EQY_CONSOLIDATED",$G$9,"ACCOUNTING_STANDARD_OVERRIDE",$G$7,"Per",$B$11,"Days=A"))</f>
        <v>21.516999999999999</v>
      </c>
      <c r="J30" s="148">
        <f>IF(LEFT(_xll.BDH(Ticker,"LOW_EV_TO_T12M_EBIT",J$11,J$11,"EQY_CONSOLIDATED",$G$9,"ACCOUNTING_STANDARD_OVERRIDE",$G$7,"Per",$B$11,"Days=A"),1)="#","--",_xll.BDH(Ticker,"LOW_EV_TO_T12M_EBIT",J$11,J$11,"EQY_CONSOLIDATED",$G$9,"ACCOUNTING_STANDARD_OVERRIDE",$G$7,"Per",$B$11,"Days=A"))</f>
        <v>18.7104</v>
      </c>
      <c r="K30" s="148">
        <f>IF(LEFT(_xll.BDH(Ticker,"LOW_EV_TO_T12M_EBIT",K$11,K$11,"EQY_CONSOLIDATED",$G$9,"ACCOUNTING_STANDARD_OVERRIDE",$G$7,"Per",$B$11,"Days=A"),1)="#","--",_xll.BDH(Ticker,"LOW_EV_TO_T12M_EBIT",K$11,K$11,"EQY_CONSOLIDATED",$G$9,"ACCOUNTING_STANDARD_OVERRIDE",$G$7,"Per",$B$11,"Days=A"))</f>
        <v>17.6187</v>
      </c>
      <c r="L30" s="148">
        <f>IF(LEFT(_xll.BDH(Ticker,"LOW_EV_TO_T12M_EBIT",L$11,L$11,"EQY_CONSOLIDATED",$G$9,"ACCOUNTING_STANDARD_OVERRIDE",$G$7,"Per",$B$11,"Days=A"),1)="#","--",_xll.BDH(Ticker,"LOW_EV_TO_T12M_EBIT",L$11,L$11,"EQY_CONSOLIDATED",$G$9,"ACCOUNTING_STANDARD_OVERRIDE",$G$7,"Per",$B$11,"Days=A"))</f>
        <v>21.895</v>
      </c>
      <c r="M30" s="148">
        <f>IF(LEFT(_xll.BDH(Ticker,"LOW_EV_TO_T12M_EBIT",M$11,M$11,"EQY_CONSOLIDATED",$G$9,"ACCOUNTING_STANDARD_OVERRIDE",$G$7,"Per",$B$11,"Days=A"),1)="#","--",_xll.BDH(Ticker,"LOW_EV_TO_T12M_EBIT",M$11,M$11,"EQY_CONSOLIDATED",$G$9,"ACCOUNTING_STANDARD_OVERRIDE",$G$7,"Per",$B$11,"Days=A"))</f>
        <v>25.5474</v>
      </c>
      <c r="N30" s="139"/>
      <c r="O30" s="139"/>
      <c r="P30" s="139"/>
      <c r="Q30" s="140"/>
      <c r="R30" s="140"/>
      <c r="S30" s="140"/>
      <c r="T30" s="140"/>
      <c r="U30" s="140"/>
      <c r="V30" s="140"/>
      <c r="W30" s="140"/>
      <c r="X30" s="140"/>
      <c r="Y30" s="140"/>
      <c r="Z30" s="140"/>
      <c r="AA30" s="140"/>
      <c r="AB30" s="140"/>
      <c r="AC30" s="140"/>
      <c r="AD30" s="140"/>
      <c r="AE30" s="140"/>
      <c r="AF30" s="140"/>
      <c r="AG30" s="140"/>
      <c r="AH30" s="140"/>
      <c r="AI30" s="140"/>
      <c r="AJ30" s="140"/>
      <c r="AK30" s="137"/>
      <c r="AL30" s="137"/>
      <c r="AM30" s="137"/>
      <c r="AN30" s="137"/>
      <c r="AO30" s="137"/>
      <c r="AP30" s="137"/>
      <c r="AQ30" s="137"/>
      <c r="AR30" s="137"/>
      <c r="AS30" s="140"/>
      <c r="AT30" s="140"/>
      <c r="AU30" s="140"/>
      <c r="AV30" s="140"/>
      <c r="AW30" s="140"/>
      <c r="AX30" s="140"/>
      <c r="AY30" s="140"/>
      <c r="AZ30" s="140"/>
      <c r="BA30" s="140"/>
      <c r="BB30" s="140"/>
      <c r="BC30" s="140"/>
      <c r="BD30" s="140"/>
      <c r="BE30" s="140"/>
      <c r="BF30" s="140"/>
      <c r="BG30" s="139"/>
      <c r="BH30" s="139"/>
      <c r="BI30" s="139"/>
      <c r="BJ30" s="139"/>
      <c r="BK30" s="139"/>
      <c r="BL30" s="139"/>
      <c r="BM30" s="139"/>
      <c r="BN30" s="139"/>
      <c r="BO30" s="139"/>
      <c r="BP30" s="139"/>
      <c r="BQ30" s="139"/>
      <c r="BR30" s="139"/>
      <c r="BS30" s="139"/>
      <c r="BT30" s="139"/>
      <c r="BU30" s="139"/>
      <c r="BV30" s="139"/>
      <c r="BW30" s="139"/>
      <c r="BX30" s="139"/>
      <c r="BY30" s="139"/>
      <c r="BZ30" s="139"/>
      <c r="CA30" s="139"/>
      <c r="CB30" s="139"/>
      <c r="CC30" s="139"/>
      <c r="CD30" s="139"/>
      <c r="CE30" s="139"/>
      <c r="CF30" s="139"/>
      <c r="CG30" s="139"/>
      <c r="CH30" s="132"/>
      <c r="CI30" s="132"/>
      <c r="CJ30" s="132"/>
      <c r="CK30" s="132"/>
      <c r="CL30" s="132"/>
      <c r="CM30" s="132"/>
      <c r="CN30" s="132"/>
      <c r="CO30" s="132"/>
      <c r="CP30" s="139"/>
      <c r="CQ30" s="139"/>
      <c r="CR30" s="139"/>
      <c r="CS30" s="139"/>
      <c r="CT30" s="139"/>
      <c r="CU30" s="139"/>
      <c r="CV30" s="139"/>
      <c r="CW30" s="139"/>
      <c r="CX30" s="139"/>
      <c r="CY30" s="139"/>
      <c r="CZ30" s="139"/>
      <c r="DA30" s="139"/>
      <c r="DB30" s="139"/>
      <c r="DC30" s="139"/>
      <c r="DD30" s="139"/>
      <c r="DE30" s="139"/>
      <c r="DF30" s="139"/>
      <c r="DG30" s="139"/>
      <c r="DH30" s="139"/>
      <c r="DI30" s="139"/>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139"/>
      <c r="EJ30" s="139"/>
      <c r="EK30" s="139"/>
      <c r="EL30" s="139"/>
      <c r="EM30" s="139"/>
      <c r="EN30" s="139"/>
      <c r="EO30" s="139"/>
      <c r="EP30" s="139"/>
      <c r="EQ30" s="139"/>
      <c r="ER30" s="139"/>
      <c r="ES30" s="139"/>
      <c r="ET30" s="139"/>
      <c r="EU30" s="139"/>
      <c r="EV30" s="139"/>
      <c r="EW30" s="139"/>
      <c r="EX30" s="139"/>
      <c r="EY30" s="139"/>
      <c r="EZ30" s="139"/>
      <c r="FA30" s="139"/>
      <c r="FB30" s="139"/>
      <c r="FC30" s="139"/>
      <c r="FD30" s="139"/>
      <c r="FE30" s="139"/>
      <c r="FF30" s="139"/>
      <c r="FG30" s="139"/>
      <c r="FH30" s="139"/>
      <c r="FI30" s="139"/>
      <c r="FJ30" s="139"/>
      <c r="FK30" s="139"/>
      <c r="FL30" s="139"/>
      <c r="FM30" s="139"/>
      <c r="FN30" s="139"/>
      <c r="FO30" s="139"/>
      <c r="FP30" s="139"/>
      <c r="FQ30" s="139"/>
      <c r="FR30" s="139"/>
      <c r="FS30" s="139"/>
    </row>
    <row r="31" spans="1:175">
      <c r="A31" s="77"/>
      <c r="B31" s="138"/>
      <c r="C31" s="148"/>
      <c r="D31" s="148"/>
      <c r="E31" s="148"/>
      <c r="F31" s="148"/>
      <c r="G31" s="148"/>
      <c r="H31" s="148"/>
      <c r="I31" s="148"/>
      <c r="J31" s="148"/>
      <c r="K31" s="148"/>
      <c r="L31" s="148"/>
      <c r="M31" s="148"/>
      <c r="N31" s="139"/>
      <c r="O31" s="139"/>
      <c r="P31" s="139"/>
      <c r="Q31" s="140"/>
      <c r="R31" s="140"/>
      <c r="S31" s="140"/>
      <c r="T31" s="140"/>
      <c r="U31" s="140"/>
      <c r="V31" s="140"/>
      <c r="W31" s="140"/>
      <c r="X31" s="140"/>
      <c r="Y31" s="140"/>
      <c r="Z31" s="140"/>
      <c r="AA31" s="140"/>
      <c r="AB31" s="140"/>
      <c r="AC31" s="140"/>
      <c r="AD31" s="140"/>
      <c r="AE31" s="140"/>
      <c r="AF31" s="140"/>
      <c r="AG31" s="140"/>
      <c r="AH31" s="140"/>
      <c r="AI31" s="140"/>
      <c r="AJ31" s="140"/>
      <c r="AK31" s="137"/>
      <c r="AL31" s="137"/>
      <c r="AM31" s="137"/>
      <c r="AN31" s="137"/>
      <c r="AO31" s="137"/>
      <c r="AP31" s="137"/>
      <c r="AQ31" s="137"/>
      <c r="AR31" s="137"/>
      <c r="AS31" s="140"/>
      <c r="AT31" s="140"/>
      <c r="AU31" s="140"/>
      <c r="AV31" s="140"/>
      <c r="AW31" s="140"/>
      <c r="AX31" s="140"/>
      <c r="AY31" s="140"/>
      <c r="AZ31" s="140"/>
      <c r="BA31" s="140"/>
      <c r="BB31" s="140"/>
      <c r="BC31" s="140"/>
      <c r="BD31" s="140"/>
      <c r="BE31" s="140"/>
      <c r="BF31" s="140"/>
      <c r="BG31" s="139"/>
      <c r="BH31" s="139"/>
      <c r="BI31" s="139"/>
      <c r="BJ31" s="139"/>
      <c r="BK31" s="139"/>
      <c r="BL31" s="139"/>
      <c r="BM31" s="139"/>
      <c r="BN31" s="139"/>
      <c r="BO31" s="139"/>
      <c r="BP31" s="139"/>
      <c r="BQ31" s="139"/>
      <c r="BR31" s="139"/>
      <c r="BS31" s="139"/>
      <c r="BT31" s="139"/>
      <c r="BU31" s="139"/>
      <c r="BV31" s="139"/>
      <c r="BW31" s="139"/>
      <c r="BX31" s="139"/>
      <c r="BY31" s="139"/>
      <c r="BZ31" s="139"/>
      <c r="CA31" s="139"/>
      <c r="CB31" s="139"/>
      <c r="CC31" s="139"/>
      <c r="CD31" s="139"/>
      <c r="CE31" s="139"/>
      <c r="CF31" s="139"/>
      <c r="CG31" s="139"/>
      <c r="CH31" s="132"/>
      <c r="CI31" s="132"/>
      <c r="CJ31" s="132"/>
      <c r="CK31" s="132"/>
      <c r="CL31" s="132"/>
      <c r="CM31" s="132"/>
      <c r="CN31" s="132"/>
      <c r="CO31" s="132"/>
      <c r="CP31" s="139"/>
      <c r="CQ31" s="139"/>
      <c r="CR31" s="139"/>
      <c r="CS31" s="139"/>
      <c r="CT31" s="139"/>
      <c r="CU31" s="139"/>
      <c r="CV31" s="139"/>
      <c r="CW31" s="139"/>
      <c r="CX31" s="139"/>
      <c r="CY31" s="139"/>
      <c r="CZ31" s="139"/>
      <c r="DA31" s="139"/>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139"/>
      <c r="EJ31" s="139"/>
      <c r="EK31" s="139"/>
      <c r="EL31" s="139"/>
      <c r="EM31" s="139"/>
      <c r="EN31" s="139"/>
      <c r="EO31" s="139"/>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139"/>
      <c r="FS31" s="139"/>
    </row>
    <row r="32" spans="1:175">
      <c r="A32" s="77"/>
      <c r="B32" s="135" t="s">
        <v>177</v>
      </c>
      <c r="C32" s="148"/>
      <c r="D32" s="148"/>
      <c r="E32" s="148"/>
      <c r="F32" s="148"/>
      <c r="G32" s="148"/>
      <c r="H32" s="148"/>
      <c r="I32" s="148"/>
      <c r="J32" s="148"/>
      <c r="K32" s="148"/>
      <c r="L32" s="149"/>
      <c r="M32" s="148"/>
      <c r="N32" s="139"/>
      <c r="O32" s="139"/>
      <c r="P32" s="139"/>
      <c r="Q32" s="140"/>
      <c r="R32" s="140"/>
      <c r="S32" s="140"/>
      <c r="T32" s="140"/>
      <c r="U32" s="140"/>
      <c r="V32" s="140"/>
      <c r="W32" s="140"/>
      <c r="X32" s="140"/>
      <c r="Y32" s="140"/>
      <c r="Z32" s="140"/>
      <c r="AA32" s="140"/>
      <c r="AB32" s="140"/>
      <c r="AC32" s="140"/>
      <c r="AD32" s="140"/>
      <c r="AE32" s="140"/>
      <c r="AF32" s="140"/>
      <c r="AG32" s="140"/>
      <c r="AH32" s="140"/>
      <c r="AI32" s="140"/>
      <c r="AJ32" s="140"/>
      <c r="AK32" s="137"/>
      <c r="AL32" s="137"/>
      <c r="AM32" s="137"/>
      <c r="AN32" s="137"/>
      <c r="AO32" s="137"/>
      <c r="AP32" s="137"/>
      <c r="AQ32" s="137"/>
      <c r="AR32" s="137"/>
      <c r="AS32" s="140"/>
      <c r="AT32" s="140"/>
      <c r="AU32" s="140"/>
      <c r="AV32" s="140"/>
      <c r="AW32" s="140"/>
      <c r="AX32" s="140"/>
      <c r="AY32" s="140"/>
      <c r="AZ32" s="140"/>
      <c r="BA32" s="140"/>
      <c r="BB32" s="140"/>
      <c r="BC32" s="140"/>
      <c r="BD32" s="140"/>
      <c r="BE32" s="140"/>
      <c r="BF32" s="140"/>
      <c r="BG32" s="139"/>
      <c r="BH32" s="139"/>
      <c r="BI32" s="139"/>
      <c r="BJ32" s="139"/>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2"/>
      <c r="CI32" s="132"/>
      <c r="CJ32" s="132"/>
      <c r="CK32" s="132"/>
      <c r="CL32" s="132"/>
      <c r="CM32" s="132"/>
      <c r="CN32" s="132"/>
      <c r="CO32" s="132"/>
      <c r="CP32" s="139"/>
      <c r="CQ32" s="139"/>
      <c r="CR32" s="139"/>
      <c r="CS32" s="139"/>
      <c r="CT32" s="139"/>
      <c r="CU32" s="139"/>
      <c r="CV32" s="139"/>
      <c r="CW32" s="139"/>
      <c r="CX32" s="139"/>
      <c r="CY32" s="139"/>
      <c r="CZ32" s="139"/>
      <c r="DA32" s="139"/>
      <c r="DB32" s="139"/>
      <c r="DC32" s="139"/>
      <c r="DD32" s="139"/>
      <c r="DE32" s="139"/>
      <c r="DF32" s="139"/>
      <c r="DG32" s="139"/>
      <c r="DH32" s="139"/>
      <c r="DI32" s="139"/>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139"/>
      <c r="EJ32" s="139"/>
      <c r="EK32" s="139"/>
      <c r="EL32" s="139"/>
      <c r="EM32" s="139"/>
      <c r="EN32" s="139"/>
      <c r="EO32" s="139"/>
      <c r="EP32" s="139"/>
      <c r="EQ32" s="139"/>
      <c r="ER32" s="139"/>
      <c r="ES32" s="139"/>
      <c r="ET32" s="139"/>
      <c r="EU32" s="139"/>
      <c r="EV32" s="139"/>
      <c r="EW32" s="139"/>
      <c r="EX32" s="139"/>
      <c r="EY32" s="139"/>
      <c r="EZ32" s="139"/>
      <c r="FA32" s="139"/>
      <c r="FB32" s="139"/>
      <c r="FC32" s="139"/>
      <c r="FD32" s="139"/>
      <c r="FE32" s="139"/>
      <c r="FF32" s="139"/>
      <c r="FG32" s="139"/>
      <c r="FH32" s="139"/>
      <c r="FI32" s="139"/>
      <c r="FJ32" s="139"/>
      <c r="FK32" s="139"/>
      <c r="FL32" s="139"/>
      <c r="FM32" s="139"/>
      <c r="FN32" s="139"/>
      <c r="FO32" s="139"/>
      <c r="FP32" s="139"/>
      <c r="FQ32" s="139"/>
      <c r="FR32" s="139"/>
      <c r="FS32" s="139"/>
    </row>
    <row r="33" spans="1:175">
      <c r="A33" s="77"/>
      <c r="B33" s="136" t="s">
        <v>174</v>
      </c>
      <c r="C33" s="147">
        <f>IF(LEFT(_xll.BDH(Ticker,"PE_RATIO",C$11,C$11,"EQY_CONSOLIDATED",$G$9,"ACCOUNTING_STANDARD_OVERRIDE",$G$7,"Per",$B$11,"Days=A"),1)="#","--",_xll.BDH(Ticker,"PE_RATIO",C$11,C$11,"EQY_CONSOLIDATED",$G$9,"ACCOUNTING_STANDARD_OVERRIDE",$G$7,"Per",$B$11,"Days=A"))</f>
        <v>14.1166</v>
      </c>
      <c r="D33" s="147">
        <f>IF(LEFT(_xll.BDH(Ticker,"PE_RATIO",D$11,D$11,"EQY_CONSOLIDATED",$G$9,"ACCOUNTING_STANDARD_OVERRIDE",$G$7,"Per",$B$11,"Days=A"),1)="#","--",_xll.BDH(Ticker,"PE_RATIO",D$11,D$11,"EQY_CONSOLIDATED",$G$9,"ACCOUNTING_STANDARD_OVERRIDE",$G$7,"Per",$B$11,"Days=A"))</f>
        <v>16.926500000000001</v>
      </c>
      <c r="E33" s="147">
        <f>IF(LEFT(_xll.BDH(Ticker,"PE_RATIO",E$11,E$11,"EQY_CONSOLIDATED",$G$9,"ACCOUNTING_STANDARD_OVERRIDE",$G$7,"Per",$B$11,"Days=A"),1)="#","--",_xll.BDH(Ticker,"PE_RATIO",E$11,E$11,"EQY_CONSOLIDATED",$G$9,"ACCOUNTING_STANDARD_OVERRIDE",$G$7,"Per",$B$11,"Days=A"))</f>
        <v>15.9924</v>
      </c>
      <c r="F33" s="147">
        <f>IF(LEFT(_xll.BDH(Ticker,"PE_RATIO",F$11,F$11,"EQY_CONSOLIDATED",$G$9,"ACCOUNTING_STANDARD_OVERRIDE",$G$7,"Per",$B$11,"Days=A"),1)="#","--",_xll.BDH(Ticker,"PE_RATIO",F$11,F$11,"EQY_CONSOLIDATED",$G$9,"ACCOUNTING_STANDARD_OVERRIDE",$G$7,"Per",$B$11,"Days=A"))</f>
        <v>13.382899999999999</v>
      </c>
      <c r="G33" s="147">
        <f>IF(LEFT(_xll.BDH(Ticker,"PE_RATIO",G$11,G$11,"EQY_CONSOLIDATED",$G$9,"ACCOUNTING_STANDARD_OVERRIDE",$G$7,"Per",$B$11,"Days=A"),1)="#","--",_xll.BDH(Ticker,"PE_RATIO",G$11,G$11,"EQY_CONSOLIDATED",$G$9,"ACCOUNTING_STANDARD_OVERRIDE",$G$7,"Per",$B$11,"Days=A"))</f>
        <v>13.411099999999999</v>
      </c>
      <c r="H33" s="147">
        <f>IF(LEFT(_xll.BDH(Ticker,"PE_RATIO",H$11,H$11,"EQY_CONSOLIDATED",$G$9,"ACCOUNTING_STANDARD_OVERRIDE",$G$7,"Per",$B$11,"Days=A"),1)="#","--",_xll.BDH(Ticker,"PE_RATIO",H$11,H$11,"EQY_CONSOLIDATED",$G$9,"ACCOUNTING_STANDARD_OVERRIDE",$G$7,"Per",$B$11,"Days=A"))</f>
        <v>17.9452</v>
      </c>
      <c r="I33" s="147">
        <f>IF(LEFT(_xll.BDH(Ticker,"PE_RATIO",I$11,I$11,"EQY_CONSOLIDATED",$G$9,"ACCOUNTING_STANDARD_OVERRIDE",$G$7,"Per",$B$11,"Days=A"),1)="#","--",_xll.BDH(Ticker,"PE_RATIO",I$11,I$11,"EQY_CONSOLIDATED",$G$9,"ACCOUNTING_STANDARD_OVERRIDE",$G$7,"Per",$B$11,"Days=A"))</f>
        <v>21.558499999999999</v>
      </c>
      <c r="J33" s="147">
        <f>IF(LEFT(_xll.BDH(Ticker,"PE_RATIO",J$11,J$11,"EQY_CONSOLIDATED",$G$9,"ACCOUNTING_STANDARD_OVERRIDE",$G$7,"Per",$B$11,"Days=A"),1)="#","--",_xll.BDH(Ticker,"PE_RATIO",J$11,J$11,"EQY_CONSOLIDATED",$G$9,"ACCOUNTING_STANDARD_OVERRIDE",$G$7,"Per",$B$11,"Days=A"))</f>
        <v>19.636600000000001</v>
      </c>
      <c r="K33" s="147">
        <f>IF(LEFT(_xll.BDH(Ticker,"PE_RATIO",K$11,K$11,"EQY_CONSOLIDATED",$G$9,"ACCOUNTING_STANDARD_OVERRIDE",$G$7,"Per",$B$11,"Days=A"),1)="#","--",_xll.BDH(Ticker,"PE_RATIO",K$11,K$11,"EQY_CONSOLIDATED",$G$9,"ACCOUNTING_STANDARD_OVERRIDE",$G$7,"Per",$B$11,"Days=A"))</f>
        <v>22.990400000000001</v>
      </c>
      <c r="L33" s="147">
        <f>IF(LEFT(_xll.BDH(Ticker,"PE_RATIO",L$11,L$11,"EQY_CONSOLIDATED",$G$9,"ACCOUNTING_STANDARD_OVERRIDE",$G$7,"Per",$B$11,"Days=A"),1)="#","--",_xll.BDH(Ticker,"PE_RATIO",L$11,L$11,"EQY_CONSOLIDATED",$G$9,"ACCOUNTING_STANDARD_OVERRIDE",$G$7,"Per",$B$11,"Days=A"))</f>
        <v>26.587</v>
      </c>
      <c r="M33" s="147">
        <f>IF(LEFT(_xll.BDH(Ticker,"PE_RATIO",M$11,M$11,"EQY_CONSOLIDATED",$G$9,"ACCOUNTING_STANDARD_OVERRIDE",$G$7,"Per",$B$11,"Days=A"),1)="#","--",_xll.BDH(Ticker,"PE_RATIO",M$11,M$11,"EQY_CONSOLIDATED",$G$9,"ACCOUNTING_STANDARD_OVERRIDE",$G$7,"Per",$B$11,"Days=A"))</f>
        <v>24.431100000000001</v>
      </c>
      <c r="N33" s="132"/>
      <c r="O33" s="132"/>
      <c r="P33" s="132"/>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2"/>
      <c r="BH33" s="132"/>
      <c r="BI33" s="132"/>
      <c r="BJ33" s="132"/>
      <c r="BK33" s="132"/>
      <c r="BL33" s="132"/>
      <c r="BM33" s="132"/>
      <c r="BN33" s="132"/>
      <c r="BO33" s="132"/>
      <c r="BP33" s="132"/>
      <c r="BQ33" s="132"/>
      <c r="BR33" s="132"/>
      <c r="BS33" s="132"/>
      <c r="BT33" s="132"/>
      <c r="BU33" s="132"/>
      <c r="BV33" s="132"/>
      <c r="BW33" s="132"/>
      <c r="BX33" s="132"/>
      <c r="BY33" s="132"/>
      <c r="BZ33" s="132"/>
      <c r="CA33" s="132"/>
      <c r="CB33" s="132"/>
      <c r="CC33" s="132"/>
      <c r="CD33" s="132"/>
      <c r="CE33" s="132"/>
      <c r="CF33" s="132"/>
      <c r="CG33" s="132"/>
      <c r="CH33" s="132"/>
      <c r="CI33" s="132"/>
      <c r="CJ33" s="132"/>
      <c r="CK33" s="132"/>
      <c r="CL33" s="132"/>
      <c r="CM33" s="132"/>
      <c r="CN33" s="132"/>
      <c r="CO33" s="132"/>
      <c r="CP33" s="132"/>
      <c r="CQ33" s="132"/>
      <c r="CR33" s="132"/>
      <c r="CS33" s="132"/>
      <c r="CT33" s="132"/>
      <c r="CU33" s="132"/>
      <c r="CV33" s="132"/>
      <c r="CW33" s="132"/>
      <c r="CX33" s="132"/>
      <c r="CY33" s="132"/>
      <c r="CZ33" s="132"/>
      <c r="DA33" s="132"/>
      <c r="DB33" s="132"/>
      <c r="DC33" s="132"/>
      <c r="DD33" s="132"/>
      <c r="DE33" s="132"/>
      <c r="DF33" s="132"/>
      <c r="DG33" s="132"/>
      <c r="DH33" s="132"/>
      <c r="DI33" s="132"/>
      <c r="DJ33" s="132"/>
      <c r="DK33" s="132"/>
      <c r="DL33" s="132"/>
      <c r="DM33" s="132"/>
      <c r="DN33" s="132"/>
      <c r="DO33" s="132"/>
      <c r="DP33" s="132"/>
      <c r="DQ33" s="132"/>
      <c r="DR33" s="132"/>
      <c r="DS33" s="132"/>
      <c r="DT33" s="132"/>
      <c r="DU33" s="132"/>
      <c r="DV33" s="132"/>
      <c r="DW33" s="132"/>
      <c r="DX33" s="132"/>
      <c r="DY33" s="132"/>
      <c r="DZ33" s="132"/>
      <c r="EA33" s="132"/>
      <c r="EB33" s="132"/>
      <c r="EC33" s="132"/>
      <c r="ED33" s="132"/>
      <c r="EE33" s="132"/>
      <c r="EF33" s="132"/>
      <c r="EG33" s="132"/>
      <c r="EH33" s="132"/>
      <c r="EI33" s="132"/>
      <c r="EJ33" s="132"/>
      <c r="EK33" s="132"/>
      <c r="EL33" s="132"/>
      <c r="EM33" s="132"/>
      <c r="EN33" s="132"/>
      <c r="EO33" s="132"/>
      <c r="EP33" s="132"/>
      <c r="EQ33" s="132"/>
      <c r="ER33" s="132"/>
      <c r="ES33" s="132"/>
      <c r="ET33" s="132"/>
      <c r="EU33" s="132"/>
      <c r="EV33" s="132"/>
      <c r="EW33" s="132"/>
      <c r="EX33" s="132"/>
      <c r="EY33" s="132"/>
      <c r="EZ33" s="132"/>
      <c r="FA33" s="132"/>
      <c r="FB33" s="132"/>
      <c r="FC33" s="132"/>
      <c r="FD33" s="132"/>
      <c r="FE33" s="132"/>
      <c r="FF33" s="132"/>
      <c r="FG33" s="132"/>
      <c r="FH33" s="132"/>
      <c r="FI33" s="132"/>
      <c r="FJ33" s="132"/>
      <c r="FK33" s="132"/>
      <c r="FL33" s="132"/>
      <c r="FM33" s="132"/>
      <c r="FN33" s="132"/>
      <c r="FO33" s="132"/>
      <c r="FP33" s="132"/>
      <c r="FQ33" s="132"/>
      <c r="FR33" s="132"/>
      <c r="FS33" s="132"/>
    </row>
    <row r="34" spans="1:175">
      <c r="A34" s="77"/>
      <c r="B34" s="138" t="s">
        <v>171</v>
      </c>
      <c r="C34" s="148">
        <f>IF(LEFT(_xll.BDH(Ticker,"AVERAGE_PRICE_EARNINGS_RATIO",C$11,C$11,"EQY_CONSOLIDATED",$G$9,"ACCOUNTING_STANDARD_OVERRIDE",$G$7,"Per",$B$11,"Days=A"),1)="#","--",_xll.BDH(Ticker,"AVERAGE_PRICE_EARNINGS_RATIO",C$11,C$11,"EQY_CONSOLIDATED",$G$9,"ACCOUNTING_STANDARD_OVERRIDE",$G$7,"Per",$B$11,"Days=A"))</f>
        <v>25.196899999999999</v>
      </c>
      <c r="D34" s="148">
        <f>IF(LEFT(_xll.BDH(Ticker,"AVERAGE_PRICE_EARNINGS_RATIO",D$11,D$11,"EQY_CONSOLIDATED",$G$9,"ACCOUNTING_STANDARD_OVERRIDE",$G$7,"Per",$B$11,"Days=A"),1)="#","--",_xll.BDH(Ticker,"AVERAGE_PRICE_EARNINGS_RATIO",D$11,D$11,"EQY_CONSOLIDATED",$G$9,"ACCOUNTING_STANDARD_OVERRIDE",$G$7,"Per",$B$11,"Days=A"))</f>
        <v>14.749700000000001</v>
      </c>
      <c r="E34" s="148">
        <f>IF(LEFT(_xll.BDH(Ticker,"AVERAGE_PRICE_EARNINGS_RATIO",E$11,E$11,"EQY_CONSOLIDATED",$G$9,"ACCOUNTING_STANDARD_OVERRIDE",$G$7,"Per",$B$11,"Days=A"),1)="#","--",_xll.BDH(Ticker,"AVERAGE_PRICE_EARNINGS_RATIO",E$11,E$11,"EQY_CONSOLIDATED",$G$9,"ACCOUNTING_STANDARD_OVERRIDE",$G$7,"Per",$B$11,"Days=A"))</f>
        <v>17.500299999999999</v>
      </c>
      <c r="F34" s="148">
        <f>IF(LEFT(_xll.BDH(Ticker,"AVERAGE_PRICE_EARNINGS_RATIO",F$11,F$11,"EQY_CONSOLIDATED",$G$9,"ACCOUNTING_STANDARD_OVERRIDE",$G$7,"Per",$B$11,"Days=A"),1)="#","--",_xll.BDH(Ticker,"AVERAGE_PRICE_EARNINGS_RATIO",F$11,F$11,"EQY_CONSOLIDATED",$G$9,"ACCOUNTING_STANDARD_OVERRIDE",$G$7,"Per",$B$11,"Days=A"))</f>
        <v>16.313400000000001</v>
      </c>
      <c r="G34" s="148">
        <f>IF(LEFT(_xll.BDH(Ticker,"AVERAGE_PRICE_EARNINGS_RATIO",G$11,G$11,"EQY_CONSOLIDATED",$G$9,"ACCOUNTING_STANDARD_OVERRIDE",$G$7,"Per",$B$11,"Days=A"),1)="#","--",_xll.BDH(Ticker,"AVERAGE_PRICE_EARNINGS_RATIO",G$11,G$11,"EQY_CONSOLIDATED",$G$9,"ACCOUNTING_STANDARD_OVERRIDE",$G$7,"Per",$B$11,"Days=A"))</f>
        <v>14.437099999999999</v>
      </c>
      <c r="H34" s="148">
        <f>IF(LEFT(_xll.BDH(Ticker,"AVERAGE_PRICE_EARNINGS_RATIO",H$11,H$11,"EQY_CONSOLIDATED",$G$9,"ACCOUNTING_STANDARD_OVERRIDE",$G$7,"Per",$B$11,"Days=A"),1)="#","--",_xll.BDH(Ticker,"AVERAGE_PRICE_EARNINGS_RATIO",H$11,H$11,"EQY_CONSOLIDATED",$G$9,"ACCOUNTING_STANDARD_OVERRIDE",$G$7,"Per",$B$11,"Days=A"))</f>
        <v>16.607700000000001</v>
      </c>
      <c r="I34" s="148">
        <f>IF(LEFT(_xll.BDH(Ticker,"AVERAGE_PRICE_EARNINGS_RATIO",I$11,I$11,"EQY_CONSOLIDATED",$G$9,"ACCOUNTING_STANDARD_OVERRIDE",$G$7,"Per",$B$11,"Days=A"),1)="#","--",_xll.BDH(Ticker,"AVERAGE_PRICE_EARNINGS_RATIO",I$11,I$11,"EQY_CONSOLIDATED",$G$9,"ACCOUNTING_STANDARD_OVERRIDE",$G$7,"Per",$B$11,"Days=A"))</f>
        <v>19.8398</v>
      </c>
      <c r="J34" s="148">
        <f>IF(LEFT(_xll.BDH(Ticker,"AVERAGE_PRICE_EARNINGS_RATIO",J$11,J$11,"EQY_CONSOLIDATED",$G$9,"ACCOUNTING_STANDARD_OVERRIDE",$G$7,"Per",$B$11,"Days=A"),1)="#","--",_xll.BDH(Ticker,"AVERAGE_PRICE_EARNINGS_RATIO",J$11,J$11,"EQY_CONSOLIDATED",$G$9,"ACCOUNTING_STANDARD_OVERRIDE",$G$7,"Per",$B$11,"Days=A"))</f>
        <v>21.861899999999999</v>
      </c>
      <c r="K34" s="148">
        <f>IF(LEFT(_xll.BDH(Ticker,"AVERAGE_PRICE_EARNINGS_RATIO",K$11,K$11,"EQY_CONSOLIDATED",$G$9,"ACCOUNTING_STANDARD_OVERRIDE",$G$7,"Per",$B$11,"Days=A"),1)="#","--",_xll.BDH(Ticker,"AVERAGE_PRICE_EARNINGS_RATIO",K$11,K$11,"EQY_CONSOLIDATED",$G$9,"ACCOUNTING_STANDARD_OVERRIDE",$G$7,"Per",$B$11,"Days=A"))</f>
        <v>23.360499999999998</v>
      </c>
      <c r="L34" s="148">
        <f>IF(LEFT(_xll.BDH(Ticker,"AVERAGE_PRICE_EARNINGS_RATIO",L$11,L$11,"EQY_CONSOLIDATED",$G$9,"ACCOUNTING_STANDARD_OVERRIDE",$G$7,"Per",$B$11,"Days=A"),1)="#","--",_xll.BDH(Ticker,"AVERAGE_PRICE_EARNINGS_RATIO",L$11,L$11,"EQY_CONSOLIDATED",$G$9,"ACCOUNTING_STANDARD_OVERRIDE",$G$7,"Per",$B$11,"Days=A"))</f>
        <v>26.838999999999999</v>
      </c>
      <c r="M34" s="148">
        <f>IF(LEFT(_xll.BDH(Ticker,"AVERAGE_PRICE_EARNINGS_RATIO",M$11,M$11,"EQY_CONSOLIDATED",$G$9,"ACCOUNTING_STANDARD_OVERRIDE",$G$7,"Per",$B$11,"Days=A"),1)="#","--",_xll.BDH(Ticker,"AVERAGE_PRICE_EARNINGS_RATIO",M$11,M$11,"EQY_CONSOLIDATED",$G$9,"ACCOUNTING_STANDARD_OVERRIDE",$G$7,"Per",$B$11,"Days=A"))</f>
        <v>28.644200000000001</v>
      </c>
      <c r="N34" s="139"/>
      <c r="O34" s="139"/>
      <c r="P34" s="139"/>
      <c r="Q34" s="140"/>
      <c r="R34" s="140"/>
      <c r="S34" s="140"/>
      <c r="T34" s="140"/>
      <c r="U34" s="140"/>
      <c r="V34" s="140"/>
      <c r="W34" s="140"/>
      <c r="X34" s="140"/>
      <c r="Y34" s="140"/>
      <c r="Z34" s="140"/>
      <c r="AA34" s="140"/>
      <c r="AB34" s="140"/>
      <c r="AC34" s="140"/>
      <c r="AD34" s="140"/>
      <c r="AE34" s="140"/>
      <c r="AF34" s="140"/>
      <c r="AG34" s="140"/>
      <c r="AH34" s="140"/>
      <c r="AI34" s="140"/>
      <c r="AJ34" s="140"/>
      <c r="AK34" s="137"/>
      <c r="AL34" s="137"/>
      <c r="AM34" s="137"/>
      <c r="AN34" s="137"/>
      <c r="AO34" s="137"/>
      <c r="AP34" s="137"/>
      <c r="AQ34" s="137"/>
      <c r="AR34" s="137"/>
      <c r="AS34" s="140"/>
      <c r="AT34" s="140"/>
      <c r="AU34" s="140"/>
      <c r="AV34" s="140"/>
      <c r="AW34" s="140"/>
      <c r="AX34" s="140"/>
      <c r="AY34" s="140"/>
      <c r="AZ34" s="140"/>
      <c r="BA34" s="140"/>
      <c r="BB34" s="140"/>
      <c r="BC34" s="140"/>
      <c r="BD34" s="140"/>
      <c r="BE34" s="140"/>
      <c r="BF34" s="140"/>
      <c r="BG34" s="139"/>
      <c r="BH34" s="139"/>
      <c r="BI34" s="139"/>
      <c r="BJ34" s="139"/>
      <c r="BK34" s="139"/>
      <c r="BL34" s="139"/>
      <c r="BM34" s="139"/>
      <c r="BN34" s="139"/>
      <c r="BO34" s="139"/>
      <c r="BP34" s="139"/>
      <c r="BQ34" s="139"/>
      <c r="BR34" s="139"/>
      <c r="BS34" s="139"/>
      <c r="BT34" s="139"/>
      <c r="BU34" s="139"/>
      <c r="BV34" s="139"/>
      <c r="BW34" s="139"/>
      <c r="BX34" s="139"/>
      <c r="BY34" s="139"/>
      <c r="BZ34" s="139"/>
      <c r="CA34" s="139"/>
      <c r="CB34" s="139"/>
      <c r="CC34" s="139"/>
      <c r="CD34" s="139"/>
      <c r="CE34" s="139"/>
      <c r="CF34" s="139"/>
      <c r="CG34" s="139"/>
      <c r="CH34" s="132"/>
      <c r="CI34" s="132"/>
      <c r="CJ34" s="132"/>
      <c r="CK34" s="132"/>
      <c r="CL34" s="132"/>
      <c r="CM34" s="132"/>
      <c r="CN34" s="132"/>
      <c r="CO34" s="132"/>
      <c r="CP34" s="139"/>
      <c r="CQ34" s="139"/>
      <c r="CR34" s="139"/>
      <c r="CS34" s="139"/>
      <c r="CT34" s="139"/>
      <c r="CU34" s="139"/>
      <c r="CV34" s="139"/>
      <c r="CW34" s="139"/>
      <c r="CX34" s="139"/>
      <c r="CY34" s="139"/>
      <c r="CZ34" s="139"/>
      <c r="DA34" s="139"/>
      <c r="DB34" s="139"/>
      <c r="DC34" s="139"/>
      <c r="DD34" s="139"/>
      <c r="DE34" s="139"/>
      <c r="DF34" s="139"/>
      <c r="DG34" s="139"/>
      <c r="DH34" s="139"/>
      <c r="DI34" s="139"/>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139"/>
      <c r="EJ34" s="139"/>
      <c r="EK34" s="139"/>
      <c r="EL34" s="139"/>
      <c r="EM34" s="139"/>
      <c r="EN34" s="139"/>
      <c r="EO34" s="139"/>
      <c r="EP34" s="139"/>
      <c r="EQ34" s="139"/>
      <c r="ER34" s="139"/>
      <c r="ES34" s="139"/>
      <c r="ET34" s="139"/>
      <c r="EU34" s="139"/>
      <c r="EV34" s="139"/>
      <c r="EW34" s="139"/>
      <c r="EX34" s="139"/>
      <c r="EY34" s="139"/>
      <c r="EZ34" s="139"/>
      <c r="FA34" s="139"/>
      <c r="FB34" s="139"/>
      <c r="FC34" s="139"/>
      <c r="FD34" s="139"/>
      <c r="FE34" s="139"/>
      <c r="FF34" s="139"/>
      <c r="FG34" s="139"/>
      <c r="FH34" s="139"/>
      <c r="FI34" s="139"/>
      <c r="FJ34" s="139"/>
      <c r="FK34" s="139"/>
      <c r="FL34" s="139"/>
      <c r="FM34" s="139"/>
      <c r="FN34" s="139"/>
      <c r="FO34" s="139"/>
      <c r="FP34" s="139"/>
      <c r="FQ34" s="139"/>
      <c r="FR34" s="139"/>
      <c r="FS34" s="139"/>
    </row>
    <row r="35" spans="1:175">
      <c r="A35" s="77"/>
      <c r="B35" s="138" t="s">
        <v>172</v>
      </c>
      <c r="C35" s="148">
        <f>IF(LEFT(_xll.BDH(Ticker,"PX_ERN_RATIO_WITH_HIGH_CLOS_PX",C$11,C$11,"EQY_CONSOLIDATED",$G$9,"ACCOUNTING_STANDARD_OVERRIDE",$G$7,"Per",$B$11,"Days=A"),1)="#","--",_xll.BDH(Ticker,"PX_ERN_RATIO_WITH_HIGH_CLOS_PX",C$11,C$11,"EQY_CONSOLIDATED",$G$9,"ACCOUNTING_STANDARD_OVERRIDE",$G$7,"Per",$B$11,"Days=A"))</f>
        <v>30.762499999999999</v>
      </c>
      <c r="D35" s="148">
        <f>IF(LEFT(_xll.BDH(Ticker,"PX_ERN_RATIO_WITH_HIGH_CLOS_PX",D$11,D$11,"EQY_CONSOLIDATED",$G$9,"ACCOUNTING_STANDARD_OVERRIDE",$G$7,"Per",$B$11,"Days=A"),1)="#","--",_xll.BDH(Ticker,"PX_ERN_RATIO_WITH_HIGH_CLOS_PX",D$11,D$11,"EQY_CONSOLIDATED",$G$9,"ACCOUNTING_STANDARD_OVERRIDE",$G$7,"Per",$B$11,"Days=A"))</f>
        <v>18.4452</v>
      </c>
      <c r="E35" s="148">
        <f>IF(LEFT(_xll.BDH(Ticker,"PX_ERN_RATIO_WITH_HIGH_CLOS_PX",E$11,E$11,"EQY_CONSOLIDATED",$G$9,"ACCOUNTING_STANDARD_OVERRIDE",$G$7,"Per",$B$11,"Days=A"),1)="#","--",_xll.BDH(Ticker,"PX_ERN_RATIO_WITH_HIGH_CLOS_PX",E$11,E$11,"EQY_CONSOLIDATED",$G$9,"ACCOUNTING_STANDARD_OVERRIDE",$G$7,"Per",$B$11,"Days=A"))</f>
        <v>19.7896</v>
      </c>
      <c r="F35" s="148">
        <f>IF(LEFT(_xll.BDH(Ticker,"PX_ERN_RATIO_WITH_HIGH_CLOS_PX",F$11,F$11,"EQY_CONSOLIDATED",$G$9,"ACCOUNTING_STANDARD_OVERRIDE",$G$7,"Per",$B$11,"Days=A"),1)="#","--",_xll.BDH(Ticker,"PX_ERN_RATIO_WITH_HIGH_CLOS_PX",F$11,F$11,"EQY_CONSOLIDATED",$G$9,"ACCOUNTING_STANDARD_OVERRIDE",$G$7,"Per",$B$11,"Days=A"))</f>
        <v>19.378599999999999</v>
      </c>
      <c r="G35" s="148">
        <f>IF(LEFT(_xll.BDH(Ticker,"PX_ERN_RATIO_WITH_HIGH_CLOS_PX",G$11,G$11,"EQY_CONSOLIDATED",$G$9,"ACCOUNTING_STANDARD_OVERRIDE",$G$7,"Per",$B$11,"Days=A"),1)="#","--",_xll.BDH(Ticker,"PX_ERN_RATIO_WITH_HIGH_CLOS_PX",G$11,G$11,"EQY_CONSOLIDATED",$G$9,"ACCOUNTING_STANDARD_OVERRIDE",$G$7,"Per",$B$11,"Days=A"))</f>
        <v>15.229699999999999</v>
      </c>
      <c r="H35" s="148">
        <f>IF(LEFT(_xll.BDH(Ticker,"PX_ERN_RATIO_WITH_HIGH_CLOS_PX",H$11,H$11,"EQY_CONSOLIDATED",$G$9,"ACCOUNTING_STANDARD_OVERRIDE",$G$7,"Per",$B$11,"Days=A"),1)="#","--",_xll.BDH(Ticker,"PX_ERN_RATIO_WITH_HIGH_CLOS_PX",H$11,H$11,"EQY_CONSOLIDATED",$G$9,"ACCOUNTING_STANDARD_OVERRIDE",$G$7,"Per",$B$11,"Days=A"))</f>
        <v>18.4434</v>
      </c>
      <c r="I35" s="148">
        <f>IF(LEFT(_xll.BDH(Ticker,"PX_ERN_RATIO_WITH_HIGH_CLOS_PX",I$11,I$11,"EQY_CONSOLIDATED",$G$9,"ACCOUNTING_STANDARD_OVERRIDE",$G$7,"Per",$B$11,"Days=A"),1)="#","--",_xll.BDH(Ticker,"PX_ERN_RATIO_WITH_HIGH_CLOS_PX",I$11,I$11,"EQY_CONSOLIDATED",$G$9,"ACCOUNTING_STANDARD_OVERRIDE",$G$7,"Per",$B$11,"Days=A"))</f>
        <v>23.072800000000001</v>
      </c>
      <c r="J35" s="148">
        <f>IF(LEFT(_xll.BDH(Ticker,"PX_ERN_RATIO_WITH_HIGH_CLOS_PX",J$11,J$11,"EQY_CONSOLIDATED",$G$9,"ACCOUNTING_STANDARD_OVERRIDE",$G$7,"Per",$B$11,"Days=A"),1)="#","--",_xll.BDH(Ticker,"PX_ERN_RATIO_WITH_HIGH_CLOS_PX",J$11,J$11,"EQY_CONSOLIDATED",$G$9,"ACCOUNTING_STANDARD_OVERRIDE",$G$7,"Per",$B$11,"Days=A"))</f>
        <v>23.889700000000001</v>
      </c>
      <c r="K35" s="148">
        <f>IF(LEFT(_xll.BDH(Ticker,"PX_ERN_RATIO_WITH_HIGH_CLOS_PX",K$11,K$11,"EQY_CONSOLIDATED",$G$9,"ACCOUNTING_STANDARD_OVERRIDE",$G$7,"Per",$B$11,"Days=A"),1)="#","--",_xll.BDH(Ticker,"PX_ERN_RATIO_WITH_HIGH_CLOS_PX",K$11,K$11,"EQY_CONSOLIDATED",$G$9,"ACCOUNTING_STANDARD_OVERRIDE",$G$7,"Per",$B$11,"Days=A"))</f>
        <v>25.9497</v>
      </c>
      <c r="L35" s="148">
        <f>IF(LEFT(_xll.BDH(Ticker,"PX_ERN_RATIO_WITH_HIGH_CLOS_PX",L$11,L$11,"EQY_CONSOLIDATED",$G$9,"ACCOUNTING_STANDARD_OVERRIDE",$G$7,"Per",$B$11,"Days=A"),1)="#","--",_xll.BDH(Ticker,"PX_ERN_RATIO_WITH_HIGH_CLOS_PX",L$11,L$11,"EQY_CONSOLIDATED",$G$9,"ACCOUNTING_STANDARD_OVERRIDE",$G$7,"Per",$B$11,"Days=A"))</f>
        <v>30.6526</v>
      </c>
      <c r="M35" s="148">
        <f>IF(LEFT(_xll.BDH(Ticker,"PX_ERN_RATIO_WITH_HIGH_CLOS_PX",M$11,M$11,"EQY_CONSOLIDATED",$G$9,"ACCOUNTING_STANDARD_OVERRIDE",$G$7,"Per",$B$11,"Days=A"),1)="#","--",_xll.BDH(Ticker,"PX_ERN_RATIO_WITH_HIGH_CLOS_PX",M$11,M$11,"EQY_CONSOLIDATED",$G$9,"ACCOUNTING_STANDARD_OVERRIDE",$G$7,"Per",$B$11,"Days=A"))</f>
        <v>30.869299999999999</v>
      </c>
      <c r="N35" s="139"/>
      <c r="O35" s="139"/>
      <c r="P35" s="139"/>
      <c r="Q35" s="140"/>
      <c r="R35" s="140"/>
      <c r="S35" s="140"/>
      <c r="T35" s="140"/>
      <c r="U35" s="140"/>
      <c r="V35" s="140"/>
      <c r="W35" s="140"/>
      <c r="X35" s="140"/>
      <c r="Y35" s="140"/>
      <c r="Z35" s="140"/>
      <c r="AA35" s="140"/>
      <c r="AB35" s="140"/>
      <c r="AC35" s="140"/>
      <c r="AD35" s="140"/>
      <c r="AE35" s="140"/>
      <c r="AF35" s="140"/>
      <c r="AG35" s="140"/>
      <c r="AH35" s="140"/>
      <c r="AI35" s="140"/>
      <c r="AJ35" s="140"/>
      <c r="AK35" s="137"/>
      <c r="AL35" s="137"/>
      <c r="AM35" s="137"/>
      <c r="AN35" s="137"/>
      <c r="AO35" s="137"/>
      <c r="AP35" s="137"/>
      <c r="AQ35" s="137"/>
      <c r="AR35" s="137"/>
      <c r="AS35" s="140"/>
      <c r="AT35" s="140"/>
      <c r="AU35" s="140"/>
      <c r="AV35" s="140"/>
      <c r="AW35" s="140"/>
      <c r="AX35" s="140"/>
      <c r="AY35" s="140"/>
      <c r="AZ35" s="140"/>
      <c r="BA35" s="140"/>
      <c r="BB35" s="140"/>
      <c r="BC35" s="140"/>
      <c r="BD35" s="140"/>
      <c r="BE35" s="140"/>
      <c r="BF35" s="140"/>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2"/>
      <c r="CI35" s="132"/>
      <c r="CJ35" s="132"/>
      <c r="CK35" s="132"/>
      <c r="CL35" s="132"/>
      <c r="CM35" s="132"/>
      <c r="CN35" s="132"/>
      <c r="CO35" s="132"/>
      <c r="CP35" s="139"/>
      <c r="CQ35" s="139"/>
      <c r="CR35" s="139"/>
      <c r="CS35" s="139"/>
      <c r="CT35" s="139"/>
      <c r="CU35" s="139"/>
      <c r="CV35" s="139"/>
      <c r="CW35" s="139"/>
      <c r="CX35" s="139"/>
      <c r="CY35" s="139"/>
      <c r="CZ35" s="139"/>
      <c r="DA35" s="139"/>
      <c r="DB35" s="139"/>
      <c r="DC35" s="139"/>
      <c r="DD35" s="139"/>
      <c r="DE35" s="139"/>
      <c r="DF35" s="139"/>
      <c r="DG35" s="139"/>
      <c r="DH35" s="139"/>
      <c r="DI35" s="139"/>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139"/>
      <c r="EJ35" s="139"/>
      <c r="EK35" s="139"/>
      <c r="EL35" s="139"/>
      <c r="EM35" s="139"/>
      <c r="EN35" s="139"/>
      <c r="EO35" s="139"/>
      <c r="EP35" s="139"/>
      <c r="EQ35" s="139"/>
      <c r="ER35" s="139"/>
      <c r="ES35" s="139"/>
      <c r="ET35" s="139"/>
      <c r="EU35" s="139"/>
      <c r="EV35" s="139"/>
      <c r="EW35" s="139"/>
      <c r="EX35" s="139"/>
      <c r="EY35" s="139"/>
      <c r="EZ35" s="139"/>
      <c r="FA35" s="139"/>
      <c r="FB35" s="139"/>
      <c r="FC35" s="139"/>
      <c r="FD35" s="139"/>
      <c r="FE35" s="139"/>
      <c r="FF35" s="139"/>
      <c r="FG35" s="139"/>
      <c r="FH35" s="139"/>
      <c r="FI35" s="139"/>
      <c r="FJ35" s="139"/>
      <c r="FK35" s="139"/>
      <c r="FL35" s="139"/>
      <c r="FM35" s="139"/>
      <c r="FN35" s="139"/>
      <c r="FO35" s="139"/>
      <c r="FP35" s="139"/>
      <c r="FQ35" s="139"/>
      <c r="FR35" s="139"/>
      <c r="FS35" s="139"/>
    </row>
    <row r="36" spans="1:175">
      <c r="A36" s="77"/>
      <c r="B36" s="138" t="s">
        <v>173</v>
      </c>
      <c r="C36" s="148">
        <f>IF(LEFT(_xll.BDH(Ticker,"PX_ERN_RATIO_WITH_LOW_CLOS_PX",C$11,C$11,"EQY_CONSOLIDATED",$G$9,"ACCOUNTING_STANDARD_OVERRIDE",$G$7,"Per",$B$11,"Days=A"),1)="#","--",_xll.BDH(Ticker,"PX_ERN_RATIO_WITH_LOW_CLOS_PX",C$11,C$11,"EQY_CONSOLIDATED",$G$9,"ACCOUNTING_STANDARD_OVERRIDE",$G$7,"Per",$B$11,"Days=A"))</f>
        <v>14.1166</v>
      </c>
      <c r="D36" s="148">
        <f>IF(LEFT(_xll.BDH(Ticker,"PX_ERN_RATIO_WITH_LOW_CLOS_PX",D$11,D$11,"EQY_CONSOLIDATED",$G$9,"ACCOUNTING_STANDARD_OVERRIDE",$G$7,"Per",$B$11,"Days=A"),1)="#","--",_xll.BDH(Ticker,"PX_ERN_RATIO_WITH_LOW_CLOS_PX",D$11,D$11,"EQY_CONSOLIDATED",$G$9,"ACCOUNTING_STANDARD_OVERRIDE",$G$7,"Per",$B$11,"Days=A"))</f>
        <v>11.0212</v>
      </c>
      <c r="E36" s="148">
        <f>IF(LEFT(_xll.BDH(Ticker,"PX_ERN_RATIO_WITH_LOW_CLOS_PX",E$11,E$11,"EQY_CONSOLIDATED",$G$9,"ACCOUNTING_STANDARD_OVERRIDE",$G$7,"Per",$B$11,"Days=A"),1)="#","--",_xll.BDH(Ticker,"PX_ERN_RATIO_WITH_LOW_CLOS_PX",E$11,E$11,"EQY_CONSOLIDATED",$G$9,"ACCOUNTING_STANDARD_OVERRIDE",$G$7,"Per",$B$11,"Days=A"))</f>
        <v>14.4095</v>
      </c>
      <c r="F36" s="148">
        <f>IF(LEFT(_xll.BDH(Ticker,"PX_ERN_RATIO_WITH_LOW_CLOS_PX",F$11,F$11,"EQY_CONSOLIDATED",$G$9,"ACCOUNTING_STANDARD_OVERRIDE",$G$7,"Per",$B$11,"Days=A"),1)="#","--",_xll.BDH(Ticker,"PX_ERN_RATIO_WITH_LOW_CLOS_PX",F$11,F$11,"EQY_CONSOLIDATED",$G$9,"ACCOUNTING_STANDARD_OVERRIDE",$G$7,"Per",$B$11,"Days=A"))</f>
        <v>13.0441</v>
      </c>
      <c r="G36" s="148">
        <f>IF(LEFT(_xll.BDH(Ticker,"PX_ERN_RATIO_WITH_LOW_CLOS_PX",G$11,G$11,"EQY_CONSOLIDATED",$G$9,"ACCOUNTING_STANDARD_OVERRIDE",$G$7,"Per",$B$11,"Days=A"),1)="#","--",_xll.BDH(Ticker,"PX_ERN_RATIO_WITH_LOW_CLOS_PX",G$11,G$11,"EQY_CONSOLIDATED",$G$9,"ACCOUNTING_STANDARD_OVERRIDE",$G$7,"Per",$B$11,"Days=A"))</f>
        <v>13.411099999999999</v>
      </c>
      <c r="H36" s="148">
        <f>IF(LEFT(_xll.BDH(Ticker,"PX_ERN_RATIO_WITH_LOW_CLOS_PX",H$11,H$11,"EQY_CONSOLIDATED",$G$9,"ACCOUNTING_STANDARD_OVERRIDE",$G$7,"Per",$B$11,"Days=A"),1)="#","--",_xll.BDH(Ticker,"PX_ERN_RATIO_WITH_LOW_CLOS_PX",H$11,H$11,"EQY_CONSOLIDATED",$G$9,"ACCOUNTING_STANDARD_OVERRIDE",$G$7,"Per",$B$11,"Days=A"))</f>
        <v>13.670400000000001</v>
      </c>
      <c r="I36" s="148">
        <f>IF(LEFT(_xll.BDH(Ticker,"PX_ERN_RATIO_WITH_LOW_CLOS_PX",I$11,I$11,"EQY_CONSOLIDATED",$G$9,"ACCOUNTING_STANDARD_OVERRIDE",$G$7,"Per",$B$11,"Days=A"),1)="#","--",_xll.BDH(Ticker,"PX_ERN_RATIO_WITH_LOW_CLOS_PX",I$11,I$11,"EQY_CONSOLIDATED",$G$9,"ACCOUNTING_STANDARD_OVERRIDE",$G$7,"Per",$B$11,"Days=A"))</f>
        <v>17.823399999999999</v>
      </c>
      <c r="J36" s="148">
        <f>IF(LEFT(_xll.BDH(Ticker,"PX_ERN_RATIO_WITH_LOW_CLOS_PX",J$11,J$11,"EQY_CONSOLIDATED",$G$9,"ACCOUNTING_STANDARD_OVERRIDE",$G$7,"Per",$B$11,"Days=A"),1)="#","--",_xll.BDH(Ticker,"PX_ERN_RATIO_WITH_LOW_CLOS_PX",J$11,J$11,"EQY_CONSOLIDATED",$G$9,"ACCOUNTING_STANDARD_OVERRIDE",$G$7,"Per",$B$11,"Days=A"))</f>
        <v>19.636600000000001</v>
      </c>
      <c r="K36" s="148">
        <f>IF(LEFT(_xll.BDH(Ticker,"PX_ERN_RATIO_WITH_LOW_CLOS_PX",K$11,K$11,"EQY_CONSOLIDATED",$G$9,"ACCOUNTING_STANDARD_OVERRIDE",$G$7,"Per",$B$11,"Days=A"),1)="#","--",_xll.BDH(Ticker,"PX_ERN_RATIO_WITH_LOW_CLOS_PX",K$11,K$11,"EQY_CONSOLIDATED",$G$9,"ACCOUNTING_STANDARD_OVERRIDE",$G$7,"Per",$B$11,"Days=A"))</f>
        <v>18.493500000000001</v>
      </c>
      <c r="L36" s="148">
        <f>IF(LEFT(_xll.BDH(Ticker,"PX_ERN_RATIO_WITH_LOW_CLOS_PX",L$11,L$11,"EQY_CONSOLIDATED",$G$9,"ACCOUNTING_STANDARD_OVERRIDE",$G$7,"Per",$B$11,"Days=A"),1)="#","--",_xll.BDH(Ticker,"PX_ERN_RATIO_WITH_LOW_CLOS_PX",L$11,L$11,"EQY_CONSOLIDATED",$G$9,"ACCOUNTING_STANDARD_OVERRIDE",$G$7,"Per",$B$11,"Days=A"))</f>
        <v>22.595199999999998</v>
      </c>
      <c r="M36" s="148">
        <f>IF(LEFT(_xll.BDH(Ticker,"PX_ERN_RATIO_WITH_LOW_CLOS_PX",M$11,M$11,"EQY_CONSOLIDATED",$G$9,"ACCOUNTING_STANDARD_OVERRIDE",$G$7,"Per",$B$11,"Days=A"),1)="#","--",_xll.BDH(Ticker,"PX_ERN_RATIO_WITH_LOW_CLOS_PX",M$11,M$11,"EQY_CONSOLIDATED",$G$9,"ACCOUNTING_STANDARD_OVERRIDE",$G$7,"Per",$B$11,"Days=A"))</f>
        <v>24.431100000000001</v>
      </c>
      <c r="N36" s="139"/>
      <c r="O36" s="139"/>
      <c r="P36" s="139"/>
      <c r="Q36" s="140"/>
      <c r="R36" s="140"/>
      <c r="S36" s="140"/>
      <c r="T36" s="140"/>
      <c r="U36" s="140"/>
      <c r="V36" s="140"/>
      <c r="W36" s="140"/>
      <c r="X36" s="140"/>
      <c r="Y36" s="140"/>
      <c r="Z36" s="140"/>
      <c r="AA36" s="140"/>
      <c r="AB36" s="140"/>
      <c r="AC36" s="140"/>
      <c r="AD36" s="140"/>
      <c r="AE36" s="140"/>
      <c r="AF36" s="140"/>
      <c r="AG36" s="140"/>
      <c r="AH36" s="140"/>
      <c r="AI36" s="140"/>
      <c r="AJ36" s="140"/>
      <c r="AK36" s="137"/>
      <c r="AL36" s="137"/>
      <c r="AM36" s="137"/>
      <c r="AN36" s="137"/>
      <c r="AO36" s="137"/>
      <c r="AP36" s="137"/>
      <c r="AQ36" s="137"/>
      <c r="AR36" s="137"/>
      <c r="AS36" s="140"/>
      <c r="AT36" s="140"/>
      <c r="AU36" s="140"/>
      <c r="AV36" s="140"/>
      <c r="AW36" s="140"/>
      <c r="AX36" s="140"/>
      <c r="AY36" s="140"/>
      <c r="AZ36" s="140"/>
      <c r="BA36" s="140"/>
      <c r="BB36" s="140"/>
      <c r="BC36" s="140"/>
      <c r="BD36" s="140"/>
      <c r="BE36" s="140"/>
      <c r="BF36" s="140"/>
      <c r="BG36" s="139"/>
      <c r="BH36" s="139"/>
      <c r="BI36" s="139"/>
      <c r="BJ36" s="139"/>
      <c r="BK36" s="139"/>
      <c r="BL36" s="139"/>
      <c r="BM36" s="139"/>
      <c r="BN36" s="139"/>
      <c r="BO36" s="139"/>
      <c r="BP36" s="139"/>
      <c r="BQ36" s="139"/>
      <c r="BR36" s="139"/>
      <c r="BS36" s="139"/>
      <c r="BT36" s="139"/>
      <c r="BU36" s="139"/>
      <c r="BV36" s="139"/>
      <c r="BW36" s="139"/>
      <c r="BX36" s="139"/>
      <c r="BY36" s="139"/>
      <c r="BZ36" s="139"/>
      <c r="CA36" s="139"/>
      <c r="CB36" s="139"/>
      <c r="CC36" s="139"/>
      <c r="CD36" s="139"/>
      <c r="CE36" s="139"/>
      <c r="CF36" s="139"/>
      <c r="CG36" s="139"/>
      <c r="CH36" s="132"/>
      <c r="CI36" s="132"/>
      <c r="CJ36" s="132"/>
      <c r="CK36" s="132"/>
      <c r="CL36" s="132"/>
      <c r="CM36" s="132"/>
      <c r="CN36" s="132"/>
      <c r="CO36" s="132"/>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row>
    <row r="37" spans="1:175">
      <c r="A37" s="77"/>
      <c r="B37" s="138"/>
      <c r="C37" s="148"/>
      <c r="D37" s="148"/>
      <c r="E37" s="148"/>
      <c r="F37" s="148"/>
      <c r="G37" s="148"/>
      <c r="H37" s="148"/>
      <c r="I37" s="148"/>
      <c r="J37" s="148"/>
      <c r="K37" s="148"/>
      <c r="L37" s="148"/>
      <c r="M37" s="148"/>
      <c r="N37" s="139"/>
      <c r="O37" s="139"/>
      <c r="P37" s="139"/>
      <c r="Q37" s="140"/>
      <c r="R37" s="140"/>
      <c r="S37" s="140"/>
      <c r="T37" s="140"/>
      <c r="U37" s="140"/>
      <c r="V37" s="140"/>
      <c r="W37" s="140"/>
      <c r="X37" s="140"/>
      <c r="Y37" s="140"/>
      <c r="Z37" s="140"/>
      <c r="AA37" s="140"/>
      <c r="AB37" s="140"/>
      <c r="AC37" s="140"/>
      <c r="AD37" s="140"/>
      <c r="AE37" s="140"/>
      <c r="AF37" s="140"/>
      <c r="AG37" s="140"/>
      <c r="AH37" s="140"/>
      <c r="AI37" s="140"/>
      <c r="AJ37" s="140"/>
      <c r="AK37" s="137"/>
      <c r="AL37" s="137"/>
      <c r="AM37" s="137"/>
      <c r="AN37" s="137"/>
      <c r="AO37" s="137"/>
      <c r="AP37" s="137"/>
      <c r="AQ37" s="137"/>
      <c r="AR37" s="137"/>
      <c r="AS37" s="140"/>
      <c r="AT37" s="140"/>
      <c r="AU37" s="140"/>
      <c r="AV37" s="140"/>
      <c r="AW37" s="140"/>
      <c r="AX37" s="140"/>
      <c r="AY37" s="140"/>
      <c r="AZ37" s="140"/>
      <c r="BA37" s="140"/>
      <c r="BB37" s="140"/>
      <c r="BC37" s="140"/>
      <c r="BD37" s="140"/>
      <c r="BE37" s="140"/>
      <c r="BF37" s="140"/>
      <c r="BG37" s="139"/>
      <c r="BH37" s="139"/>
      <c r="BI37" s="139"/>
      <c r="BJ37" s="139"/>
      <c r="BK37" s="139"/>
      <c r="BL37" s="139"/>
      <c r="BM37" s="139"/>
      <c r="BN37" s="139"/>
      <c r="BO37" s="139"/>
      <c r="BP37" s="139"/>
      <c r="BQ37" s="139"/>
      <c r="BR37" s="139"/>
      <c r="BS37" s="139"/>
      <c r="BT37" s="139"/>
      <c r="BU37" s="139"/>
      <c r="BV37" s="139"/>
      <c r="BW37" s="139"/>
      <c r="BX37" s="139"/>
      <c r="BY37" s="139"/>
      <c r="BZ37" s="139"/>
      <c r="CA37" s="139"/>
      <c r="CB37" s="139"/>
      <c r="CC37" s="139"/>
      <c r="CD37" s="139"/>
      <c r="CE37" s="139"/>
      <c r="CF37" s="139"/>
      <c r="CG37" s="139"/>
      <c r="CH37" s="132"/>
      <c r="CI37" s="132"/>
      <c r="CJ37" s="132"/>
      <c r="CK37" s="132"/>
      <c r="CL37" s="132"/>
      <c r="CM37" s="132"/>
      <c r="CN37" s="132"/>
      <c r="CO37" s="132"/>
      <c r="CP37" s="139"/>
      <c r="CQ37" s="139"/>
      <c r="CR37" s="139"/>
      <c r="CS37" s="139"/>
      <c r="CT37" s="139"/>
      <c r="CU37" s="139"/>
      <c r="CV37" s="139"/>
      <c r="CW37" s="139"/>
      <c r="CX37" s="139"/>
      <c r="CY37" s="139"/>
      <c r="CZ37" s="139"/>
      <c r="DA37" s="139"/>
      <c r="DB37" s="139"/>
      <c r="DC37" s="139"/>
      <c r="DD37" s="139"/>
      <c r="DE37" s="139"/>
      <c r="DF37" s="139"/>
      <c r="DG37" s="139"/>
      <c r="DH37" s="139"/>
      <c r="DI37" s="139"/>
      <c r="DJ37" s="139"/>
      <c r="DK37" s="139"/>
      <c r="DL37" s="139"/>
      <c r="DM37" s="139"/>
      <c r="DN37" s="139"/>
      <c r="DO37" s="139"/>
      <c r="DP37" s="139"/>
      <c r="DQ37" s="139"/>
      <c r="DR37" s="139"/>
      <c r="DS37" s="139"/>
      <c r="DT37" s="139"/>
      <c r="DU37" s="139"/>
      <c r="DV37" s="139"/>
      <c r="DW37" s="139"/>
      <c r="DX37" s="139"/>
      <c r="DY37" s="139"/>
      <c r="DZ37" s="139"/>
      <c r="EA37" s="139"/>
      <c r="EB37" s="139"/>
      <c r="EC37" s="139"/>
      <c r="ED37" s="139"/>
      <c r="EE37" s="139"/>
      <c r="EF37" s="139"/>
      <c r="EG37" s="139"/>
      <c r="EH37" s="139"/>
      <c r="EI37" s="139"/>
      <c r="EJ37" s="139"/>
      <c r="EK37" s="139"/>
      <c r="EL37" s="139"/>
      <c r="EM37" s="139"/>
      <c r="EN37" s="139"/>
      <c r="EO37" s="139"/>
      <c r="EP37" s="139"/>
      <c r="EQ37" s="139"/>
      <c r="ER37" s="139"/>
      <c r="ES37" s="139"/>
      <c r="ET37" s="139"/>
      <c r="EU37" s="139"/>
      <c r="EV37" s="139"/>
      <c r="EW37" s="139"/>
      <c r="EX37" s="139"/>
      <c r="EY37" s="139"/>
      <c r="EZ37" s="139"/>
      <c r="FA37" s="139"/>
      <c r="FB37" s="139"/>
      <c r="FC37" s="139"/>
      <c r="FD37" s="139"/>
      <c r="FE37" s="139"/>
      <c r="FF37" s="139"/>
      <c r="FG37" s="139"/>
      <c r="FH37" s="139"/>
      <c r="FI37" s="139"/>
      <c r="FJ37" s="139"/>
      <c r="FK37" s="139"/>
      <c r="FL37" s="139"/>
      <c r="FM37" s="139"/>
      <c r="FN37" s="139"/>
      <c r="FO37" s="139"/>
      <c r="FP37" s="139"/>
      <c r="FQ37" s="139"/>
      <c r="FR37" s="139"/>
      <c r="FS37" s="139"/>
    </row>
    <row r="38" spans="1:175">
      <c r="A38" s="77"/>
      <c r="B38" s="135" t="s">
        <v>178</v>
      </c>
      <c r="C38" s="148"/>
      <c r="D38" s="148"/>
      <c r="E38" s="148"/>
      <c r="F38" s="148"/>
      <c r="G38" s="148"/>
      <c r="H38" s="148"/>
      <c r="I38" s="148"/>
      <c r="J38" s="148"/>
      <c r="K38" s="148"/>
      <c r="L38" s="149"/>
      <c r="M38" s="148"/>
      <c r="N38" s="139"/>
      <c r="O38" s="139"/>
      <c r="P38" s="139"/>
      <c r="Q38" s="140"/>
      <c r="R38" s="140"/>
      <c r="S38" s="140"/>
      <c r="T38" s="140"/>
      <c r="U38" s="140"/>
      <c r="V38" s="140"/>
      <c r="W38" s="140"/>
      <c r="X38" s="140"/>
      <c r="Y38" s="140"/>
      <c r="Z38" s="140"/>
      <c r="AA38" s="140"/>
      <c r="AB38" s="140"/>
      <c r="AC38" s="140"/>
      <c r="AD38" s="140"/>
      <c r="AE38" s="140"/>
      <c r="AF38" s="140"/>
      <c r="AG38" s="140"/>
      <c r="AH38" s="140"/>
      <c r="AI38" s="140"/>
      <c r="AJ38" s="140"/>
      <c r="AK38" s="137"/>
      <c r="AL38" s="137"/>
      <c r="AM38" s="137"/>
      <c r="AN38" s="137"/>
      <c r="AO38" s="137"/>
      <c r="AP38" s="137"/>
      <c r="AQ38" s="137"/>
      <c r="AR38" s="137"/>
      <c r="AS38" s="140"/>
      <c r="AT38" s="140"/>
      <c r="AU38" s="140"/>
      <c r="AV38" s="140"/>
      <c r="AW38" s="140"/>
      <c r="AX38" s="140"/>
      <c r="AY38" s="140"/>
      <c r="AZ38" s="140"/>
      <c r="BA38" s="140"/>
      <c r="BB38" s="140"/>
      <c r="BC38" s="140"/>
      <c r="BD38" s="140"/>
      <c r="BE38" s="140"/>
      <c r="BF38" s="140"/>
      <c r="BG38" s="139"/>
      <c r="BH38" s="139"/>
      <c r="BI38" s="139"/>
      <c r="BJ38" s="139"/>
      <c r="BK38" s="139"/>
      <c r="BL38" s="139"/>
      <c r="BM38" s="139"/>
      <c r="BN38" s="139"/>
      <c r="BO38" s="139"/>
      <c r="BP38" s="139"/>
      <c r="BQ38" s="139"/>
      <c r="BR38" s="139"/>
      <c r="BS38" s="139"/>
      <c r="BT38" s="139"/>
      <c r="BU38" s="139"/>
      <c r="BV38" s="139"/>
      <c r="BW38" s="139"/>
      <c r="BX38" s="139"/>
      <c r="BY38" s="139"/>
      <c r="BZ38" s="139"/>
      <c r="CA38" s="139"/>
      <c r="CB38" s="139"/>
      <c r="CC38" s="139"/>
      <c r="CD38" s="139"/>
      <c r="CE38" s="139"/>
      <c r="CF38" s="139"/>
      <c r="CG38" s="139"/>
      <c r="CH38" s="132"/>
      <c r="CI38" s="132"/>
      <c r="CJ38" s="132"/>
      <c r="CK38" s="132"/>
      <c r="CL38" s="132"/>
      <c r="CM38" s="132"/>
      <c r="CN38" s="132"/>
      <c r="CO38" s="132"/>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139"/>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row>
    <row r="39" spans="1:175">
      <c r="A39" s="77"/>
      <c r="B39" s="136" t="s">
        <v>174</v>
      </c>
      <c r="C39" s="147">
        <f>IF(LEFT(_xll.BDH(Ticker,"PX_TO_BOOK_RATIO",C$11,C$11,"EQY_CONSOLIDATED",$G$9,"ACCOUNTING_STANDARD_OVERRIDE",$G$7,"Per",$B$11,"Days=A"),1)="#","--",_xll.BDH(Ticker,"PX_TO_BOOK_RATIO",C$11,C$11,"EQY_CONSOLIDATED",$G$9,"ACCOUNTING_STANDARD_OVERRIDE",$G$7,"Per",$B$11,"Days=A"))</f>
        <v>2.9290000000000003</v>
      </c>
      <c r="D39" s="147">
        <f>IF(LEFT(_xll.BDH(Ticker,"PX_TO_BOOK_RATIO",D$11,D$11,"EQY_CONSOLIDATED",$G$9,"ACCOUNTING_STANDARD_OVERRIDE",$G$7,"Per",$B$11,"Days=A"),1)="#","--",_xll.BDH(Ticker,"PX_TO_BOOK_RATIO",D$11,D$11,"EQY_CONSOLIDATED",$G$9,"ACCOUNTING_STANDARD_OVERRIDE",$G$7,"Per",$B$11,"Days=A"))</f>
        <v>3.0390000000000001</v>
      </c>
      <c r="E39" s="147">
        <f>IF(LEFT(_xll.BDH(Ticker,"PX_TO_BOOK_RATIO",E$11,E$11,"EQY_CONSOLIDATED",$G$9,"ACCOUNTING_STANDARD_OVERRIDE",$G$7,"Per",$B$11,"Days=A"),1)="#","--",_xll.BDH(Ticker,"PX_TO_BOOK_RATIO",E$11,E$11,"EQY_CONSOLIDATED",$G$9,"ACCOUNTING_STANDARD_OVERRIDE",$G$7,"Per",$B$11,"Days=A"))</f>
        <v>2.9268000000000001</v>
      </c>
      <c r="F39" s="147">
        <f>IF(LEFT(_xll.BDH(Ticker,"PX_TO_BOOK_RATIO",F$11,F$11,"EQY_CONSOLIDATED",$G$9,"ACCOUNTING_STANDARD_OVERRIDE",$G$7,"Per",$B$11,"Days=A"),1)="#","--",_xll.BDH(Ticker,"PX_TO_BOOK_RATIO",F$11,F$11,"EQY_CONSOLIDATED",$G$9,"ACCOUNTING_STANDARD_OVERRIDE",$G$7,"Per",$B$11,"Days=A"))</f>
        <v>2.4651000000000001</v>
      </c>
      <c r="G39" s="147">
        <f>IF(LEFT(_xll.BDH(Ticker,"PX_TO_BOOK_RATIO",G$11,G$11,"EQY_CONSOLIDATED",$G$9,"ACCOUNTING_STANDARD_OVERRIDE",$G$7,"Per",$B$11,"Days=A"),1)="#","--",_xll.BDH(Ticker,"PX_TO_BOOK_RATIO",G$11,G$11,"EQY_CONSOLIDATED",$G$9,"ACCOUNTING_STANDARD_OVERRIDE",$G$7,"Per",$B$11,"Days=A"))</f>
        <v>2.4230999999999998</v>
      </c>
      <c r="H39" s="147">
        <f>IF(LEFT(_xll.BDH(Ticker,"PX_TO_BOOK_RATIO",H$11,H$11,"EQY_CONSOLIDATED",$G$9,"ACCOUNTING_STANDARD_OVERRIDE",$G$7,"Per",$B$11,"Days=A"),1)="#","--",_xll.BDH(Ticker,"PX_TO_BOOK_RATIO",H$11,H$11,"EQY_CONSOLIDATED",$G$9,"ACCOUNTING_STANDARD_OVERRIDE",$G$7,"Per",$B$11,"Days=A"))</f>
        <v>3.1395</v>
      </c>
      <c r="I39" s="147">
        <f>IF(LEFT(_xll.BDH(Ticker,"PX_TO_BOOK_RATIO",I$11,I$11,"EQY_CONSOLIDATED",$G$9,"ACCOUNTING_STANDARD_OVERRIDE",$G$7,"Per",$B$11,"Days=A"),1)="#","--",_xll.BDH(Ticker,"PX_TO_BOOK_RATIO",I$11,I$11,"EQY_CONSOLIDATED",$G$9,"ACCOUNTING_STANDARD_OVERRIDE",$G$7,"Per",$B$11,"Days=A"))</f>
        <v>4.1485000000000003</v>
      </c>
      <c r="J39" s="147">
        <f>IF(LEFT(_xll.BDH(Ticker,"PX_TO_BOOK_RATIO",J$11,J$11,"EQY_CONSOLIDATED",$G$9,"ACCOUNTING_STANDARD_OVERRIDE",$G$7,"Per",$B$11,"Days=A"),1)="#","--",_xll.BDH(Ticker,"PX_TO_BOOK_RATIO",J$11,J$11,"EQY_CONSOLIDATED",$G$9,"ACCOUNTING_STANDARD_OVERRIDE",$G$7,"Per",$B$11,"Days=A"))</f>
        <v>4.0731999999999999</v>
      </c>
      <c r="K39" s="147">
        <f>IF(LEFT(_xll.BDH(Ticker,"PX_TO_BOOK_RATIO",K$11,K$11,"EQY_CONSOLIDATED",$G$9,"ACCOUNTING_STANDARD_OVERRIDE",$G$7,"Per",$B$11,"Days=A"),1)="#","--",_xll.BDH(Ticker,"PX_TO_BOOK_RATIO",K$11,K$11,"EQY_CONSOLIDATED",$G$9,"ACCOUNTING_STANDARD_OVERRIDE",$G$7,"Per",$B$11,"Days=A"))</f>
        <v>4.7046000000000001</v>
      </c>
      <c r="L39" s="147">
        <f>IF(LEFT(_xll.BDH(Ticker,"PX_TO_BOOK_RATIO",L$11,L$11,"EQY_CONSOLIDATED",$G$9,"ACCOUNTING_STANDARD_OVERRIDE",$G$7,"Per",$B$11,"Days=A"),1)="#","--",_xll.BDH(Ticker,"PX_TO_BOOK_RATIO",L$11,L$11,"EQY_CONSOLIDATED",$G$9,"ACCOUNTING_STANDARD_OVERRIDE",$G$7,"Per",$B$11,"Days=A"))</f>
        <v>5.8207000000000004</v>
      </c>
      <c r="M39" s="147">
        <f>IF(LEFT(_xll.BDH(Ticker,"PX_TO_BOOK_RATIO",M$11,M$11,"EQY_CONSOLIDATED",$G$9,"ACCOUNTING_STANDARD_OVERRIDE",$G$7,"Per",$B$11,"Days=A"),1)="#","--",_xll.BDH(Ticker,"PX_TO_BOOK_RATIO",M$11,M$11,"EQY_CONSOLIDATED",$G$9,"ACCOUNTING_STANDARD_OVERRIDE",$G$7,"Per",$B$11,"Days=A"))</f>
        <v>4.9800000000000004</v>
      </c>
      <c r="N39" s="132"/>
      <c r="O39" s="132"/>
      <c r="P39" s="132"/>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c r="BE39" s="137"/>
      <c r="BF39" s="137"/>
      <c r="BG39" s="132"/>
      <c r="BH39" s="132"/>
      <c r="BI39" s="132"/>
      <c r="BJ39" s="132"/>
      <c r="BK39" s="132"/>
      <c r="BL39" s="132"/>
      <c r="BM39" s="132"/>
      <c r="BN39" s="132"/>
      <c r="BO39" s="132"/>
      <c r="BP39" s="132"/>
      <c r="BQ39" s="132"/>
      <c r="BR39" s="132"/>
      <c r="BS39" s="132"/>
      <c r="BT39" s="132"/>
      <c r="BU39" s="132"/>
      <c r="BV39" s="132"/>
      <c r="BW39" s="132"/>
      <c r="BX39" s="132"/>
      <c r="BY39" s="132"/>
      <c r="BZ39" s="132"/>
      <c r="CA39" s="132"/>
      <c r="CB39" s="132"/>
      <c r="CC39" s="132"/>
      <c r="CD39" s="132"/>
      <c r="CE39" s="132"/>
      <c r="CF39" s="132"/>
      <c r="CG39" s="132"/>
      <c r="CH39" s="132"/>
      <c r="CI39" s="132"/>
      <c r="CJ39" s="132"/>
      <c r="CK39" s="132"/>
      <c r="CL39" s="132"/>
      <c r="CM39" s="132"/>
      <c r="CN39" s="132"/>
      <c r="CO39" s="132"/>
      <c r="CP39" s="132"/>
      <c r="CQ39" s="132"/>
      <c r="CR39" s="132"/>
      <c r="CS39" s="132"/>
      <c r="CT39" s="132"/>
      <c r="CU39" s="132"/>
      <c r="CV39" s="132"/>
      <c r="CW39" s="132"/>
      <c r="CX39" s="132"/>
      <c r="CY39" s="132"/>
      <c r="CZ39" s="132"/>
      <c r="DA39" s="132"/>
      <c r="DB39" s="132"/>
      <c r="DC39" s="132"/>
      <c r="DD39" s="132"/>
      <c r="DE39" s="132"/>
      <c r="DF39" s="132"/>
      <c r="DG39" s="132"/>
      <c r="DH39" s="132"/>
      <c r="DI39" s="132"/>
      <c r="DJ39" s="132"/>
      <c r="DK39" s="132"/>
      <c r="DL39" s="132"/>
      <c r="DM39" s="132"/>
      <c r="DN39" s="132"/>
      <c r="DO39" s="132"/>
      <c r="DP39" s="132"/>
      <c r="DQ39" s="132"/>
      <c r="DR39" s="132"/>
      <c r="DS39" s="132"/>
      <c r="DT39" s="132"/>
      <c r="DU39" s="132"/>
      <c r="DV39" s="132"/>
      <c r="DW39" s="132"/>
      <c r="DX39" s="132"/>
      <c r="DY39" s="132"/>
      <c r="DZ39" s="132"/>
      <c r="EA39" s="132"/>
      <c r="EB39" s="132"/>
      <c r="EC39" s="132"/>
      <c r="ED39" s="132"/>
      <c r="EE39" s="132"/>
      <c r="EF39" s="132"/>
      <c r="EG39" s="132"/>
      <c r="EH39" s="132"/>
      <c r="EI39" s="132"/>
      <c r="EJ39" s="132"/>
      <c r="EK39" s="132"/>
      <c r="EL39" s="132"/>
      <c r="EM39" s="132"/>
      <c r="EN39" s="132"/>
      <c r="EO39" s="132"/>
      <c r="EP39" s="132"/>
      <c r="EQ39" s="132"/>
      <c r="ER39" s="132"/>
      <c r="ES39" s="132"/>
      <c r="ET39" s="132"/>
      <c r="EU39" s="132"/>
      <c r="EV39" s="132"/>
      <c r="EW39" s="132"/>
      <c r="EX39" s="132"/>
      <c r="EY39" s="132"/>
      <c r="EZ39" s="132"/>
      <c r="FA39" s="132"/>
      <c r="FB39" s="132"/>
      <c r="FC39" s="132"/>
      <c r="FD39" s="132"/>
      <c r="FE39" s="132"/>
      <c r="FF39" s="132"/>
      <c r="FG39" s="132"/>
      <c r="FH39" s="132"/>
      <c r="FI39" s="132"/>
      <c r="FJ39" s="132"/>
      <c r="FK39" s="132"/>
      <c r="FL39" s="132"/>
      <c r="FM39" s="132"/>
      <c r="FN39" s="132"/>
      <c r="FO39" s="132"/>
      <c r="FP39" s="132"/>
      <c r="FQ39" s="132"/>
      <c r="FR39" s="132"/>
      <c r="FS39" s="132"/>
    </row>
    <row r="40" spans="1:175">
      <c r="A40" s="77"/>
      <c r="B40" s="138" t="s">
        <v>171</v>
      </c>
      <c r="C40" s="148">
        <f>IF(LEFT(_xll.BDH(Ticker,"AVERAGE_PRICE_TO_BOOK_RATIO",C$11,C$11,"EQY_CONSOLIDATED",$G$9,"ACCOUNTING_STANDARD_OVERRIDE",$G$7,"Per",$B$11,"Days=A"),1)="#","--",_xll.BDH(Ticker,"AVERAGE_PRICE_TO_BOOK_RATIO",C$11,C$11,"EQY_CONSOLIDATED",$G$9,"ACCOUNTING_STANDARD_OVERRIDE",$G$7,"Per",$B$11,"Days=A"))</f>
        <v>4.6223999999999998</v>
      </c>
      <c r="D40" s="148">
        <f>IF(LEFT(_xll.BDH(Ticker,"AVERAGE_PRICE_TO_BOOK_RATIO",D$11,D$11,"EQY_CONSOLIDATED",$G$9,"ACCOUNTING_STANDARD_OVERRIDE",$G$7,"Per",$B$11,"Days=A"),1)="#","--",_xll.BDH(Ticker,"AVERAGE_PRICE_TO_BOOK_RATIO",D$11,D$11,"EQY_CONSOLIDATED",$G$9,"ACCOUNTING_STANDARD_OVERRIDE",$G$7,"Per",$B$11,"Days=A"))</f>
        <v>3.0585</v>
      </c>
      <c r="E40" s="148">
        <f>IF(LEFT(_xll.BDH(Ticker,"AVERAGE_PRICE_TO_BOOK_RATIO",E$11,E$11,"EQY_CONSOLIDATED",$G$9,"ACCOUNTING_STANDARD_OVERRIDE",$G$7,"Per",$B$11,"Days=A"),1)="#","--",_xll.BDH(Ticker,"AVERAGE_PRICE_TO_BOOK_RATIO",E$11,E$11,"EQY_CONSOLIDATED",$G$9,"ACCOUNTING_STANDARD_OVERRIDE",$G$7,"Per",$B$11,"Days=A"))</f>
        <v>3.1421999999999999</v>
      </c>
      <c r="F40" s="148">
        <f>IF(LEFT(_xll.BDH(Ticker,"AVERAGE_PRICE_TO_BOOK_RATIO",F$11,F$11,"EQY_CONSOLIDATED",$G$9,"ACCOUNTING_STANDARD_OVERRIDE",$G$7,"Per",$B$11,"Days=A"),1)="#","--",_xll.BDH(Ticker,"AVERAGE_PRICE_TO_BOOK_RATIO",F$11,F$11,"EQY_CONSOLIDATED",$G$9,"ACCOUNTING_STANDARD_OVERRIDE",$G$7,"Per",$B$11,"Days=A"))</f>
        <v>2.9855999999999998</v>
      </c>
      <c r="G40" s="148">
        <f>IF(LEFT(_xll.BDH(Ticker,"AVERAGE_PRICE_TO_BOOK_RATIO",G$11,G$11,"EQY_CONSOLIDATED",$G$9,"ACCOUNTING_STANDARD_OVERRIDE",$G$7,"Per",$B$11,"Days=A"),1)="#","--",_xll.BDH(Ticker,"AVERAGE_PRICE_TO_BOOK_RATIO",G$11,G$11,"EQY_CONSOLIDATED",$G$9,"ACCOUNTING_STANDARD_OVERRIDE",$G$7,"Per",$B$11,"Days=A"))</f>
        <v>2.6591</v>
      </c>
      <c r="H40" s="148">
        <f>IF(LEFT(_xll.BDH(Ticker,"AVERAGE_PRICE_TO_BOOK_RATIO",H$11,H$11,"EQY_CONSOLIDATED",$G$9,"ACCOUNTING_STANDARD_OVERRIDE",$G$7,"Per",$B$11,"Days=A"),1)="#","--",_xll.BDH(Ticker,"AVERAGE_PRICE_TO_BOOK_RATIO",H$11,H$11,"EQY_CONSOLIDATED",$G$9,"ACCOUNTING_STANDARD_OVERRIDE",$G$7,"Per",$B$11,"Days=A"))</f>
        <v>3.0003000000000002</v>
      </c>
      <c r="I40" s="148">
        <f>IF(LEFT(_xll.BDH(Ticker,"AVERAGE_PRICE_TO_BOOK_RATIO",I$11,I$11,"EQY_CONSOLIDATED",$G$9,"ACCOUNTING_STANDARD_OVERRIDE",$G$7,"Per",$B$11,"Days=A"),1)="#","--",_xll.BDH(Ticker,"AVERAGE_PRICE_TO_BOOK_RATIO",I$11,I$11,"EQY_CONSOLIDATED",$G$9,"ACCOUNTING_STANDARD_OVERRIDE",$G$7,"Per",$B$11,"Days=A"))</f>
        <v>3.4723999999999999</v>
      </c>
      <c r="J40" s="148">
        <f>IF(LEFT(_xll.BDH(Ticker,"AVERAGE_PRICE_TO_BOOK_RATIO",J$11,J$11,"EQY_CONSOLIDATED",$G$9,"ACCOUNTING_STANDARD_OVERRIDE",$G$7,"Per",$B$11,"Days=A"),1)="#","--",_xll.BDH(Ticker,"AVERAGE_PRICE_TO_BOOK_RATIO",J$11,J$11,"EQY_CONSOLIDATED",$G$9,"ACCOUNTING_STANDARD_OVERRIDE",$G$7,"Per",$B$11,"Days=A"))</f>
        <v>4.2081</v>
      </c>
      <c r="K40" s="148">
        <f>IF(LEFT(_xll.BDH(Ticker,"AVERAGE_PRICE_TO_BOOK_RATIO",K$11,K$11,"EQY_CONSOLIDATED",$G$9,"ACCOUNTING_STANDARD_OVERRIDE",$G$7,"Per",$B$11,"Days=A"),1)="#","--",_xll.BDH(Ticker,"AVERAGE_PRICE_TO_BOOK_RATIO",K$11,K$11,"EQY_CONSOLIDATED",$G$9,"ACCOUNTING_STANDARD_OVERRIDE",$G$7,"Per",$B$11,"Days=A"))</f>
        <v>4.8453999999999997</v>
      </c>
      <c r="L40" s="148">
        <f>IF(LEFT(_xll.BDH(Ticker,"AVERAGE_PRICE_TO_BOOK_RATIO",L$11,L$11,"EQY_CONSOLIDATED",$G$9,"ACCOUNTING_STANDARD_OVERRIDE",$G$7,"Per",$B$11,"Days=A"),1)="#","--",_xll.BDH(Ticker,"AVERAGE_PRICE_TO_BOOK_RATIO",L$11,L$11,"EQY_CONSOLIDATED",$G$9,"ACCOUNTING_STANDARD_OVERRIDE",$G$7,"Per",$B$11,"Days=A"))</f>
        <v>5.4935999999999998</v>
      </c>
      <c r="M40" s="148">
        <f>IF(LEFT(_xll.BDH(Ticker,"AVERAGE_PRICE_TO_BOOK_RATIO",M$11,M$11,"EQY_CONSOLIDATED",$G$9,"ACCOUNTING_STANDARD_OVERRIDE",$G$7,"Per",$B$11,"Days=A"),1)="#","--",_xll.BDH(Ticker,"AVERAGE_PRICE_TO_BOOK_RATIO",M$11,M$11,"EQY_CONSOLIDATED",$G$9,"ACCOUNTING_STANDARD_OVERRIDE",$G$7,"Per",$B$11,"Days=A"))</f>
        <v>6.2697000000000003</v>
      </c>
      <c r="N40" s="139"/>
      <c r="O40" s="139"/>
      <c r="P40" s="139"/>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39"/>
      <c r="BH40" s="139"/>
      <c r="BI40" s="139"/>
      <c r="BJ40" s="139"/>
      <c r="BK40" s="139"/>
      <c r="BL40" s="139"/>
      <c r="BM40" s="139"/>
      <c r="BN40" s="139"/>
      <c r="BO40" s="139"/>
      <c r="BP40" s="139"/>
      <c r="BQ40" s="139"/>
      <c r="BR40" s="139"/>
      <c r="BS40" s="139"/>
      <c r="BT40" s="139"/>
      <c r="BU40" s="139"/>
      <c r="BV40" s="139"/>
      <c r="BW40" s="139"/>
      <c r="BX40" s="139"/>
      <c r="BY40" s="139"/>
      <c r="BZ40" s="139"/>
      <c r="CA40" s="139"/>
      <c r="CB40" s="139"/>
      <c r="CC40" s="139"/>
      <c r="CD40" s="139"/>
      <c r="CE40" s="139"/>
      <c r="CF40" s="139"/>
      <c r="CG40" s="139"/>
      <c r="CH40" s="139"/>
      <c r="CI40" s="139"/>
      <c r="CJ40" s="139"/>
      <c r="CK40" s="139"/>
      <c r="CL40" s="139"/>
      <c r="CM40" s="139"/>
      <c r="CN40" s="139"/>
      <c r="CO40" s="139"/>
      <c r="CP40" s="139"/>
      <c r="CQ40" s="139"/>
      <c r="CR40" s="139"/>
      <c r="CS40" s="139"/>
      <c r="CT40" s="139"/>
      <c r="CU40" s="139"/>
      <c r="CV40" s="139"/>
      <c r="CW40" s="139"/>
      <c r="CX40" s="139"/>
      <c r="CY40" s="139"/>
      <c r="CZ40" s="139"/>
      <c r="DA40" s="139"/>
      <c r="DB40" s="139"/>
      <c r="DC40" s="139"/>
      <c r="DD40" s="139"/>
      <c r="DE40" s="139"/>
      <c r="DF40" s="139"/>
      <c r="DG40" s="139"/>
      <c r="DH40" s="139"/>
      <c r="DI40" s="139"/>
      <c r="DJ40" s="139"/>
      <c r="DK40" s="139"/>
      <c r="DL40" s="139"/>
      <c r="DM40" s="139"/>
      <c r="DN40" s="139"/>
      <c r="DO40" s="139"/>
      <c r="DP40" s="139"/>
      <c r="DQ40" s="139"/>
      <c r="DR40" s="139"/>
      <c r="DS40" s="139"/>
      <c r="DT40" s="139"/>
      <c r="DU40" s="139"/>
      <c r="DV40" s="139"/>
      <c r="DW40" s="139"/>
      <c r="DX40" s="139"/>
      <c r="DY40" s="139"/>
      <c r="DZ40" s="139"/>
      <c r="EA40" s="139"/>
      <c r="EB40" s="139"/>
      <c r="EC40" s="139"/>
      <c r="ED40" s="139"/>
      <c r="EE40" s="139"/>
      <c r="EF40" s="139"/>
      <c r="EG40" s="139"/>
      <c r="EH40" s="139"/>
      <c r="EI40" s="139"/>
      <c r="EJ40" s="139"/>
      <c r="EK40" s="139"/>
      <c r="EL40" s="139"/>
      <c r="EM40" s="139"/>
      <c r="EN40" s="139"/>
      <c r="EO40" s="139"/>
      <c r="EP40" s="139"/>
      <c r="EQ40" s="139"/>
      <c r="ER40" s="139"/>
      <c r="ES40" s="139"/>
      <c r="ET40" s="139"/>
      <c r="EU40" s="139"/>
      <c r="EV40" s="139"/>
      <c r="EW40" s="139"/>
      <c r="EX40" s="139"/>
      <c r="EY40" s="139"/>
      <c r="EZ40" s="139"/>
      <c r="FA40" s="139"/>
      <c r="FB40" s="139"/>
      <c r="FC40" s="139"/>
      <c r="FD40" s="139"/>
      <c r="FE40" s="139"/>
      <c r="FF40" s="139"/>
      <c r="FG40" s="139"/>
      <c r="FH40" s="139"/>
      <c r="FI40" s="139"/>
      <c r="FJ40" s="139"/>
      <c r="FK40" s="139"/>
      <c r="FL40" s="139"/>
      <c r="FM40" s="139"/>
      <c r="FN40" s="139"/>
      <c r="FO40" s="139"/>
      <c r="FP40" s="139"/>
      <c r="FQ40" s="139"/>
      <c r="FR40" s="139"/>
      <c r="FS40" s="139"/>
    </row>
    <row r="41" spans="1:175">
      <c r="A41" s="77"/>
      <c r="B41" s="138" t="s">
        <v>172</v>
      </c>
      <c r="C41" s="148">
        <f>IF(LEFT(_xll.BDH(Ticker,"HIGH_CLOSING_PRICE_TO_BOOK_RATIO",C$11,C$11,"EQY_CONSOLIDATED",$G$9,"ACCOUNTING_STANDARD_OVERRIDE",$G$7,"Per",$B$11,"Days=A"),1)="#","--",_xll.BDH(Ticker,"HIGH_CLOSING_PRICE_TO_BOOK_RATIO",C$11,C$11,"EQY_CONSOLIDATED",$G$9,"ACCOUNTING_STANDARD_OVERRIDE",$G$7,"Per",$B$11,"Days=A"))</f>
        <v>5.6417000000000002</v>
      </c>
      <c r="D41" s="148">
        <f>IF(LEFT(_xll.BDH(Ticker,"HIGH_CLOSING_PRICE_TO_BOOK_RATIO",D$11,D$11,"EQY_CONSOLIDATED",$G$9,"ACCOUNTING_STANDARD_OVERRIDE",$G$7,"Per",$B$11,"Days=A"),1)="#","--",_xll.BDH(Ticker,"HIGH_CLOSING_PRICE_TO_BOOK_RATIO",D$11,D$11,"EQY_CONSOLIDATED",$G$9,"ACCOUNTING_STANDARD_OVERRIDE",$G$7,"Per",$B$11,"Days=A"))</f>
        <v>3.8270999999999997</v>
      </c>
      <c r="E41" s="148">
        <f>IF(LEFT(_xll.BDH(Ticker,"HIGH_CLOSING_PRICE_TO_BOOK_RATIO",E$11,E$11,"EQY_CONSOLIDATED",$G$9,"ACCOUNTING_STANDARD_OVERRIDE",$G$7,"Per",$B$11,"Days=A"),1)="#","--",_xll.BDH(Ticker,"HIGH_CLOSING_PRICE_TO_BOOK_RATIO",E$11,E$11,"EQY_CONSOLIDATED",$G$9,"ACCOUNTING_STANDARD_OVERRIDE",$G$7,"Per",$B$11,"Days=A"))</f>
        <v>3.5529999999999999</v>
      </c>
      <c r="F41" s="148">
        <f>IF(LEFT(_xll.BDH(Ticker,"HIGH_CLOSING_PRICE_TO_BOOK_RATIO",F$11,F$11,"EQY_CONSOLIDATED",$G$9,"ACCOUNTING_STANDARD_OVERRIDE",$G$7,"Per",$B$11,"Days=A"),1)="#","--",_xll.BDH(Ticker,"HIGH_CLOSING_PRICE_TO_BOOK_RATIO",F$11,F$11,"EQY_CONSOLIDATED",$G$9,"ACCOUNTING_STANDARD_OVERRIDE",$G$7,"Per",$B$11,"Days=A"))</f>
        <v>3.5465</v>
      </c>
      <c r="G41" s="148">
        <f>IF(LEFT(_xll.BDH(Ticker,"HIGH_CLOSING_PRICE_TO_BOOK_RATIO",G$11,G$11,"EQY_CONSOLIDATED",$G$9,"ACCOUNTING_STANDARD_OVERRIDE",$G$7,"Per",$B$11,"Days=A"),1)="#","--",_xll.BDH(Ticker,"HIGH_CLOSING_PRICE_TO_BOOK_RATIO",G$11,G$11,"EQY_CONSOLIDATED",$G$9,"ACCOUNTING_STANDARD_OVERRIDE",$G$7,"Per",$B$11,"Days=A"))</f>
        <v>2.8052999999999999</v>
      </c>
      <c r="H41" s="148">
        <f>IF(LEFT(_xll.BDH(Ticker,"HIGH_CLOSING_PRICE_TO_BOOK_RATIO",H$11,H$11,"EQY_CONSOLIDATED",$G$9,"ACCOUNTING_STANDARD_OVERRIDE",$G$7,"Per",$B$11,"Days=A"),1)="#","--",_xll.BDH(Ticker,"HIGH_CLOSING_PRICE_TO_BOOK_RATIO",H$11,H$11,"EQY_CONSOLIDATED",$G$9,"ACCOUNTING_STANDARD_OVERRIDE",$G$7,"Per",$B$11,"Days=A"))</f>
        <v>3.3323</v>
      </c>
      <c r="I41" s="148">
        <f>IF(LEFT(_xll.BDH(Ticker,"HIGH_CLOSING_PRICE_TO_BOOK_RATIO",I$11,I$11,"EQY_CONSOLIDATED",$G$9,"ACCOUNTING_STANDARD_OVERRIDE",$G$7,"Per",$B$11,"Days=A"),1)="#","--",_xll.BDH(Ticker,"HIGH_CLOSING_PRICE_TO_BOOK_RATIO",I$11,I$11,"EQY_CONSOLIDATED",$G$9,"ACCOUNTING_STANDARD_OVERRIDE",$G$7,"Per",$B$11,"Days=A"))</f>
        <v>4.1485000000000003</v>
      </c>
      <c r="J41" s="148">
        <f>IF(LEFT(_xll.BDH(Ticker,"HIGH_CLOSING_PRICE_TO_BOOK_RATIO",J$11,J$11,"EQY_CONSOLIDATED",$G$9,"ACCOUNTING_STANDARD_OVERRIDE",$G$7,"Per",$B$11,"Days=A"),1)="#","--",_xll.BDH(Ticker,"HIGH_CLOSING_PRICE_TO_BOOK_RATIO",J$11,J$11,"EQY_CONSOLIDATED",$G$9,"ACCOUNTING_STANDARD_OVERRIDE",$G$7,"Per",$B$11,"Days=A"))</f>
        <v>4.5971000000000002</v>
      </c>
      <c r="K41" s="148">
        <f>IF(LEFT(_xll.BDH(Ticker,"HIGH_CLOSING_PRICE_TO_BOOK_RATIO",K$11,K$11,"EQY_CONSOLIDATED",$G$9,"ACCOUNTING_STANDARD_OVERRIDE",$G$7,"Per",$B$11,"Days=A"),1)="#","--",_xll.BDH(Ticker,"HIGH_CLOSING_PRICE_TO_BOOK_RATIO",K$11,K$11,"EQY_CONSOLIDATED",$G$9,"ACCOUNTING_STANDARD_OVERRIDE",$G$7,"Per",$B$11,"Days=A"))</f>
        <v>5.3826999999999998</v>
      </c>
      <c r="L41" s="148">
        <f>IF(LEFT(_xll.BDH(Ticker,"HIGH_CLOSING_PRICE_TO_BOOK_RATIO",L$11,L$11,"EQY_CONSOLIDATED",$G$9,"ACCOUNTING_STANDARD_OVERRIDE",$G$7,"Per",$B$11,"Days=A"),1)="#","--",_xll.BDH(Ticker,"HIGH_CLOSING_PRICE_TO_BOOK_RATIO",L$11,L$11,"EQY_CONSOLIDATED",$G$9,"ACCOUNTING_STANDARD_OVERRIDE",$G$7,"Per",$B$11,"Days=A"))</f>
        <v>6.2725</v>
      </c>
      <c r="M41" s="148">
        <f>IF(LEFT(_xll.BDH(Ticker,"HIGH_CLOSING_PRICE_TO_BOOK_RATIO",M$11,M$11,"EQY_CONSOLIDATED",$G$9,"ACCOUNTING_STANDARD_OVERRIDE",$G$7,"Per",$B$11,"Days=A"),1)="#","--",_xll.BDH(Ticker,"HIGH_CLOSING_PRICE_TO_BOOK_RATIO",M$11,M$11,"EQY_CONSOLIDATED",$G$9,"ACCOUNTING_STANDARD_OVERRIDE",$G$7,"Per",$B$11,"Days=A"))</f>
        <v>6.7583000000000002</v>
      </c>
      <c r="N41" s="139"/>
      <c r="O41" s="139"/>
      <c r="P41" s="139"/>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39"/>
      <c r="BH41" s="139"/>
      <c r="BI41" s="139"/>
      <c r="BJ41" s="139"/>
      <c r="BK41" s="139"/>
      <c r="BL41" s="139"/>
      <c r="BM41" s="139"/>
      <c r="BN41" s="139"/>
      <c r="BO41" s="139"/>
      <c r="BP41" s="139"/>
      <c r="BQ41" s="139"/>
      <c r="BR41" s="139"/>
      <c r="BS41" s="139"/>
      <c r="BT41" s="139"/>
      <c r="BU41" s="139"/>
      <c r="BV41" s="139"/>
      <c r="BW41" s="139"/>
      <c r="BX41" s="139"/>
      <c r="BY41" s="139"/>
      <c r="BZ41" s="139"/>
      <c r="CA41" s="139"/>
      <c r="CB41" s="139"/>
      <c r="CC41" s="139"/>
      <c r="CD41" s="139"/>
      <c r="CE41" s="139"/>
      <c r="CF41" s="139"/>
      <c r="CG41" s="139"/>
      <c r="CH41" s="139"/>
      <c r="CI41" s="139"/>
      <c r="CJ41" s="139"/>
      <c r="CK41" s="139"/>
      <c r="CL41" s="139"/>
      <c r="CM41" s="139"/>
      <c r="CN41" s="139"/>
      <c r="CO41" s="139"/>
      <c r="CP41" s="139"/>
      <c r="CQ41" s="139"/>
      <c r="CR41" s="139"/>
      <c r="CS41" s="139"/>
      <c r="CT41" s="139"/>
      <c r="CU41" s="139"/>
      <c r="CV41" s="139"/>
      <c r="CW41" s="139"/>
      <c r="CX41" s="139"/>
      <c r="CY41" s="139"/>
      <c r="CZ41" s="139"/>
      <c r="DA41" s="139"/>
      <c r="DB41" s="139"/>
      <c r="DC41" s="139"/>
      <c r="DD41" s="139"/>
      <c r="DE41" s="139"/>
      <c r="DF41" s="139"/>
      <c r="DG41" s="139"/>
      <c r="DH41" s="139"/>
      <c r="DI41" s="139"/>
      <c r="DJ41" s="139"/>
      <c r="DK41" s="139"/>
      <c r="DL41" s="139"/>
      <c r="DM41" s="139"/>
      <c r="DN41" s="139"/>
      <c r="DO41" s="139"/>
      <c r="DP41" s="139"/>
      <c r="DQ41" s="139"/>
      <c r="DR41" s="139"/>
      <c r="DS41" s="139"/>
      <c r="DT41" s="139"/>
      <c r="DU41" s="139"/>
      <c r="DV41" s="139"/>
      <c r="DW41" s="139"/>
      <c r="DX41" s="139"/>
      <c r="DY41" s="139"/>
      <c r="DZ41" s="139"/>
      <c r="EA41" s="139"/>
      <c r="EB41" s="139"/>
      <c r="EC41" s="139"/>
      <c r="ED41" s="139"/>
      <c r="EE41" s="139"/>
      <c r="EF41" s="139"/>
      <c r="EG41" s="139"/>
      <c r="EH41" s="139"/>
      <c r="EI41" s="139"/>
      <c r="EJ41" s="139"/>
      <c r="EK41" s="139"/>
      <c r="EL41" s="139"/>
      <c r="EM41" s="139"/>
      <c r="EN41" s="139"/>
      <c r="EO41" s="139"/>
      <c r="EP41" s="139"/>
      <c r="EQ41" s="139"/>
      <c r="ER41" s="139"/>
      <c r="ES41" s="139"/>
      <c r="ET41" s="139"/>
      <c r="EU41" s="139"/>
      <c r="EV41" s="139"/>
      <c r="EW41" s="139"/>
      <c r="EX41" s="139"/>
      <c r="EY41" s="139"/>
      <c r="EZ41" s="139"/>
      <c r="FA41" s="139"/>
      <c r="FB41" s="139"/>
      <c r="FC41" s="139"/>
      <c r="FD41" s="139"/>
      <c r="FE41" s="139"/>
      <c r="FF41" s="139"/>
      <c r="FG41" s="139"/>
      <c r="FH41" s="139"/>
      <c r="FI41" s="139"/>
      <c r="FJ41" s="139"/>
      <c r="FK41" s="139"/>
      <c r="FL41" s="139"/>
      <c r="FM41" s="139"/>
      <c r="FN41" s="139"/>
      <c r="FO41" s="139"/>
      <c r="FP41" s="139"/>
      <c r="FQ41" s="139"/>
      <c r="FR41" s="139"/>
      <c r="FS41" s="139"/>
    </row>
    <row r="42" spans="1:175">
      <c r="A42" s="77"/>
      <c r="B42" s="138" t="s">
        <v>173</v>
      </c>
      <c r="C42" s="148">
        <f>IF(LEFT(_xll.BDH(Ticker,"LOW_CLOSING_PRICE_TO_BOOK_RATIO",C$11,C$11,"EQY_CONSOLIDATED",$G$9,"ACCOUNTING_STANDARD_OVERRIDE",$G$7,"Per",$B$11,"Days=A"),1)="#","--",_xll.BDH(Ticker,"LOW_CLOSING_PRICE_TO_BOOK_RATIO",C$11,C$11,"EQY_CONSOLIDATED",$G$9,"ACCOUNTING_STANDARD_OVERRIDE",$G$7,"Per",$B$11,"Days=A"))</f>
        <v>2.7875999999999999</v>
      </c>
      <c r="D42" s="148">
        <f>IF(LEFT(_xll.BDH(Ticker,"LOW_CLOSING_PRICE_TO_BOOK_RATIO",D$11,D$11,"EQY_CONSOLIDATED",$G$9,"ACCOUNTING_STANDARD_OVERRIDE",$G$7,"Per",$B$11,"Days=A"),1)="#","--",_xll.BDH(Ticker,"LOW_CLOSING_PRICE_TO_BOOK_RATIO",D$11,D$11,"EQY_CONSOLIDATED",$G$9,"ACCOUNTING_STANDARD_OVERRIDE",$G$7,"Per",$B$11,"Days=A"))</f>
        <v>2.2867000000000002</v>
      </c>
      <c r="E42" s="148">
        <f>IF(LEFT(_xll.BDH(Ticker,"LOW_CLOSING_PRICE_TO_BOOK_RATIO",E$11,E$11,"EQY_CONSOLIDATED",$G$9,"ACCOUNTING_STANDARD_OVERRIDE",$G$7,"Per",$B$11,"Days=A"),1)="#","--",_xll.BDH(Ticker,"LOW_CLOSING_PRICE_TO_BOOK_RATIO",E$11,E$11,"EQY_CONSOLIDATED",$G$9,"ACCOUNTING_STANDARD_OVERRIDE",$G$7,"Per",$B$11,"Days=A"))</f>
        <v>2.5871</v>
      </c>
      <c r="F42" s="148">
        <f>IF(LEFT(_xll.BDH(Ticker,"LOW_CLOSING_PRICE_TO_BOOK_RATIO",F$11,F$11,"EQY_CONSOLIDATED",$G$9,"ACCOUNTING_STANDARD_OVERRIDE",$G$7,"Per",$B$11,"Days=A"),1)="#","--",_xll.BDH(Ticker,"LOW_CLOSING_PRICE_TO_BOOK_RATIO",F$11,F$11,"EQY_CONSOLIDATED",$G$9,"ACCOUNTING_STANDARD_OVERRIDE",$G$7,"Per",$B$11,"Days=A"))</f>
        <v>2.3872</v>
      </c>
      <c r="G42" s="148">
        <f>IF(LEFT(_xll.BDH(Ticker,"LOW_CLOSING_PRICE_TO_BOOK_RATIO",G$11,G$11,"EQY_CONSOLIDATED",$G$9,"ACCOUNTING_STANDARD_OVERRIDE",$G$7,"Per",$B$11,"Days=A"),1)="#","--",_xll.BDH(Ticker,"LOW_CLOSING_PRICE_TO_BOOK_RATIO",G$11,G$11,"EQY_CONSOLIDATED",$G$9,"ACCOUNTING_STANDARD_OVERRIDE",$G$7,"Per",$B$11,"Days=A"))</f>
        <v>2.4230999999999998</v>
      </c>
      <c r="H42" s="148">
        <f>IF(LEFT(_xll.BDH(Ticker,"LOW_CLOSING_PRICE_TO_BOOK_RATIO",H$11,H$11,"EQY_CONSOLIDATED",$G$9,"ACCOUNTING_STANDARD_OVERRIDE",$G$7,"Per",$B$11,"Days=A"),1)="#","--",_xll.BDH(Ticker,"LOW_CLOSING_PRICE_TO_BOOK_RATIO",H$11,H$11,"EQY_CONSOLIDATED",$G$9,"ACCOUNTING_STANDARD_OVERRIDE",$G$7,"Per",$B$11,"Days=A"))</f>
        <v>2.4699999999999998</v>
      </c>
      <c r="I42" s="148">
        <f>IF(LEFT(_xll.BDH(Ticker,"LOW_CLOSING_PRICE_TO_BOOK_RATIO",I$11,I$11,"EQY_CONSOLIDATED",$G$9,"ACCOUNTING_STANDARD_OVERRIDE",$G$7,"Per",$B$11,"Days=A"),1)="#","--",_xll.BDH(Ticker,"LOW_CLOSING_PRICE_TO_BOOK_RATIO",I$11,I$11,"EQY_CONSOLIDATED",$G$9,"ACCOUNTING_STANDARD_OVERRIDE",$G$7,"Per",$B$11,"Days=A"))</f>
        <v>3.1181999999999999</v>
      </c>
      <c r="J42" s="148">
        <f>IF(LEFT(_xll.BDH(Ticker,"LOW_CLOSING_PRICE_TO_BOOK_RATIO",J$11,J$11,"EQY_CONSOLIDATED",$G$9,"ACCOUNTING_STANDARD_OVERRIDE",$G$7,"Per",$B$11,"Days=A"),1)="#","--",_xll.BDH(Ticker,"LOW_CLOSING_PRICE_TO_BOOK_RATIO",J$11,J$11,"EQY_CONSOLIDATED",$G$9,"ACCOUNTING_STANDARD_OVERRIDE",$G$7,"Per",$B$11,"Days=A"))</f>
        <v>3.9611999999999998</v>
      </c>
      <c r="K42" s="148">
        <f>IF(LEFT(_xll.BDH(Ticker,"LOW_CLOSING_PRICE_TO_BOOK_RATIO",K$11,K$11,"EQY_CONSOLIDATED",$G$9,"ACCOUNTING_STANDARD_OVERRIDE",$G$7,"Per",$B$11,"Days=A"),1)="#","--",_xll.BDH(Ticker,"LOW_CLOSING_PRICE_TO_BOOK_RATIO",K$11,K$11,"EQY_CONSOLIDATED",$G$9,"ACCOUNTING_STANDARD_OVERRIDE",$G$7,"Per",$B$11,"Days=A"))</f>
        <v>3.8361000000000001</v>
      </c>
      <c r="L42" s="148">
        <f>IF(LEFT(_xll.BDH(Ticker,"LOW_CLOSING_PRICE_TO_BOOK_RATIO",L$11,L$11,"EQY_CONSOLIDATED",$G$9,"ACCOUNTING_STANDARD_OVERRIDE",$G$7,"Per",$B$11,"Days=A"),1)="#","--",_xll.BDH(Ticker,"LOW_CLOSING_PRICE_TO_BOOK_RATIO",L$11,L$11,"EQY_CONSOLIDATED",$G$9,"ACCOUNTING_STANDARD_OVERRIDE",$G$7,"Per",$B$11,"Days=A"))</f>
        <v>4.6237000000000004</v>
      </c>
      <c r="M42" s="148">
        <f>IF(LEFT(_xll.BDH(Ticker,"LOW_CLOSING_PRICE_TO_BOOK_RATIO",M$11,M$11,"EQY_CONSOLIDATED",$G$9,"ACCOUNTING_STANDARD_OVERRIDE",$G$7,"Per",$B$11,"Days=A"),1)="#","--",_xll.BDH(Ticker,"LOW_CLOSING_PRICE_TO_BOOK_RATIO",M$11,M$11,"EQY_CONSOLIDATED",$G$9,"ACCOUNTING_STANDARD_OVERRIDE",$G$7,"Per",$B$11,"Days=A"))</f>
        <v>4.9800000000000004</v>
      </c>
      <c r="N42" s="139"/>
      <c r="O42" s="139"/>
      <c r="P42" s="139"/>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39"/>
      <c r="BH42" s="139"/>
      <c r="BI42" s="139"/>
      <c r="BJ42" s="139"/>
      <c r="BK42" s="139"/>
      <c r="BL42" s="139"/>
      <c r="BM42" s="139"/>
      <c r="BN42" s="139"/>
      <c r="BO42" s="139"/>
      <c r="BP42" s="139"/>
      <c r="BQ42" s="139"/>
      <c r="BR42" s="139"/>
      <c r="BS42" s="139"/>
      <c r="BT42" s="139"/>
      <c r="BU42" s="139"/>
      <c r="BV42" s="139"/>
      <c r="BW42" s="139"/>
      <c r="BX42" s="139"/>
      <c r="BY42" s="139"/>
      <c r="BZ42" s="139"/>
      <c r="CA42" s="139"/>
      <c r="CB42" s="139"/>
      <c r="CC42" s="139"/>
      <c r="CD42" s="139"/>
      <c r="CE42" s="139"/>
      <c r="CF42" s="139"/>
      <c r="CG42" s="139"/>
      <c r="CH42" s="139"/>
      <c r="CI42" s="139"/>
      <c r="CJ42" s="139"/>
      <c r="CK42" s="139"/>
      <c r="CL42" s="139"/>
      <c r="CM42" s="139"/>
      <c r="CN42" s="139"/>
      <c r="CO42" s="139"/>
      <c r="CP42" s="139"/>
      <c r="CQ42" s="139"/>
      <c r="CR42" s="139"/>
      <c r="CS42" s="139"/>
      <c r="CT42" s="139"/>
      <c r="CU42" s="139"/>
      <c r="CV42" s="139"/>
      <c r="CW42" s="139"/>
      <c r="CX42" s="139"/>
      <c r="CY42" s="139"/>
      <c r="CZ42" s="139"/>
      <c r="DA42" s="139"/>
      <c r="DB42" s="139"/>
      <c r="DC42" s="139"/>
      <c r="DD42" s="139"/>
      <c r="DE42" s="139"/>
      <c r="DF42" s="139"/>
      <c r="DG42" s="139"/>
      <c r="DH42" s="139"/>
      <c r="DI42" s="139"/>
      <c r="DJ42" s="139"/>
      <c r="DK42" s="139"/>
      <c r="DL42" s="139"/>
      <c r="DM42" s="139"/>
      <c r="DN42" s="139"/>
      <c r="DO42" s="139"/>
      <c r="DP42" s="139"/>
      <c r="DQ42" s="139"/>
      <c r="DR42" s="139"/>
      <c r="DS42" s="139"/>
      <c r="DT42" s="139"/>
      <c r="DU42" s="139"/>
      <c r="DV42" s="139"/>
      <c r="DW42" s="139"/>
      <c r="DX42" s="139"/>
      <c r="DY42" s="139"/>
      <c r="DZ42" s="139"/>
      <c r="EA42" s="139"/>
      <c r="EB42" s="139"/>
      <c r="EC42" s="139"/>
      <c r="ED42" s="139"/>
      <c r="EE42" s="139"/>
      <c r="EF42" s="139"/>
      <c r="EG42" s="139"/>
      <c r="EH42" s="139"/>
      <c r="EI42" s="139"/>
      <c r="EJ42" s="139"/>
      <c r="EK42" s="139"/>
      <c r="EL42" s="139"/>
      <c r="EM42" s="139"/>
      <c r="EN42" s="139"/>
      <c r="EO42" s="139"/>
      <c r="EP42" s="139"/>
      <c r="EQ42" s="139"/>
      <c r="ER42" s="139"/>
      <c r="ES42" s="139"/>
      <c r="ET42" s="139"/>
      <c r="EU42" s="139"/>
      <c r="EV42" s="139"/>
      <c r="EW42" s="139"/>
      <c r="EX42" s="139"/>
      <c r="EY42" s="139"/>
      <c r="EZ42" s="139"/>
      <c r="FA42" s="139"/>
      <c r="FB42" s="139"/>
      <c r="FC42" s="139"/>
      <c r="FD42" s="139"/>
      <c r="FE42" s="139"/>
      <c r="FF42" s="139"/>
      <c r="FG42" s="139"/>
      <c r="FH42" s="139"/>
      <c r="FI42" s="139"/>
      <c r="FJ42" s="139"/>
      <c r="FK42" s="139"/>
      <c r="FL42" s="139"/>
      <c r="FM42" s="139"/>
      <c r="FN42" s="139"/>
      <c r="FO42" s="139"/>
      <c r="FP42" s="139"/>
      <c r="FQ42" s="139"/>
      <c r="FR42" s="139"/>
      <c r="FS42" s="139"/>
    </row>
    <row r="43" spans="1:175">
      <c r="A43" s="77"/>
      <c r="B43" s="138"/>
      <c r="C43" s="148"/>
      <c r="D43" s="148"/>
      <c r="E43" s="148"/>
      <c r="F43" s="148"/>
      <c r="G43" s="148"/>
      <c r="H43" s="148"/>
      <c r="I43" s="148"/>
      <c r="J43" s="148"/>
      <c r="K43" s="148"/>
      <c r="L43" s="148"/>
      <c r="M43" s="148"/>
      <c r="N43" s="139"/>
      <c r="O43" s="139"/>
      <c r="P43" s="139"/>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39"/>
      <c r="BH43" s="139"/>
      <c r="BI43" s="139"/>
      <c r="BJ43" s="139"/>
      <c r="BK43" s="139"/>
      <c r="BL43" s="139"/>
      <c r="BM43" s="139"/>
      <c r="BN43" s="139"/>
      <c r="BO43" s="139"/>
      <c r="BP43" s="139"/>
      <c r="BQ43" s="139"/>
      <c r="BR43" s="139"/>
      <c r="BS43" s="139"/>
      <c r="BT43" s="139"/>
      <c r="BU43" s="139"/>
      <c r="BV43" s="139"/>
      <c r="BW43" s="139"/>
      <c r="BX43" s="139"/>
      <c r="BY43" s="139"/>
      <c r="BZ43" s="139"/>
      <c r="CA43" s="139"/>
      <c r="CB43" s="139"/>
      <c r="CC43" s="139"/>
      <c r="CD43" s="139"/>
      <c r="CE43" s="139"/>
      <c r="CF43" s="139"/>
      <c r="CG43" s="139"/>
      <c r="CH43" s="139"/>
      <c r="CI43" s="139"/>
      <c r="CJ43" s="139"/>
      <c r="CK43" s="139"/>
      <c r="CL43" s="139"/>
      <c r="CM43" s="139"/>
      <c r="CN43" s="139"/>
      <c r="CO43" s="139"/>
      <c r="CP43" s="139"/>
      <c r="CQ43" s="139"/>
      <c r="CR43" s="139"/>
      <c r="CS43" s="139"/>
      <c r="CT43" s="139"/>
      <c r="CU43" s="139"/>
      <c r="CV43" s="139"/>
      <c r="CW43" s="139"/>
      <c r="CX43" s="139"/>
      <c r="CY43" s="139"/>
      <c r="CZ43" s="139"/>
      <c r="DA43" s="139"/>
      <c r="DB43" s="139"/>
      <c r="DC43" s="139"/>
      <c r="DD43" s="139"/>
      <c r="DE43" s="139"/>
      <c r="DF43" s="139"/>
      <c r="DG43" s="139"/>
      <c r="DH43" s="139"/>
      <c r="DI43" s="139"/>
      <c r="DJ43" s="139"/>
      <c r="DK43" s="139"/>
      <c r="DL43" s="139"/>
      <c r="DM43" s="139"/>
      <c r="DN43" s="139"/>
      <c r="DO43" s="139"/>
      <c r="DP43" s="139"/>
      <c r="DQ43" s="139"/>
      <c r="DR43" s="139"/>
      <c r="DS43" s="139"/>
      <c r="DT43" s="139"/>
      <c r="DU43" s="139"/>
      <c r="DV43" s="139"/>
      <c r="DW43" s="139"/>
      <c r="DX43" s="139"/>
      <c r="DY43" s="139"/>
      <c r="DZ43" s="139"/>
      <c r="EA43" s="139"/>
      <c r="EB43" s="139"/>
      <c r="EC43" s="139"/>
      <c r="ED43" s="139"/>
      <c r="EE43" s="139"/>
      <c r="EF43" s="139"/>
      <c r="EG43" s="139"/>
      <c r="EH43" s="139"/>
      <c r="EI43" s="139"/>
      <c r="EJ43" s="139"/>
      <c r="EK43" s="139"/>
      <c r="EL43" s="139"/>
      <c r="EM43" s="139"/>
      <c r="EN43" s="139"/>
      <c r="EO43" s="139"/>
      <c r="EP43" s="139"/>
      <c r="EQ43" s="139"/>
      <c r="ER43" s="139"/>
      <c r="ES43" s="139"/>
      <c r="ET43" s="139"/>
      <c r="EU43" s="139"/>
      <c r="EV43" s="139"/>
      <c r="EW43" s="139"/>
      <c r="EX43" s="139"/>
      <c r="EY43" s="139"/>
      <c r="EZ43" s="139"/>
      <c r="FA43" s="139"/>
      <c r="FB43" s="139"/>
      <c r="FC43" s="139"/>
      <c r="FD43" s="139"/>
      <c r="FE43" s="139"/>
      <c r="FF43" s="139"/>
      <c r="FG43" s="139"/>
      <c r="FH43" s="139"/>
      <c r="FI43" s="139"/>
      <c r="FJ43" s="139"/>
      <c r="FK43" s="139"/>
      <c r="FL43" s="139"/>
      <c r="FM43" s="139"/>
      <c r="FN43" s="139"/>
      <c r="FO43" s="139"/>
      <c r="FP43" s="139"/>
      <c r="FQ43" s="139"/>
      <c r="FR43" s="139"/>
      <c r="FS43" s="139"/>
    </row>
    <row r="44" spans="1:175">
      <c r="A44" s="77"/>
      <c r="B44" s="135" t="s">
        <v>179</v>
      </c>
      <c r="C44" s="148"/>
      <c r="D44" s="148"/>
      <c r="E44" s="148"/>
      <c r="F44" s="148"/>
      <c r="G44" s="148"/>
      <c r="H44" s="148"/>
      <c r="I44" s="148"/>
      <c r="J44" s="148"/>
      <c r="K44" s="148"/>
      <c r="L44" s="149"/>
      <c r="M44" s="148"/>
      <c r="N44" s="139"/>
      <c r="O44" s="139"/>
      <c r="P44" s="139"/>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39"/>
      <c r="BH44" s="139"/>
      <c r="BI44" s="139"/>
      <c r="BJ44" s="139"/>
      <c r="BK44" s="139"/>
      <c r="BL44" s="139"/>
      <c r="BM44" s="139"/>
      <c r="BN44" s="139"/>
      <c r="BO44" s="139"/>
      <c r="BP44" s="139"/>
      <c r="BQ44" s="139"/>
      <c r="BR44" s="139"/>
      <c r="BS44" s="139"/>
      <c r="BT44" s="139"/>
      <c r="BU44" s="139"/>
      <c r="BV44" s="139"/>
      <c r="BW44" s="139"/>
      <c r="BX44" s="139"/>
      <c r="BY44" s="139"/>
      <c r="BZ44" s="139"/>
      <c r="CA44" s="139"/>
      <c r="CB44" s="139"/>
      <c r="CC44" s="139"/>
      <c r="CD44" s="139"/>
      <c r="CE44" s="139"/>
      <c r="CF44" s="139"/>
      <c r="CG44" s="139"/>
      <c r="CH44" s="139"/>
      <c r="CI44" s="139"/>
      <c r="CJ44" s="139"/>
      <c r="CK44" s="139"/>
      <c r="CL44" s="139"/>
      <c r="CM44" s="139"/>
      <c r="CN44" s="139"/>
      <c r="CO44" s="139"/>
      <c r="CP44" s="139"/>
      <c r="CQ44" s="139"/>
      <c r="CR44" s="139"/>
      <c r="CS44" s="139"/>
      <c r="CT44" s="139"/>
      <c r="CU44" s="139"/>
      <c r="CV44" s="139"/>
      <c r="CW44" s="139"/>
      <c r="CX44" s="139"/>
      <c r="CY44" s="139"/>
      <c r="CZ44" s="139"/>
      <c r="DA44" s="139"/>
      <c r="DB44" s="139"/>
      <c r="DC44" s="139"/>
      <c r="DD44" s="139"/>
      <c r="DE44" s="139"/>
      <c r="DF44" s="139"/>
      <c r="DG44" s="139"/>
      <c r="DH44" s="139"/>
      <c r="DI44" s="139"/>
      <c r="DJ44" s="139"/>
      <c r="DK44" s="139"/>
      <c r="DL44" s="139"/>
      <c r="DM44" s="139"/>
      <c r="DN44" s="139"/>
      <c r="DO44" s="139"/>
      <c r="DP44" s="139"/>
      <c r="DQ44" s="139"/>
      <c r="DR44" s="139"/>
      <c r="DS44" s="139"/>
      <c r="DT44" s="139"/>
      <c r="DU44" s="139"/>
      <c r="DV44" s="139"/>
      <c r="DW44" s="139"/>
      <c r="DX44" s="139"/>
      <c r="DY44" s="139"/>
      <c r="DZ44" s="139"/>
      <c r="EA44" s="139"/>
      <c r="EB44" s="139"/>
      <c r="EC44" s="139"/>
      <c r="ED44" s="139"/>
      <c r="EE44" s="139"/>
      <c r="EF44" s="139"/>
      <c r="EG44" s="139"/>
      <c r="EH44" s="139"/>
      <c r="EI44" s="139"/>
      <c r="EJ44" s="139"/>
      <c r="EK44" s="139"/>
      <c r="EL44" s="139"/>
      <c r="EM44" s="139"/>
      <c r="EN44" s="139"/>
      <c r="EO44" s="139"/>
      <c r="EP44" s="139"/>
      <c r="EQ44" s="139"/>
      <c r="ER44" s="139"/>
      <c r="ES44" s="139"/>
      <c r="ET44" s="139"/>
      <c r="EU44" s="139"/>
      <c r="EV44" s="139"/>
      <c r="EW44" s="139"/>
      <c r="EX44" s="139"/>
      <c r="EY44" s="139"/>
      <c r="EZ44" s="139"/>
      <c r="FA44" s="139"/>
      <c r="FB44" s="139"/>
      <c r="FC44" s="139"/>
      <c r="FD44" s="139"/>
      <c r="FE44" s="139"/>
      <c r="FF44" s="139"/>
      <c r="FG44" s="139"/>
      <c r="FH44" s="139"/>
      <c r="FI44" s="139"/>
      <c r="FJ44" s="139"/>
      <c r="FK44" s="139"/>
      <c r="FL44" s="139"/>
      <c r="FM44" s="139"/>
      <c r="FN44" s="139"/>
      <c r="FO44" s="139"/>
      <c r="FP44" s="139"/>
      <c r="FQ44" s="139"/>
      <c r="FR44" s="139"/>
      <c r="FS44" s="139"/>
    </row>
    <row r="45" spans="1:175">
      <c r="A45" s="77"/>
      <c r="B45" s="136" t="s">
        <v>174</v>
      </c>
      <c r="C45" s="147">
        <f>IF(LEFT(_xll.BDH(Ticker,"PX_TO_TANG_BV_PER_SH",C$11,C$11,"EQY_CONSOLIDATED",$G$9,"ACCOUNTING_STANDARD_OVERRIDE",$G$7,"Per",$B$11,"Days=A"),1)="#","--",_xll.BDH(Ticker,"PX_TO_TANG_BV_PER_SH",C$11,C$11,"EQY_CONSOLIDATED",$G$9,"ACCOUNTING_STANDARD_OVERRIDE",$G$7,"Per",$B$11,"Days=A"))</f>
        <v>3.5417999999999998</v>
      </c>
      <c r="D45" s="147">
        <f>IF(LEFT(_xll.BDH(Ticker,"PX_TO_TANG_BV_PER_SH",D$11,D$11,"EQY_CONSOLIDATED",$G$9,"ACCOUNTING_STANDARD_OVERRIDE",$G$7,"Per",$B$11,"Days=A"),1)="#","--",_xll.BDH(Ticker,"PX_TO_TANG_BV_PER_SH",D$11,D$11,"EQY_CONSOLIDATED",$G$9,"ACCOUNTING_STANDARD_OVERRIDE",$G$7,"Per",$B$11,"Days=A"))</f>
        <v>4.0056000000000003</v>
      </c>
      <c r="E45" s="147">
        <f>IF(LEFT(_xll.BDH(Ticker,"PX_TO_TANG_BV_PER_SH",E$11,E$11,"EQY_CONSOLIDATED",$G$9,"ACCOUNTING_STANDARD_OVERRIDE",$G$7,"Per",$B$11,"Days=A"),1)="#","--",_xll.BDH(Ticker,"PX_TO_TANG_BV_PER_SH",E$11,E$11,"EQY_CONSOLIDATED",$G$9,"ACCOUNTING_STANDARD_OVERRIDE",$G$7,"Per",$B$11,"Days=A"))</f>
        <v>3.8890000000000002</v>
      </c>
      <c r="F45" s="147">
        <f>IF(LEFT(_xll.BDH(Ticker,"PX_TO_TANG_BV_PER_SH",F$11,F$11,"EQY_CONSOLIDATED",$G$9,"ACCOUNTING_STANDARD_OVERRIDE",$G$7,"Per",$B$11,"Days=A"),1)="#","--",_xll.BDH(Ticker,"PX_TO_TANG_BV_PER_SH",F$11,F$11,"EQY_CONSOLIDATED",$G$9,"ACCOUNTING_STANDARD_OVERRIDE",$G$7,"Per",$B$11,"Days=A"))</f>
        <v>4.5429000000000004</v>
      </c>
      <c r="G45" s="147">
        <f>IF(LEFT(_xll.BDH(Ticker,"PX_TO_TANG_BV_PER_SH",G$11,G$11,"EQY_CONSOLIDATED",$G$9,"ACCOUNTING_STANDARD_OVERRIDE",$G$7,"Per",$B$11,"Days=A"),1)="#","--",_xll.BDH(Ticker,"PX_TO_TANG_BV_PER_SH",G$11,G$11,"EQY_CONSOLIDATED",$G$9,"ACCOUNTING_STANDARD_OVERRIDE",$G$7,"Per",$B$11,"Days=A"))</f>
        <v>4.1406000000000001</v>
      </c>
      <c r="H45" s="147">
        <f>IF(LEFT(_xll.BDH(Ticker,"PX_TO_TANG_BV_PER_SH",H$11,H$11,"EQY_CONSOLIDATED",$G$9,"ACCOUNTING_STANDARD_OVERRIDE",$G$7,"Per",$B$11,"Days=A"),1)="#","--",_xll.BDH(Ticker,"PX_TO_TANG_BV_PER_SH",H$11,H$11,"EQY_CONSOLIDATED",$G$9,"ACCOUNTING_STANDARD_OVERRIDE",$G$7,"Per",$B$11,"Days=A"))</f>
        <v>8.8371999999999993</v>
      </c>
      <c r="I45" s="147">
        <f>IF(LEFT(_xll.BDH(Ticker,"PX_TO_TANG_BV_PER_SH",I$11,I$11,"EQY_CONSOLIDATED",$G$9,"ACCOUNTING_STANDARD_OVERRIDE",$G$7,"Per",$B$11,"Days=A"),1)="#","--",_xll.BDH(Ticker,"PX_TO_TANG_BV_PER_SH",I$11,I$11,"EQY_CONSOLIDATED",$G$9,"ACCOUNTING_STANDARD_OVERRIDE",$G$7,"Per",$B$11,"Days=A"))</f>
        <v>14.9129</v>
      </c>
      <c r="J45" s="147">
        <f>IF(LEFT(_xll.BDH(Ticker,"PX_TO_TANG_BV_PER_SH",J$11,J$11,"EQY_CONSOLIDATED",$G$9,"ACCOUNTING_STANDARD_OVERRIDE",$G$7,"Per",$B$11,"Days=A"),1)="#","--",_xll.BDH(Ticker,"PX_TO_TANG_BV_PER_SH",J$11,J$11,"EQY_CONSOLIDATED",$G$9,"ACCOUNTING_STANDARD_OVERRIDE",$G$7,"Per",$B$11,"Days=A"))</f>
        <v>13.4315</v>
      </c>
      <c r="K45" s="147" t="str">
        <f>IF(LEFT(_xll.BDH(Ticker,"PX_TO_TANG_BV_PER_SH",K$11,K$11,"EQY_CONSOLIDATED",$G$9,"ACCOUNTING_STANDARD_OVERRIDE",$G$7,"Per",$B$11,"Days=A"),1)="#","--",_xll.BDH(Ticker,"PX_TO_TANG_BV_PER_SH",K$11,K$11,"EQY_CONSOLIDATED",$G$9,"ACCOUNTING_STANDARD_OVERRIDE",$G$7,"Per",$B$11,"Days=A"))</f>
        <v>--</v>
      </c>
      <c r="L45" s="147" t="str">
        <f>IF(LEFT(_xll.BDH(Ticker,"PX_TO_TANG_BV_PER_SH",L$11,L$11,"EQY_CONSOLIDATED",$G$9,"ACCOUNTING_STANDARD_OVERRIDE",$G$7,"Per",$B$11,"Days=A"),1)="#","--",_xll.BDH(Ticker,"PX_TO_TANG_BV_PER_SH",L$11,L$11,"EQY_CONSOLIDATED",$G$9,"ACCOUNTING_STANDARD_OVERRIDE",$G$7,"Per",$B$11,"Days=A"))</f>
        <v>--</v>
      </c>
      <c r="M45" s="147" t="str">
        <f>IF(LEFT(_xll.BDH(Ticker,"PX_TO_TANG_BV_PER_SH",M$11,M$11,"EQY_CONSOLIDATED",$G$9,"ACCOUNTING_STANDARD_OVERRIDE",$G$7,"Per",$B$11,"Days=A"),1)="#","--",_xll.BDH(Ticker,"PX_TO_TANG_BV_PER_SH",M$11,M$11,"EQY_CONSOLIDATED",$G$9,"ACCOUNTING_STANDARD_OVERRIDE",$G$7,"Per",$B$11,"Days=A"))</f>
        <v>--</v>
      </c>
      <c r="N45" s="132"/>
      <c r="O45" s="132"/>
      <c r="P45" s="132"/>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c r="BE45" s="137"/>
      <c r="BF45" s="137"/>
      <c r="BG45" s="132"/>
      <c r="BH45" s="132"/>
      <c r="BI45" s="132"/>
      <c r="BJ45" s="132"/>
      <c r="BK45" s="132"/>
      <c r="BL45" s="132"/>
      <c r="BM45" s="132"/>
      <c r="BN45" s="132"/>
      <c r="BO45" s="132"/>
      <c r="BP45" s="132"/>
      <c r="BQ45" s="132"/>
      <c r="BR45" s="132"/>
      <c r="BS45" s="132"/>
      <c r="BT45" s="132"/>
      <c r="BU45" s="132"/>
      <c r="BV45" s="132"/>
      <c r="BW45" s="132"/>
      <c r="BX45" s="132"/>
      <c r="BY45" s="132"/>
      <c r="BZ45" s="132"/>
      <c r="CA45" s="132"/>
      <c r="CB45" s="132"/>
      <c r="CC45" s="132"/>
      <c r="CD45" s="132"/>
      <c r="CE45" s="132"/>
      <c r="CF45" s="132"/>
      <c r="CG45" s="132"/>
      <c r="CH45" s="132"/>
      <c r="CI45" s="132"/>
      <c r="CJ45" s="132"/>
      <c r="CK45" s="132"/>
      <c r="CL45" s="132"/>
      <c r="CM45" s="132"/>
      <c r="CN45" s="132"/>
      <c r="CO45" s="132"/>
      <c r="CP45" s="132"/>
      <c r="CQ45" s="132"/>
      <c r="CR45" s="132"/>
      <c r="CS45" s="132"/>
      <c r="CT45" s="132"/>
      <c r="CU45" s="132"/>
      <c r="CV45" s="132"/>
      <c r="CW45" s="132"/>
      <c r="CX45" s="132"/>
      <c r="CY45" s="132"/>
      <c r="CZ45" s="132"/>
      <c r="DA45" s="132"/>
      <c r="DB45" s="132"/>
      <c r="DC45" s="132"/>
      <c r="DD45" s="132"/>
      <c r="DE45" s="132"/>
      <c r="DF45" s="132"/>
      <c r="DG45" s="132"/>
      <c r="DH45" s="132"/>
      <c r="DI45" s="132"/>
      <c r="DJ45" s="132"/>
      <c r="DK45" s="132"/>
      <c r="DL45" s="132"/>
      <c r="DM45" s="132"/>
      <c r="DN45" s="132"/>
      <c r="DO45" s="132"/>
      <c r="DP45" s="132"/>
      <c r="DQ45" s="132"/>
      <c r="DR45" s="132"/>
      <c r="DS45" s="132"/>
      <c r="DT45" s="132"/>
      <c r="DU45" s="132"/>
      <c r="DV45" s="132"/>
      <c r="DW45" s="132"/>
      <c r="DX45" s="132"/>
      <c r="DY45" s="132"/>
      <c r="DZ45" s="132"/>
      <c r="EA45" s="132"/>
      <c r="EB45" s="132"/>
      <c r="EC45" s="132"/>
      <c r="ED45" s="132"/>
      <c r="EE45" s="132"/>
      <c r="EF45" s="132"/>
      <c r="EG45" s="132"/>
      <c r="EH45" s="132"/>
      <c r="EI45" s="132"/>
      <c r="EJ45" s="132"/>
      <c r="EK45" s="132"/>
      <c r="EL45" s="132"/>
      <c r="EM45" s="132"/>
      <c r="EN45" s="132"/>
      <c r="EO45" s="132"/>
      <c r="EP45" s="132"/>
      <c r="EQ45" s="132"/>
      <c r="ER45" s="132"/>
      <c r="ES45" s="132"/>
      <c r="ET45" s="132"/>
      <c r="EU45" s="132"/>
      <c r="EV45" s="132"/>
      <c r="EW45" s="132"/>
      <c r="EX45" s="132"/>
      <c r="EY45" s="132"/>
      <c r="EZ45" s="132"/>
      <c r="FA45" s="132"/>
      <c r="FB45" s="132"/>
      <c r="FC45" s="132"/>
      <c r="FD45" s="132"/>
      <c r="FE45" s="132"/>
      <c r="FF45" s="132"/>
      <c r="FG45" s="132"/>
      <c r="FH45" s="132"/>
      <c r="FI45" s="132"/>
      <c r="FJ45" s="132"/>
      <c r="FK45" s="132"/>
      <c r="FL45" s="132"/>
      <c r="FM45" s="132"/>
      <c r="FN45" s="132"/>
      <c r="FO45" s="132"/>
      <c r="FP45" s="132"/>
      <c r="FQ45" s="132"/>
      <c r="FR45" s="132"/>
      <c r="FS45" s="132"/>
    </row>
    <row r="46" spans="1:175">
      <c r="A46" s="77"/>
      <c r="B46" s="138" t="s">
        <v>171</v>
      </c>
      <c r="C46" s="148">
        <f>IF(LEFT(_xll.BDH(Ticker,"AVERAGE_PRICE_TO_TANGIBLE_BPS",C$11,C$11,"EQY_CONSOLIDATED",$G$9,"ACCOUNTING_STANDARD_OVERRIDE",$G$7,"Per",$B$11,"Days=A"),1)="#","--",_xll.BDH(Ticker,"AVERAGE_PRICE_TO_TANGIBLE_BPS",C$11,C$11,"EQY_CONSOLIDATED",$G$9,"ACCOUNTING_STANDARD_OVERRIDE",$G$7,"Per",$B$11,"Days=A"))</f>
        <v>5.5831</v>
      </c>
      <c r="D46" s="148">
        <f>IF(LEFT(_xll.BDH(Ticker,"AVERAGE_PRICE_TO_TANGIBLE_BPS",D$11,D$11,"EQY_CONSOLIDATED",$G$9,"ACCOUNTING_STANDARD_OVERRIDE",$G$7,"Per",$B$11,"Days=A"),1)="#","--",_xll.BDH(Ticker,"AVERAGE_PRICE_TO_TANGIBLE_BPS",D$11,D$11,"EQY_CONSOLIDATED",$G$9,"ACCOUNTING_STANDARD_OVERRIDE",$G$7,"Per",$B$11,"Days=A"))</f>
        <v>3.6997</v>
      </c>
      <c r="E46" s="148">
        <f>IF(LEFT(_xll.BDH(Ticker,"AVERAGE_PRICE_TO_TANGIBLE_BPS",E$11,E$11,"EQY_CONSOLIDATED",$G$9,"ACCOUNTING_STANDARD_OVERRIDE",$G$7,"Per",$B$11,"Days=A"),1)="#","--",_xll.BDH(Ticker,"AVERAGE_PRICE_TO_TANGIBLE_BPS",E$11,E$11,"EQY_CONSOLIDATED",$G$9,"ACCOUNTING_STANDARD_OVERRIDE",$G$7,"Per",$B$11,"Days=A"))</f>
        <v>4.1417999999999999</v>
      </c>
      <c r="F46" s="148">
        <f>IF(LEFT(_xll.BDH(Ticker,"AVERAGE_PRICE_TO_TANGIBLE_BPS",F$11,F$11,"EQY_CONSOLIDATED",$G$9,"ACCOUNTING_STANDARD_OVERRIDE",$G$7,"Per",$B$11,"Days=A"),1)="#","--",_xll.BDH(Ticker,"AVERAGE_PRICE_TO_TANGIBLE_BPS",F$11,F$11,"EQY_CONSOLIDATED",$G$9,"ACCOUNTING_STANDARD_OVERRIDE",$G$7,"Per",$B$11,"Days=A"))</f>
        <v>3.9722</v>
      </c>
      <c r="G46" s="148">
        <f>IF(LEFT(_xll.BDH(Ticker,"AVERAGE_PRICE_TO_TANGIBLE_BPS",G$11,G$11,"EQY_CONSOLIDATED",$G$9,"ACCOUNTING_STANDARD_OVERRIDE",$G$7,"Per",$B$11,"Days=A"),1)="#","--",_xll.BDH(Ticker,"AVERAGE_PRICE_TO_TANGIBLE_BPS",G$11,G$11,"EQY_CONSOLIDATED",$G$9,"ACCOUNTING_STANDARD_OVERRIDE",$G$7,"Per",$B$11,"Days=A"))</f>
        <v>4.8992000000000004</v>
      </c>
      <c r="H46" s="148">
        <f>IF(LEFT(_xll.BDH(Ticker,"AVERAGE_PRICE_TO_TANGIBLE_BPS",H$11,H$11,"EQY_CONSOLIDATED",$G$9,"ACCOUNTING_STANDARD_OVERRIDE",$G$7,"Per",$B$11,"Days=A"),1)="#","--",_xll.BDH(Ticker,"AVERAGE_PRICE_TO_TANGIBLE_BPS",H$11,H$11,"EQY_CONSOLIDATED",$G$9,"ACCOUNTING_STANDARD_OVERRIDE",$G$7,"Per",$B$11,"Days=A"))</f>
        <v>5.1406999999999998</v>
      </c>
      <c r="I46" s="148">
        <f>IF(LEFT(_xll.BDH(Ticker,"AVERAGE_PRICE_TO_TANGIBLE_BPS",I$11,I$11,"EQY_CONSOLIDATED",$G$9,"ACCOUNTING_STANDARD_OVERRIDE",$G$7,"Per",$B$11,"Days=A"),1)="#","--",_xll.BDH(Ticker,"AVERAGE_PRICE_TO_TANGIBLE_BPS",I$11,I$11,"EQY_CONSOLIDATED",$G$9,"ACCOUNTING_STANDARD_OVERRIDE",$G$7,"Per",$B$11,"Days=A"))</f>
        <v>9.7873000000000001</v>
      </c>
      <c r="J46" s="148">
        <f>IF(LEFT(_xll.BDH(Ticker,"AVERAGE_PRICE_TO_TANGIBLE_BPS",J$11,J$11,"EQY_CONSOLIDATED",$G$9,"ACCOUNTING_STANDARD_OVERRIDE",$G$7,"Per",$B$11,"Days=A"),1)="#","--",_xll.BDH(Ticker,"AVERAGE_PRICE_TO_TANGIBLE_BPS",J$11,J$11,"EQY_CONSOLIDATED",$G$9,"ACCOUNTING_STANDARD_OVERRIDE",$G$7,"Per",$B$11,"Days=A"))</f>
        <v>15.1221</v>
      </c>
      <c r="K46" s="148">
        <f>IF(LEFT(_xll.BDH(Ticker,"AVERAGE_PRICE_TO_TANGIBLE_BPS",K$11,K$11,"EQY_CONSOLIDATED",$G$9,"ACCOUNTING_STANDARD_OVERRIDE",$G$7,"Per",$B$11,"Days=A"),1)="#","--",_xll.BDH(Ticker,"AVERAGE_PRICE_TO_TANGIBLE_BPS",K$11,K$11,"EQY_CONSOLIDATED",$G$9,"ACCOUNTING_STANDARD_OVERRIDE",$G$7,"Per",$B$11,"Days=A"))</f>
        <v>15.979699999999999</v>
      </c>
      <c r="L46" s="148" t="str">
        <f>IF(LEFT(_xll.BDH(Ticker,"AVERAGE_PRICE_TO_TANGIBLE_BPS",L$11,L$11,"EQY_CONSOLIDATED",$G$9,"ACCOUNTING_STANDARD_OVERRIDE",$G$7,"Per",$B$11,"Days=A"),1)="#","--",_xll.BDH(Ticker,"AVERAGE_PRICE_TO_TANGIBLE_BPS",L$11,L$11,"EQY_CONSOLIDATED",$G$9,"ACCOUNTING_STANDARD_OVERRIDE",$G$7,"Per",$B$11,"Days=A"))</f>
        <v>--</v>
      </c>
      <c r="M46" s="148" t="str">
        <f>IF(LEFT(_xll.BDH(Ticker,"AVERAGE_PRICE_TO_TANGIBLE_BPS",M$11,M$11,"EQY_CONSOLIDATED",$G$9,"ACCOUNTING_STANDARD_OVERRIDE",$G$7,"Per",$B$11,"Days=A"),1)="#","--",_xll.BDH(Ticker,"AVERAGE_PRICE_TO_TANGIBLE_BPS",M$11,M$11,"EQY_CONSOLIDATED",$G$9,"ACCOUNTING_STANDARD_OVERRIDE",$G$7,"Per",$B$11,"Days=A"))</f>
        <v>--</v>
      </c>
      <c r="N46" s="139"/>
      <c r="O46" s="139"/>
      <c r="P46" s="139"/>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39"/>
      <c r="BH46" s="139"/>
      <c r="BI46" s="139"/>
      <c r="BJ46" s="139"/>
      <c r="BK46" s="139"/>
      <c r="BL46" s="139"/>
      <c r="BM46" s="139"/>
      <c r="BN46" s="139"/>
      <c r="BO46" s="139"/>
      <c r="BP46" s="139"/>
      <c r="BQ46" s="139"/>
      <c r="BR46" s="139"/>
      <c r="BS46" s="139"/>
      <c r="BT46" s="139"/>
      <c r="BU46" s="139"/>
      <c r="BV46" s="139"/>
      <c r="BW46" s="139"/>
      <c r="BX46" s="139"/>
      <c r="BY46" s="139"/>
      <c r="BZ46" s="139"/>
      <c r="CA46" s="139"/>
      <c r="CB46" s="139"/>
      <c r="CC46" s="139"/>
      <c r="CD46" s="139"/>
      <c r="CE46" s="139"/>
      <c r="CF46" s="139"/>
      <c r="CG46" s="139"/>
      <c r="CH46" s="139"/>
      <c r="CI46" s="139"/>
      <c r="CJ46" s="139"/>
      <c r="CK46" s="139"/>
      <c r="CL46" s="139"/>
      <c r="CM46" s="139"/>
      <c r="CN46" s="139"/>
      <c r="CO46" s="139"/>
      <c r="CP46" s="139"/>
      <c r="CQ46" s="139"/>
      <c r="CR46" s="139"/>
      <c r="CS46" s="139"/>
      <c r="CT46" s="139"/>
      <c r="CU46" s="139"/>
      <c r="CV46" s="139"/>
      <c r="CW46" s="139"/>
      <c r="CX46" s="139"/>
      <c r="CY46" s="139"/>
      <c r="CZ46" s="139"/>
      <c r="DA46" s="139"/>
      <c r="DB46" s="139"/>
      <c r="DC46" s="139"/>
      <c r="DD46" s="139"/>
      <c r="DE46" s="139"/>
      <c r="DF46" s="139"/>
      <c r="DG46" s="139"/>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39"/>
      <c r="EM46" s="139"/>
      <c r="EN46" s="139"/>
      <c r="EO46" s="139"/>
      <c r="EP46" s="139"/>
      <c r="EQ46" s="139"/>
      <c r="ER46" s="139"/>
      <c r="ES46" s="139"/>
      <c r="ET46" s="139"/>
      <c r="EU46" s="139"/>
      <c r="EV46" s="139"/>
      <c r="EW46" s="139"/>
      <c r="EX46" s="139"/>
      <c r="EY46" s="139"/>
      <c r="EZ46" s="139"/>
      <c r="FA46" s="139"/>
      <c r="FB46" s="139"/>
      <c r="FC46" s="139"/>
      <c r="FD46" s="139"/>
      <c r="FE46" s="139"/>
      <c r="FF46" s="139"/>
      <c r="FG46" s="139"/>
      <c r="FH46" s="139"/>
      <c r="FI46" s="139"/>
      <c r="FJ46" s="139"/>
      <c r="FK46" s="139"/>
      <c r="FL46" s="139"/>
      <c r="FM46" s="139"/>
      <c r="FN46" s="139"/>
      <c r="FO46" s="139"/>
      <c r="FP46" s="139"/>
      <c r="FQ46" s="139"/>
      <c r="FR46" s="139"/>
      <c r="FS46" s="139"/>
    </row>
    <row r="47" spans="1:175">
      <c r="A47" s="77"/>
      <c r="B47" s="138" t="s">
        <v>172</v>
      </c>
      <c r="C47" s="148">
        <f>IF(LEFT(_xll.BDH(Ticker,"HIGH_PRICE_TO_TANGIBLE_BPS",C$11,C$11,"EQY_CONSOLIDATED",$G$9,"ACCOUNTING_STANDARD_OVERRIDE",$G$7,"Per",$B$11,"Days=A"),1)="#","--",_xll.BDH(Ticker,"HIGH_PRICE_TO_TANGIBLE_BPS",C$11,C$11,"EQY_CONSOLIDATED",$G$9,"ACCOUNTING_STANDARD_OVERRIDE",$G$7,"Per",$B$11,"Days=A"))</f>
        <v>6.8143000000000002</v>
      </c>
      <c r="D47" s="148">
        <f>IF(LEFT(_xll.BDH(Ticker,"HIGH_PRICE_TO_TANGIBLE_BPS",D$11,D$11,"EQY_CONSOLIDATED",$G$9,"ACCOUNTING_STANDARD_OVERRIDE",$G$7,"Per",$B$11,"Days=A"),1)="#","--",_xll.BDH(Ticker,"HIGH_PRICE_TO_TANGIBLE_BPS",D$11,D$11,"EQY_CONSOLIDATED",$G$9,"ACCOUNTING_STANDARD_OVERRIDE",$G$7,"Per",$B$11,"Days=A"))</f>
        <v>4.6279000000000003</v>
      </c>
      <c r="E47" s="148">
        <f>IF(LEFT(_xll.BDH(Ticker,"HIGH_PRICE_TO_TANGIBLE_BPS",E$11,E$11,"EQY_CONSOLIDATED",$G$9,"ACCOUNTING_STANDARD_OVERRIDE",$G$7,"Per",$B$11,"Days=A"),1)="#","--",_xll.BDH(Ticker,"HIGH_PRICE_TO_TANGIBLE_BPS",E$11,E$11,"EQY_CONSOLIDATED",$G$9,"ACCOUNTING_STANDARD_OVERRIDE",$G$7,"Per",$B$11,"Days=A"))</f>
        <v>4.6830999999999996</v>
      </c>
      <c r="F47" s="148">
        <f>IF(LEFT(_xll.BDH(Ticker,"HIGH_PRICE_TO_TANGIBLE_BPS",F$11,F$11,"EQY_CONSOLIDATED",$G$9,"ACCOUNTING_STANDARD_OVERRIDE",$G$7,"Per",$B$11,"Days=A"),1)="#","--",_xll.BDH(Ticker,"HIGH_PRICE_TO_TANGIBLE_BPS",F$11,F$11,"EQY_CONSOLIDATED",$G$9,"ACCOUNTING_STANDARD_OVERRIDE",$G$7,"Per",$B$11,"Days=A"))</f>
        <v>4.7123999999999997</v>
      </c>
      <c r="G47" s="148">
        <f>IF(LEFT(_xll.BDH(Ticker,"HIGH_PRICE_TO_TANGIBLE_BPS",G$11,G$11,"EQY_CONSOLIDATED",$G$9,"ACCOUNTING_STANDARD_OVERRIDE",$G$7,"Per",$B$11,"Days=A"),1)="#","--",_xll.BDH(Ticker,"HIGH_PRICE_TO_TANGIBLE_BPS",G$11,G$11,"EQY_CONSOLIDATED",$G$9,"ACCOUNTING_STANDARD_OVERRIDE",$G$7,"Per",$B$11,"Days=A"))</f>
        <v>5.1699000000000002</v>
      </c>
      <c r="H47" s="148">
        <f>IF(LEFT(_xll.BDH(Ticker,"HIGH_PRICE_TO_TANGIBLE_BPS",H$11,H$11,"EQY_CONSOLIDATED",$G$9,"ACCOUNTING_STANDARD_OVERRIDE",$G$7,"Per",$B$11,"Days=A"),1)="#","--",_xll.BDH(Ticker,"HIGH_PRICE_TO_TANGIBLE_BPS",H$11,H$11,"EQY_CONSOLIDATED",$G$9,"ACCOUNTING_STANDARD_OVERRIDE",$G$7,"Per",$B$11,"Days=A"))</f>
        <v>8.8371999999999993</v>
      </c>
      <c r="I47" s="148">
        <f>IF(LEFT(_xll.BDH(Ticker,"HIGH_PRICE_TO_TANGIBLE_BPS",I$11,I$11,"EQY_CONSOLIDATED",$G$9,"ACCOUNTING_STANDARD_OVERRIDE",$G$7,"Per",$B$11,"Days=A"),1)="#","--",_xll.BDH(Ticker,"HIGH_PRICE_TO_TANGIBLE_BPS",I$11,I$11,"EQY_CONSOLIDATED",$G$9,"ACCOUNTING_STANDARD_OVERRIDE",$G$7,"Per",$B$11,"Days=A"))</f>
        <v>14.9129</v>
      </c>
      <c r="J47" s="148">
        <f>IF(LEFT(_xll.BDH(Ticker,"HIGH_PRICE_TO_TANGIBLE_BPS",J$11,J$11,"EQY_CONSOLIDATED",$G$9,"ACCOUNTING_STANDARD_OVERRIDE",$G$7,"Per",$B$11,"Days=A"),1)="#","--",_xll.BDH(Ticker,"HIGH_PRICE_TO_TANGIBLE_BPS",J$11,J$11,"EQY_CONSOLIDATED",$G$9,"ACCOUNTING_STANDARD_OVERRIDE",$G$7,"Per",$B$11,"Days=A"))</f>
        <v>16.525400000000001</v>
      </c>
      <c r="K47" s="148">
        <f>IF(LEFT(_xll.BDH(Ticker,"HIGH_PRICE_TO_TANGIBLE_BPS",K$11,K$11,"EQY_CONSOLIDATED",$G$9,"ACCOUNTING_STANDARD_OVERRIDE",$G$7,"Per",$B$11,"Days=A"),1)="#","--",_xll.BDH(Ticker,"HIGH_PRICE_TO_TANGIBLE_BPS",K$11,K$11,"EQY_CONSOLIDATED",$G$9,"ACCOUNTING_STANDARD_OVERRIDE",$G$7,"Per",$B$11,"Days=A"))</f>
        <v>17.749700000000001</v>
      </c>
      <c r="L47" s="148" t="str">
        <f>IF(LEFT(_xll.BDH(Ticker,"HIGH_PRICE_TO_TANGIBLE_BPS",L$11,L$11,"EQY_CONSOLIDATED",$G$9,"ACCOUNTING_STANDARD_OVERRIDE",$G$7,"Per",$B$11,"Days=A"),1)="#","--",_xll.BDH(Ticker,"HIGH_PRICE_TO_TANGIBLE_BPS",L$11,L$11,"EQY_CONSOLIDATED",$G$9,"ACCOUNTING_STANDARD_OVERRIDE",$G$7,"Per",$B$11,"Days=A"))</f>
        <v>--</v>
      </c>
      <c r="M47" s="148" t="str">
        <f>IF(LEFT(_xll.BDH(Ticker,"HIGH_PRICE_TO_TANGIBLE_BPS",M$11,M$11,"EQY_CONSOLIDATED",$G$9,"ACCOUNTING_STANDARD_OVERRIDE",$G$7,"Per",$B$11,"Days=A"),1)="#","--",_xll.BDH(Ticker,"HIGH_PRICE_TO_TANGIBLE_BPS",M$11,M$11,"EQY_CONSOLIDATED",$G$9,"ACCOUNTING_STANDARD_OVERRIDE",$G$7,"Per",$B$11,"Days=A"))</f>
        <v>--</v>
      </c>
      <c r="N47" s="139"/>
      <c r="O47" s="139"/>
      <c r="P47" s="139"/>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39"/>
      <c r="BH47" s="139"/>
      <c r="BI47" s="139"/>
      <c r="BJ47" s="139"/>
      <c r="BK47" s="139"/>
      <c r="BL47" s="139"/>
      <c r="BM47" s="139"/>
      <c r="BN47" s="139"/>
      <c r="BO47" s="139"/>
      <c r="BP47" s="139"/>
      <c r="BQ47" s="139"/>
      <c r="BR47" s="139"/>
      <c r="BS47" s="139"/>
      <c r="BT47" s="139"/>
      <c r="BU47" s="139"/>
      <c r="BV47" s="139"/>
      <c r="BW47" s="139"/>
      <c r="BX47" s="139"/>
      <c r="BY47" s="139"/>
      <c r="BZ47" s="139"/>
      <c r="CA47" s="139"/>
      <c r="CB47" s="139"/>
      <c r="CC47" s="139"/>
      <c r="CD47" s="139"/>
      <c r="CE47" s="139"/>
      <c r="CF47" s="139"/>
      <c r="CG47" s="139"/>
      <c r="CH47" s="139"/>
      <c r="CI47" s="139"/>
      <c r="CJ47" s="139"/>
      <c r="CK47" s="139"/>
      <c r="CL47" s="139"/>
      <c r="CM47" s="139"/>
      <c r="CN47" s="139"/>
      <c r="CO47" s="139"/>
      <c r="CP47" s="139"/>
      <c r="CQ47" s="139"/>
      <c r="CR47" s="139"/>
      <c r="CS47" s="139"/>
      <c r="CT47" s="139"/>
      <c r="CU47" s="139"/>
      <c r="CV47" s="139"/>
      <c r="CW47" s="139"/>
      <c r="CX47" s="139"/>
      <c r="CY47" s="139"/>
      <c r="CZ47" s="139"/>
      <c r="DA47" s="139"/>
      <c r="DB47" s="139"/>
      <c r="DC47" s="139"/>
      <c r="DD47" s="139"/>
      <c r="DE47" s="139"/>
      <c r="DF47" s="139"/>
      <c r="DG47" s="139"/>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39"/>
      <c r="EM47" s="139"/>
      <c r="EN47" s="139"/>
      <c r="EO47" s="139"/>
      <c r="EP47" s="139"/>
      <c r="EQ47" s="139"/>
      <c r="ER47" s="139"/>
      <c r="ES47" s="139"/>
      <c r="ET47" s="139"/>
      <c r="EU47" s="139"/>
      <c r="EV47" s="139"/>
      <c r="EW47" s="139"/>
      <c r="EX47" s="139"/>
      <c r="EY47" s="139"/>
      <c r="EZ47" s="139"/>
      <c r="FA47" s="139"/>
      <c r="FB47" s="139"/>
      <c r="FC47" s="139"/>
      <c r="FD47" s="139"/>
      <c r="FE47" s="139"/>
      <c r="FF47" s="139"/>
      <c r="FG47" s="139"/>
      <c r="FH47" s="139"/>
      <c r="FI47" s="139"/>
      <c r="FJ47" s="139"/>
      <c r="FK47" s="139"/>
      <c r="FL47" s="139"/>
      <c r="FM47" s="139"/>
      <c r="FN47" s="139"/>
      <c r="FO47" s="139"/>
      <c r="FP47" s="139"/>
      <c r="FQ47" s="139"/>
      <c r="FR47" s="139"/>
      <c r="FS47" s="139"/>
    </row>
    <row r="48" spans="1:175">
      <c r="A48" s="77"/>
      <c r="B48" s="138" t="s">
        <v>173</v>
      </c>
      <c r="C48" s="148">
        <f>IF(LEFT(_xll.BDH(Ticker,"LOW_PRICE_TO_TANGIBLE_BPS",C$11,C$11,"EQY_CONSOLIDATED",$G$9,"ACCOUNTING_STANDARD_OVERRIDE",$G$7,"Per",$B$11,"Days=A"),1)="#","--",_xll.BDH(Ticker,"LOW_PRICE_TO_TANGIBLE_BPS",C$11,C$11,"EQY_CONSOLIDATED",$G$9,"ACCOUNTING_STANDARD_OVERRIDE",$G$7,"Per",$B$11,"Days=A"))</f>
        <v>3.367</v>
      </c>
      <c r="D48" s="148">
        <f>IF(LEFT(_xll.BDH(Ticker,"LOW_PRICE_TO_TANGIBLE_BPS",D$11,D$11,"EQY_CONSOLIDATED",$G$9,"ACCOUNTING_STANDARD_OVERRIDE",$G$7,"Per",$B$11,"Days=A"),1)="#","--",_xll.BDH(Ticker,"LOW_PRICE_TO_TANGIBLE_BPS",D$11,D$11,"EQY_CONSOLIDATED",$G$9,"ACCOUNTING_STANDARD_OVERRIDE",$G$7,"Per",$B$11,"Days=A"))</f>
        <v>2.7652000000000001</v>
      </c>
      <c r="E48" s="148">
        <f>IF(LEFT(_xll.BDH(Ticker,"LOW_PRICE_TO_TANGIBLE_BPS",E$11,E$11,"EQY_CONSOLIDATED",$G$9,"ACCOUNTING_STANDARD_OVERRIDE",$G$7,"Per",$B$11,"Days=A"),1)="#","--",_xll.BDH(Ticker,"LOW_PRICE_TO_TANGIBLE_BPS",E$11,E$11,"EQY_CONSOLIDATED",$G$9,"ACCOUNTING_STANDARD_OVERRIDE",$G$7,"Per",$B$11,"Days=A"))</f>
        <v>3.4098999999999999</v>
      </c>
      <c r="F48" s="148">
        <f>IF(LEFT(_xll.BDH(Ticker,"LOW_PRICE_TO_TANGIBLE_BPS",F$11,F$11,"EQY_CONSOLIDATED",$G$9,"ACCOUNTING_STANDARD_OVERRIDE",$G$7,"Per",$B$11,"Days=A"),1)="#","--",_xll.BDH(Ticker,"LOW_PRICE_TO_TANGIBLE_BPS",F$11,F$11,"EQY_CONSOLIDATED",$G$9,"ACCOUNTING_STANDARD_OVERRIDE",$G$7,"Per",$B$11,"Days=A"))</f>
        <v>3.1720000000000002</v>
      </c>
      <c r="G48" s="148">
        <f>IF(LEFT(_xll.BDH(Ticker,"LOW_PRICE_TO_TANGIBLE_BPS",G$11,G$11,"EQY_CONSOLIDATED",$G$9,"ACCOUNTING_STANDARD_OVERRIDE",$G$7,"Per",$B$11,"Days=A"),1)="#","--",_xll.BDH(Ticker,"LOW_PRICE_TO_TANGIBLE_BPS",G$11,G$11,"EQY_CONSOLIDATED",$G$9,"ACCOUNTING_STANDARD_OVERRIDE",$G$7,"Per",$B$11,"Days=A"))</f>
        <v>4.1406000000000001</v>
      </c>
      <c r="H48" s="148">
        <f>IF(LEFT(_xll.BDH(Ticker,"LOW_PRICE_TO_TANGIBLE_BPS",H$11,H$11,"EQY_CONSOLIDATED",$G$9,"ACCOUNTING_STANDARD_OVERRIDE",$G$7,"Per",$B$11,"Days=A"),1)="#","--",_xll.BDH(Ticker,"LOW_PRICE_TO_TANGIBLE_BPS",H$11,H$11,"EQY_CONSOLIDATED",$G$9,"ACCOUNTING_STANDARD_OVERRIDE",$G$7,"Per",$B$11,"Days=A"))</f>
        <v>4.2206999999999999</v>
      </c>
      <c r="I48" s="148">
        <f>IF(LEFT(_xll.BDH(Ticker,"LOW_PRICE_TO_TANGIBLE_BPS",I$11,I$11,"EQY_CONSOLIDATED",$G$9,"ACCOUNTING_STANDARD_OVERRIDE",$G$7,"Per",$B$11,"Days=A"),1)="#","--",_xll.BDH(Ticker,"LOW_PRICE_TO_TANGIBLE_BPS",I$11,I$11,"EQY_CONSOLIDATED",$G$9,"ACCOUNTING_STANDARD_OVERRIDE",$G$7,"Per",$B$11,"Days=A"))</f>
        <v>8.7773000000000003</v>
      </c>
      <c r="J48" s="148">
        <f>IF(LEFT(_xll.BDH(Ticker,"LOW_PRICE_TO_TANGIBLE_BPS",J$11,J$11,"EQY_CONSOLIDATED",$G$9,"ACCOUNTING_STANDARD_OVERRIDE",$G$7,"Per",$B$11,"Days=A"),1)="#","--",_xll.BDH(Ticker,"LOW_PRICE_TO_TANGIBLE_BPS",J$11,J$11,"EQY_CONSOLIDATED",$G$9,"ACCOUNTING_STANDARD_OVERRIDE",$G$7,"Per",$B$11,"Days=A"))</f>
        <v>13.4315</v>
      </c>
      <c r="K48" s="148">
        <f>IF(LEFT(_xll.BDH(Ticker,"LOW_PRICE_TO_TANGIBLE_BPS",K$11,K$11,"EQY_CONSOLIDATED",$G$9,"ACCOUNTING_STANDARD_OVERRIDE",$G$7,"Per",$B$11,"Days=A"),1)="#","--",_xll.BDH(Ticker,"LOW_PRICE_TO_TANGIBLE_BPS",K$11,K$11,"EQY_CONSOLIDATED",$G$9,"ACCOUNTING_STANDARD_OVERRIDE",$G$7,"Per",$B$11,"Days=A"))</f>
        <v>12.6496</v>
      </c>
      <c r="L48" s="148" t="str">
        <f>IF(LEFT(_xll.BDH(Ticker,"LOW_PRICE_TO_TANGIBLE_BPS",L$11,L$11,"EQY_CONSOLIDATED",$G$9,"ACCOUNTING_STANDARD_OVERRIDE",$G$7,"Per",$B$11,"Days=A"),1)="#","--",_xll.BDH(Ticker,"LOW_PRICE_TO_TANGIBLE_BPS",L$11,L$11,"EQY_CONSOLIDATED",$G$9,"ACCOUNTING_STANDARD_OVERRIDE",$G$7,"Per",$B$11,"Days=A"))</f>
        <v>--</v>
      </c>
      <c r="M48" s="148" t="str">
        <f>IF(LEFT(_xll.BDH(Ticker,"LOW_PRICE_TO_TANGIBLE_BPS",M$11,M$11,"EQY_CONSOLIDATED",$G$9,"ACCOUNTING_STANDARD_OVERRIDE",$G$7,"Per",$B$11,"Days=A"),1)="#","--",_xll.BDH(Ticker,"LOW_PRICE_TO_TANGIBLE_BPS",M$11,M$11,"EQY_CONSOLIDATED",$G$9,"ACCOUNTING_STANDARD_OVERRIDE",$G$7,"Per",$B$11,"Days=A"))</f>
        <v>--</v>
      </c>
      <c r="N48" s="139"/>
      <c r="O48" s="139"/>
      <c r="P48" s="139"/>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39"/>
      <c r="BH48" s="139"/>
      <c r="BI48" s="139"/>
      <c r="BJ48" s="139"/>
      <c r="BK48" s="139"/>
      <c r="BL48" s="139"/>
      <c r="BM48" s="139"/>
      <c r="BN48" s="139"/>
      <c r="BO48" s="139"/>
      <c r="BP48" s="139"/>
      <c r="BQ48" s="139"/>
      <c r="BR48" s="139"/>
      <c r="BS48" s="139"/>
      <c r="BT48" s="139"/>
      <c r="BU48" s="139"/>
      <c r="BV48" s="139"/>
      <c r="BW48" s="139"/>
      <c r="BX48" s="139"/>
      <c r="BY48" s="139"/>
      <c r="BZ48" s="139"/>
      <c r="CA48" s="139"/>
      <c r="CB48" s="139"/>
      <c r="CC48" s="139"/>
      <c r="CD48" s="139"/>
      <c r="CE48" s="139"/>
      <c r="CF48" s="139"/>
      <c r="CG48" s="139"/>
      <c r="CH48" s="139"/>
      <c r="CI48" s="139"/>
      <c r="CJ48" s="139"/>
      <c r="CK48" s="139"/>
      <c r="CL48" s="139"/>
      <c r="CM48" s="139"/>
      <c r="CN48" s="139"/>
      <c r="CO48" s="139"/>
      <c r="CP48" s="139"/>
      <c r="CQ48" s="139"/>
      <c r="CR48" s="139"/>
      <c r="CS48" s="139"/>
      <c r="CT48" s="139"/>
      <c r="CU48" s="139"/>
      <c r="CV48" s="139"/>
      <c r="CW48" s="139"/>
      <c r="CX48" s="139"/>
      <c r="CY48" s="139"/>
      <c r="CZ48" s="139"/>
      <c r="DA48" s="139"/>
      <c r="DB48" s="139"/>
      <c r="DC48" s="139"/>
      <c r="DD48" s="139"/>
      <c r="DE48" s="139"/>
      <c r="DF48" s="139"/>
      <c r="DG48" s="139"/>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39"/>
      <c r="EM48" s="139"/>
      <c r="EN48" s="139"/>
      <c r="EO48" s="139"/>
      <c r="EP48" s="139"/>
      <c r="EQ48" s="139"/>
      <c r="ER48" s="139"/>
      <c r="ES48" s="139"/>
      <c r="ET48" s="139"/>
      <c r="EU48" s="139"/>
      <c r="EV48" s="139"/>
      <c r="EW48" s="139"/>
      <c r="EX48" s="139"/>
      <c r="EY48" s="139"/>
      <c r="EZ48" s="139"/>
      <c r="FA48" s="139"/>
      <c r="FB48" s="139"/>
      <c r="FC48" s="139"/>
      <c r="FD48" s="139"/>
      <c r="FE48" s="139"/>
      <c r="FF48" s="139"/>
      <c r="FG48" s="139"/>
      <c r="FH48" s="139"/>
      <c r="FI48" s="139"/>
      <c r="FJ48" s="139"/>
      <c r="FK48" s="139"/>
      <c r="FL48" s="139"/>
      <c r="FM48" s="139"/>
      <c r="FN48" s="139"/>
      <c r="FO48" s="139"/>
      <c r="FP48" s="139"/>
      <c r="FQ48" s="139"/>
      <c r="FR48" s="139"/>
      <c r="FS48" s="139"/>
    </row>
    <row r="49" spans="1:175">
      <c r="A49" s="77"/>
      <c r="B49" s="138"/>
      <c r="C49" s="148"/>
      <c r="D49" s="148"/>
      <c r="E49" s="148"/>
      <c r="F49" s="148"/>
      <c r="G49" s="148"/>
      <c r="H49" s="148"/>
      <c r="I49" s="148"/>
      <c r="J49" s="148"/>
      <c r="K49" s="148"/>
      <c r="L49" s="148"/>
      <c r="M49" s="148"/>
      <c r="N49" s="139"/>
      <c r="O49" s="139"/>
      <c r="P49" s="139"/>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39"/>
      <c r="BH49" s="139"/>
      <c r="BI49" s="139"/>
      <c r="BJ49" s="139"/>
      <c r="BK49" s="139"/>
      <c r="BL49" s="139"/>
      <c r="BM49" s="139"/>
      <c r="BN49" s="139"/>
      <c r="BO49" s="139"/>
      <c r="BP49" s="139"/>
      <c r="BQ49" s="139"/>
      <c r="BR49" s="139"/>
      <c r="BS49" s="139"/>
      <c r="BT49" s="139"/>
      <c r="BU49" s="139"/>
      <c r="BV49" s="139"/>
      <c r="BW49" s="139"/>
      <c r="BX49" s="139"/>
      <c r="BY49" s="139"/>
      <c r="BZ49" s="139"/>
      <c r="CA49" s="139"/>
      <c r="CB49" s="139"/>
      <c r="CC49" s="139"/>
      <c r="CD49" s="139"/>
      <c r="CE49" s="139"/>
      <c r="CF49" s="139"/>
      <c r="CG49" s="139"/>
      <c r="CH49" s="139"/>
      <c r="CI49" s="139"/>
      <c r="CJ49" s="139"/>
      <c r="CK49" s="139"/>
      <c r="CL49" s="139"/>
      <c r="CM49" s="139"/>
      <c r="CN49" s="139"/>
      <c r="CO49" s="139"/>
      <c r="CP49" s="139"/>
      <c r="CQ49" s="139"/>
      <c r="CR49" s="139"/>
      <c r="CS49" s="139"/>
      <c r="CT49" s="139"/>
      <c r="CU49" s="139"/>
      <c r="CV49" s="139"/>
      <c r="CW49" s="139"/>
      <c r="CX49" s="139"/>
      <c r="CY49" s="139"/>
      <c r="CZ49" s="139"/>
      <c r="DA49" s="139"/>
      <c r="DB49" s="139"/>
      <c r="DC49" s="139"/>
      <c r="DD49" s="139"/>
      <c r="DE49" s="139"/>
      <c r="DF49" s="139"/>
      <c r="DG49" s="139"/>
      <c r="DH49" s="139"/>
      <c r="DI49" s="139"/>
      <c r="DJ49" s="139"/>
      <c r="DK49" s="139"/>
      <c r="DL49" s="139"/>
      <c r="DM49" s="139"/>
      <c r="DN49" s="139"/>
      <c r="DO49" s="139"/>
      <c r="DP49" s="139"/>
      <c r="DQ49" s="139"/>
      <c r="DR49" s="139"/>
      <c r="DS49" s="139"/>
      <c r="DT49" s="139"/>
      <c r="DU49" s="139"/>
      <c r="DV49" s="139"/>
      <c r="DW49" s="139"/>
      <c r="DX49" s="139"/>
      <c r="DY49" s="139"/>
      <c r="DZ49" s="139"/>
      <c r="EA49" s="139"/>
      <c r="EB49" s="139"/>
      <c r="EC49" s="139"/>
      <c r="ED49" s="139"/>
      <c r="EE49" s="139"/>
      <c r="EF49" s="139"/>
      <c r="EG49" s="139"/>
      <c r="EH49" s="139"/>
      <c r="EI49" s="139"/>
      <c r="EJ49" s="139"/>
      <c r="EK49" s="139"/>
      <c r="EL49" s="139"/>
      <c r="EM49" s="139"/>
      <c r="EN49" s="139"/>
      <c r="EO49" s="139"/>
      <c r="EP49" s="139"/>
      <c r="EQ49" s="139"/>
      <c r="ER49" s="139"/>
      <c r="ES49" s="139"/>
      <c r="ET49" s="139"/>
      <c r="EU49" s="139"/>
      <c r="EV49" s="139"/>
      <c r="EW49" s="139"/>
      <c r="EX49" s="139"/>
      <c r="EY49" s="139"/>
      <c r="EZ49" s="139"/>
      <c r="FA49" s="139"/>
      <c r="FB49" s="139"/>
      <c r="FC49" s="139"/>
      <c r="FD49" s="139"/>
      <c r="FE49" s="139"/>
      <c r="FF49" s="139"/>
      <c r="FG49" s="139"/>
      <c r="FH49" s="139"/>
      <c r="FI49" s="139"/>
      <c r="FJ49" s="139"/>
      <c r="FK49" s="139"/>
      <c r="FL49" s="139"/>
      <c r="FM49" s="139"/>
      <c r="FN49" s="139"/>
      <c r="FO49" s="139"/>
      <c r="FP49" s="139"/>
      <c r="FQ49" s="139"/>
      <c r="FR49" s="139"/>
      <c r="FS49" s="139"/>
    </row>
    <row r="50" spans="1:175">
      <c r="A50" s="77"/>
      <c r="B50" s="141" t="s">
        <v>341</v>
      </c>
      <c r="C50" s="148"/>
      <c r="D50" s="148"/>
      <c r="E50" s="148"/>
      <c r="F50" s="148"/>
      <c r="G50" s="148"/>
      <c r="H50" s="148"/>
      <c r="I50" s="148"/>
      <c r="J50" s="148"/>
      <c r="K50" s="148"/>
      <c r="L50" s="149"/>
      <c r="M50" s="148"/>
      <c r="N50" s="139"/>
      <c r="O50" s="139"/>
      <c r="P50" s="139"/>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39"/>
      <c r="BH50" s="139"/>
      <c r="BI50" s="139"/>
      <c r="BJ50" s="139"/>
      <c r="BK50" s="139"/>
      <c r="BL50" s="139"/>
      <c r="BM50" s="139"/>
      <c r="BN50" s="139"/>
      <c r="BO50" s="139"/>
      <c r="BP50" s="139"/>
      <c r="BQ50" s="139"/>
      <c r="BR50" s="139"/>
      <c r="BS50" s="139"/>
      <c r="BT50" s="139"/>
      <c r="BU50" s="139"/>
      <c r="BV50" s="139"/>
      <c r="BW50" s="139"/>
      <c r="BX50" s="139"/>
      <c r="BY50" s="139"/>
      <c r="BZ50" s="139"/>
      <c r="CA50" s="139"/>
      <c r="CB50" s="139"/>
      <c r="CC50" s="139"/>
      <c r="CD50" s="139"/>
      <c r="CE50" s="139"/>
      <c r="CF50" s="139"/>
      <c r="CG50" s="139"/>
      <c r="CH50" s="139"/>
      <c r="CI50" s="139"/>
      <c r="CJ50" s="139"/>
      <c r="CK50" s="139"/>
      <c r="CL50" s="139"/>
      <c r="CM50" s="139"/>
      <c r="CN50" s="139"/>
      <c r="CO50" s="139"/>
      <c r="CP50" s="139"/>
      <c r="CQ50" s="139"/>
      <c r="CR50" s="139"/>
      <c r="CS50" s="139"/>
      <c r="CT50" s="139"/>
      <c r="CU50" s="139"/>
      <c r="CV50" s="139"/>
      <c r="CW50" s="139"/>
      <c r="CX50" s="139"/>
      <c r="CY50" s="139"/>
      <c r="CZ50" s="139"/>
      <c r="DA50" s="139"/>
      <c r="DB50" s="139"/>
      <c r="DC50" s="139"/>
      <c r="DD50" s="139"/>
      <c r="DE50" s="139"/>
      <c r="DF50" s="139"/>
      <c r="DG50" s="139"/>
      <c r="DH50" s="139"/>
      <c r="DI50" s="139"/>
      <c r="DJ50" s="139"/>
      <c r="DK50" s="139"/>
      <c r="DL50" s="139"/>
      <c r="DM50" s="139"/>
      <c r="DN50" s="139"/>
      <c r="DO50" s="139"/>
      <c r="DP50" s="139"/>
      <c r="DQ50" s="139"/>
      <c r="DR50" s="139"/>
      <c r="DS50" s="139"/>
      <c r="DT50" s="139"/>
      <c r="DU50" s="139"/>
      <c r="DV50" s="139"/>
      <c r="DW50" s="139"/>
      <c r="DX50" s="139"/>
      <c r="DY50" s="139"/>
      <c r="DZ50" s="139"/>
      <c r="EA50" s="139"/>
      <c r="EB50" s="139"/>
      <c r="EC50" s="139"/>
      <c r="ED50" s="139"/>
      <c r="EE50" s="139"/>
      <c r="EF50" s="139"/>
      <c r="EG50" s="139"/>
      <c r="EH50" s="139"/>
      <c r="EI50" s="139"/>
      <c r="EJ50" s="139"/>
      <c r="EK50" s="139"/>
      <c r="EL50" s="139"/>
      <c r="EM50" s="139"/>
      <c r="EN50" s="139"/>
      <c r="EO50" s="139"/>
      <c r="EP50" s="139"/>
      <c r="EQ50" s="139"/>
      <c r="ER50" s="139"/>
      <c r="ES50" s="139"/>
      <c r="ET50" s="139"/>
      <c r="EU50" s="139"/>
      <c r="EV50" s="139"/>
      <c r="EW50" s="139"/>
      <c r="EX50" s="139"/>
      <c r="EY50" s="139"/>
      <c r="EZ50" s="139"/>
      <c r="FA50" s="139"/>
      <c r="FB50" s="139"/>
      <c r="FC50" s="139"/>
      <c r="FD50" s="139"/>
      <c r="FE50" s="139"/>
      <c r="FF50" s="139"/>
      <c r="FG50" s="139"/>
      <c r="FH50" s="139"/>
      <c r="FI50" s="139"/>
      <c r="FJ50" s="139"/>
      <c r="FK50" s="139"/>
      <c r="FL50" s="139"/>
      <c r="FM50" s="139"/>
      <c r="FN50" s="139"/>
      <c r="FO50" s="139"/>
      <c r="FP50" s="139"/>
      <c r="FQ50" s="139"/>
      <c r="FR50" s="139"/>
      <c r="FS50" s="139"/>
    </row>
    <row r="51" spans="1:175">
      <c r="A51" s="77"/>
      <c r="B51" s="136" t="s">
        <v>174</v>
      </c>
      <c r="C51" s="147">
        <f>IF(LEFT(_xll.BDH(Ticker,"PX_TO_CASH_FLOW",C$11,C$11,"EQY_CONSOLIDATED",$G$9,"ACCOUNTING_STANDARD_OVERRIDE",$G$7,"Per",$B$11,"Days=A"),1)="#","--",_xll.BDH(Ticker,"PX_TO_CASH_FLOW",C$11,C$11,"EQY_CONSOLIDATED",$G$9,"ACCOUNTING_STANDARD_OVERRIDE",$G$7,"Per",$B$11,"Days=A"))</f>
        <v>13.864800000000001</v>
      </c>
      <c r="D51" s="147">
        <f>IF(LEFT(_xll.BDH(Ticker,"PX_TO_CASH_FLOW",D$11,D$11,"EQY_CONSOLIDATED",$G$9,"ACCOUNTING_STANDARD_OVERRIDE",$G$7,"Per",$B$11,"Days=A"),1)="#","--",_xll.BDH(Ticker,"PX_TO_CASH_FLOW",D$11,D$11,"EQY_CONSOLIDATED",$G$9,"ACCOUNTING_STANDARD_OVERRIDE",$G$7,"Per",$B$11,"Days=A"))</f>
        <v>13.700900000000001</v>
      </c>
      <c r="E51" s="147">
        <f>IF(LEFT(_xll.BDH(Ticker,"PX_TO_CASH_FLOW",E$11,E$11,"EQY_CONSOLIDATED",$G$9,"ACCOUNTING_STANDARD_OVERRIDE",$G$7,"Per",$B$11,"Days=A"),1)="#","--",_xll.BDH(Ticker,"PX_TO_CASH_FLOW",E$11,E$11,"EQY_CONSOLIDATED",$G$9,"ACCOUNTING_STANDARD_OVERRIDE",$G$7,"Per",$B$11,"Days=A"))</f>
        <v>13.76</v>
      </c>
      <c r="F51" s="147">
        <f>IF(LEFT(_xll.BDH(Ticker,"PX_TO_CASH_FLOW",F$11,F$11,"EQY_CONSOLIDATED",$G$9,"ACCOUNTING_STANDARD_OVERRIDE",$G$7,"Per",$B$11,"Days=A"),1)="#","--",_xll.BDH(Ticker,"PX_TO_CASH_FLOW",F$11,F$11,"EQY_CONSOLIDATED",$G$9,"ACCOUNTING_STANDARD_OVERRIDE",$G$7,"Per",$B$11,"Days=A"))</f>
        <v>13.398099999999999</v>
      </c>
      <c r="G51" s="147">
        <f>IF(LEFT(_xll.BDH(Ticker,"PX_TO_CASH_FLOW",G$11,G$11,"EQY_CONSOLIDATED",$G$9,"ACCOUNTING_STANDARD_OVERRIDE",$G$7,"Per",$B$11,"Days=A"),1)="#","--",_xll.BDH(Ticker,"PX_TO_CASH_FLOW",G$11,G$11,"EQY_CONSOLIDATED",$G$9,"ACCOUNTING_STANDARD_OVERRIDE",$G$7,"Per",$B$11,"Days=A"))</f>
        <v>12.591699999999999</v>
      </c>
      <c r="H51" s="147">
        <f>IF(LEFT(_xll.BDH(Ticker,"PX_TO_CASH_FLOW",H$11,H$11,"EQY_CONSOLIDATED",$G$9,"ACCOUNTING_STANDARD_OVERRIDE",$G$7,"Per",$B$11,"Days=A"),1)="#","--",_xll.BDH(Ticker,"PX_TO_CASH_FLOW",H$11,H$11,"EQY_CONSOLIDATED",$G$9,"ACCOUNTING_STANDARD_OVERRIDE",$G$7,"Per",$B$11,"Days=A"))</f>
        <v>15.0838</v>
      </c>
      <c r="I51" s="147">
        <f>IF(LEFT(_xll.BDH(Ticker,"PX_TO_CASH_FLOW",I$11,I$11,"EQY_CONSOLIDATED",$G$9,"ACCOUNTING_STANDARD_OVERRIDE",$G$7,"Per",$B$11,"Days=A"),1)="#","--",_xll.BDH(Ticker,"PX_TO_CASH_FLOW",I$11,I$11,"EQY_CONSOLIDATED",$G$9,"ACCOUNTING_STANDARD_OVERRIDE",$G$7,"Per",$B$11,"Days=A"))</f>
        <v>20.035900000000002</v>
      </c>
      <c r="J51" s="147">
        <f>IF(LEFT(_xll.BDH(Ticker,"PX_TO_CASH_FLOW",J$11,J$11,"EQY_CONSOLIDATED",$G$9,"ACCOUNTING_STANDARD_OVERRIDE",$G$7,"Per",$B$11,"Days=A"),1)="#","--",_xll.BDH(Ticker,"PX_TO_CASH_FLOW",J$11,J$11,"EQY_CONSOLIDATED",$G$9,"ACCOUNTING_STANDARD_OVERRIDE",$G$7,"Per",$B$11,"Days=A"))</f>
        <v>38.933500000000002</v>
      </c>
      <c r="K51" s="147">
        <f>IF(LEFT(_xll.BDH(Ticker,"PX_TO_CASH_FLOW",K$11,K$11,"EQY_CONSOLIDATED",$G$9,"ACCOUNTING_STANDARD_OVERRIDE",$G$7,"Per",$B$11,"Days=A"),1)="#","--",_xll.BDH(Ticker,"PX_TO_CASH_FLOW",K$11,K$11,"EQY_CONSOLIDATED",$G$9,"ACCOUNTING_STANDARD_OVERRIDE",$G$7,"Per",$B$11,"Days=A"))</f>
        <v>23.405200000000001</v>
      </c>
      <c r="L51" s="148">
        <f>IF(LEFT(_xll.BDH(Ticker,"PX_TO_CASH_FLOW",L$11,L$11,"EQY_CONSOLIDATED",$G$9,"ACCOUNTING_STANDARD_OVERRIDE",$G$7,"Per",$B$11,"Days=A"),1)="#","--",_xll.BDH(Ticker,"PX_TO_CASH_FLOW",L$11,L$11,"EQY_CONSOLIDATED",$G$9,"ACCOUNTING_STANDARD_OVERRIDE",$G$7,"Per",$B$11,"Days=A"))</f>
        <v>37.145699999999998</v>
      </c>
      <c r="M51" s="147">
        <f>IF(LEFT(_xll.BDH(Ticker,"PX_TO_CASH_FLOW",M$11,M$11,"EQY_CONSOLIDATED",$G$9,"ACCOUNTING_STANDARD_OVERRIDE",$G$7,"Per",$B$11,"Days=A"),1)="#","--",_xll.BDH(Ticker,"PX_TO_CASH_FLOW",M$11,M$11,"EQY_CONSOLIDATED",$G$9,"ACCOUNTING_STANDARD_OVERRIDE",$G$7,"Per",$B$11,"Days=A"))</f>
        <v>22.467500000000001</v>
      </c>
      <c r="N51" s="139"/>
      <c r="O51" s="139"/>
      <c r="P51" s="139"/>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39"/>
      <c r="BH51" s="139"/>
      <c r="BI51" s="139"/>
      <c r="BJ51" s="139"/>
      <c r="BK51" s="139"/>
      <c r="BL51" s="139"/>
      <c r="BM51" s="139"/>
      <c r="BN51" s="139"/>
      <c r="BO51" s="139"/>
      <c r="BP51" s="139"/>
      <c r="BQ51" s="139"/>
      <c r="BR51" s="139"/>
      <c r="BS51" s="139"/>
      <c r="BT51" s="139"/>
      <c r="BU51" s="139"/>
      <c r="BV51" s="139"/>
      <c r="BW51" s="139"/>
      <c r="BX51" s="139"/>
      <c r="BY51" s="139"/>
      <c r="BZ51" s="139"/>
      <c r="CA51" s="139"/>
      <c r="CB51" s="139"/>
      <c r="CC51" s="139"/>
      <c r="CD51" s="139"/>
      <c r="CE51" s="139"/>
      <c r="CF51" s="139"/>
      <c r="CG51" s="139"/>
      <c r="CH51" s="139"/>
      <c r="CI51" s="139"/>
      <c r="CJ51" s="139"/>
      <c r="CK51" s="139"/>
      <c r="CL51" s="139"/>
      <c r="CM51" s="139"/>
      <c r="CN51" s="139"/>
      <c r="CO51" s="139"/>
      <c r="CP51" s="139"/>
      <c r="CQ51" s="139"/>
      <c r="CR51" s="139"/>
      <c r="CS51" s="139"/>
      <c r="CT51" s="139"/>
      <c r="CU51" s="139"/>
      <c r="CV51" s="139"/>
      <c r="CW51" s="139"/>
      <c r="CX51" s="139"/>
      <c r="CY51" s="139"/>
      <c r="CZ51" s="139"/>
      <c r="DA51" s="139"/>
      <c r="DB51" s="139"/>
      <c r="DC51" s="139"/>
      <c r="DD51" s="139"/>
      <c r="DE51" s="139"/>
      <c r="DF51" s="139"/>
      <c r="DG51" s="139"/>
      <c r="DH51" s="139"/>
      <c r="DI51" s="139"/>
      <c r="DJ51" s="139"/>
      <c r="DK51" s="139"/>
      <c r="DL51" s="139"/>
      <c r="DM51" s="139"/>
      <c r="DN51" s="139"/>
      <c r="DO51" s="139"/>
      <c r="DP51" s="139"/>
      <c r="DQ51" s="139"/>
      <c r="DR51" s="139"/>
      <c r="DS51" s="139"/>
      <c r="DT51" s="139"/>
      <c r="DU51" s="139"/>
      <c r="DV51" s="139"/>
      <c r="DW51" s="139"/>
      <c r="DX51" s="139"/>
      <c r="DY51" s="139"/>
      <c r="DZ51" s="139"/>
      <c r="EA51" s="139"/>
      <c r="EB51" s="139"/>
      <c r="EC51" s="139"/>
      <c r="ED51" s="139"/>
      <c r="EE51" s="139"/>
      <c r="EF51" s="139"/>
      <c r="EG51" s="139"/>
      <c r="EH51" s="139"/>
      <c r="EI51" s="139"/>
      <c r="EJ51" s="139"/>
      <c r="EK51" s="139"/>
      <c r="EL51" s="139"/>
      <c r="EM51" s="139"/>
      <c r="EN51" s="139"/>
      <c r="EO51" s="139"/>
      <c r="EP51" s="139"/>
      <c r="EQ51" s="139"/>
      <c r="ER51" s="139"/>
      <c r="ES51" s="139"/>
      <c r="ET51" s="139"/>
      <c r="EU51" s="139"/>
      <c r="EV51" s="139"/>
      <c r="EW51" s="139"/>
      <c r="EX51" s="139"/>
      <c r="EY51" s="139"/>
      <c r="EZ51" s="139"/>
      <c r="FA51" s="139"/>
      <c r="FB51" s="139"/>
      <c r="FC51" s="139"/>
      <c r="FD51" s="139"/>
      <c r="FE51" s="139"/>
      <c r="FF51" s="139"/>
      <c r="FG51" s="139"/>
      <c r="FH51" s="139"/>
      <c r="FI51" s="139"/>
      <c r="FJ51" s="139"/>
      <c r="FK51" s="139"/>
      <c r="FL51" s="139"/>
      <c r="FM51" s="139"/>
      <c r="FN51" s="139"/>
      <c r="FO51" s="139"/>
      <c r="FP51" s="139"/>
      <c r="FQ51" s="139"/>
      <c r="FR51" s="139"/>
      <c r="FS51" s="139"/>
    </row>
    <row r="52" spans="1:175">
      <c r="A52" s="77"/>
      <c r="B52" s="138" t="s">
        <v>171</v>
      </c>
      <c r="C52" s="148">
        <f>IF(LEFT(_xll.BDH(Ticker,"AVERAGE_PRICE_TO_CASH_FLOW",C$11,C$11,"EQY_CONSOLIDATED",$G$9,"ACCOUNTING_STANDARD_OVERRIDE",$G$7,"Per",$B$11,"Days=A"),1)="#","--",_xll.BDH(Ticker,"AVERAGE_PRICE_TO_CASH_FLOW",C$11,C$11,"EQY_CONSOLIDATED",$G$9,"ACCOUNTING_STANDARD_OVERRIDE",$G$7,"Per",$B$11,"Days=A"))</f>
        <v>24.095199999999998</v>
      </c>
      <c r="D52" s="148">
        <f>IF(LEFT(_xll.BDH(Ticker,"AVERAGE_PRICE_TO_CASH_FLOW",D$11,D$11,"EQY_CONSOLIDATED",$G$9,"ACCOUNTING_STANDARD_OVERRIDE",$G$7,"Per",$B$11,"Days=A"),1)="#","--",_xll.BDH(Ticker,"AVERAGE_PRICE_TO_CASH_FLOW",D$11,D$11,"EQY_CONSOLIDATED",$G$9,"ACCOUNTING_STANDARD_OVERRIDE",$G$7,"Per",$B$11,"Days=A"))</f>
        <v>14.4749</v>
      </c>
      <c r="E52" s="148">
        <f>IF(LEFT(_xll.BDH(Ticker,"AVERAGE_PRICE_TO_CASH_FLOW",E$11,E$11,"EQY_CONSOLIDATED",$G$9,"ACCOUNTING_STANDARD_OVERRIDE",$G$7,"Per",$B$11,"Days=A"),1)="#","--",_xll.BDH(Ticker,"AVERAGE_PRICE_TO_CASH_FLOW",E$11,E$11,"EQY_CONSOLIDATED",$G$9,"ACCOUNTING_STANDARD_OVERRIDE",$G$7,"Per",$B$11,"Days=A"))</f>
        <v>14.1686</v>
      </c>
      <c r="F52" s="148">
        <f>IF(LEFT(_xll.BDH(Ticker,"AVERAGE_PRICE_TO_CASH_FLOW",F$11,F$11,"EQY_CONSOLIDATED",$G$9,"ACCOUNTING_STANDARD_OVERRIDE",$G$7,"Per",$B$11,"Days=A"),1)="#","--",_xll.BDH(Ticker,"AVERAGE_PRICE_TO_CASH_FLOW",F$11,F$11,"EQY_CONSOLIDATED",$G$9,"ACCOUNTING_STANDARD_OVERRIDE",$G$7,"Per",$B$11,"Days=A"))</f>
        <v>14.0436</v>
      </c>
      <c r="G52" s="148">
        <f>IF(LEFT(_xll.BDH(Ticker,"AVERAGE_PRICE_TO_CASH_FLOW",G$11,G$11,"EQY_CONSOLIDATED",$G$9,"ACCOUNTING_STANDARD_OVERRIDE",$G$7,"Per",$B$11,"Days=A"),1)="#","--",_xll.BDH(Ticker,"AVERAGE_PRICE_TO_CASH_FLOW",G$11,G$11,"EQY_CONSOLIDATED",$G$9,"ACCOUNTING_STANDARD_OVERRIDE",$G$7,"Per",$B$11,"Days=A"))</f>
        <v>14.450200000000001</v>
      </c>
      <c r="H52" s="148">
        <f>IF(LEFT(_xll.BDH(Ticker,"AVERAGE_PRICE_TO_CASH_FLOW",H$11,H$11,"EQY_CONSOLIDATED",$G$9,"ACCOUNTING_STANDARD_OVERRIDE",$G$7,"Per",$B$11,"Days=A"),1)="#","--",_xll.BDH(Ticker,"AVERAGE_PRICE_TO_CASH_FLOW",H$11,H$11,"EQY_CONSOLIDATED",$G$9,"ACCOUNTING_STANDARD_OVERRIDE",$G$7,"Per",$B$11,"Days=A"))</f>
        <v>15.586</v>
      </c>
      <c r="I52" s="148">
        <f>IF(LEFT(_xll.BDH(Ticker,"AVERAGE_PRICE_TO_CASH_FLOW",I$11,I$11,"EQY_CONSOLIDATED",$G$9,"ACCOUNTING_STANDARD_OVERRIDE",$G$7,"Per",$B$11,"Days=A"),1)="#","--",_xll.BDH(Ticker,"AVERAGE_PRICE_TO_CASH_FLOW",I$11,I$11,"EQY_CONSOLIDATED",$G$9,"ACCOUNTING_STANDARD_OVERRIDE",$G$7,"Per",$B$11,"Days=A"))</f>
        <v>16.683900000000001</v>
      </c>
      <c r="J52" s="148">
        <f>IF(LEFT(_xll.BDH(Ticker,"AVERAGE_PRICE_TO_CASH_FLOW",J$11,J$11,"EQY_CONSOLIDATED",$G$9,"ACCOUNTING_STANDARD_OVERRIDE",$G$7,"Per",$B$11,"Days=A"),1)="#","--",_xll.BDH(Ticker,"AVERAGE_PRICE_TO_CASH_FLOW",J$11,J$11,"EQY_CONSOLIDATED",$G$9,"ACCOUNTING_STANDARD_OVERRIDE",$G$7,"Per",$B$11,"Days=A"))</f>
        <v>20.399799999999999</v>
      </c>
      <c r="K52" s="148">
        <f>IF(LEFT(_xll.BDH(Ticker,"AVERAGE_PRICE_TO_CASH_FLOW",K$11,K$11,"EQY_CONSOLIDATED",$G$9,"ACCOUNTING_STANDARD_OVERRIDE",$G$7,"Per",$B$11,"Days=A"),1)="#","--",_xll.BDH(Ticker,"AVERAGE_PRICE_TO_CASH_FLOW",K$11,K$11,"EQY_CONSOLIDATED",$G$9,"ACCOUNTING_STANDARD_OVERRIDE",$G$7,"Per",$B$11,"Days=A"))</f>
        <v>46.228999999999999</v>
      </c>
      <c r="L52" s="148">
        <f>IF(LEFT(_xll.BDH(Ticker,"AVERAGE_PRICE_TO_CASH_FLOW",L$11,L$11,"EQY_CONSOLIDATED",$G$9,"ACCOUNTING_STANDARD_OVERRIDE",$G$7,"Per",$B$11,"Days=A"),1)="#","--",_xll.BDH(Ticker,"AVERAGE_PRICE_TO_CASH_FLOW",L$11,L$11,"EQY_CONSOLIDATED",$G$9,"ACCOUNTING_STANDARD_OVERRIDE",$G$7,"Per",$B$11,"Days=A"))</f>
        <v>27.363299999999999</v>
      </c>
      <c r="M52" s="148">
        <f>IF(LEFT(_xll.BDH(Ticker,"AVERAGE_PRICE_TO_CASH_FLOW",M$11,M$11,"EQY_CONSOLIDATED",$G$9,"ACCOUNTING_STANDARD_OVERRIDE",$G$7,"Per",$B$11,"Days=A"),1)="#","--",_xll.BDH(Ticker,"AVERAGE_PRICE_TO_CASH_FLOW",M$11,M$11,"EQY_CONSOLIDATED",$G$9,"ACCOUNTING_STANDARD_OVERRIDE",$G$7,"Per",$B$11,"Days=A"))</f>
        <v>39.973399999999998</v>
      </c>
      <c r="N52" s="139"/>
      <c r="O52" s="139"/>
      <c r="P52" s="139"/>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39"/>
      <c r="BH52" s="139"/>
      <c r="BI52" s="139"/>
      <c r="BJ52" s="139"/>
      <c r="BK52" s="139"/>
      <c r="BL52" s="139"/>
      <c r="BM52" s="139"/>
      <c r="BN52" s="139"/>
      <c r="BO52" s="139"/>
      <c r="BP52" s="139"/>
      <c r="BQ52" s="139"/>
      <c r="BR52" s="139"/>
      <c r="BS52" s="139"/>
      <c r="BT52" s="139"/>
      <c r="BU52" s="139"/>
      <c r="BV52" s="139"/>
      <c r="BW52" s="139"/>
      <c r="BX52" s="139"/>
      <c r="BY52" s="139"/>
      <c r="BZ52" s="139"/>
      <c r="CA52" s="139"/>
      <c r="CB52" s="139"/>
      <c r="CC52" s="139"/>
      <c r="CD52" s="139"/>
      <c r="CE52" s="139"/>
      <c r="CF52" s="139"/>
      <c r="CG52" s="139"/>
      <c r="CH52" s="139"/>
      <c r="CI52" s="139"/>
      <c r="CJ52" s="139"/>
      <c r="CK52" s="139"/>
      <c r="CL52" s="139"/>
      <c r="CM52" s="139"/>
      <c r="CN52" s="139"/>
      <c r="CO52" s="139"/>
      <c r="CP52" s="139"/>
      <c r="CQ52" s="139"/>
      <c r="CR52" s="139"/>
      <c r="CS52" s="139"/>
      <c r="CT52" s="139"/>
      <c r="CU52" s="139"/>
      <c r="CV52" s="139"/>
      <c r="CW52" s="139"/>
      <c r="CX52" s="139"/>
      <c r="CY52" s="139"/>
      <c r="CZ52" s="139"/>
      <c r="DA52" s="139"/>
      <c r="DB52" s="139"/>
      <c r="DC52" s="139"/>
      <c r="DD52" s="139"/>
      <c r="DE52" s="139"/>
      <c r="DF52" s="139"/>
      <c r="DG52" s="139"/>
      <c r="DH52" s="139"/>
      <c r="DI52" s="139"/>
      <c r="DJ52" s="139"/>
      <c r="DK52" s="139"/>
      <c r="DL52" s="139"/>
      <c r="DM52" s="139"/>
      <c r="DN52" s="139"/>
      <c r="DO52" s="139"/>
      <c r="DP52" s="139"/>
      <c r="DQ52" s="139"/>
      <c r="DR52" s="139"/>
      <c r="DS52" s="139"/>
      <c r="DT52" s="139"/>
      <c r="DU52" s="139"/>
      <c r="DV52" s="139"/>
      <c r="DW52" s="139"/>
      <c r="DX52" s="139"/>
      <c r="DY52" s="139"/>
      <c r="DZ52" s="139"/>
      <c r="EA52" s="139"/>
      <c r="EB52" s="139"/>
      <c r="EC52" s="139"/>
      <c r="ED52" s="139"/>
      <c r="EE52" s="139"/>
      <c r="EF52" s="139"/>
      <c r="EG52" s="139"/>
      <c r="EH52" s="139"/>
      <c r="EI52" s="139"/>
      <c r="EJ52" s="139"/>
      <c r="EK52" s="139"/>
      <c r="EL52" s="139"/>
      <c r="EM52" s="139"/>
      <c r="EN52" s="139"/>
      <c r="EO52" s="139"/>
      <c r="EP52" s="139"/>
      <c r="EQ52" s="139"/>
      <c r="ER52" s="139"/>
      <c r="ES52" s="139"/>
      <c r="ET52" s="139"/>
      <c r="EU52" s="139"/>
      <c r="EV52" s="139"/>
      <c r="EW52" s="139"/>
      <c r="EX52" s="139"/>
      <c r="EY52" s="139"/>
      <c r="EZ52" s="139"/>
      <c r="FA52" s="139"/>
      <c r="FB52" s="139"/>
      <c r="FC52" s="139"/>
      <c r="FD52" s="139"/>
      <c r="FE52" s="139"/>
      <c r="FF52" s="139"/>
      <c r="FG52" s="139"/>
      <c r="FH52" s="139"/>
      <c r="FI52" s="139"/>
      <c r="FJ52" s="139"/>
      <c r="FK52" s="139"/>
      <c r="FL52" s="139"/>
      <c r="FM52" s="139"/>
      <c r="FN52" s="139"/>
      <c r="FO52" s="139"/>
      <c r="FP52" s="139"/>
      <c r="FQ52" s="139"/>
      <c r="FR52" s="139"/>
      <c r="FS52" s="139"/>
    </row>
    <row r="53" spans="1:175">
      <c r="A53" s="77"/>
      <c r="B53" s="138" t="s">
        <v>172</v>
      </c>
      <c r="C53" s="148">
        <f>IF(LEFT(_xll.BDH(Ticker,"HIGH_CLOSING_PRICE_TO_CASH_FLOW",C$11,C$11,"EQY_CONSOLIDATED",$G$9,"ACCOUNTING_STANDARD_OVERRIDE",$G$7,"Per",$B$11,"Days=A"),1)="#","--",_xll.BDH(Ticker,"HIGH_CLOSING_PRICE_TO_CASH_FLOW",C$11,C$11,"EQY_CONSOLIDATED",$G$9,"ACCOUNTING_STANDARD_OVERRIDE",$G$7,"Per",$B$11,"Days=A"))</f>
        <v>29.415700000000001</v>
      </c>
      <c r="D53" s="148">
        <f>IF(LEFT(_xll.BDH(Ticker,"HIGH_CLOSING_PRICE_TO_CASH_FLOW",D$11,D$11,"EQY_CONSOLIDATED",$G$9,"ACCOUNTING_STANDARD_OVERRIDE",$G$7,"Per",$B$11,"Days=A"),1)="#","--",_xll.BDH(Ticker,"HIGH_CLOSING_PRICE_TO_CASH_FLOW",D$11,D$11,"EQY_CONSOLIDATED",$G$9,"ACCOUNTING_STANDARD_OVERRIDE",$G$7,"Per",$B$11,"Days=A"))</f>
        <v>18.116199999999999</v>
      </c>
      <c r="E53" s="148">
        <f>IF(LEFT(_xll.BDH(Ticker,"HIGH_CLOSING_PRICE_TO_CASH_FLOW",E$11,E$11,"EQY_CONSOLIDATED",$G$9,"ACCOUNTING_STANDARD_OVERRIDE",$G$7,"Per",$B$11,"Days=A"),1)="#","--",_xll.BDH(Ticker,"HIGH_CLOSING_PRICE_TO_CASH_FLOW",E$11,E$11,"EQY_CONSOLIDATED",$G$9,"ACCOUNTING_STANDARD_OVERRIDE",$G$7,"Per",$B$11,"Days=A"))</f>
        <v>16.0184</v>
      </c>
      <c r="F53" s="148">
        <f>IF(LEFT(_xll.BDH(Ticker,"HIGH_CLOSING_PRICE_TO_CASH_FLOW",F$11,F$11,"EQY_CONSOLIDATED",$G$9,"ACCOUNTING_STANDARD_OVERRIDE",$G$7,"Per",$B$11,"Days=A"),1)="#","--",_xll.BDH(Ticker,"HIGH_CLOSING_PRICE_TO_CASH_FLOW",F$11,F$11,"EQY_CONSOLIDATED",$G$9,"ACCOUNTING_STANDARD_OVERRIDE",$G$7,"Per",$B$11,"Days=A"))</f>
        <v>16.673400000000001</v>
      </c>
      <c r="G53" s="148">
        <f>IF(LEFT(_xll.BDH(Ticker,"HIGH_CLOSING_PRICE_TO_CASH_FLOW",G$11,G$11,"EQY_CONSOLIDATED",$G$9,"ACCOUNTING_STANDARD_OVERRIDE",$G$7,"Per",$B$11,"Days=A"),1)="#","--",_xll.BDH(Ticker,"HIGH_CLOSING_PRICE_TO_CASH_FLOW",G$11,G$11,"EQY_CONSOLIDATED",$G$9,"ACCOUNTING_STANDARD_OVERRIDE",$G$7,"Per",$B$11,"Days=A"))</f>
        <v>15.2471</v>
      </c>
      <c r="H53" s="148">
        <f>IF(LEFT(_xll.BDH(Ticker,"HIGH_CLOSING_PRICE_TO_CASH_FLOW",H$11,H$11,"EQY_CONSOLIDATED",$G$9,"ACCOUNTING_STANDARD_OVERRIDE",$G$7,"Per",$B$11,"Days=A"),1)="#","--",_xll.BDH(Ticker,"HIGH_CLOSING_PRICE_TO_CASH_FLOW",H$11,H$11,"EQY_CONSOLIDATED",$G$9,"ACCOUNTING_STANDARD_OVERRIDE",$G$7,"Per",$B$11,"Days=A"))</f>
        <v>17.316500000000001</v>
      </c>
      <c r="I53" s="148">
        <f>IF(LEFT(_xll.BDH(Ticker,"HIGH_CLOSING_PRICE_TO_CASH_FLOW",I$11,I$11,"EQY_CONSOLIDATED",$G$9,"ACCOUNTING_STANDARD_OVERRIDE",$G$7,"Per",$B$11,"Days=A"),1)="#","--",_xll.BDH(Ticker,"HIGH_CLOSING_PRICE_TO_CASH_FLOW",I$11,I$11,"EQY_CONSOLIDATED",$G$9,"ACCOUNTING_STANDARD_OVERRIDE",$G$7,"Per",$B$11,"Days=A"))</f>
        <v>20.035900000000002</v>
      </c>
      <c r="J53" s="148">
        <f>IF(LEFT(_xll.BDH(Ticker,"HIGH_CLOSING_PRICE_TO_CASH_FLOW",J$11,J$11,"EQY_CONSOLIDATED",$G$9,"ACCOUNTING_STANDARD_OVERRIDE",$G$7,"Per",$B$11,"Days=A"),1)="#","--",_xll.BDH(Ticker,"HIGH_CLOSING_PRICE_TO_CASH_FLOW",J$11,J$11,"EQY_CONSOLIDATED",$G$9,"ACCOUNTING_STANDARD_OVERRIDE",$G$7,"Per",$B$11,"Days=A"))</f>
        <v>38.933500000000002</v>
      </c>
      <c r="K53" s="148">
        <f>IF(LEFT(_xll.BDH(Ticker,"HIGH_CLOSING_PRICE_TO_CASH_FLOW",K$11,K$11,"EQY_CONSOLIDATED",$G$9,"ACCOUNTING_STANDARD_OVERRIDE",$G$7,"Per",$B$11,"Days=A"),1)="#","--",_xll.BDH(Ticker,"HIGH_CLOSING_PRICE_TO_CASH_FLOW",K$11,K$11,"EQY_CONSOLIDATED",$G$9,"ACCOUNTING_STANDARD_OVERRIDE",$G$7,"Per",$B$11,"Days=A"))</f>
        <v>51.450499999999998</v>
      </c>
      <c r="L53" s="148">
        <f>IF(LEFT(_xll.BDH(Ticker,"HIGH_CLOSING_PRICE_TO_CASH_FLOW",L$11,L$11,"EQY_CONSOLIDATED",$G$9,"ACCOUNTING_STANDARD_OVERRIDE",$G$7,"Per",$B$11,"Days=A"),1)="#","--",_xll.BDH(Ticker,"HIGH_CLOSING_PRICE_TO_CASH_FLOW",L$11,L$11,"EQY_CONSOLIDATED",$G$9,"ACCOUNTING_STANDARD_OVERRIDE",$G$7,"Per",$B$11,"Days=A"))</f>
        <v>37.145699999999998</v>
      </c>
      <c r="M53" s="148">
        <f>IF(LEFT(_xll.BDH(Ticker,"HIGH_CLOSING_PRICE_TO_CASH_FLOW",M$11,M$11,"EQY_CONSOLIDATED",$G$9,"ACCOUNTING_STANDARD_OVERRIDE",$G$7,"Per",$B$11,"Days=A"),1)="#","--",_xll.BDH(Ticker,"HIGH_CLOSING_PRICE_TO_CASH_FLOW",M$11,M$11,"EQY_CONSOLIDATED",$G$9,"ACCOUNTING_STANDARD_OVERRIDE",$G$7,"Per",$B$11,"Days=A"))</f>
        <v>43.128700000000002</v>
      </c>
      <c r="N53" s="139"/>
      <c r="O53" s="139"/>
      <c r="P53" s="139"/>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39"/>
      <c r="BH53" s="139"/>
      <c r="BI53" s="139"/>
      <c r="BJ53" s="139"/>
      <c r="BK53" s="139"/>
      <c r="BL53" s="139"/>
      <c r="BM53" s="139"/>
      <c r="BN53" s="139"/>
      <c r="BO53" s="139"/>
      <c r="BP53" s="139"/>
      <c r="BQ53" s="139"/>
      <c r="BR53" s="139"/>
      <c r="BS53" s="139"/>
      <c r="BT53" s="139"/>
      <c r="BU53" s="139"/>
      <c r="BV53" s="139"/>
      <c r="BW53" s="139"/>
      <c r="BX53" s="139"/>
      <c r="BY53" s="139"/>
      <c r="BZ53" s="139"/>
      <c r="CA53" s="139"/>
      <c r="CB53" s="139"/>
      <c r="CC53" s="139"/>
      <c r="CD53" s="139"/>
      <c r="CE53" s="139"/>
      <c r="CF53" s="139"/>
      <c r="CG53" s="139"/>
      <c r="CH53" s="139"/>
      <c r="CI53" s="139"/>
      <c r="CJ53" s="139"/>
      <c r="CK53" s="139"/>
      <c r="CL53" s="139"/>
      <c r="CM53" s="139"/>
      <c r="CN53" s="139"/>
      <c r="CO53" s="139"/>
      <c r="CP53" s="139"/>
      <c r="CQ53" s="139"/>
      <c r="CR53" s="139"/>
      <c r="CS53" s="139"/>
      <c r="CT53" s="139"/>
      <c r="CU53" s="139"/>
      <c r="CV53" s="139"/>
      <c r="CW53" s="139"/>
      <c r="CX53" s="139"/>
      <c r="CY53" s="139"/>
      <c r="CZ53" s="139"/>
      <c r="DA53" s="139"/>
      <c r="DB53" s="139"/>
      <c r="DC53" s="139"/>
      <c r="DD53" s="139"/>
      <c r="DE53" s="139"/>
      <c r="DF53" s="139"/>
      <c r="DG53" s="139"/>
      <c r="DH53" s="139"/>
      <c r="DI53" s="139"/>
      <c r="DJ53" s="139"/>
      <c r="DK53" s="139"/>
      <c r="DL53" s="139"/>
      <c r="DM53" s="139"/>
      <c r="DN53" s="139"/>
      <c r="DO53" s="139"/>
      <c r="DP53" s="139"/>
      <c r="DQ53" s="139"/>
      <c r="DR53" s="139"/>
      <c r="DS53" s="139"/>
      <c r="DT53" s="139"/>
      <c r="DU53" s="139"/>
      <c r="DV53" s="139"/>
      <c r="DW53" s="139"/>
      <c r="DX53" s="139"/>
      <c r="DY53" s="139"/>
      <c r="DZ53" s="139"/>
      <c r="EA53" s="139"/>
      <c r="EB53" s="139"/>
      <c r="EC53" s="139"/>
      <c r="ED53" s="139"/>
      <c r="EE53" s="139"/>
      <c r="EF53" s="139"/>
      <c r="EG53" s="139"/>
      <c r="EH53" s="139"/>
      <c r="EI53" s="139"/>
      <c r="EJ53" s="139"/>
      <c r="EK53" s="139"/>
      <c r="EL53" s="139"/>
      <c r="EM53" s="139"/>
      <c r="EN53" s="139"/>
      <c r="EO53" s="139"/>
      <c r="EP53" s="139"/>
      <c r="EQ53" s="139"/>
      <c r="ER53" s="139"/>
      <c r="ES53" s="139"/>
      <c r="ET53" s="139"/>
      <c r="EU53" s="139"/>
      <c r="EV53" s="139"/>
      <c r="EW53" s="139"/>
      <c r="EX53" s="139"/>
      <c r="EY53" s="139"/>
      <c r="EZ53" s="139"/>
      <c r="FA53" s="139"/>
      <c r="FB53" s="139"/>
      <c r="FC53" s="139"/>
      <c r="FD53" s="139"/>
      <c r="FE53" s="139"/>
      <c r="FF53" s="139"/>
      <c r="FG53" s="139"/>
      <c r="FH53" s="139"/>
      <c r="FI53" s="139"/>
      <c r="FJ53" s="139"/>
      <c r="FK53" s="139"/>
      <c r="FL53" s="139"/>
      <c r="FM53" s="139"/>
      <c r="FN53" s="139"/>
      <c r="FO53" s="139"/>
      <c r="FP53" s="139"/>
      <c r="FQ53" s="139"/>
      <c r="FR53" s="139"/>
      <c r="FS53" s="139"/>
    </row>
    <row r="54" spans="1:175">
      <c r="A54" s="77"/>
      <c r="B54" s="138" t="s">
        <v>173</v>
      </c>
      <c r="C54" s="148">
        <f>IF(LEFT(_xll.BDH(Ticker,"LOW_CLOSING_PRICE_TO_CASH_FLOW",C$11,C$11,"EQY_CONSOLIDATED",$G$9,"ACCOUNTING_STANDARD_OVERRIDE",$G$7,"Per",$B$11,"Days=A"),1)="#","--",_xll.BDH(Ticker,"LOW_CLOSING_PRICE_TO_CASH_FLOW",C$11,C$11,"EQY_CONSOLIDATED",$G$9,"ACCOUNTING_STANDARD_OVERRIDE",$G$7,"Per",$B$11,"Days=A"))</f>
        <v>13.864800000000001</v>
      </c>
      <c r="D54" s="148">
        <f>IF(LEFT(_xll.BDH(Ticker,"LOW_CLOSING_PRICE_TO_CASH_FLOW",D$11,D$11,"EQY_CONSOLIDATED",$G$9,"ACCOUNTING_STANDARD_OVERRIDE",$G$7,"Per",$B$11,"Days=A"),1)="#","--",_xll.BDH(Ticker,"LOW_CLOSING_PRICE_TO_CASH_FLOW",D$11,D$11,"EQY_CONSOLIDATED",$G$9,"ACCOUNTING_STANDARD_OVERRIDE",$G$7,"Per",$B$11,"Days=A"))</f>
        <v>10.8246</v>
      </c>
      <c r="E54" s="148">
        <f>IF(LEFT(_xll.BDH(Ticker,"LOW_CLOSING_PRICE_TO_CASH_FLOW",E$11,E$11,"EQY_CONSOLIDATED",$G$9,"ACCOUNTING_STANDARD_OVERRIDE",$G$7,"Per",$B$11,"Days=A"),1)="#","--",_xll.BDH(Ticker,"LOW_CLOSING_PRICE_TO_CASH_FLOW",E$11,E$11,"EQY_CONSOLIDATED",$G$9,"ACCOUNTING_STANDARD_OVERRIDE",$G$7,"Per",$B$11,"Days=A"))</f>
        <v>11.663600000000001</v>
      </c>
      <c r="F54" s="148">
        <f>IF(LEFT(_xll.BDH(Ticker,"LOW_CLOSING_PRICE_TO_CASH_FLOW",F$11,F$11,"EQY_CONSOLIDATED",$G$9,"ACCOUNTING_STANDARD_OVERRIDE",$G$7,"Per",$B$11,"Days=A"),1)="#","--",_xll.BDH(Ticker,"LOW_CLOSING_PRICE_TO_CASH_FLOW",F$11,F$11,"EQY_CONSOLIDATED",$G$9,"ACCOUNTING_STANDARD_OVERRIDE",$G$7,"Per",$B$11,"Days=A"))</f>
        <v>11.2232</v>
      </c>
      <c r="G54" s="148">
        <f>IF(LEFT(_xll.BDH(Ticker,"LOW_CLOSING_PRICE_TO_CASH_FLOW",G$11,G$11,"EQY_CONSOLIDATED",$G$9,"ACCOUNTING_STANDARD_OVERRIDE",$G$7,"Per",$B$11,"Days=A"),1)="#","--",_xll.BDH(Ticker,"LOW_CLOSING_PRICE_TO_CASH_FLOW",G$11,G$11,"EQY_CONSOLIDATED",$G$9,"ACCOUNTING_STANDARD_OVERRIDE",$G$7,"Per",$B$11,"Days=A"))</f>
        <v>12.591699999999999</v>
      </c>
      <c r="H54" s="148">
        <f>IF(LEFT(_xll.BDH(Ticker,"LOW_CLOSING_PRICE_TO_CASH_FLOW",H$11,H$11,"EQY_CONSOLIDATED",$G$9,"ACCOUNTING_STANDARD_OVERRIDE",$G$7,"Per",$B$11,"Days=A"),1)="#","--",_xll.BDH(Ticker,"LOW_CLOSING_PRICE_TO_CASH_FLOW",H$11,H$11,"EQY_CONSOLIDATED",$G$9,"ACCOUNTING_STANDARD_OVERRIDE",$G$7,"Per",$B$11,"Days=A"))</f>
        <v>12.8352</v>
      </c>
      <c r="I54" s="148">
        <f>IF(LEFT(_xll.BDH(Ticker,"LOW_CLOSING_PRICE_TO_CASH_FLOW",I$11,I$11,"EQY_CONSOLIDATED",$G$9,"ACCOUNTING_STANDARD_OVERRIDE",$G$7,"Per",$B$11,"Days=A"),1)="#","--",_xll.BDH(Ticker,"LOW_CLOSING_PRICE_TO_CASH_FLOW",I$11,I$11,"EQY_CONSOLIDATED",$G$9,"ACCOUNTING_STANDARD_OVERRIDE",$G$7,"Per",$B$11,"Days=A"))</f>
        <v>14.981400000000001</v>
      </c>
      <c r="J54" s="148">
        <f>IF(LEFT(_xll.BDH(Ticker,"LOW_CLOSING_PRICE_TO_CASH_FLOW",J$11,J$11,"EQY_CONSOLIDATED",$G$9,"ACCOUNTING_STANDARD_OVERRIDE",$G$7,"Per",$B$11,"Days=A"),1)="#","--",_xll.BDH(Ticker,"LOW_CLOSING_PRICE_TO_CASH_FLOW",J$11,J$11,"EQY_CONSOLIDATED",$G$9,"ACCOUNTING_STANDARD_OVERRIDE",$G$7,"Per",$B$11,"Days=A"))</f>
        <v>19.131</v>
      </c>
      <c r="K54" s="148">
        <f>IF(LEFT(_xll.BDH(Ticker,"LOW_CLOSING_PRICE_TO_CASH_FLOW",K$11,K$11,"EQY_CONSOLIDATED",$G$9,"ACCOUNTING_STANDARD_OVERRIDE",$G$7,"Per",$B$11,"Days=A"),1)="#","--",_xll.BDH(Ticker,"LOW_CLOSING_PRICE_TO_CASH_FLOW",K$11,K$11,"EQY_CONSOLIDATED",$G$9,"ACCOUNTING_STANDARD_OVERRIDE",$G$7,"Per",$B$11,"Days=A"))</f>
        <v>23.405200000000001</v>
      </c>
      <c r="L54" s="148">
        <f>IF(LEFT(_xll.BDH(Ticker,"LOW_CLOSING_PRICE_TO_CASH_FLOW",L$11,L$11,"EQY_CONSOLIDATED",$G$9,"ACCOUNTING_STANDARD_OVERRIDE",$G$7,"Per",$B$11,"Days=A"),1)="#","--",_xll.BDH(Ticker,"LOW_CLOSING_PRICE_TO_CASH_FLOW",L$11,L$11,"EQY_CONSOLIDATED",$G$9,"ACCOUNTING_STANDARD_OVERRIDE",$G$7,"Per",$B$11,"Days=A"))</f>
        <v>23.002800000000001</v>
      </c>
      <c r="M54" s="148">
        <f>IF(LEFT(_xll.BDH(Ticker,"LOW_CLOSING_PRICE_TO_CASH_FLOW",M$11,M$11,"EQY_CONSOLIDATED",$G$9,"ACCOUNTING_STANDARD_OVERRIDE",$G$7,"Per",$B$11,"Days=A"),1)="#","--",_xll.BDH(Ticker,"LOW_CLOSING_PRICE_TO_CASH_FLOW",M$11,M$11,"EQY_CONSOLIDATED",$G$9,"ACCOUNTING_STANDARD_OVERRIDE",$G$7,"Per",$B$11,"Days=A"))</f>
        <v>22.467500000000001</v>
      </c>
      <c r="N54" s="139"/>
      <c r="O54" s="139"/>
      <c r="P54" s="139"/>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39"/>
      <c r="BH54" s="139"/>
      <c r="BI54" s="139"/>
      <c r="BJ54" s="139"/>
      <c r="BK54" s="139"/>
      <c r="BL54" s="139"/>
      <c r="BM54" s="139"/>
      <c r="BN54" s="139"/>
      <c r="BO54" s="139"/>
      <c r="BP54" s="139"/>
      <c r="BQ54" s="139"/>
      <c r="BR54" s="139"/>
      <c r="BS54" s="139"/>
      <c r="BT54" s="139"/>
      <c r="BU54" s="139"/>
      <c r="BV54" s="139"/>
      <c r="BW54" s="139"/>
      <c r="BX54" s="139"/>
      <c r="BY54" s="139"/>
      <c r="BZ54" s="139"/>
      <c r="CA54" s="139"/>
      <c r="CB54" s="139"/>
      <c r="CC54" s="139"/>
      <c r="CD54" s="139"/>
      <c r="CE54" s="139"/>
      <c r="CF54" s="139"/>
      <c r="CG54" s="139"/>
      <c r="CH54" s="139"/>
      <c r="CI54" s="139"/>
      <c r="CJ54" s="139"/>
      <c r="CK54" s="139"/>
      <c r="CL54" s="139"/>
      <c r="CM54" s="139"/>
      <c r="CN54" s="139"/>
      <c r="CO54" s="139"/>
      <c r="CP54" s="139"/>
      <c r="CQ54" s="139"/>
      <c r="CR54" s="139"/>
      <c r="CS54" s="139"/>
      <c r="CT54" s="139"/>
      <c r="CU54" s="139"/>
      <c r="CV54" s="139"/>
      <c r="CW54" s="139"/>
      <c r="CX54" s="139"/>
      <c r="CY54" s="139"/>
      <c r="CZ54" s="139"/>
      <c r="DA54" s="139"/>
      <c r="DB54" s="139"/>
      <c r="DC54" s="139"/>
      <c r="DD54" s="139"/>
      <c r="DE54" s="139"/>
      <c r="DF54" s="139"/>
      <c r="DG54" s="139"/>
      <c r="DH54" s="139"/>
      <c r="DI54" s="139"/>
      <c r="DJ54" s="139"/>
      <c r="DK54" s="139"/>
      <c r="DL54" s="139"/>
      <c r="DM54" s="139"/>
      <c r="DN54" s="139"/>
      <c r="DO54" s="139"/>
      <c r="DP54" s="139"/>
      <c r="DQ54" s="139"/>
      <c r="DR54" s="139"/>
      <c r="DS54" s="139"/>
      <c r="DT54" s="139"/>
      <c r="DU54" s="139"/>
      <c r="DV54" s="139"/>
      <c r="DW54" s="139"/>
      <c r="DX54" s="139"/>
      <c r="DY54" s="139"/>
      <c r="DZ54" s="139"/>
      <c r="EA54" s="139"/>
      <c r="EB54" s="139"/>
      <c r="EC54" s="139"/>
      <c r="ED54" s="139"/>
      <c r="EE54" s="139"/>
      <c r="EF54" s="139"/>
      <c r="EG54" s="139"/>
      <c r="EH54" s="139"/>
      <c r="EI54" s="139"/>
      <c r="EJ54" s="139"/>
      <c r="EK54" s="139"/>
      <c r="EL54" s="139"/>
      <c r="EM54" s="139"/>
      <c r="EN54" s="139"/>
      <c r="EO54" s="139"/>
      <c r="EP54" s="139"/>
      <c r="EQ54" s="139"/>
      <c r="ER54" s="139"/>
      <c r="ES54" s="139"/>
      <c r="ET54" s="139"/>
      <c r="EU54" s="139"/>
      <c r="EV54" s="139"/>
      <c r="EW54" s="139"/>
      <c r="EX54" s="139"/>
      <c r="EY54" s="139"/>
      <c r="EZ54" s="139"/>
      <c r="FA54" s="139"/>
      <c r="FB54" s="139"/>
      <c r="FC54" s="139"/>
      <c r="FD54" s="139"/>
      <c r="FE54" s="139"/>
      <c r="FF54" s="139"/>
      <c r="FG54" s="139"/>
      <c r="FH54" s="139"/>
      <c r="FI54" s="139"/>
      <c r="FJ54" s="139"/>
      <c r="FK54" s="139"/>
      <c r="FL54" s="139"/>
      <c r="FM54" s="139"/>
      <c r="FN54" s="139"/>
      <c r="FO54" s="139"/>
      <c r="FP54" s="139"/>
      <c r="FQ54" s="139"/>
      <c r="FR54" s="139"/>
      <c r="FS54" s="139"/>
    </row>
    <row r="55" spans="1:175">
      <c r="A55" s="77"/>
      <c r="B55" s="138"/>
      <c r="C55" s="148"/>
      <c r="D55" s="148"/>
      <c r="E55" s="148"/>
      <c r="F55" s="148"/>
      <c r="G55" s="148"/>
      <c r="H55" s="148"/>
      <c r="I55" s="148"/>
      <c r="J55" s="148"/>
      <c r="K55" s="148"/>
      <c r="L55" s="148"/>
      <c r="M55" s="148"/>
      <c r="N55" s="139"/>
      <c r="O55" s="139"/>
      <c r="P55" s="139"/>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39"/>
      <c r="BH55" s="139"/>
      <c r="BI55" s="139"/>
      <c r="BJ55" s="139"/>
      <c r="BK55" s="139"/>
      <c r="BL55" s="139"/>
      <c r="BM55" s="139"/>
      <c r="BN55" s="139"/>
      <c r="BO55" s="139"/>
      <c r="BP55" s="139"/>
      <c r="BQ55" s="139"/>
      <c r="BR55" s="139"/>
      <c r="BS55" s="139"/>
      <c r="BT55" s="139"/>
      <c r="BU55" s="139"/>
      <c r="BV55" s="139"/>
      <c r="BW55" s="139"/>
      <c r="BX55" s="139"/>
      <c r="BY55" s="139"/>
      <c r="BZ55" s="139"/>
      <c r="CA55" s="139"/>
      <c r="CB55" s="139"/>
      <c r="CC55" s="139"/>
      <c r="CD55" s="139"/>
      <c r="CE55" s="139"/>
      <c r="CF55" s="139"/>
      <c r="CG55" s="139"/>
      <c r="CH55" s="139"/>
      <c r="CI55" s="139"/>
      <c r="CJ55" s="139"/>
      <c r="CK55" s="139"/>
      <c r="CL55" s="139"/>
      <c r="CM55" s="139"/>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39"/>
      <c r="EI55" s="139"/>
      <c r="EJ55" s="139"/>
      <c r="EK55" s="139"/>
      <c r="EL55" s="139"/>
      <c r="EM55" s="139"/>
      <c r="EN55" s="139"/>
      <c r="EO55" s="139"/>
      <c r="EP55" s="139"/>
      <c r="EQ55" s="139"/>
      <c r="ER55" s="139"/>
      <c r="ES55" s="139"/>
      <c r="ET55" s="139"/>
      <c r="EU55" s="139"/>
      <c r="EV55" s="139"/>
      <c r="EW55" s="139"/>
      <c r="EX55" s="139"/>
      <c r="EY55" s="139"/>
      <c r="EZ55" s="139"/>
      <c r="FA55" s="139"/>
      <c r="FB55" s="139"/>
      <c r="FC55" s="139"/>
      <c r="FD55" s="139"/>
      <c r="FE55" s="139"/>
      <c r="FF55" s="139"/>
      <c r="FG55" s="139"/>
      <c r="FH55" s="139"/>
      <c r="FI55" s="139"/>
      <c r="FJ55" s="139"/>
      <c r="FK55" s="139"/>
      <c r="FL55" s="139"/>
      <c r="FM55" s="139"/>
      <c r="FN55" s="139"/>
      <c r="FO55" s="139"/>
      <c r="FP55" s="139"/>
      <c r="FQ55" s="139"/>
      <c r="FR55" s="139"/>
      <c r="FS55" s="139"/>
    </row>
    <row r="56" spans="1:175">
      <c r="A56" s="77"/>
      <c r="B56" s="135" t="s">
        <v>364</v>
      </c>
      <c r="C56" s="150"/>
      <c r="D56" s="150"/>
      <c r="E56" s="150"/>
      <c r="F56" s="150"/>
      <c r="G56" s="150"/>
      <c r="H56" s="150"/>
      <c r="I56" s="150"/>
      <c r="J56" s="150"/>
      <c r="K56" s="150"/>
      <c r="L56" s="150"/>
      <c r="M56" s="150"/>
      <c r="N56" s="139"/>
      <c r="O56" s="139"/>
      <c r="P56" s="139"/>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39"/>
      <c r="BH56" s="139"/>
      <c r="BI56" s="139"/>
      <c r="BJ56" s="139"/>
      <c r="BK56" s="139"/>
      <c r="BL56" s="139"/>
      <c r="BM56" s="139"/>
      <c r="BN56" s="139"/>
      <c r="BO56" s="139"/>
      <c r="BP56" s="139"/>
      <c r="BQ56" s="139"/>
      <c r="BR56" s="139"/>
      <c r="BS56" s="139"/>
      <c r="BT56" s="139"/>
      <c r="BU56" s="139"/>
      <c r="BV56" s="139"/>
      <c r="BW56" s="139"/>
      <c r="BX56" s="139"/>
      <c r="BY56" s="139"/>
      <c r="BZ56" s="139"/>
      <c r="CA56" s="139"/>
      <c r="CB56" s="139"/>
      <c r="CC56" s="139"/>
      <c r="CD56" s="139"/>
      <c r="CE56" s="139"/>
      <c r="CF56" s="139"/>
      <c r="CG56" s="139"/>
      <c r="CH56" s="139"/>
      <c r="CI56" s="139"/>
      <c r="CJ56" s="139"/>
      <c r="CK56" s="139"/>
      <c r="CL56" s="139"/>
      <c r="CM56" s="139"/>
      <c r="CN56" s="139"/>
      <c r="CO56" s="139"/>
      <c r="CP56" s="139"/>
      <c r="CQ56" s="139"/>
      <c r="CR56" s="139"/>
      <c r="CS56" s="139"/>
      <c r="CT56" s="139"/>
      <c r="CU56" s="139"/>
      <c r="CV56" s="139"/>
      <c r="CW56" s="139"/>
      <c r="CX56" s="139"/>
      <c r="CY56" s="139"/>
      <c r="CZ56" s="139"/>
      <c r="DA56" s="139"/>
      <c r="DB56" s="139"/>
      <c r="DC56" s="139"/>
      <c r="DD56" s="139"/>
      <c r="DE56" s="139"/>
      <c r="DF56" s="139"/>
      <c r="DG56" s="139"/>
      <c r="DH56" s="139"/>
      <c r="DI56" s="139"/>
      <c r="DJ56" s="139"/>
      <c r="DK56" s="139"/>
      <c r="DL56" s="139"/>
      <c r="DM56" s="139"/>
      <c r="DN56" s="139"/>
      <c r="DO56" s="139"/>
      <c r="DP56" s="139"/>
      <c r="DQ56" s="139"/>
      <c r="DR56" s="139"/>
      <c r="DS56" s="139"/>
      <c r="DT56" s="139"/>
      <c r="DU56" s="139"/>
      <c r="DV56" s="139"/>
      <c r="DW56" s="139"/>
      <c r="DX56" s="139"/>
      <c r="DY56" s="139"/>
      <c r="DZ56" s="139"/>
      <c r="EA56" s="139"/>
      <c r="EB56" s="139"/>
      <c r="EC56" s="139"/>
      <c r="ED56" s="139"/>
      <c r="EE56" s="139"/>
      <c r="EF56" s="139"/>
      <c r="EG56" s="139"/>
      <c r="EH56" s="139"/>
      <c r="EI56" s="139"/>
      <c r="EJ56" s="139"/>
      <c r="EK56" s="139"/>
      <c r="EL56" s="139"/>
      <c r="EM56" s="139"/>
      <c r="EN56" s="139"/>
      <c r="EO56" s="139"/>
      <c r="EP56" s="139"/>
      <c r="EQ56" s="139"/>
      <c r="ER56" s="139"/>
      <c r="ES56" s="139"/>
      <c r="ET56" s="139"/>
      <c r="EU56" s="139"/>
      <c r="EV56" s="139"/>
      <c r="EW56" s="139"/>
      <c r="EX56" s="139"/>
      <c r="EY56" s="139"/>
      <c r="EZ56" s="139"/>
      <c r="FA56" s="139"/>
      <c r="FB56" s="139"/>
      <c r="FC56" s="139"/>
      <c r="FD56" s="139"/>
      <c r="FE56" s="139"/>
      <c r="FF56" s="139"/>
      <c r="FG56" s="139"/>
      <c r="FH56" s="139"/>
      <c r="FI56" s="139"/>
      <c r="FJ56" s="139"/>
      <c r="FK56" s="139"/>
      <c r="FL56" s="139"/>
      <c r="FM56" s="139"/>
      <c r="FN56" s="139"/>
      <c r="FO56" s="139"/>
      <c r="FP56" s="139"/>
      <c r="FQ56" s="139"/>
      <c r="FR56" s="139"/>
      <c r="FS56" s="139"/>
    </row>
    <row r="57" spans="1:175">
      <c r="A57" s="77"/>
      <c r="B57" s="136" t="s">
        <v>174</v>
      </c>
      <c r="C57" s="147">
        <f>IF(LEFT(_xll.BDH(Ticker,"PX_TO_FREE_CASH_FLOW",C$11,C$11,"EQY_CONSOLIDATED",$G$9,"ACCOUNTING_STANDARD_OVERRIDE",$G$7,"Per",$B$11,"Days=A"),1)="#","--",_xll.BDH(Ticker,"PX_TO_FREE_CASH_FLOW",C$11,C$11,"EQY_CONSOLIDATED",$G$9,"ACCOUNTING_STANDARD_OVERRIDE",$G$7,"Per",$B$11,"Days=A"))</f>
        <v>15.973000000000001</v>
      </c>
      <c r="D57" s="147">
        <f>IF(LEFT(_xll.BDH(Ticker,"PX_TO_FREE_CASH_FLOW",D$11,D$11,"EQY_CONSOLIDATED",$G$9,"ACCOUNTING_STANDARD_OVERRIDE",$G$7,"Per",$B$11,"Days=A"),1)="#","--",_xll.BDH(Ticker,"PX_TO_FREE_CASH_FLOW",D$11,D$11,"EQY_CONSOLIDATED",$G$9,"ACCOUNTING_STANDARD_OVERRIDE",$G$7,"Per",$B$11,"Days=A"))</f>
        <v>15.0504</v>
      </c>
      <c r="E57" s="147">
        <f>IF(LEFT(_xll.BDH(Ticker,"PX_TO_FREE_CASH_FLOW",E$11,E$11,"EQY_CONSOLIDATED",$G$9,"ACCOUNTING_STANDARD_OVERRIDE",$G$7,"Per",$B$11,"Days=A"),1)="#","--",_xll.BDH(Ticker,"PX_TO_FREE_CASH_FLOW",E$11,E$11,"EQY_CONSOLIDATED",$G$9,"ACCOUNTING_STANDARD_OVERRIDE",$G$7,"Per",$B$11,"Days=A"))</f>
        <v>15.5946</v>
      </c>
      <c r="F57" s="147">
        <f>IF(LEFT(_xll.BDH(Ticker,"PX_TO_FREE_CASH_FLOW",F$11,F$11,"EQY_CONSOLIDATED",$G$9,"ACCOUNTING_STANDARD_OVERRIDE",$G$7,"Per",$B$11,"Days=A"),1)="#","--",_xll.BDH(Ticker,"PX_TO_FREE_CASH_FLOW",F$11,F$11,"EQY_CONSOLIDATED",$G$9,"ACCOUNTING_STANDARD_OVERRIDE",$G$7,"Per",$B$11,"Days=A"))</f>
        <v>15.9047</v>
      </c>
      <c r="G57" s="147">
        <f>IF(LEFT(_xll.BDH(Ticker,"PX_TO_FREE_CASH_FLOW",G$11,G$11,"EQY_CONSOLIDATED",$G$9,"ACCOUNTING_STANDARD_OVERRIDE",$G$7,"Per",$B$11,"Days=A"),1)="#","--",_xll.BDH(Ticker,"PX_TO_FREE_CASH_FLOW",G$11,G$11,"EQY_CONSOLIDATED",$G$9,"ACCOUNTING_STANDARD_OVERRIDE",$G$7,"Per",$B$11,"Days=A"))</f>
        <v>14.4191</v>
      </c>
      <c r="H57" s="147">
        <f>IF(LEFT(_xll.BDH(Ticker,"PX_TO_FREE_CASH_FLOW",H$11,H$11,"EQY_CONSOLIDATED",$G$9,"ACCOUNTING_STANDARD_OVERRIDE",$G$7,"Per",$B$11,"Days=A"),1)="#","--",_xll.BDH(Ticker,"PX_TO_FREE_CASH_FLOW",H$11,H$11,"EQY_CONSOLIDATED",$G$9,"ACCOUNTING_STANDARD_OVERRIDE",$G$7,"Per",$B$11,"Days=A"))</f>
        <v>16.8232</v>
      </c>
      <c r="I57" s="147">
        <f>IF(LEFT(_xll.BDH(Ticker,"PX_TO_FREE_CASH_FLOW",I$11,I$11,"EQY_CONSOLIDATED",$G$9,"ACCOUNTING_STANDARD_OVERRIDE",$G$7,"Per",$B$11,"Days=A"),1)="#","--",_xll.BDH(Ticker,"PX_TO_FREE_CASH_FLOW",I$11,I$11,"EQY_CONSOLIDATED",$G$9,"ACCOUNTING_STANDARD_OVERRIDE",$G$7,"Per",$B$11,"Days=A"))</f>
        <v>23.049600000000002</v>
      </c>
      <c r="J57" s="147">
        <f>IF(LEFT(_xll.BDH(Ticker,"PX_TO_FREE_CASH_FLOW",J$11,J$11,"EQY_CONSOLIDATED",$G$9,"ACCOUNTING_STANDARD_OVERRIDE",$G$7,"Per",$B$11,"Days=A"),1)="#","--",_xll.BDH(Ticker,"PX_TO_FREE_CASH_FLOW",J$11,J$11,"EQY_CONSOLIDATED",$G$9,"ACCOUNTING_STANDARD_OVERRIDE",$G$7,"Per",$B$11,"Days=A"))</f>
        <v>55.645800000000001</v>
      </c>
      <c r="K57" s="147">
        <f>IF(LEFT(_xll.BDH(Ticker,"PX_TO_FREE_CASH_FLOW",K$11,K$11,"EQY_CONSOLIDATED",$G$9,"ACCOUNTING_STANDARD_OVERRIDE",$G$7,"Per",$B$11,"Days=A"),1)="#","--",_xll.BDH(Ticker,"PX_TO_FREE_CASH_FLOW",K$11,K$11,"EQY_CONSOLIDATED",$G$9,"ACCOUNTING_STANDARD_OVERRIDE",$G$7,"Per",$B$11,"Days=A"))</f>
        <v>31.453299999999999</v>
      </c>
      <c r="L57" s="147">
        <f>IF(LEFT(_xll.BDH(Ticker,"PX_TO_FREE_CASH_FLOW",L$11,L$11,"EQY_CONSOLIDATED",$G$9,"ACCOUNTING_STANDARD_OVERRIDE",$G$7,"Per",$B$11,"Days=A"),1)="#","--",_xll.BDH(Ticker,"PX_TO_FREE_CASH_FLOW",L$11,L$11,"EQY_CONSOLIDATED",$G$9,"ACCOUNTING_STANDARD_OVERRIDE",$G$7,"Per",$B$11,"Days=A"))</f>
        <v>60.260300000000001</v>
      </c>
      <c r="M57" s="147">
        <f>IF(LEFT(_xll.BDH(Ticker,"PX_TO_FREE_CASH_FLOW",M$11,M$11,"EQY_CONSOLIDATED",$G$9,"ACCOUNTING_STANDARD_OVERRIDE",$G$7,"Per",$B$11,"Days=A"),1)="#","--",_xll.BDH(Ticker,"PX_TO_FREE_CASH_FLOW",M$11,M$11,"EQY_CONSOLIDATED",$G$9,"ACCOUNTING_STANDARD_OVERRIDE",$G$7,"Per",$B$11,"Days=A"))</f>
        <v>28.773399999999999</v>
      </c>
      <c r="N57" s="132"/>
      <c r="O57" s="132"/>
      <c r="P57" s="132"/>
      <c r="Q57" s="137"/>
      <c r="R57" s="137"/>
      <c r="S57" s="137"/>
      <c r="T57" s="137"/>
      <c r="U57" s="137"/>
      <c r="V57" s="137"/>
      <c r="W57" s="137"/>
      <c r="X57" s="137"/>
      <c r="Y57" s="137"/>
      <c r="Z57" s="137"/>
      <c r="AA57" s="137"/>
      <c r="AB57" s="137"/>
      <c r="AC57" s="137"/>
      <c r="AD57" s="137"/>
      <c r="AE57" s="137"/>
      <c r="AF57" s="137"/>
      <c r="AG57" s="137"/>
      <c r="AH57" s="137"/>
      <c r="AI57" s="137"/>
      <c r="AJ57" s="13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137"/>
      <c r="BG57" s="132"/>
      <c r="BH57" s="132"/>
      <c r="BI57" s="132"/>
      <c r="BJ57" s="132"/>
      <c r="BK57" s="132"/>
      <c r="BL57" s="132"/>
      <c r="BM57" s="132"/>
      <c r="BN57" s="132"/>
      <c r="BO57" s="132"/>
      <c r="BP57" s="132"/>
      <c r="BQ57" s="132"/>
      <c r="BR57" s="132"/>
      <c r="BS57" s="132"/>
      <c r="BT57" s="132"/>
      <c r="BU57" s="132"/>
      <c r="BV57" s="132"/>
      <c r="BW57" s="132"/>
      <c r="BX57" s="132"/>
      <c r="BY57" s="132"/>
      <c r="BZ57" s="132"/>
      <c r="CA57" s="132"/>
      <c r="CB57" s="132"/>
      <c r="CC57" s="132"/>
      <c r="CD57" s="132"/>
      <c r="CE57" s="132"/>
      <c r="CF57" s="132"/>
      <c r="CG57" s="132"/>
      <c r="CH57" s="132"/>
      <c r="CI57" s="132"/>
      <c r="CJ57" s="132"/>
      <c r="CK57" s="132"/>
      <c r="CL57" s="132"/>
      <c r="CM57" s="132"/>
      <c r="CN57" s="132"/>
      <c r="CO57" s="132"/>
      <c r="CP57" s="132"/>
      <c r="CQ57" s="132"/>
      <c r="CR57" s="132"/>
      <c r="CS57" s="132"/>
      <c r="CT57" s="132"/>
      <c r="CU57" s="132"/>
      <c r="CV57" s="132"/>
      <c r="CW57" s="132"/>
      <c r="CX57" s="132"/>
      <c r="CY57" s="132"/>
      <c r="CZ57" s="132"/>
      <c r="DA57" s="132"/>
      <c r="DB57" s="132"/>
      <c r="DC57" s="132"/>
      <c r="DD57" s="132"/>
      <c r="DE57" s="132"/>
      <c r="DF57" s="132"/>
      <c r="DG57" s="132"/>
      <c r="DH57" s="132"/>
      <c r="DI57" s="132"/>
      <c r="DJ57" s="132"/>
      <c r="DK57" s="132"/>
      <c r="DL57" s="132"/>
      <c r="DM57" s="132"/>
      <c r="DN57" s="132"/>
      <c r="DO57" s="132"/>
      <c r="DP57" s="132"/>
      <c r="DQ57" s="132"/>
      <c r="DR57" s="132"/>
      <c r="DS57" s="132"/>
      <c r="DT57" s="132"/>
      <c r="DU57" s="132"/>
      <c r="DV57" s="132"/>
      <c r="DW57" s="132"/>
      <c r="DX57" s="132"/>
      <c r="DY57" s="132"/>
      <c r="DZ57" s="132"/>
      <c r="EA57" s="132"/>
      <c r="EB57" s="132"/>
      <c r="EC57" s="132"/>
      <c r="ED57" s="132"/>
      <c r="EE57" s="132"/>
      <c r="EF57" s="132"/>
      <c r="EG57" s="132"/>
      <c r="EH57" s="132"/>
      <c r="EI57" s="132"/>
      <c r="EJ57" s="132"/>
      <c r="EK57" s="132"/>
      <c r="EL57" s="132"/>
      <c r="EM57" s="132"/>
      <c r="EN57" s="132"/>
      <c r="EO57" s="132"/>
      <c r="EP57" s="132"/>
      <c r="EQ57" s="132"/>
      <c r="ER57" s="132"/>
      <c r="ES57" s="132"/>
      <c r="ET57" s="132"/>
      <c r="EU57" s="132"/>
      <c r="EV57" s="132"/>
      <c r="EW57" s="132"/>
      <c r="EX57" s="132"/>
      <c r="EY57" s="132"/>
      <c r="EZ57" s="132"/>
      <c r="FA57" s="132"/>
      <c r="FB57" s="132"/>
      <c r="FC57" s="132"/>
      <c r="FD57" s="132"/>
      <c r="FE57" s="132"/>
      <c r="FF57" s="132"/>
      <c r="FG57" s="132"/>
      <c r="FH57" s="132"/>
      <c r="FI57" s="132"/>
      <c r="FJ57" s="132"/>
      <c r="FK57" s="132"/>
      <c r="FL57" s="132"/>
      <c r="FM57" s="132"/>
      <c r="FN57" s="132"/>
      <c r="FO57" s="132"/>
      <c r="FP57" s="132"/>
      <c r="FQ57" s="132"/>
      <c r="FR57" s="132"/>
      <c r="FS57" s="132"/>
    </row>
    <row r="58" spans="1:175">
      <c r="A58" s="77"/>
      <c r="B58" s="138" t="s">
        <v>171</v>
      </c>
      <c r="C58" s="148">
        <f>IF(LEFT(_xll.BDH(Ticker,"AVERAGE_PRICE_TO_FREE_CASH_FLOW",C$11,C$11,"EQY_CONSOLIDATED",$G$9,"ACCOUNTING_STANDARD_OVERRIDE",$G$7,"Per",$B$11,"Days=A"),1)="#","--",_xll.BDH(Ticker,"AVERAGE_PRICE_TO_FREE_CASH_FLOW",C$11,C$11,"EQY_CONSOLIDATED",$G$9,"ACCOUNTING_STANDARD_OVERRIDE",$G$7,"Per",$B$11,"Days=A"))</f>
        <v>29.471599999999999</v>
      </c>
      <c r="D58" s="148">
        <f>IF(LEFT(_xll.BDH(Ticker,"AVERAGE_PRICE_TO_FREE_CASH_FLOW",D$11,D$11,"EQY_CONSOLIDATED",$G$9,"ACCOUNTING_STANDARD_OVERRIDE",$G$7,"Per",$B$11,"Days=A"),1)="#","--",_xll.BDH(Ticker,"AVERAGE_PRICE_TO_FREE_CASH_FLOW",D$11,D$11,"EQY_CONSOLIDATED",$G$9,"ACCOUNTING_STANDARD_OVERRIDE",$G$7,"Per",$B$11,"Days=A"))</f>
        <v>16.673000000000002</v>
      </c>
      <c r="E58" s="148">
        <f>IF(LEFT(_xll.BDH(Ticker,"AVERAGE_PRICE_TO_FREE_CASH_FLOW",E$11,E$11,"EQY_CONSOLIDATED",$G$9,"ACCOUNTING_STANDARD_OVERRIDE",$G$7,"Per",$B$11,"Days=A"),1)="#","--",_xll.BDH(Ticker,"AVERAGE_PRICE_TO_FREE_CASH_FLOW",E$11,E$11,"EQY_CONSOLIDATED",$G$9,"ACCOUNTING_STANDARD_OVERRIDE",$G$7,"Per",$B$11,"Days=A"))</f>
        <v>15.566000000000001</v>
      </c>
      <c r="F58" s="148">
        <f>IF(LEFT(_xll.BDH(Ticker,"AVERAGE_PRICE_TO_FREE_CASH_FLOW",F$11,F$11,"EQY_CONSOLIDATED",$G$9,"ACCOUNTING_STANDARD_OVERRIDE",$G$7,"Per",$B$11,"Days=A"),1)="#","--",_xll.BDH(Ticker,"AVERAGE_PRICE_TO_FREE_CASH_FLOW",F$11,F$11,"EQY_CONSOLIDATED",$G$9,"ACCOUNTING_STANDARD_OVERRIDE",$G$7,"Per",$B$11,"Days=A"))</f>
        <v>15.919</v>
      </c>
      <c r="G58" s="148">
        <f>IF(LEFT(_xll.BDH(Ticker,"AVERAGE_PRICE_TO_FREE_CASH_FLOW",G$11,G$11,"EQY_CONSOLIDATED",$G$9,"ACCOUNTING_STANDARD_OVERRIDE",$G$7,"Per",$B$11,"Days=A"),1)="#","--",_xll.BDH(Ticker,"AVERAGE_PRICE_TO_FREE_CASH_FLOW",G$11,G$11,"EQY_CONSOLIDATED",$G$9,"ACCOUNTING_STANDARD_OVERRIDE",$G$7,"Per",$B$11,"Days=A"))</f>
        <v>17.151499999999999</v>
      </c>
      <c r="H58" s="148">
        <f>IF(LEFT(_xll.BDH(Ticker,"AVERAGE_PRICE_TO_FREE_CASH_FLOW",H$11,H$11,"EQY_CONSOLIDATED",$G$9,"ACCOUNTING_STANDARD_OVERRIDE",$G$7,"Per",$B$11,"Days=A"),1)="#","--",_xll.BDH(Ticker,"AVERAGE_PRICE_TO_FREE_CASH_FLOW",H$11,H$11,"EQY_CONSOLIDATED",$G$9,"ACCOUNTING_STANDARD_OVERRIDE",$G$7,"Per",$B$11,"Days=A"))</f>
        <v>17.8461</v>
      </c>
      <c r="I58" s="148">
        <f>IF(LEFT(_xll.BDH(Ticker,"AVERAGE_PRICE_TO_FREE_CASH_FLOW",I$11,I$11,"EQY_CONSOLIDATED",$G$9,"ACCOUNTING_STANDARD_OVERRIDE",$G$7,"Per",$B$11,"Days=A"),1)="#","--",_xll.BDH(Ticker,"AVERAGE_PRICE_TO_FREE_CASH_FLOW",I$11,I$11,"EQY_CONSOLIDATED",$G$9,"ACCOUNTING_STANDARD_OVERRIDE",$G$7,"Per",$B$11,"Days=A"))</f>
        <v>18.610600000000002</v>
      </c>
      <c r="J58" s="148">
        <f>IF(LEFT(_xll.BDH(Ticker,"AVERAGE_PRICE_TO_FREE_CASH_FLOW",J$11,J$11,"EQY_CONSOLIDATED",$G$9,"ACCOUNTING_STANDARD_OVERRIDE",$G$7,"Per",$B$11,"Days=A"),1)="#","--",_xll.BDH(Ticker,"AVERAGE_PRICE_TO_FREE_CASH_FLOW",J$11,J$11,"EQY_CONSOLIDATED",$G$9,"ACCOUNTING_STANDARD_OVERRIDE",$G$7,"Per",$B$11,"Days=A"))</f>
        <v>23.511500000000002</v>
      </c>
      <c r="K58" s="148">
        <f>IF(LEFT(_xll.BDH(Ticker,"AVERAGE_PRICE_TO_FREE_CASH_FLOW",K$11,K$11,"EQY_CONSOLIDATED",$G$9,"ACCOUNTING_STANDARD_OVERRIDE",$G$7,"Per",$B$11,"Days=A"),1)="#","--",_xll.BDH(Ticker,"AVERAGE_PRICE_TO_FREE_CASH_FLOW",K$11,K$11,"EQY_CONSOLIDATED",$G$9,"ACCOUNTING_STANDARD_OVERRIDE",$G$7,"Per",$B$11,"Days=A"))</f>
        <v>66.064999999999998</v>
      </c>
      <c r="L58" s="148">
        <f>IF(LEFT(_xll.BDH(Ticker,"AVERAGE_PRICE_TO_FREE_CASH_FLOW",L$11,L$11,"EQY_CONSOLIDATED",$G$9,"ACCOUNTING_STANDARD_OVERRIDE",$G$7,"Per",$B$11,"Days=A"),1)="#","--",_xll.BDH(Ticker,"AVERAGE_PRICE_TO_FREE_CASH_FLOW",L$11,L$11,"EQY_CONSOLIDATED",$G$9,"ACCOUNTING_STANDARD_OVERRIDE",$G$7,"Per",$B$11,"Days=A"))</f>
        <v>36.813600000000001</v>
      </c>
      <c r="M58" s="148">
        <f>IF(LEFT(_xll.BDH(Ticker,"AVERAGE_PRICE_TO_FREE_CASH_FLOW",M$11,M$11,"EQY_CONSOLIDATED",$G$9,"ACCOUNTING_STANDARD_OVERRIDE",$G$7,"Per",$B$11,"Days=A"),1)="#","--",_xll.BDH(Ticker,"AVERAGE_PRICE_TO_FREE_CASH_FLOW",M$11,M$11,"EQY_CONSOLIDATED",$G$9,"ACCOUNTING_STANDARD_OVERRIDE",$G$7,"Per",$B$11,"Days=A"))</f>
        <v>64.817099999999996</v>
      </c>
      <c r="N58" s="139"/>
      <c r="O58" s="139"/>
      <c r="P58" s="139"/>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39"/>
      <c r="BH58" s="139"/>
      <c r="BI58" s="139"/>
      <c r="BJ58" s="139"/>
      <c r="BK58" s="139"/>
      <c r="BL58" s="139"/>
      <c r="BM58" s="139"/>
      <c r="BN58" s="139"/>
      <c r="BO58" s="139"/>
      <c r="BP58" s="139"/>
      <c r="BQ58" s="139"/>
      <c r="BR58" s="139"/>
      <c r="BS58" s="139"/>
      <c r="BT58" s="139"/>
      <c r="BU58" s="139"/>
      <c r="BV58" s="139"/>
      <c r="BW58" s="139"/>
      <c r="BX58" s="139"/>
      <c r="BY58" s="139"/>
      <c r="BZ58" s="139"/>
      <c r="CA58" s="139"/>
      <c r="CB58" s="139"/>
      <c r="CC58" s="139"/>
      <c r="CD58" s="139"/>
      <c r="CE58" s="139"/>
      <c r="CF58" s="139"/>
      <c r="CG58" s="139"/>
      <c r="CH58" s="139"/>
      <c r="CI58" s="139"/>
      <c r="CJ58" s="139"/>
      <c r="CK58" s="139"/>
      <c r="CL58" s="139"/>
      <c r="CM58" s="139"/>
      <c r="CN58" s="139"/>
      <c r="CO58" s="139"/>
      <c r="CP58" s="139"/>
      <c r="CQ58" s="139"/>
      <c r="CR58" s="139"/>
      <c r="CS58" s="139"/>
      <c r="CT58" s="139"/>
      <c r="CU58" s="139"/>
      <c r="CV58" s="139"/>
      <c r="CW58" s="139"/>
      <c r="CX58" s="139"/>
      <c r="CY58" s="139"/>
      <c r="CZ58" s="139"/>
      <c r="DA58" s="139"/>
      <c r="DB58" s="139"/>
      <c r="DC58" s="139"/>
      <c r="DD58" s="139"/>
      <c r="DE58" s="139"/>
      <c r="DF58" s="139"/>
      <c r="DG58" s="139"/>
      <c r="DH58" s="139"/>
      <c r="DI58" s="139"/>
      <c r="DJ58" s="139"/>
      <c r="DK58" s="139"/>
      <c r="DL58" s="139"/>
      <c r="DM58" s="139"/>
      <c r="DN58" s="139"/>
      <c r="DO58" s="139"/>
      <c r="DP58" s="139"/>
      <c r="DQ58" s="139"/>
      <c r="DR58" s="139"/>
      <c r="DS58" s="139"/>
      <c r="DT58" s="139"/>
      <c r="DU58" s="139"/>
      <c r="DV58" s="139"/>
      <c r="DW58" s="139"/>
      <c r="DX58" s="139"/>
      <c r="DY58" s="139"/>
      <c r="DZ58" s="139"/>
      <c r="EA58" s="139"/>
      <c r="EB58" s="139"/>
      <c r="EC58" s="139"/>
      <c r="ED58" s="139"/>
      <c r="EE58" s="139"/>
      <c r="EF58" s="139"/>
      <c r="EG58" s="139"/>
      <c r="EH58" s="139"/>
      <c r="EI58" s="139"/>
      <c r="EJ58" s="139"/>
      <c r="EK58" s="139"/>
      <c r="EL58" s="139"/>
      <c r="EM58" s="139"/>
      <c r="EN58" s="139"/>
      <c r="EO58" s="139"/>
      <c r="EP58" s="139"/>
      <c r="EQ58" s="139"/>
      <c r="ER58" s="139"/>
      <c r="ES58" s="139"/>
      <c r="ET58" s="139"/>
      <c r="EU58" s="139"/>
      <c r="EV58" s="139"/>
      <c r="EW58" s="139"/>
      <c r="EX58" s="139"/>
      <c r="EY58" s="139"/>
      <c r="EZ58" s="139"/>
      <c r="FA58" s="139"/>
      <c r="FB58" s="139"/>
      <c r="FC58" s="139"/>
      <c r="FD58" s="139"/>
      <c r="FE58" s="139"/>
      <c r="FF58" s="139"/>
      <c r="FG58" s="139"/>
      <c r="FH58" s="139"/>
      <c r="FI58" s="139"/>
      <c r="FJ58" s="139"/>
      <c r="FK58" s="139"/>
      <c r="FL58" s="139"/>
      <c r="FM58" s="139"/>
      <c r="FN58" s="139"/>
      <c r="FO58" s="139"/>
      <c r="FP58" s="139"/>
      <c r="FQ58" s="139"/>
      <c r="FR58" s="139"/>
      <c r="FS58" s="139"/>
    </row>
    <row r="59" spans="1:175">
      <c r="A59" s="77"/>
      <c r="B59" s="138" t="s">
        <v>172</v>
      </c>
      <c r="C59" s="148">
        <f>IF(LEFT(_xll.BDH(Ticker,"HIGH_PRICE_TO_FREE_CASH_FLOW",C$11,C$11,"EQY_CONSOLIDATED",$G$9,"ACCOUNTING_STANDARD_OVERRIDE",$G$7,"Per",$B$11,"Days=A"),1)="#","--",_xll.BDH(Ticker,"HIGH_PRICE_TO_FREE_CASH_FLOW",C$11,C$11,"EQY_CONSOLIDATED",$G$9,"ACCOUNTING_STANDARD_OVERRIDE",$G$7,"Per",$B$11,"Days=A"))</f>
        <v>35.984000000000002</v>
      </c>
      <c r="D59" s="148">
        <f>IF(LEFT(_xll.BDH(Ticker,"HIGH_PRICE_TO_FREE_CASH_FLOW",D$11,D$11,"EQY_CONSOLIDATED",$G$9,"ACCOUNTING_STANDARD_OVERRIDE",$G$7,"Per",$B$11,"Days=A"),1)="#","--",_xll.BDH(Ticker,"HIGH_PRICE_TO_FREE_CASH_FLOW",D$11,D$11,"EQY_CONSOLIDATED",$G$9,"ACCOUNTING_STANDARD_OVERRIDE",$G$7,"Per",$B$11,"Days=A"))</f>
        <v>20.870799999999999</v>
      </c>
      <c r="E59" s="148">
        <f>IF(LEFT(_xll.BDH(Ticker,"HIGH_PRICE_TO_FREE_CASH_FLOW",E$11,E$11,"EQY_CONSOLIDATED",$G$9,"ACCOUNTING_STANDARD_OVERRIDE",$G$7,"Per",$B$11,"Days=A"),1)="#","--",_xll.BDH(Ticker,"HIGH_PRICE_TO_FREE_CASH_FLOW",E$11,E$11,"EQY_CONSOLIDATED",$G$9,"ACCOUNTING_STANDARD_OVERRIDE",$G$7,"Per",$B$11,"Days=A"))</f>
        <v>17.5962</v>
      </c>
      <c r="F59" s="148">
        <f>IF(LEFT(_xll.BDH(Ticker,"HIGH_PRICE_TO_FREE_CASH_FLOW",F$11,F$11,"EQY_CONSOLIDATED",$G$9,"ACCOUNTING_STANDARD_OVERRIDE",$G$7,"Per",$B$11,"Days=A"),1)="#","--",_xll.BDH(Ticker,"HIGH_PRICE_TO_FREE_CASH_FLOW",F$11,F$11,"EQY_CONSOLIDATED",$G$9,"ACCOUNTING_STANDARD_OVERRIDE",$G$7,"Per",$B$11,"Days=A"))</f>
        <v>18.8965</v>
      </c>
      <c r="G59" s="148">
        <f>IF(LEFT(_xll.BDH(Ticker,"HIGH_PRICE_TO_FREE_CASH_FLOW",G$11,G$11,"EQY_CONSOLIDATED",$G$9,"ACCOUNTING_STANDARD_OVERRIDE",$G$7,"Per",$B$11,"Days=A"),1)="#","--",_xll.BDH(Ticker,"HIGH_PRICE_TO_FREE_CASH_FLOW",G$11,G$11,"EQY_CONSOLIDATED",$G$9,"ACCOUNTING_STANDARD_OVERRIDE",$G$7,"Per",$B$11,"Days=A"))</f>
        <v>18.099599999999999</v>
      </c>
      <c r="H59" s="148">
        <f>IF(LEFT(_xll.BDH(Ticker,"HIGH_PRICE_TO_FREE_CASH_FLOW",H$11,H$11,"EQY_CONSOLIDATED",$G$9,"ACCOUNTING_STANDARD_OVERRIDE",$G$7,"Per",$B$11,"Days=A"),1)="#","--",_xll.BDH(Ticker,"HIGH_PRICE_TO_FREE_CASH_FLOW",H$11,H$11,"EQY_CONSOLIDATED",$G$9,"ACCOUNTING_STANDARD_OVERRIDE",$G$7,"Per",$B$11,"Days=A"))</f>
        <v>19.829599999999999</v>
      </c>
      <c r="I59" s="148">
        <f>IF(LEFT(_xll.BDH(Ticker,"HIGH_PRICE_TO_FREE_CASH_FLOW",I$11,I$11,"EQY_CONSOLIDATED",$G$9,"ACCOUNTING_STANDARD_OVERRIDE",$G$7,"Per",$B$11,"Days=A"),1)="#","--",_xll.BDH(Ticker,"HIGH_PRICE_TO_FREE_CASH_FLOW",I$11,I$11,"EQY_CONSOLIDATED",$G$9,"ACCOUNTING_STANDARD_OVERRIDE",$G$7,"Per",$B$11,"Days=A"))</f>
        <v>23.049600000000002</v>
      </c>
      <c r="J59" s="148">
        <f>IF(LEFT(_xll.BDH(Ticker,"HIGH_PRICE_TO_FREE_CASH_FLOW",J$11,J$11,"EQY_CONSOLIDATED",$G$9,"ACCOUNTING_STANDARD_OVERRIDE",$G$7,"Per",$B$11,"Days=A"),1)="#","--",_xll.BDH(Ticker,"HIGH_PRICE_TO_FREE_CASH_FLOW",J$11,J$11,"EQY_CONSOLIDATED",$G$9,"ACCOUNTING_STANDARD_OVERRIDE",$G$7,"Per",$B$11,"Days=A"))</f>
        <v>55.645800000000001</v>
      </c>
      <c r="K59" s="148">
        <f>IF(LEFT(_xll.BDH(Ticker,"HIGH_PRICE_TO_FREE_CASH_FLOW",K$11,K$11,"EQY_CONSOLIDATED",$G$9,"ACCOUNTING_STANDARD_OVERRIDE",$G$7,"Per",$B$11,"Days=A"),1)="#","--",_xll.BDH(Ticker,"HIGH_PRICE_TO_FREE_CASH_FLOW",K$11,K$11,"EQY_CONSOLIDATED",$G$9,"ACCOUNTING_STANDARD_OVERRIDE",$G$7,"Per",$B$11,"Days=A"))</f>
        <v>73.535799999999995</v>
      </c>
      <c r="L59" s="148">
        <f>IF(LEFT(_xll.BDH(Ticker,"HIGH_PRICE_TO_FREE_CASH_FLOW",L$11,L$11,"EQY_CONSOLIDATED",$G$9,"ACCOUNTING_STANDARD_OVERRIDE",$G$7,"Per",$B$11,"Days=A"),1)="#","--",_xll.BDH(Ticker,"HIGH_PRICE_TO_FREE_CASH_FLOW",L$11,L$11,"EQY_CONSOLIDATED",$G$9,"ACCOUNTING_STANDARD_OVERRIDE",$G$7,"Per",$B$11,"Days=A"))</f>
        <v>60.260300000000001</v>
      </c>
      <c r="M59" s="148">
        <f>IF(LEFT(_xll.BDH(Ticker,"HIGH_PRICE_TO_FREE_CASH_FLOW",M$11,M$11,"EQY_CONSOLIDATED",$G$9,"ACCOUNTING_STANDARD_OVERRIDE",$G$7,"Per",$B$11,"Days=A"),1)="#","--",_xll.BDH(Ticker,"HIGH_PRICE_TO_FREE_CASH_FLOW",M$11,M$11,"EQY_CONSOLIDATED",$G$9,"ACCOUNTING_STANDARD_OVERRIDE",$G$7,"Per",$B$11,"Days=A"))</f>
        <v>69.966399999999993</v>
      </c>
      <c r="N59" s="139"/>
      <c r="O59" s="139"/>
      <c r="P59" s="139"/>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39"/>
      <c r="BH59" s="139"/>
      <c r="BI59" s="139"/>
      <c r="BJ59" s="139"/>
      <c r="BK59" s="139"/>
      <c r="BL59" s="139"/>
      <c r="BM59" s="139"/>
      <c r="BN59" s="139"/>
      <c r="BO59" s="139"/>
      <c r="BP59" s="139"/>
      <c r="BQ59" s="139"/>
      <c r="BR59" s="139"/>
      <c r="BS59" s="139"/>
      <c r="BT59" s="139"/>
      <c r="BU59" s="139"/>
      <c r="BV59" s="139"/>
      <c r="BW59" s="139"/>
      <c r="BX59" s="139"/>
      <c r="BY59" s="139"/>
      <c r="BZ59" s="139"/>
      <c r="CA59" s="139"/>
      <c r="CB59" s="139"/>
      <c r="CC59" s="139"/>
      <c r="CD59" s="139"/>
      <c r="CE59" s="139"/>
      <c r="CF59" s="139"/>
      <c r="CG59" s="139"/>
      <c r="CH59" s="139"/>
      <c r="CI59" s="139"/>
      <c r="CJ59" s="139"/>
      <c r="CK59" s="139"/>
      <c r="CL59" s="139"/>
      <c r="CM59" s="139"/>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39"/>
      <c r="EI59" s="139"/>
      <c r="EJ59" s="139"/>
      <c r="EK59" s="139"/>
      <c r="EL59" s="139"/>
      <c r="EM59" s="139"/>
      <c r="EN59" s="139"/>
      <c r="EO59" s="139"/>
      <c r="EP59" s="139"/>
      <c r="EQ59" s="139"/>
      <c r="ER59" s="139"/>
      <c r="ES59" s="139"/>
      <c r="ET59" s="139"/>
      <c r="EU59" s="139"/>
      <c r="EV59" s="139"/>
      <c r="EW59" s="139"/>
      <c r="EX59" s="139"/>
      <c r="EY59" s="139"/>
      <c r="EZ59" s="139"/>
      <c r="FA59" s="139"/>
      <c r="FB59" s="139"/>
      <c r="FC59" s="139"/>
      <c r="FD59" s="139"/>
      <c r="FE59" s="139"/>
      <c r="FF59" s="139"/>
      <c r="FG59" s="139"/>
      <c r="FH59" s="139"/>
      <c r="FI59" s="139"/>
      <c r="FJ59" s="139"/>
      <c r="FK59" s="139"/>
      <c r="FL59" s="139"/>
      <c r="FM59" s="139"/>
      <c r="FN59" s="139"/>
      <c r="FO59" s="139"/>
      <c r="FP59" s="139"/>
      <c r="FQ59" s="139"/>
      <c r="FR59" s="139"/>
      <c r="FS59" s="139"/>
    </row>
    <row r="60" spans="1:175">
      <c r="A60" s="77"/>
      <c r="B60" s="138" t="s">
        <v>173</v>
      </c>
      <c r="C60" s="148">
        <f>IF(LEFT(_xll.BDH(Ticker,"LOW_PRICE_TO_FREE_CASH_FLOW",C$11,C$11,"EQY_CONSOLIDATED",$G$9,"ACCOUNTING_STANDARD_OVERRIDE",$G$7,"Per",$B$11,"Days=A"),1)="#","--",_xll.BDH(Ticker,"LOW_PRICE_TO_FREE_CASH_FLOW",C$11,C$11,"EQY_CONSOLIDATED",$G$9,"ACCOUNTING_STANDARD_OVERRIDE",$G$7,"Per",$B$11,"Days=A"))</f>
        <v>15.973000000000001</v>
      </c>
      <c r="D60" s="148">
        <f>IF(LEFT(_xll.BDH(Ticker,"LOW_PRICE_TO_FREE_CASH_FLOW",D$11,D$11,"EQY_CONSOLIDATED",$G$9,"ACCOUNTING_STANDARD_OVERRIDE",$G$7,"Per",$B$11,"Days=A"),1)="#","--",_xll.BDH(Ticker,"LOW_PRICE_TO_FREE_CASH_FLOW",D$11,D$11,"EQY_CONSOLIDATED",$G$9,"ACCOUNTING_STANDARD_OVERRIDE",$G$7,"Per",$B$11,"Days=A"))</f>
        <v>12.470499999999999</v>
      </c>
      <c r="E60" s="148">
        <f>IF(LEFT(_xll.BDH(Ticker,"LOW_PRICE_TO_FREE_CASH_FLOW",E$11,E$11,"EQY_CONSOLIDATED",$G$9,"ACCOUNTING_STANDARD_OVERRIDE",$G$7,"Per",$B$11,"Days=A"),1)="#","--",_xll.BDH(Ticker,"LOW_PRICE_TO_FREE_CASH_FLOW",E$11,E$11,"EQY_CONSOLIDATED",$G$9,"ACCOUNTING_STANDARD_OVERRIDE",$G$7,"Per",$B$11,"Days=A"))</f>
        <v>12.8124</v>
      </c>
      <c r="F60" s="148">
        <f>IF(LEFT(_xll.BDH(Ticker,"LOW_PRICE_TO_FREE_CASH_FLOW",F$11,F$11,"EQY_CONSOLIDATED",$G$9,"ACCOUNTING_STANDARD_OVERRIDE",$G$7,"Per",$B$11,"Days=A"),1)="#","--",_xll.BDH(Ticker,"LOW_PRICE_TO_FREE_CASH_FLOW",F$11,F$11,"EQY_CONSOLIDATED",$G$9,"ACCOUNTING_STANDARD_OVERRIDE",$G$7,"Per",$B$11,"Days=A"))</f>
        <v>12.7196</v>
      </c>
      <c r="G60" s="148">
        <f>IF(LEFT(_xll.BDH(Ticker,"LOW_PRICE_TO_FREE_CASH_FLOW",G$11,G$11,"EQY_CONSOLIDATED",$G$9,"ACCOUNTING_STANDARD_OVERRIDE",$G$7,"Per",$B$11,"Days=A"),1)="#","--",_xll.BDH(Ticker,"LOW_PRICE_TO_FREE_CASH_FLOW",G$11,G$11,"EQY_CONSOLIDATED",$G$9,"ACCOUNTING_STANDARD_OVERRIDE",$G$7,"Per",$B$11,"Days=A"))</f>
        <v>14.4191</v>
      </c>
      <c r="H60" s="627">
        <f>IF(LEFT(_xll.BDH(Ticker,"LOW_PRICE_TO_FREE_CASH_FLOW",H$11,H$11,"EQY_CONSOLIDATED",$G$9,"ACCOUNTING_STANDARD_OVERRIDE",$G$7,"Per",$B$11,"Days=A"),1)="#","--",_xll.BDH(Ticker,"LOW_PRICE_TO_FREE_CASH_FLOW",H$11,H$11,"EQY_CONSOLIDATED",$G$9,"ACCOUNTING_STANDARD_OVERRIDE",$G$7,"Per",$B$11,"Days=A"))</f>
        <v>14.697900000000001</v>
      </c>
      <c r="I60" s="148">
        <f>IF(LEFT(_xll.BDH(Ticker,"LOW_PRICE_TO_FREE_CASH_FLOW",I$11,I$11,"EQY_CONSOLIDATED",$G$9,"ACCOUNTING_STANDARD_OVERRIDE",$G$7,"Per",$B$11,"Days=A"),1)="#","--",_xll.BDH(Ticker,"LOW_PRICE_TO_FREE_CASH_FLOW",I$11,I$11,"EQY_CONSOLIDATED",$G$9,"ACCOUNTING_STANDARD_OVERRIDE",$G$7,"Per",$B$11,"Days=A"))</f>
        <v>16.709</v>
      </c>
      <c r="J60" s="148">
        <f>IF(LEFT(_xll.BDH(Ticker,"LOW_PRICE_TO_FREE_CASH_FLOW",J$11,J$11,"EQY_CONSOLIDATED",$G$9,"ACCOUNTING_STANDARD_OVERRIDE",$G$7,"Per",$B$11,"Days=A"),1)="#","--",_xll.BDH(Ticker,"LOW_PRICE_TO_FREE_CASH_FLOW",J$11,J$11,"EQY_CONSOLIDATED",$G$9,"ACCOUNTING_STANDARD_OVERRIDE",$G$7,"Per",$B$11,"Days=A"))</f>
        <v>22.008700000000001</v>
      </c>
      <c r="K60" s="148">
        <f>IF(LEFT(_xll.BDH(Ticker,"LOW_PRICE_TO_FREE_CASH_FLOW",K$11,K$11,"EQY_CONSOLIDATED",$G$9,"ACCOUNTING_STANDARD_OVERRIDE",$G$7,"Per",$B$11,"Days=A"),1)="#","--",_xll.BDH(Ticker,"LOW_PRICE_TO_FREE_CASH_FLOW",K$11,K$11,"EQY_CONSOLIDATED",$G$9,"ACCOUNTING_STANDARD_OVERRIDE",$G$7,"Per",$B$11,"Days=A"))</f>
        <v>31.453299999999999</v>
      </c>
      <c r="L60" s="148">
        <f>IF(LEFT(_xll.BDH(Ticker,"LOW_PRICE_TO_FREE_CASH_FLOW",L$11,L$11,"EQY_CONSOLIDATED",$G$9,"ACCOUNTING_STANDARD_OVERRIDE",$G$7,"Per",$B$11,"Days=A"),1)="#","--",_xll.BDH(Ticker,"LOW_PRICE_TO_FREE_CASH_FLOW",L$11,L$11,"EQY_CONSOLIDATED",$G$9,"ACCOUNTING_STANDARD_OVERRIDE",$G$7,"Per",$B$11,"Days=A"))</f>
        <v>30.912500000000001</v>
      </c>
      <c r="M60" s="148">
        <f>IF(LEFT(_xll.BDH(Ticker,"LOW_PRICE_TO_FREE_CASH_FLOW",M$11,M$11,"EQY_CONSOLIDATED",$G$9,"ACCOUNTING_STANDARD_OVERRIDE",$G$7,"Per",$B$11,"Days=A"),1)="#","--",_xll.BDH(Ticker,"LOW_PRICE_TO_FREE_CASH_FLOW",M$11,M$11,"EQY_CONSOLIDATED",$G$9,"ACCOUNTING_STANDARD_OVERRIDE",$G$7,"Per",$B$11,"Days=A"))</f>
        <v>28.773399999999999</v>
      </c>
      <c r="N60" s="139"/>
      <c r="O60" s="139"/>
      <c r="P60" s="139"/>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39"/>
      <c r="BH60" s="139"/>
      <c r="BI60" s="139"/>
      <c r="BJ60" s="139"/>
      <c r="BK60" s="139"/>
      <c r="BL60" s="139"/>
      <c r="BM60" s="139"/>
      <c r="BN60" s="139"/>
      <c r="BO60" s="139"/>
      <c r="BP60" s="139"/>
      <c r="BQ60" s="139"/>
      <c r="BR60" s="139"/>
      <c r="BS60" s="139"/>
      <c r="BT60" s="139"/>
      <c r="BU60" s="139"/>
      <c r="BV60" s="139"/>
      <c r="BW60" s="139"/>
      <c r="BX60" s="139"/>
      <c r="BY60" s="139"/>
      <c r="BZ60" s="139"/>
      <c r="CA60" s="139"/>
      <c r="CB60" s="139"/>
      <c r="CC60" s="139"/>
      <c r="CD60" s="139"/>
      <c r="CE60" s="139"/>
      <c r="CF60" s="139"/>
      <c r="CG60" s="139"/>
      <c r="CH60" s="139"/>
      <c r="CI60" s="139"/>
      <c r="CJ60" s="139"/>
      <c r="CK60" s="139"/>
      <c r="CL60" s="139"/>
      <c r="CM60" s="139"/>
      <c r="CN60" s="139"/>
      <c r="CO60" s="139"/>
      <c r="CP60" s="139"/>
      <c r="CQ60" s="139"/>
      <c r="CR60" s="139"/>
      <c r="CS60" s="139"/>
      <c r="CT60" s="139"/>
      <c r="CU60" s="139"/>
      <c r="CV60" s="139"/>
      <c r="CW60" s="139"/>
      <c r="CX60" s="139"/>
      <c r="CY60" s="139"/>
      <c r="CZ60" s="139"/>
      <c r="DA60" s="139"/>
      <c r="DB60" s="139"/>
      <c r="DC60" s="139"/>
      <c r="DD60" s="139"/>
      <c r="DE60" s="139"/>
      <c r="DF60" s="139"/>
      <c r="DG60" s="139"/>
      <c r="DH60" s="139"/>
      <c r="DI60" s="139"/>
      <c r="DJ60" s="139"/>
      <c r="DK60" s="139"/>
      <c r="DL60" s="139"/>
      <c r="DM60" s="139"/>
      <c r="DN60" s="139"/>
      <c r="DO60" s="139"/>
      <c r="DP60" s="139"/>
      <c r="DQ60" s="139"/>
      <c r="DR60" s="139"/>
      <c r="DS60" s="139"/>
      <c r="DT60" s="139"/>
      <c r="DU60" s="139"/>
      <c r="DV60" s="139"/>
      <c r="DW60" s="139"/>
      <c r="DX60" s="139"/>
      <c r="DY60" s="139"/>
      <c r="DZ60" s="139"/>
      <c r="EA60" s="139"/>
      <c r="EB60" s="139"/>
      <c r="EC60" s="139"/>
      <c r="ED60" s="139"/>
      <c r="EE60" s="139"/>
      <c r="EF60" s="139"/>
      <c r="EG60" s="139"/>
      <c r="EH60" s="139"/>
      <c r="EI60" s="139"/>
      <c r="EJ60" s="139"/>
      <c r="EK60" s="139"/>
      <c r="EL60" s="139"/>
      <c r="EM60" s="139"/>
      <c r="EN60" s="139"/>
      <c r="EO60" s="139"/>
      <c r="EP60" s="139"/>
      <c r="EQ60" s="139"/>
      <c r="ER60" s="139"/>
      <c r="ES60" s="139"/>
      <c r="ET60" s="139"/>
      <c r="EU60" s="139"/>
      <c r="EV60" s="139"/>
      <c r="EW60" s="139"/>
      <c r="EX60" s="139"/>
      <c r="EY60" s="139"/>
      <c r="EZ60" s="139"/>
      <c r="FA60" s="139"/>
      <c r="FB60" s="139"/>
      <c r="FC60" s="139"/>
      <c r="FD60" s="139"/>
      <c r="FE60" s="139"/>
      <c r="FF60" s="139"/>
      <c r="FG60" s="139"/>
      <c r="FH60" s="139"/>
      <c r="FI60" s="139"/>
      <c r="FJ60" s="139"/>
      <c r="FK60" s="139"/>
      <c r="FL60" s="139"/>
      <c r="FM60" s="139"/>
      <c r="FN60" s="139"/>
      <c r="FO60" s="139"/>
      <c r="FP60" s="139"/>
      <c r="FQ60" s="139"/>
      <c r="FR60" s="139"/>
      <c r="FS60" s="139"/>
    </row>
    <row r="61" spans="1:175">
      <c r="A61" s="77"/>
      <c r="B61" s="138"/>
      <c r="C61" s="148"/>
      <c r="D61" s="148"/>
      <c r="E61" s="148"/>
      <c r="F61" s="148"/>
      <c r="G61" s="148"/>
      <c r="H61" s="148"/>
      <c r="I61" s="148"/>
      <c r="J61" s="148"/>
      <c r="K61" s="148"/>
      <c r="L61" s="148"/>
      <c r="M61" s="148"/>
      <c r="N61" s="139"/>
      <c r="O61" s="139"/>
      <c r="P61" s="139"/>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39"/>
      <c r="BH61" s="139"/>
      <c r="BI61" s="139"/>
      <c r="BJ61" s="139"/>
      <c r="BK61" s="139"/>
      <c r="BL61" s="139"/>
      <c r="BM61" s="139"/>
      <c r="BN61" s="139"/>
      <c r="BO61" s="139"/>
      <c r="BP61" s="139"/>
      <c r="BQ61" s="139"/>
      <c r="BR61" s="139"/>
      <c r="BS61" s="139"/>
      <c r="BT61" s="139"/>
      <c r="BU61" s="139"/>
      <c r="BV61" s="139"/>
      <c r="BW61" s="139"/>
      <c r="BX61" s="139"/>
      <c r="BY61" s="139"/>
      <c r="BZ61" s="139"/>
      <c r="CA61" s="139"/>
      <c r="CB61" s="139"/>
      <c r="CC61" s="139"/>
      <c r="CD61" s="139"/>
      <c r="CE61" s="139"/>
      <c r="CF61" s="139"/>
      <c r="CG61" s="139"/>
      <c r="CH61" s="139"/>
      <c r="CI61" s="139"/>
      <c r="CJ61" s="139"/>
      <c r="CK61" s="139"/>
      <c r="CL61" s="139"/>
      <c r="CM61" s="139"/>
      <c r="CN61" s="139"/>
      <c r="CO61" s="139"/>
      <c r="CP61" s="139"/>
      <c r="CQ61" s="139"/>
      <c r="CR61" s="139"/>
      <c r="CS61" s="139"/>
      <c r="CT61" s="139"/>
      <c r="CU61" s="139"/>
      <c r="CV61" s="139"/>
      <c r="CW61" s="139"/>
      <c r="CX61" s="139"/>
      <c r="CY61" s="139"/>
      <c r="CZ61" s="139"/>
      <c r="DA61" s="139"/>
      <c r="DB61" s="139"/>
      <c r="DC61" s="139"/>
      <c r="DD61" s="139"/>
      <c r="DE61" s="139"/>
      <c r="DF61" s="139"/>
      <c r="DG61" s="139"/>
      <c r="DH61" s="139"/>
      <c r="DI61" s="139"/>
      <c r="DJ61" s="139"/>
      <c r="DK61" s="139"/>
      <c r="DL61" s="139"/>
      <c r="DM61" s="139"/>
      <c r="DN61" s="139"/>
      <c r="DO61" s="139"/>
      <c r="DP61" s="139"/>
      <c r="DQ61" s="139"/>
      <c r="DR61" s="139"/>
      <c r="DS61" s="139"/>
      <c r="DT61" s="139"/>
      <c r="DU61" s="139"/>
      <c r="DV61" s="139"/>
      <c r="DW61" s="139"/>
      <c r="DX61" s="139"/>
      <c r="DY61" s="139"/>
      <c r="DZ61" s="139"/>
      <c r="EA61" s="139"/>
      <c r="EB61" s="139"/>
      <c r="EC61" s="139"/>
      <c r="ED61" s="139"/>
      <c r="EE61" s="139"/>
      <c r="EF61" s="139"/>
      <c r="EG61" s="139"/>
      <c r="EH61" s="139"/>
      <c r="EI61" s="139"/>
      <c r="EJ61" s="139"/>
      <c r="EK61" s="139"/>
      <c r="EL61" s="139"/>
      <c r="EM61" s="139"/>
      <c r="EN61" s="139"/>
      <c r="EO61" s="139"/>
      <c r="EP61" s="139"/>
      <c r="EQ61" s="139"/>
      <c r="ER61" s="139"/>
      <c r="ES61" s="139"/>
      <c r="ET61" s="139"/>
      <c r="EU61" s="139"/>
      <c r="EV61" s="139"/>
      <c r="EW61" s="139"/>
      <c r="EX61" s="139"/>
      <c r="EY61" s="139"/>
      <c r="EZ61" s="139"/>
      <c r="FA61" s="139"/>
      <c r="FB61" s="139"/>
      <c r="FC61" s="139"/>
      <c r="FD61" s="139"/>
      <c r="FE61" s="139"/>
      <c r="FF61" s="139"/>
      <c r="FG61" s="139"/>
      <c r="FH61" s="139"/>
      <c r="FI61" s="139"/>
      <c r="FJ61" s="139"/>
      <c r="FK61" s="139"/>
      <c r="FL61" s="139"/>
      <c r="FM61" s="139"/>
      <c r="FN61" s="139"/>
      <c r="FO61" s="139"/>
      <c r="FP61" s="139"/>
      <c r="FQ61" s="139"/>
      <c r="FR61" s="139"/>
      <c r="FS61" s="139"/>
    </row>
    <row r="62" spans="1:175">
      <c r="A62" s="77"/>
      <c r="B62" s="135" t="s">
        <v>338</v>
      </c>
      <c r="C62" s="150"/>
      <c r="D62" s="150"/>
      <c r="E62" s="150"/>
      <c r="F62" s="150"/>
      <c r="G62" s="150"/>
      <c r="H62" s="150"/>
      <c r="I62" s="150"/>
      <c r="J62" s="150"/>
      <c r="K62" s="150"/>
      <c r="L62" s="150"/>
      <c r="M62" s="150"/>
      <c r="N62" s="139"/>
      <c r="O62" s="139"/>
      <c r="P62" s="139"/>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39"/>
      <c r="BH62" s="139"/>
      <c r="BI62" s="139"/>
      <c r="BJ62" s="139"/>
      <c r="BK62" s="139"/>
      <c r="BL62" s="139"/>
      <c r="BM62" s="139"/>
      <c r="BN62" s="139"/>
      <c r="BO62" s="139"/>
      <c r="BP62" s="139"/>
      <c r="BQ62" s="139"/>
      <c r="BR62" s="139"/>
      <c r="BS62" s="139"/>
      <c r="BT62" s="139"/>
      <c r="BU62" s="139"/>
      <c r="BV62" s="139"/>
      <c r="BW62" s="139"/>
      <c r="BX62" s="139"/>
      <c r="BY62" s="139"/>
      <c r="BZ62" s="139"/>
      <c r="CA62" s="139"/>
      <c r="CB62" s="139"/>
      <c r="CC62" s="139"/>
      <c r="CD62" s="139"/>
      <c r="CE62" s="139"/>
      <c r="CF62" s="139"/>
      <c r="CG62" s="139"/>
      <c r="CH62" s="139"/>
      <c r="CI62" s="139"/>
      <c r="CJ62" s="139"/>
      <c r="CK62" s="139"/>
      <c r="CL62" s="139"/>
      <c r="CM62" s="139"/>
      <c r="CN62" s="139"/>
      <c r="CO62" s="139"/>
      <c r="CP62" s="139"/>
      <c r="CQ62" s="139"/>
      <c r="CR62" s="139"/>
      <c r="CS62" s="139"/>
      <c r="CT62" s="139"/>
      <c r="CU62" s="139"/>
      <c r="CV62" s="139"/>
      <c r="CW62" s="139"/>
      <c r="CX62" s="139"/>
      <c r="CY62" s="139"/>
      <c r="CZ62" s="139"/>
      <c r="DA62" s="139"/>
      <c r="DB62" s="139"/>
      <c r="DC62" s="139"/>
      <c r="DD62" s="139"/>
      <c r="DE62" s="139"/>
      <c r="DF62" s="139"/>
      <c r="DG62" s="139"/>
      <c r="DH62" s="139"/>
      <c r="DI62" s="139"/>
      <c r="DJ62" s="139"/>
      <c r="DK62" s="139"/>
      <c r="DL62" s="139"/>
      <c r="DM62" s="139"/>
      <c r="DN62" s="139"/>
      <c r="DO62" s="139"/>
      <c r="DP62" s="139"/>
      <c r="DQ62" s="139"/>
      <c r="DR62" s="139"/>
      <c r="DS62" s="139"/>
      <c r="DT62" s="139"/>
      <c r="DU62" s="139"/>
      <c r="DV62" s="139"/>
      <c r="DW62" s="139"/>
      <c r="DX62" s="139"/>
      <c r="DY62" s="139"/>
      <c r="DZ62" s="139"/>
      <c r="EA62" s="139"/>
      <c r="EB62" s="139"/>
      <c r="EC62" s="139"/>
      <c r="ED62" s="139"/>
      <c r="EE62" s="139"/>
      <c r="EF62" s="139"/>
      <c r="EG62" s="139"/>
      <c r="EH62" s="139"/>
      <c r="EI62" s="139"/>
      <c r="EJ62" s="139"/>
      <c r="EK62" s="139"/>
      <c r="EL62" s="139"/>
      <c r="EM62" s="139"/>
      <c r="EN62" s="139"/>
      <c r="EO62" s="139"/>
      <c r="EP62" s="139"/>
      <c r="EQ62" s="139"/>
      <c r="ER62" s="139"/>
      <c r="ES62" s="139"/>
      <c r="ET62" s="139"/>
      <c r="EU62" s="139"/>
      <c r="EV62" s="139"/>
      <c r="EW62" s="139"/>
      <c r="EX62" s="139"/>
      <c r="EY62" s="139"/>
      <c r="EZ62" s="139"/>
      <c r="FA62" s="139"/>
      <c r="FB62" s="139"/>
      <c r="FC62" s="139"/>
      <c r="FD62" s="139"/>
      <c r="FE62" s="139"/>
      <c r="FF62" s="139"/>
      <c r="FG62" s="139"/>
      <c r="FH62" s="139"/>
      <c r="FI62" s="139"/>
      <c r="FJ62" s="139"/>
      <c r="FK62" s="139"/>
      <c r="FL62" s="139"/>
      <c r="FM62" s="139"/>
      <c r="FN62" s="139"/>
      <c r="FO62" s="139"/>
      <c r="FP62" s="139"/>
      <c r="FQ62" s="139"/>
      <c r="FR62" s="139"/>
      <c r="FS62" s="139"/>
    </row>
    <row r="63" spans="1:175">
      <c r="A63" s="77"/>
      <c r="B63" s="136" t="s">
        <v>174</v>
      </c>
      <c r="C63" s="151">
        <f>IF(LEFT(_xll.BDH(Ticker,"DIVIDEND_YIELD",C$11,C$11,"EQY_CONSOLIDATED",$G$9,"ACCOUNTING_STANDARD_OVERRIDE",$G$7,"Per",$B$11,"Days=A"),1)="#","--",_xll.BDH(Ticker,"DIVIDEND_YIELD",C$11,C$11,"EQY_CONSOLIDATED",$G$9,"ACCOUNTING_STANDARD_OVERRIDE",$G$7,"Per",$B$11,"Days=A"))</f>
        <v>1.0013000000000001</v>
      </c>
      <c r="D63" s="151">
        <f>IF(LEFT(_xll.BDH(Ticker,"DIVIDEND_YIELD",D$11,D$11,"EQY_CONSOLIDATED",$G$9,"ACCOUNTING_STANDARD_OVERRIDE",$G$7,"Per",$B$11,"Days=A"),1)="#","--",_xll.BDH(Ticker,"DIVIDEND_YIELD",D$11,D$11,"EQY_CONSOLIDATED",$G$9,"ACCOUNTING_STANDARD_OVERRIDE",$G$7,"Per",$B$11,"Days=A"))</f>
        <v>0.49630000000000002</v>
      </c>
      <c r="E63" s="151">
        <f>IF(LEFT(_xll.BDH(Ticker,"DIVIDEND_YIELD",E$11,E$11,"EQY_CONSOLIDATED",$G$9,"ACCOUNTING_STANDARD_OVERRIDE",$G$7,"Per",$B$11,"Days=A"),1)="#","--",_xll.BDH(Ticker,"DIVIDEND_YIELD",E$11,E$11,"EQY_CONSOLIDATED",$G$9,"ACCOUNTING_STANDARD_OVERRIDE",$G$7,"Per",$B$11,"Days=A"))</f>
        <v>1.1732</v>
      </c>
      <c r="F63" s="151">
        <f>IF(LEFT(_xll.BDH(Ticker,"DIVIDEND_YIELD",F$11,F$11,"EQY_CONSOLIDATED",$G$9,"ACCOUNTING_STANDARD_OVERRIDE",$G$7,"Per",$B$11,"Days=A"),1)="#","--",_xll.BDH(Ticker,"DIVIDEND_YIELD",F$11,F$11,"EQY_CONSOLIDATED",$G$9,"ACCOUNTING_STANDARD_OVERRIDE",$G$7,"Per",$B$11,"Days=A"))</f>
        <v>1.5138</v>
      </c>
      <c r="G63" s="151">
        <f>IF(LEFT(_xll.BDH(Ticker,"DIVIDEND_YIELD",G$11,G$11,"EQY_CONSOLIDATED",$G$9,"ACCOUNTING_STANDARD_OVERRIDE",$G$7,"Per",$B$11,"Days=A"),1)="#","--",_xll.BDH(Ticker,"DIVIDEND_YIELD",G$11,G$11,"EQY_CONSOLIDATED",$G$9,"ACCOUNTING_STANDARD_OVERRIDE",$G$7,"Per",$B$11,"Days=A"))</f>
        <v>1.5505</v>
      </c>
      <c r="H63" s="151">
        <f>IF(LEFT(_xll.BDH(Ticker,"DIVIDEND_YIELD",H$11,H$11,"EQY_CONSOLIDATED",$G$9,"ACCOUNTING_STANDARD_OVERRIDE",$G$7,"Per",$B$11,"Days=A"),1)="#","--",_xll.BDH(Ticker,"DIVIDEND_YIELD",H$11,H$11,"EQY_CONSOLIDATED",$G$9,"ACCOUNTING_STANDARD_OVERRIDE",$G$7,"Per",$B$11,"Days=A"))</f>
        <v>1.4107000000000001</v>
      </c>
      <c r="I63" s="151">
        <f>IF(LEFT(_xll.BDH(Ticker,"DIVIDEND_YIELD",I$11,I$11,"EQY_CONSOLIDATED",$G$9,"ACCOUNTING_STANDARD_OVERRIDE",$G$7,"Per",$B$11,"Days=A"),1)="#","--",_xll.BDH(Ticker,"DIVIDEND_YIELD",I$11,I$11,"EQY_CONSOLIDATED",$G$9,"ACCOUNTING_STANDARD_OVERRIDE",$G$7,"Per",$B$11,"Days=A"))</f>
        <v>1.2932999999999999</v>
      </c>
      <c r="J63" s="151">
        <f>IF(LEFT(_xll.BDH(Ticker,"DIVIDEND_YIELD",J$11,J$11,"EQY_CONSOLIDATED",$G$9,"ACCOUNTING_STANDARD_OVERRIDE",$G$7,"Per",$B$11,"Days=A"),1)="#","--",_xll.BDH(Ticker,"DIVIDEND_YIELD",J$11,J$11,"EQY_CONSOLIDATED",$G$9,"ACCOUNTING_STANDARD_OVERRIDE",$G$7,"Per",$B$11,"Days=A"))</f>
        <v>1.5225</v>
      </c>
      <c r="K63" s="151">
        <f>IF(LEFT(_xll.BDH(Ticker,"DIVIDEND_YIELD",K$11,K$11,"EQY_CONSOLIDATED",$G$9,"ACCOUNTING_STANDARD_OVERRIDE",$G$7,"Per",$B$11,"Days=A"),1)="#","--",_xll.BDH(Ticker,"DIVIDEND_YIELD",K$11,K$11,"EQY_CONSOLIDATED",$G$9,"ACCOUNTING_STANDARD_OVERRIDE",$G$7,"Per",$B$11,"Days=A"))</f>
        <v>1.2686999999999999</v>
      </c>
      <c r="L63" s="151">
        <f>IF(LEFT(_xll.BDH(Ticker,"DIVIDEND_YIELD",L$11,L$11,"EQY_CONSOLIDATED",$G$9,"ACCOUNTING_STANDARD_OVERRIDE",$G$7,"Per",$B$11,"Days=A"),1)="#","--",_xll.BDH(Ticker,"DIVIDEND_YIELD",L$11,L$11,"EQY_CONSOLIDATED",$G$9,"ACCOUNTING_STANDARD_OVERRIDE",$G$7,"Per",$B$11,"Days=A"))</f>
        <v>1.0979000000000001</v>
      </c>
      <c r="M63" s="151">
        <f>IF(LEFT(_xll.BDH(Ticker,"DIVIDEND_YIELD",M$11,M$11,"EQY_CONSOLIDATED",$G$9,"ACCOUNTING_STANDARD_OVERRIDE",$G$7,"Per",$B$11,"Days=A"),1)="#","--",_xll.BDH(Ticker,"DIVIDEND_YIELD",M$11,M$11,"EQY_CONSOLIDATED",$G$9,"ACCOUNTING_STANDARD_OVERRIDE",$G$7,"Per",$B$11,"Days=A"))</f>
        <v>1.1994</v>
      </c>
      <c r="N63" s="139"/>
      <c r="O63" s="139"/>
      <c r="P63" s="139"/>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39"/>
      <c r="BH63" s="139"/>
      <c r="BI63" s="139"/>
      <c r="BJ63" s="139"/>
      <c r="BK63" s="139"/>
      <c r="BL63" s="139"/>
      <c r="BM63" s="139"/>
      <c r="BN63" s="139"/>
      <c r="BO63" s="139"/>
      <c r="BP63" s="139"/>
      <c r="BQ63" s="139"/>
      <c r="BR63" s="139"/>
      <c r="BS63" s="139"/>
      <c r="BT63" s="139"/>
      <c r="BU63" s="139"/>
      <c r="BV63" s="139"/>
      <c r="BW63" s="139"/>
      <c r="BX63" s="139"/>
      <c r="BY63" s="139"/>
      <c r="BZ63" s="139"/>
      <c r="CA63" s="139"/>
      <c r="CB63" s="139"/>
      <c r="CC63" s="139"/>
      <c r="CD63" s="139"/>
      <c r="CE63" s="139"/>
      <c r="CF63" s="139"/>
      <c r="CG63" s="139"/>
      <c r="CH63" s="139"/>
      <c r="CI63" s="139"/>
      <c r="CJ63" s="139"/>
      <c r="CK63" s="139"/>
      <c r="CL63" s="139"/>
      <c r="CM63" s="139"/>
      <c r="CN63" s="139"/>
      <c r="CO63" s="139"/>
      <c r="CP63" s="139"/>
      <c r="CQ63" s="139"/>
      <c r="CR63" s="139"/>
      <c r="CS63" s="139"/>
      <c r="CT63" s="139"/>
      <c r="CU63" s="139"/>
      <c r="CV63" s="139"/>
      <c r="CW63" s="139"/>
      <c r="CX63" s="139"/>
      <c r="CY63" s="139"/>
      <c r="CZ63" s="139"/>
      <c r="DA63" s="139"/>
      <c r="DB63" s="139"/>
      <c r="DC63" s="139"/>
      <c r="DD63" s="139"/>
      <c r="DE63" s="139"/>
      <c r="DF63" s="139"/>
      <c r="DG63" s="139"/>
      <c r="DH63" s="139"/>
      <c r="DI63" s="139"/>
      <c r="DJ63" s="139"/>
      <c r="DK63" s="139"/>
      <c r="DL63" s="139"/>
      <c r="DM63" s="139"/>
      <c r="DN63" s="139"/>
      <c r="DO63" s="139"/>
      <c r="DP63" s="139"/>
      <c r="DQ63" s="139"/>
      <c r="DR63" s="139"/>
      <c r="DS63" s="139"/>
      <c r="DT63" s="139"/>
      <c r="DU63" s="139"/>
      <c r="DV63" s="139"/>
      <c r="DW63" s="139"/>
      <c r="DX63" s="139"/>
      <c r="DY63" s="139"/>
      <c r="DZ63" s="139"/>
      <c r="EA63" s="139"/>
      <c r="EB63" s="139"/>
      <c r="EC63" s="139"/>
      <c r="ED63" s="139"/>
      <c r="EE63" s="139"/>
      <c r="EF63" s="139"/>
      <c r="EG63" s="139"/>
      <c r="EH63" s="139"/>
      <c r="EI63" s="139"/>
      <c r="EJ63" s="139"/>
      <c r="EK63" s="139"/>
      <c r="EL63" s="139"/>
      <c r="EM63" s="139"/>
      <c r="EN63" s="139"/>
      <c r="EO63" s="139"/>
      <c r="EP63" s="139"/>
      <c r="EQ63" s="139"/>
      <c r="ER63" s="139"/>
      <c r="ES63" s="139"/>
      <c r="ET63" s="139"/>
      <c r="EU63" s="139"/>
      <c r="EV63" s="139"/>
      <c r="EW63" s="139"/>
      <c r="EX63" s="139"/>
      <c r="EY63" s="139"/>
      <c r="EZ63" s="139"/>
      <c r="FA63" s="139"/>
      <c r="FB63" s="139"/>
      <c r="FC63" s="139"/>
      <c r="FD63" s="139"/>
      <c r="FE63" s="139"/>
      <c r="FF63" s="139"/>
      <c r="FG63" s="139"/>
      <c r="FH63" s="139"/>
      <c r="FI63" s="139"/>
      <c r="FJ63" s="139"/>
      <c r="FK63" s="139"/>
      <c r="FL63" s="139"/>
      <c r="FM63" s="139"/>
      <c r="FN63" s="139"/>
      <c r="FO63" s="139"/>
      <c r="FP63" s="139"/>
      <c r="FQ63" s="139"/>
      <c r="FR63" s="139"/>
      <c r="FS63" s="139"/>
    </row>
    <row r="64" spans="1:175">
      <c r="A64" s="77"/>
      <c r="B64" s="138" t="s">
        <v>171</v>
      </c>
      <c r="C64" s="152">
        <f>IF(LEFT(_xll.BDH(Ticker,"AVERAGE_DIVIDEND_YIELD",C$11,C$11,"EQY_CONSOLIDATED",$G$9,"ACCOUNTING_STANDARD_OVERRIDE",$G$7,"Per",$B$11,"Days=A"),1)="#","--",_xll.BDH(Ticker,"AVERAGE_DIVIDEND_YIELD",C$11,C$11,"EQY_CONSOLIDATED",$G$9,"ACCOUNTING_STANDARD_OVERRIDE",$G$7,"Per",$B$11,"Days=A"))</f>
        <v>0.56369999999999998</v>
      </c>
      <c r="D64" s="152">
        <f>IF(LEFT(_xll.BDH(Ticker,"AVERAGE_DIVIDEND_YIELD",D$11,D$11,"EQY_CONSOLIDATED",$G$9,"ACCOUNTING_STANDARD_OVERRIDE",$G$7,"Per",$B$11,"Days=A"),1)="#","--",_xll.BDH(Ticker,"AVERAGE_DIVIDEND_YIELD",D$11,D$11,"EQY_CONSOLIDATED",$G$9,"ACCOUNTING_STANDARD_OVERRIDE",$G$7,"Per",$B$11,"Days=A"))</f>
        <v>0.97199999999999998</v>
      </c>
      <c r="E64" s="152">
        <f>IF(LEFT(_xll.BDH(Ticker,"AVERAGE_DIVIDEND_YIELD",E$11,E$11,"EQY_CONSOLIDATED",$G$9,"ACCOUNTING_STANDARD_OVERRIDE",$G$7,"Per",$B$11,"Days=A"),1)="#","--",_xll.BDH(Ticker,"AVERAGE_DIVIDEND_YIELD",E$11,E$11,"EQY_CONSOLIDATED",$G$9,"ACCOUNTING_STANDARD_OVERRIDE",$G$7,"Per",$B$11,"Days=A"))</f>
        <v>0.48499999999999999</v>
      </c>
      <c r="F64" s="152">
        <f>IF(LEFT(_xll.BDH(Ticker,"AVERAGE_DIVIDEND_YIELD",F$11,F$11,"EQY_CONSOLIDATED",$G$9,"ACCOUNTING_STANDARD_OVERRIDE",$G$7,"Per",$B$11,"Days=A"),1)="#","--",_xll.BDH(Ticker,"AVERAGE_DIVIDEND_YIELD",F$11,F$11,"EQY_CONSOLIDATED",$G$9,"ACCOUNTING_STANDARD_OVERRIDE",$G$7,"Per",$B$11,"Days=A"))</f>
        <v>1.1653</v>
      </c>
      <c r="G64" s="152">
        <f>IF(LEFT(_xll.BDH(Ticker,"AVERAGE_DIVIDEND_YIELD",G$11,G$11,"EQY_CONSOLIDATED",$G$9,"ACCOUNTING_STANDARD_OVERRIDE",$G$7,"Per",$B$11,"Days=A"),1)="#","--",_xll.BDH(Ticker,"AVERAGE_DIVIDEND_YIELD",G$11,G$11,"EQY_CONSOLIDATED",$G$9,"ACCOUNTING_STANDARD_OVERRIDE",$G$7,"Per",$B$11,"Days=A"))</f>
        <v>1.4043999999999999</v>
      </c>
      <c r="H64" s="152">
        <f>IF(LEFT(_xll.BDH(Ticker,"AVERAGE_DIVIDEND_YIELD",H$11,H$11,"EQY_CONSOLIDATED",$G$9,"ACCOUNTING_STANDARD_OVERRIDE",$G$7,"Per",$B$11,"Days=A"),1)="#","--",_xll.BDH(Ticker,"AVERAGE_DIVIDEND_YIELD",H$11,H$11,"EQY_CONSOLIDATED",$G$9,"ACCOUNTING_STANDARD_OVERRIDE",$G$7,"Per",$B$11,"Days=A"))</f>
        <v>1.2581</v>
      </c>
      <c r="I64" s="152">
        <f>IF(LEFT(_xll.BDH(Ticker,"AVERAGE_DIVIDEND_YIELD",I$11,I$11,"EQY_CONSOLIDATED",$G$9,"ACCOUNTING_STANDARD_OVERRIDE",$G$7,"Per",$B$11,"Days=A"),1)="#","--",_xll.BDH(Ticker,"AVERAGE_DIVIDEND_YIELD",I$11,I$11,"EQY_CONSOLIDATED",$G$9,"ACCOUNTING_STANDARD_OVERRIDE",$G$7,"Per",$B$11,"Days=A"))</f>
        <v>1.2803</v>
      </c>
      <c r="J64" s="152">
        <f>IF(LEFT(_xll.BDH(Ticker,"AVERAGE_DIVIDEND_YIELD",J$11,J$11,"EQY_CONSOLIDATED",$G$9,"ACCOUNTING_STANDARD_OVERRIDE",$G$7,"Per",$B$11,"Days=A"),1)="#","--",_xll.BDH(Ticker,"AVERAGE_DIVIDEND_YIELD",J$11,J$11,"EQY_CONSOLIDATED",$G$9,"ACCOUNTING_STANDARD_OVERRIDE",$G$7,"Per",$B$11,"Days=A"))</f>
        <v>1.2770999999999999</v>
      </c>
      <c r="K64" s="152">
        <f>IF(LEFT(_xll.BDH(Ticker,"AVERAGE_DIVIDEND_YIELD",K$11,K$11,"EQY_CONSOLIDATED",$G$9,"ACCOUNTING_STANDARD_OVERRIDE",$G$7,"Per",$B$11,"Days=A"),1)="#","--",_xll.BDH(Ticker,"AVERAGE_DIVIDEND_YIELD",K$11,K$11,"EQY_CONSOLIDATED",$G$9,"ACCOUNTING_STANDARD_OVERRIDE",$G$7,"Per",$B$11,"Days=A"))</f>
        <v>1.2869999999999999</v>
      </c>
      <c r="L64" s="152">
        <f>IF(LEFT(_xll.BDH(Ticker,"AVERAGE_DIVIDEND_YIELD",L$11,L$11,"EQY_CONSOLIDATED",$G$9,"ACCOUNTING_STANDARD_OVERRIDE",$G$7,"Per",$B$11,"Days=A"),1)="#","--",_xll.BDH(Ticker,"AVERAGE_DIVIDEND_YIELD",L$11,L$11,"EQY_CONSOLIDATED",$G$9,"ACCOUNTING_STANDARD_OVERRIDE",$G$7,"Per",$B$11,"Days=A"))</f>
        <v>1.0927</v>
      </c>
      <c r="M64" s="152">
        <f>IF(LEFT(_xll.BDH(Ticker,"AVERAGE_DIVIDEND_YIELD",M$11,M$11,"EQY_CONSOLIDATED",$G$9,"ACCOUNTING_STANDARD_OVERRIDE",$G$7,"Per",$B$11,"Days=A"),1)="#","--",_xll.BDH(Ticker,"AVERAGE_DIVIDEND_YIELD",M$11,M$11,"EQY_CONSOLIDATED",$G$9,"ACCOUNTING_STANDARD_OVERRIDE",$G$7,"Per",$B$11,"Days=A"))</f>
        <v>1.0206999999999999</v>
      </c>
    </row>
    <row r="65" spans="2:13">
      <c r="B65" s="138" t="s">
        <v>172</v>
      </c>
      <c r="C65" s="152">
        <f>IF(LEFT(_xll.BDH(Ticker,"HIGH_DIVIDEND_YIELD",C$11,C$11,"EQY_CONSOLIDATED",$G$9,"ACCOUNTING_STANDARD_OVERRIDE",$G$7,"Per",$B$11,"Days=A"),1)="#","--",_xll.BDH(Ticker,"HIGH_DIVIDEND_YIELD",C$11,C$11,"EQY_CONSOLIDATED",$G$9,"ACCOUNTING_STANDARD_OVERRIDE",$G$7,"Per",$B$11,"Days=A"))</f>
        <v>1.0013000000000001</v>
      </c>
      <c r="D65" s="152">
        <f>IF(LEFT(_xll.BDH(Ticker,"HIGH_DIVIDEND_YIELD",D$11,D$11,"EQY_CONSOLIDATED",$G$9,"ACCOUNTING_STANDARD_OVERRIDE",$G$7,"Per",$B$11,"Days=A"),1)="#","--",_xll.BDH(Ticker,"HIGH_DIVIDEND_YIELD",D$11,D$11,"EQY_CONSOLIDATED",$G$9,"ACCOUNTING_STANDARD_OVERRIDE",$G$7,"Per",$B$11,"Days=A"))</f>
        <v>1.2825</v>
      </c>
      <c r="E65" s="152">
        <f>IF(LEFT(_xll.BDH(Ticker,"HIGH_DIVIDEND_YIELD",E$11,E$11,"EQY_CONSOLIDATED",$G$9,"ACCOUNTING_STANDARD_OVERRIDE",$G$7,"Per",$B$11,"Days=A"),1)="#","--",_xll.BDH(Ticker,"HIGH_DIVIDEND_YIELD",E$11,E$11,"EQY_CONSOLIDATED",$G$9,"ACCOUNTING_STANDARD_OVERRIDE",$G$7,"Per",$B$11,"Days=A"))</f>
        <v>1.1732</v>
      </c>
      <c r="F65" s="152">
        <f>IF(LEFT(_xll.BDH(Ticker,"HIGH_DIVIDEND_YIELD",F$11,F$11,"EQY_CONSOLIDATED",$G$9,"ACCOUNTING_STANDARD_OVERRIDE",$G$7,"Per",$B$11,"Days=A"),1)="#","--",_xll.BDH(Ticker,"HIGH_DIVIDEND_YIELD",F$11,F$11,"EQY_CONSOLIDATED",$G$9,"ACCOUNTING_STANDARD_OVERRIDE",$G$7,"Per",$B$11,"Days=A"))</f>
        <v>1.5138</v>
      </c>
      <c r="G65" s="152">
        <f>IF(LEFT(_xll.BDH(Ticker,"HIGH_DIVIDEND_YIELD",G$11,G$11,"EQY_CONSOLIDATED",$G$9,"ACCOUNTING_STANDARD_OVERRIDE",$G$7,"Per",$B$11,"Days=A"),1)="#","--",_xll.BDH(Ticker,"HIGH_DIVIDEND_YIELD",G$11,G$11,"EQY_CONSOLIDATED",$G$9,"ACCOUNTING_STANDARD_OVERRIDE",$G$7,"Per",$B$11,"Days=A"))</f>
        <v>1.5505</v>
      </c>
      <c r="H65" s="152">
        <f>IF(LEFT(_xll.BDH(Ticker,"HIGH_DIVIDEND_YIELD",H$11,H$11,"EQY_CONSOLIDATED",$G$9,"ACCOUNTING_STANDARD_OVERRIDE",$G$7,"Per",$B$11,"Days=A"),1)="#","--",_xll.BDH(Ticker,"HIGH_DIVIDEND_YIELD",H$11,H$11,"EQY_CONSOLIDATED",$G$9,"ACCOUNTING_STANDARD_OVERRIDE",$G$7,"Per",$B$11,"Days=A"))</f>
        <v>1.5211000000000001</v>
      </c>
      <c r="I65" s="152">
        <f>IF(LEFT(_xll.BDH(Ticker,"HIGH_DIVIDEND_YIELD",I$11,I$11,"EQY_CONSOLIDATED",$G$9,"ACCOUNTING_STANDARD_OVERRIDE",$G$7,"Per",$B$11,"Days=A"),1)="#","--",_xll.BDH(Ticker,"HIGH_DIVIDEND_YIELD",I$11,I$11,"EQY_CONSOLIDATED",$G$9,"ACCOUNTING_STANDARD_OVERRIDE",$G$7,"Per",$B$11,"Days=A"))</f>
        <v>1.4203000000000001</v>
      </c>
      <c r="J65" s="152">
        <f>IF(LEFT(_xll.BDH(Ticker,"HIGH_DIVIDEND_YIELD",J$11,J$11,"EQY_CONSOLIDATED",$G$9,"ACCOUNTING_STANDARD_OVERRIDE",$G$7,"Per",$B$11,"Days=A"),1)="#","--",_xll.BDH(Ticker,"HIGH_DIVIDEND_YIELD",J$11,J$11,"EQY_CONSOLIDATED",$G$9,"ACCOUNTING_STANDARD_OVERRIDE",$G$7,"Per",$B$11,"Days=A"))</f>
        <v>1.5225</v>
      </c>
      <c r="K65" s="152">
        <f>IF(LEFT(_xll.BDH(Ticker,"HIGH_DIVIDEND_YIELD",K$11,K$11,"EQY_CONSOLIDATED",$G$9,"ACCOUNTING_STANDARD_OVERRIDE",$G$7,"Per",$B$11,"Days=A"),1)="#","--",_xll.BDH(Ticker,"HIGH_DIVIDEND_YIELD",K$11,K$11,"EQY_CONSOLIDATED",$G$9,"ACCOUNTING_STANDARD_OVERRIDE",$G$7,"Per",$B$11,"Days=A"))</f>
        <v>1.6166</v>
      </c>
      <c r="L65" s="152">
        <f>IF(LEFT(_xll.BDH(Ticker,"HIGH_DIVIDEND_YIELD",L$11,L$11,"EQY_CONSOLIDATED",$G$9,"ACCOUNTING_STANDARD_OVERRIDE",$G$7,"Per",$B$11,"Days=A"),1)="#","--",_xll.BDH(Ticker,"HIGH_DIVIDEND_YIELD",L$11,L$11,"EQY_CONSOLIDATED",$G$9,"ACCOUNTING_STANDARD_OVERRIDE",$G$7,"Per",$B$11,"Days=A"))</f>
        <v>1.2908999999999999</v>
      </c>
      <c r="M65" s="152">
        <f>IF(LEFT(_xll.BDH(Ticker,"HIGH_DIVIDEND_YIELD",M$11,M$11,"EQY_CONSOLIDATED",$G$9,"ACCOUNTING_STANDARD_OVERRIDE",$G$7,"Per",$B$11,"Days=A"),1)="#","--",_xll.BDH(Ticker,"HIGH_DIVIDEND_YIELD",M$11,M$11,"EQY_CONSOLIDATED",$G$9,"ACCOUNTING_STANDARD_OVERRIDE",$G$7,"Per",$B$11,"Days=A"))</f>
        <v>1.1994</v>
      </c>
    </row>
    <row r="66" spans="2:13">
      <c r="B66" s="138" t="s">
        <v>173</v>
      </c>
      <c r="C66" s="152">
        <f>IF(LEFT(_xll.BDH(Ticker,"LOW_DIVIDEND_YIELD",C$11,C$11,"EQY_CONSOLIDATED",$G$9,"ACCOUNTING_STANDARD_OVERRIDE",$G$7,"Per",$B$11,"Days=A"),1)="#","--",_xll.BDH(Ticker,"LOW_DIVIDEND_YIELD",C$11,C$11,"EQY_CONSOLIDATED",$G$9,"ACCOUNTING_STANDARD_OVERRIDE",$G$7,"Per",$B$11,"Days=A"))</f>
        <v>0.44700000000000001</v>
      </c>
      <c r="D66" s="152">
        <f>IF(LEFT(_xll.BDH(Ticker,"LOW_DIVIDEND_YIELD",D$11,D$11,"EQY_CONSOLIDATED",$G$9,"ACCOUNTING_STANDARD_OVERRIDE",$G$7,"Per",$B$11,"Days=A"),1)="#","--",_xll.BDH(Ticker,"LOW_DIVIDEND_YIELD",D$11,D$11,"EQY_CONSOLIDATED",$G$9,"ACCOUNTING_STANDARD_OVERRIDE",$G$7,"Per",$B$11,"Days=A"))</f>
        <v>0.49630000000000002</v>
      </c>
      <c r="E66" s="152">
        <f>IF(LEFT(_xll.BDH(Ticker,"LOW_DIVIDEND_YIELD",E$11,E$11,"EQY_CONSOLIDATED",$G$9,"ACCOUNTING_STANDARD_OVERRIDE",$G$7,"Per",$B$11,"Days=A"),1)="#","--",_xll.BDH(Ticker,"LOW_DIVIDEND_YIELD",E$11,E$11,"EQY_CONSOLIDATED",$G$9,"ACCOUNTING_STANDARD_OVERRIDE",$G$7,"Per",$B$11,"Days=A"))</f>
        <v>0.42449999999999999</v>
      </c>
      <c r="F66" s="152">
        <f>IF(LEFT(_xll.BDH(Ticker,"LOW_DIVIDEND_YIELD",F$11,F$11,"EQY_CONSOLIDATED",$G$9,"ACCOUNTING_STANDARD_OVERRIDE",$G$7,"Per",$B$11,"Days=A"),1)="#","--",_xll.BDH(Ticker,"LOW_DIVIDEND_YIELD",F$11,F$11,"EQY_CONSOLIDATED",$G$9,"ACCOUNTING_STANDARD_OVERRIDE",$G$7,"Per",$B$11,"Days=A"))</f>
        <v>0.96819999999999995</v>
      </c>
      <c r="G66" s="152">
        <f>IF(LEFT(_xll.BDH(Ticker,"LOW_DIVIDEND_YIELD",G$11,G$11,"EQY_CONSOLIDATED",$G$9,"ACCOUNTING_STANDARD_OVERRIDE",$G$7,"Per",$B$11,"Days=A"),1)="#","--",_xll.BDH(Ticker,"LOW_DIVIDEND_YIELD",G$11,G$11,"EQY_CONSOLIDATED",$G$9,"ACCOUNTING_STANDARD_OVERRIDE",$G$7,"Per",$B$11,"Days=A"))</f>
        <v>1.3302</v>
      </c>
      <c r="H66" s="152">
        <f>IF(LEFT(_xll.BDH(Ticker,"LOW_DIVIDEND_YIELD",H$11,H$11,"EQY_CONSOLIDATED",$G$9,"ACCOUNTING_STANDARD_OVERRIDE",$G$7,"Per",$B$11,"Days=A"),1)="#","--",_xll.BDH(Ticker,"LOW_DIVIDEND_YIELD",H$11,H$11,"EQY_CONSOLIDATED",$G$9,"ACCOUNTING_STANDARD_OVERRIDE",$G$7,"Per",$B$11,"Days=A"))</f>
        <v>1.1274999999999999</v>
      </c>
      <c r="I66" s="152">
        <f>IF(LEFT(_xll.BDH(Ticker,"LOW_DIVIDEND_YIELD",I$11,I$11,"EQY_CONSOLIDATED",$G$9,"ACCOUNTING_STANDARD_OVERRIDE",$G$7,"Per",$B$11,"Days=A"),1)="#","--",_xll.BDH(Ticker,"LOW_DIVIDEND_YIELD",I$11,I$11,"EQY_CONSOLIDATED",$G$9,"ACCOUNTING_STANDARD_OVERRIDE",$G$7,"Per",$B$11,"Days=A"))</f>
        <v>1.0972</v>
      </c>
      <c r="J66" s="152">
        <f>IF(LEFT(_xll.BDH(Ticker,"LOW_DIVIDEND_YIELD",J$11,J$11,"EQY_CONSOLIDATED",$G$9,"ACCOUNTING_STANDARD_OVERRIDE",$G$7,"Per",$B$11,"Days=A"),1)="#","--",_xll.BDH(Ticker,"LOW_DIVIDEND_YIELD",J$11,J$11,"EQY_CONSOLIDATED",$G$9,"ACCOUNTING_STANDARD_OVERRIDE",$G$7,"Per",$B$11,"Days=A"))</f>
        <v>1.1671</v>
      </c>
      <c r="K66" s="152">
        <f>IF(LEFT(_xll.BDH(Ticker,"LOW_DIVIDEND_YIELD",K$11,K$11,"EQY_CONSOLIDATED",$G$9,"ACCOUNTING_STANDARD_OVERRIDE",$G$7,"Per",$B$11,"Days=A"),1)="#","--",_xll.BDH(Ticker,"LOW_DIVIDEND_YIELD",K$11,K$11,"EQY_CONSOLIDATED",$G$9,"ACCOUNTING_STANDARD_OVERRIDE",$G$7,"Per",$B$11,"Days=A"))</f>
        <v>1.1520999999999999</v>
      </c>
      <c r="L66" s="152">
        <f>IF(LEFT(_xll.BDH(Ticker,"LOW_DIVIDEND_YIELD",L$11,L$11,"EQY_CONSOLIDATED",$G$9,"ACCOUNTING_STANDARD_OVERRIDE",$G$7,"Per",$B$11,"Days=A"),1)="#","--",_xll.BDH(Ticker,"LOW_DIVIDEND_YIELD",L$11,L$11,"EQY_CONSOLIDATED",$G$9,"ACCOUNTING_STANDARD_OVERRIDE",$G$7,"Per",$B$11,"Days=A"))</f>
        <v>0.95150000000000001</v>
      </c>
      <c r="M66" s="152">
        <f>IF(LEFT(_xll.BDH(Ticker,"LOW_DIVIDEND_YIELD",M$11,M$11,"EQY_CONSOLIDATED",$G$9,"ACCOUNTING_STANDARD_OVERRIDE",$G$7,"Per",$B$11,"Days=A"),1)="#","--",_xll.BDH(Ticker,"LOW_DIVIDEND_YIELD",M$11,M$11,"EQY_CONSOLIDATED",$G$9,"ACCOUNTING_STANDARD_OVERRIDE",$G$7,"Per",$B$11,"Days=A"))</f>
        <v>0.9456</v>
      </c>
    </row>
    <row r="68" spans="2:13">
      <c r="B68" s="138"/>
      <c r="C68" s="142"/>
      <c r="D68" s="142"/>
      <c r="E68" s="142"/>
      <c r="F68" s="142"/>
      <c r="G68" s="142"/>
      <c r="H68" s="142"/>
      <c r="I68" s="142"/>
      <c r="J68" s="142"/>
      <c r="K68" s="142"/>
      <c r="L68" s="142"/>
      <c r="M68" s="142"/>
    </row>
    <row r="69" spans="2:13">
      <c r="B69" s="138"/>
      <c r="H69" s="143"/>
    </row>
    <row r="70" spans="2:13">
      <c r="H70" s="143"/>
    </row>
    <row r="71" spans="2:13">
      <c r="H71" s="143"/>
    </row>
    <row r="72" spans="2:13">
      <c r="H72" s="143"/>
    </row>
    <row r="73" spans="2:13">
      <c r="H73" s="143"/>
    </row>
    <row r="74" spans="2:13">
      <c r="H74" s="143"/>
    </row>
    <row r="75" spans="2:13">
      <c r="H75" s="143"/>
    </row>
    <row r="76" spans="2:13">
      <c r="H76" s="143"/>
    </row>
    <row r="77" spans="2:13">
      <c r="H77" s="143"/>
    </row>
    <row r="78" spans="2:13">
      <c r="H78" s="143"/>
    </row>
    <row r="79" spans="2:13">
      <c r="H79" s="143"/>
    </row>
    <row r="80" spans="2:13">
      <c r="H80" s="143"/>
    </row>
    <row r="81" spans="8:8">
      <c r="H81" s="143"/>
    </row>
    <row r="82" spans="8:8">
      <c r="H82" s="143"/>
    </row>
    <row r="83" spans="8:8">
      <c r="H83" s="143"/>
    </row>
    <row r="84" spans="8:8">
      <c r="H84" s="143"/>
    </row>
    <row r="85" spans="8:8">
      <c r="H85" s="143"/>
    </row>
    <row r="86" spans="8:8">
      <c r="H86" s="143"/>
    </row>
    <row r="87" spans="8:8">
      <c r="H87" s="143"/>
    </row>
    <row r="88" spans="8:8">
      <c r="H88" s="143"/>
    </row>
    <row r="89" spans="8:8">
      <c r="H89" s="143"/>
    </row>
    <row r="90" spans="8:8">
      <c r="H90" s="143"/>
    </row>
    <row r="91" spans="8:8">
      <c r="H91" s="143"/>
    </row>
    <row r="92" spans="8:8">
      <c r="H92" s="143"/>
    </row>
    <row r="93" spans="8:8">
      <c r="H93" s="143"/>
    </row>
    <row r="94" spans="8:8">
      <c r="H94" s="143"/>
    </row>
    <row r="95" spans="8:8">
      <c r="H95" s="143"/>
    </row>
    <row r="96" spans="8:8">
      <c r="H96" s="143"/>
    </row>
    <row r="97" spans="8:8">
      <c r="H97" s="143"/>
    </row>
    <row r="98" spans="8:8">
      <c r="H98" s="143"/>
    </row>
    <row r="99" spans="8:8">
      <c r="H99" s="143"/>
    </row>
    <row r="100" spans="8:8">
      <c r="H100" s="143"/>
    </row>
    <row r="101" spans="8:8">
      <c r="H101" s="143"/>
    </row>
    <row r="102" spans="8:8">
      <c r="H102" s="143"/>
    </row>
    <row r="103" spans="8:8">
      <c r="H103" s="143"/>
    </row>
    <row r="104" spans="8:8">
      <c r="H104" s="143"/>
    </row>
    <row r="105" spans="8:8">
      <c r="H105" s="143"/>
    </row>
    <row r="106" spans="8:8">
      <c r="H106" s="143"/>
    </row>
    <row r="107" spans="8:8">
      <c r="H107" s="143"/>
    </row>
    <row r="108" spans="8:8">
      <c r="H108" s="143"/>
    </row>
    <row r="109" spans="8:8">
      <c r="H109" s="143"/>
    </row>
    <row r="110" spans="8:8">
      <c r="H110" s="143"/>
    </row>
    <row r="111" spans="8:8">
      <c r="H111" s="143"/>
    </row>
    <row r="112" spans="8:8">
      <c r="H112" s="143"/>
    </row>
    <row r="113" spans="8:8">
      <c r="H113" s="143"/>
    </row>
    <row r="114" spans="8:8">
      <c r="H114" s="143"/>
    </row>
    <row r="115" spans="8:8">
      <c r="H115" s="143"/>
    </row>
    <row r="116" spans="8:8">
      <c r="H116" s="143"/>
    </row>
    <row r="117" spans="8:8">
      <c r="H117" s="143"/>
    </row>
    <row r="118" spans="8:8">
      <c r="H118" s="143"/>
    </row>
    <row r="119" spans="8:8">
      <c r="H119" s="143"/>
    </row>
    <row r="120" spans="8:8">
      <c r="H120" s="143"/>
    </row>
    <row r="121" spans="8:8">
      <c r="H121" s="143"/>
    </row>
    <row r="122" spans="8:8">
      <c r="H122" s="143"/>
    </row>
    <row r="123" spans="8:8">
      <c r="H123" s="143"/>
    </row>
    <row r="124" spans="8:8">
      <c r="H124" s="143"/>
    </row>
    <row r="125" spans="8:8">
      <c r="H125" s="143"/>
    </row>
    <row r="126" spans="8:8">
      <c r="H126" s="143"/>
    </row>
    <row r="127" spans="8:8">
      <c r="H127" s="143"/>
    </row>
    <row r="128" spans="8:8">
      <c r="H128" s="143"/>
    </row>
    <row r="129" spans="8:8">
      <c r="H129" s="143"/>
    </row>
    <row r="130" spans="8:8">
      <c r="H130" s="143"/>
    </row>
    <row r="131" spans="8:8">
      <c r="H131" s="143"/>
    </row>
    <row r="132" spans="8:8">
      <c r="H132" s="143"/>
    </row>
    <row r="133" spans="8:8">
      <c r="H133" s="143"/>
    </row>
    <row r="134" spans="8:8">
      <c r="H134" s="143"/>
    </row>
    <row r="135" spans="8:8">
      <c r="H135" s="143"/>
    </row>
    <row r="136" spans="8:8">
      <c r="H136" s="143"/>
    </row>
    <row r="137" spans="8:8">
      <c r="H137" s="143"/>
    </row>
    <row r="138" spans="8:8">
      <c r="H138" s="143"/>
    </row>
    <row r="139" spans="8:8">
      <c r="H139" s="143"/>
    </row>
    <row r="140" spans="8:8">
      <c r="H140" s="143"/>
    </row>
    <row r="141" spans="8:8">
      <c r="H141" s="143"/>
    </row>
    <row r="142" spans="8:8">
      <c r="H142" s="143"/>
    </row>
    <row r="143" spans="8:8">
      <c r="H143" s="143"/>
    </row>
    <row r="144" spans="8:8">
      <c r="H144" s="143"/>
    </row>
    <row r="145" spans="8:8">
      <c r="H145" s="143"/>
    </row>
    <row r="146" spans="8:8">
      <c r="H146" s="143"/>
    </row>
    <row r="147" spans="8:8">
      <c r="H147" s="143"/>
    </row>
    <row r="148" spans="8:8">
      <c r="H148" s="143"/>
    </row>
    <row r="149" spans="8:8">
      <c r="H149" s="143"/>
    </row>
    <row r="150" spans="8:8">
      <c r="H150" s="143"/>
    </row>
    <row r="151" spans="8:8">
      <c r="H151" s="143"/>
    </row>
    <row r="152" spans="8:8">
      <c r="H152" s="143"/>
    </row>
    <row r="153" spans="8:8">
      <c r="H153" s="143"/>
    </row>
    <row r="154" spans="8:8">
      <c r="H154" s="143"/>
    </row>
    <row r="155" spans="8:8">
      <c r="H155" s="143"/>
    </row>
    <row r="156" spans="8:8">
      <c r="H156" s="143"/>
    </row>
    <row r="157" spans="8:8">
      <c r="H157" s="143"/>
    </row>
    <row r="158" spans="8:8">
      <c r="H158" s="143"/>
    </row>
    <row r="159" spans="8:8">
      <c r="H159" s="143"/>
    </row>
    <row r="160" spans="8:8">
      <c r="H160" s="143"/>
    </row>
    <row r="161" spans="8:8">
      <c r="H161" s="143"/>
    </row>
    <row r="162" spans="8:8">
      <c r="H162" s="143"/>
    </row>
    <row r="163" spans="8:8">
      <c r="H163" s="143"/>
    </row>
    <row r="164" spans="8:8">
      <c r="H164" s="143"/>
    </row>
    <row r="165" spans="8:8">
      <c r="H165" s="143"/>
    </row>
    <row r="166" spans="8:8">
      <c r="H166" s="143"/>
    </row>
    <row r="167" spans="8:8">
      <c r="H167" s="143"/>
    </row>
    <row r="168" spans="8:8">
      <c r="H168" s="143"/>
    </row>
    <row r="169" spans="8:8">
      <c r="H169" s="143"/>
    </row>
    <row r="170" spans="8:8">
      <c r="H170" s="143"/>
    </row>
    <row r="171" spans="8:8">
      <c r="H171" s="143"/>
    </row>
    <row r="172" spans="8:8">
      <c r="H172" s="143"/>
    </row>
    <row r="173" spans="8:8">
      <c r="H173" s="143"/>
    </row>
    <row r="174" spans="8:8">
      <c r="H174" s="143"/>
    </row>
    <row r="175" spans="8:8">
      <c r="H175" s="143"/>
    </row>
    <row r="176" spans="8:8">
      <c r="H176" s="143"/>
    </row>
    <row r="177" spans="8:8">
      <c r="H177" s="143"/>
    </row>
    <row r="178" spans="8:8">
      <c r="H178" s="143"/>
    </row>
    <row r="179" spans="8:8">
      <c r="H179" s="143"/>
    </row>
    <row r="180" spans="8:8">
      <c r="H180" s="143"/>
    </row>
    <row r="181" spans="8:8">
      <c r="H181" s="143"/>
    </row>
    <row r="182" spans="8:8">
      <c r="H182" s="143"/>
    </row>
    <row r="183" spans="8:8">
      <c r="H183" s="143"/>
    </row>
    <row r="184" spans="8:8">
      <c r="H184" s="143"/>
    </row>
    <row r="185" spans="8:8">
      <c r="H185" s="143"/>
    </row>
    <row r="186" spans="8:8">
      <c r="H186" s="143"/>
    </row>
    <row r="187" spans="8:8">
      <c r="H187" s="143"/>
    </row>
    <row r="188" spans="8:8">
      <c r="H188" s="143"/>
    </row>
    <row r="189" spans="8:8">
      <c r="H189" s="143"/>
    </row>
    <row r="190" spans="8:8">
      <c r="H190" s="143"/>
    </row>
    <row r="191" spans="8:8">
      <c r="H191" s="143"/>
    </row>
    <row r="192" spans="8:8">
      <c r="H192" s="143"/>
    </row>
    <row r="193" spans="8:8">
      <c r="H193" s="143"/>
    </row>
    <row r="194" spans="8:8">
      <c r="H194" s="143"/>
    </row>
    <row r="195" spans="8:8">
      <c r="H195" s="143"/>
    </row>
    <row r="196" spans="8:8">
      <c r="H196" s="143"/>
    </row>
    <row r="197" spans="8:8">
      <c r="H197" s="143"/>
    </row>
    <row r="198" spans="8:8">
      <c r="H198" s="143"/>
    </row>
    <row r="199" spans="8:8">
      <c r="H199" s="143"/>
    </row>
    <row r="200" spans="8:8">
      <c r="H200" s="143"/>
    </row>
    <row r="201" spans="8:8">
      <c r="H201" s="143"/>
    </row>
    <row r="202" spans="8:8">
      <c r="H202" s="143"/>
    </row>
    <row r="203" spans="8:8">
      <c r="H203" s="143"/>
    </row>
    <row r="204" spans="8:8">
      <c r="H204" s="143"/>
    </row>
    <row r="205" spans="8:8">
      <c r="H205" s="143"/>
    </row>
    <row r="206" spans="8:8">
      <c r="H206" s="143"/>
    </row>
    <row r="207" spans="8:8">
      <c r="H207" s="143"/>
    </row>
    <row r="208" spans="8:8">
      <c r="H208" s="143"/>
    </row>
    <row r="209" spans="8:8">
      <c r="H209" s="143"/>
    </row>
    <row r="210" spans="8:8">
      <c r="H210" s="143"/>
    </row>
    <row r="211" spans="8:8">
      <c r="H211" s="143"/>
    </row>
    <row r="212" spans="8:8">
      <c r="H212" s="143"/>
    </row>
    <row r="213" spans="8:8">
      <c r="H213" s="143"/>
    </row>
    <row r="214" spans="8:8">
      <c r="H214" s="143"/>
    </row>
    <row r="215" spans="8:8">
      <c r="H215" s="143"/>
    </row>
    <row r="216" spans="8:8">
      <c r="H216" s="143"/>
    </row>
    <row r="217" spans="8:8">
      <c r="H217" s="143"/>
    </row>
    <row r="218" spans="8:8">
      <c r="H218" s="143"/>
    </row>
    <row r="219" spans="8:8">
      <c r="H219" s="143"/>
    </row>
    <row r="220" spans="8:8">
      <c r="H220" s="143"/>
    </row>
    <row r="221" spans="8:8">
      <c r="H221" s="143"/>
    </row>
    <row r="222" spans="8:8">
      <c r="H222" s="143"/>
    </row>
    <row r="223" spans="8:8">
      <c r="H223" s="143"/>
    </row>
    <row r="224" spans="8:8">
      <c r="H224" s="143"/>
    </row>
    <row r="225" spans="8:8">
      <c r="H225" s="143"/>
    </row>
    <row r="226" spans="8:8">
      <c r="H226" s="143"/>
    </row>
    <row r="227" spans="8:8">
      <c r="H227" s="143"/>
    </row>
    <row r="228" spans="8:8">
      <c r="H228" s="143"/>
    </row>
    <row r="229" spans="8:8">
      <c r="H229" s="143"/>
    </row>
    <row r="230" spans="8:8">
      <c r="H230" s="143"/>
    </row>
    <row r="231" spans="8:8">
      <c r="H231" s="143"/>
    </row>
    <row r="232" spans="8:8">
      <c r="H232" s="143"/>
    </row>
    <row r="233" spans="8:8">
      <c r="H233" s="143"/>
    </row>
    <row r="234" spans="8:8">
      <c r="H234" s="143"/>
    </row>
    <row r="235" spans="8:8">
      <c r="H235" s="143"/>
    </row>
    <row r="236" spans="8:8">
      <c r="H236" s="143"/>
    </row>
    <row r="237" spans="8:8">
      <c r="H237" s="143"/>
    </row>
    <row r="238" spans="8:8">
      <c r="H238" s="143"/>
    </row>
    <row r="239" spans="8:8">
      <c r="H239" s="143"/>
    </row>
    <row r="240" spans="8:8">
      <c r="H240" s="143"/>
    </row>
    <row r="241" spans="8:8">
      <c r="H241" s="143"/>
    </row>
    <row r="242" spans="8:8">
      <c r="H242" s="143"/>
    </row>
    <row r="243" spans="8:8">
      <c r="H243" s="143"/>
    </row>
    <row r="244" spans="8:8">
      <c r="H244" s="143"/>
    </row>
    <row r="245" spans="8:8">
      <c r="H245" s="143"/>
    </row>
    <row r="246" spans="8:8">
      <c r="H246" s="143"/>
    </row>
    <row r="247" spans="8:8">
      <c r="H247" s="143"/>
    </row>
    <row r="248" spans="8:8">
      <c r="H248" s="143"/>
    </row>
    <row r="249" spans="8:8">
      <c r="H249" s="143"/>
    </row>
    <row r="250" spans="8:8">
      <c r="H250" s="143"/>
    </row>
    <row r="251" spans="8:8">
      <c r="H251" s="143"/>
    </row>
    <row r="252" spans="8:8">
      <c r="H252" s="143"/>
    </row>
    <row r="253" spans="8:8">
      <c r="H253" s="143"/>
    </row>
    <row r="254" spans="8:8">
      <c r="H254" s="143"/>
    </row>
    <row r="255" spans="8:8">
      <c r="H255" s="143"/>
    </row>
    <row r="256" spans="8:8">
      <c r="H256" s="143"/>
    </row>
    <row r="257" spans="8:8">
      <c r="H257" s="143"/>
    </row>
    <row r="258" spans="8:8">
      <c r="H258" s="143"/>
    </row>
    <row r="259" spans="8:8">
      <c r="H259" s="143"/>
    </row>
    <row r="260" spans="8:8">
      <c r="H260" s="143"/>
    </row>
    <row r="261" spans="8:8">
      <c r="H261" s="143"/>
    </row>
    <row r="262" spans="8:8">
      <c r="H262" s="143"/>
    </row>
    <row r="263" spans="8:8">
      <c r="H263" s="143"/>
    </row>
    <row r="264" spans="8:8">
      <c r="H264" s="143"/>
    </row>
    <row r="265" spans="8:8">
      <c r="H265" s="143"/>
    </row>
    <row r="266" spans="8:8">
      <c r="H266" s="143"/>
    </row>
    <row r="267" spans="8:8">
      <c r="H267" s="143"/>
    </row>
    <row r="268" spans="8:8">
      <c r="H268" s="143"/>
    </row>
    <row r="269" spans="8:8">
      <c r="H269" s="143"/>
    </row>
    <row r="270" spans="8:8">
      <c r="H270" s="143"/>
    </row>
    <row r="271" spans="8:8">
      <c r="H271" s="143"/>
    </row>
    <row r="272" spans="8:8">
      <c r="H272" s="143"/>
    </row>
    <row r="273" spans="8:8">
      <c r="H273" s="143"/>
    </row>
    <row r="274" spans="8:8">
      <c r="H274" s="143"/>
    </row>
    <row r="275" spans="8:8">
      <c r="H275" s="143"/>
    </row>
    <row r="276" spans="8:8">
      <c r="H276" s="143"/>
    </row>
    <row r="277" spans="8:8">
      <c r="H277" s="143"/>
    </row>
    <row r="278" spans="8:8">
      <c r="H278" s="143"/>
    </row>
    <row r="279" spans="8:8">
      <c r="H279" s="143"/>
    </row>
    <row r="280" spans="8:8">
      <c r="H280" s="143"/>
    </row>
    <row r="281" spans="8:8">
      <c r="H281" s="143"/>
    </row>
    <row r="282" spans="8:8">
      <c r="H282" s="143"/>
    </row>
    <row r="283" spans="8:8">
      <c r="H283" s="143"/>
    </row>
    <row r="284" spans="8:8">
      <c r="H284" s="143"/>
    </row>
    <row r="285" spans="8:8">
      <c r="H285" s="143"/>
    </row>
    <row r="286" spans="8:8">
      <c r="H286" s="143"/>
    </row>
    <row r="287" spans="8:8">
      <c r="H287" s="143"/>
    </row>
    <row r="288" spans="8:8">
      <c r="H288" s="143"/>
    </row>
    <row r="289" spans="8:8">
      <c r="H289" s="143"/>
    </row>
    <row r="290" spans="8:8">
      <c r="H290" s="143"/>
    </row>
    <row r="291" spans="8:8">
      <c r="H291" s="143"/>
    </row>
    <row r="292" spans="8:8">
      <c r="H292" s="143"/>
    </row>
    <row r="293" spans="8:8">
      <c r="H293" s="143"/>
    </row>
    <row r="294" spans="8:8">
      <c r="H294" s="143"/>
    </row>
    <row r="295" spans="8:8">
      <c r="H295" s="143"/>
    </row>
    <row r="296" spans="8:8">
      <c r="H296" s="143"/>
    </row>
    <row r="297" spans="8:8">
      <c r="H297" s="143"/>
    </row>
    <row r="298" spans="8:8">
      <c r="H298" s="143"/>
    </row>
    <row r="299" spans="8:8">
      <c r="H299" s="143"/>
    </row>
    <row r="300" spans="8:8">
      <c r="H300" s="143"/>
    </row>
    <row r="301" spans="8:8">
      <c r="H301" s="143"/>
    </row>
    <row r="302" spans="8:8">
      <c r="H302" s="143"/>
    </row>
    <row r="303" spans="8:8">
      <c r="H303" s="143"/>
    </row>
    <row r="304" spans="8:8">
      <c r="H304" s="143"/>
    </row>
    <row r="305" spans="8:8">
      <c r="H305" s="143"/>
    </row>
    <row r="306" spans="8:8">
      <c r="H306" s="143"/>
    </row>
    <row r="307" spans="8:8">
      <c r="H307" s="143"/>
    </row>
    <row r="308" spans="8:8">
      <c r="H308" s="143"/>
    </row>
    <row r="309" spans="8:8">
      <c r="H309" s="143"/>
    </row>
    <row r="310" spans="8:8">
      <c r="H310" s="143"/>
    </row>
    <row r="311" spans="8:8">
      <c r="H311" s="143"/>
    </row>
    <row r="312" spans="8:8">
      <c r="H312" s="143"/>
    </row>
    <row r="313" spans="8:8">
      <c r="H313" s="143"/>
    </row>
    <row r="314" spans="8:8">
      <c r="H314" s="143"/>
    </row>
    <row r="315" spans="8:8">
      <c r="H315" s="143"/>
    </row>
    <row r="316" spans="8:8">
      <c r="H316" s="143"/>
    </row>
    <row r="317" spans="8:8">
      <c r="H317" s="143"/>
    </row>
    <row r="318" spans="8:8">
      <c r="H318" s="143"/>
    </row>
    <row r="319" spans="8:8">
      <c r="H319" s="143"/>
    </row>
    <row r="320" spans="8:8">
      <c r="H320" s="143"/>
    </row>
    <row r="321" spans="8:8">
      <c r="H321" s="143"/>
    </row>
    <row r="322" spans="8:8">
      <c r="H322" s="143"/>
    </row>
    <row r="323" spans="8:8">
      <c r="H323" s="143"/>
    </row>
    <row r="324" spans="8:8">
      <c r="H324" s="143"/>
    </row>
    <row r="325" spans="8:8">
      <c r="H325" s="143"/>
    </row>
    <row r="326" spans="8:8">
      <c r="H326" s="143"/>
    </row>
    <row r="327" spans="8:8">
      <c r="H327" s="143"/>
    </row>
    <row r="328" spans="8:8">
      <c r="H328" s="143"/>
    </row>
    <row r="329" spans="8:8">
      <c r="H329" s="143"/>
    </row>
    <row r="330" spans="8:8">
      <c r="H330" s="143"/>
    </row>
    <row r="331" spans="8:8">
      <c r="H331" s="143"/>
    </row>
    <row r="332" spans="8:8">
      <c r="H332" s="143"/>
    </row>
    <row r="333" spans="8:8">
      <c r="H333" s="143"/>
    </row>
    <row r="334" spans="8:8">
      <c r="H334" s="143"/>
    </row>
    <row r="335" spans="8:8">
      <c r="H335" s="143"/>
    </row>
    <row r="336" spans="8:8">
      <c r="H336" s="143"/>
    </row>
    <row r="337" spans="8:8">
      <c r="H337" s="143"/>
    </row>
    <row r="338" spans="8:8">
      <c r="H338" s="143"/>
    </row>
    <row r="339" spans="8:8">
      <c r="H339" s="143"/>
    </row>
    <row r="340" spans="8:8">
      <c r="H340" s="143"/>
    </row>
    <row r="341" spans="8:8">
      <c r="H341" s="143"/>
    </row>
    <row r="342" spans="8:8">
      <c r="H342" s="143"/>
    </row>
    <row r="343" spans="8:8">
      <c r="H343" s="143"/>
    </row>
    <row r="344" spans="8:8">
      <c r="H344" s="143"/>
    </row>
    <row r="345" spans="8:8">
      <c r="H345" s="143"/>
    </row>
    <row r="346" spans="8:8">
      <c r="H346" s="143"/>
    </row>
    <row r="347" spans="8:8">
      <c r="H347" s="143"/>
    </row>
    <row r="348" spans="8:8">
      <c r="H348" s="143"/>
    </row>
    <row r="349" spans="8:8">
      <c r="H349" s="143"/>
    </row>
    <row r="350" spans="8:8">
      <c r="H350" s="143"/>
    </row>
    <row r="351" spans="8:8">
      <c r="H351" s="143"/>
    </row>
    <row r="352" spans="8:8">
      <c r="H352" s="143"/>
    </row>
    <row r="353" spans="8:8">
      <c r="H353" s="143"/>
    </row>
    <row r="354" spans="8:8">
      <c r="H354" s="143"/>
    </row>
    <row r="355" spans="8:8">
      <c r="H355" s="143"/>
    </row>
    <row r="356" spans="8:8">
      <c r="H356" s="143"/>
    </row>
    <row r="357" spans="8:8">
      <c r="H357" s="143"/>
    </row>
    <row r="358" spans="8:8">
      <c r="H358" s="143"/>
    </row>
    <row r="359" spans="8:8">
      <c r="H359" s="143"/>
    </row>
    <row r="360" spans="8:8">
      <c r="H360" s="143"/>
    </row>
    <row r="361" spans="8:8">
      <c r="H361" s="143"/>
    </row>
    <row r="362" spans="8:8">
      <c r="H362" s="143"/>
    </row>
    <row r="363" spans="8:8">
      <c r="H363" s="143"/>
    </row>
    <row r="364" spans="8:8">
      <c r="H364" s="143"/>
    </row>
    <row r="365" spans="8:8">
      <c r="H365" s="143"/>
    </row>
    <row r="366" spans="8:8">
      <c r="H366" s="143"/>
    </row>
    <row r="367" spans="8:8">
      <c r="H367" s="143"/>
    </row>
    <row r="368" spans="8:8">
      <c r="H368" s="143"/>
    </row>
    <row r="369" spans="8:8">
      <c r="H369" s="143"/>
    </row>
    <row r="370" spans="8:8">
      <c r="H370" s="143"/>
    </row>
    <row r="371" spans="8:8">
      <c r="H371" s="143"/>
    </row>
    <row r="372" spans="8:8">
      <c r="H372" s="143"/>
    </row>
    <row r="373" spans="8:8">
      <c r="H373" s="143"/>
    </row>
    <row r="374" spans="8:8">
      <c r="H374" s="143"/>
    </row>
    <row r="375" spans="8:8">
      <c r="H375" s="143"/>
    </row>
    <row r="376" spans="8:8">
      <c r="H376" s="143"/>
    </row>
    <row r="377" spans="8:8">
      <c r="H377" s="143"/>
    </row>
    <row r="378" spans="8:8">
      <c r="H378" s="143"/>
    </row>
    <row r="379" spans="8:8">
      <c r="H379" s="143"/>
    </row>
    <row r="380" spans="8:8">
      <c r="H380" s="143"/>
    </row>
    <row r="381" spans="8:8">
      <c r="H381" s="143"/>
    </row>
    <row r="382" spans="8:8">
      <c r="H382" s="143"/>
    </row>
    <row r="383" spans="8:8">
      <c r="H383" s="143"/>
    </row>
    <row r="384" spans="8:8">
      <c r="H384" s="143"/>
    </row>
    <row r="385" spans="8:8">
      <c r="H385" s="143"/>
    </row>
    <row r="386" spans="8:8">
      <c r="H386" s="143"/>
    </row>
    <row r="387" spans="8:8">
      <c r="H387" s="143"/>
    </row>
    <row r="388" spans="8:8">
      <c r="H388" s="143"/>
    </row>
    <row r="389" spans="8:8">
      <c r="H389" s="143"/>
    </row>
    <row r="390" spans="8:8">
      <c r="H390" s="143"/>
    </row>
    <row r="391" spans="8:8">
      <c r="H391" s="143"/>
    </row>
    <row r="392" spans="8:8">
      <c r="H392" s="143"/>
    </row>
    <row r="393" spans="8:8">
      <c r="H393" s="143"/>
    </row>
    <row r="394" spans="8:8">
      <c r="H394" s="143"/>
    </row>
    <row r="395" spans="8:8">
      <c r="H395" s="143"/>
    </row>
    <row r="396" spans="8:8">
      <c r="H396" s="143"/>
    </row>
    <row r="397" spans="8:8">
      <c r="H397" s="143"/>
    </row>
    <row r="398" spans="8:8">
      <c r="H398" s="143"/>
    </row>
    <row r="399" spans="8:8">
      <c r="H399" s="143"/>
    </row>
    <row r="400" spans="8:8">
      <c r="H400" s="143"/>
    </row>
    <row r="401" spans="8:8">
      <c r="H401" s="143"/>
    </row>
    <row r="402" spans="8:8">
      <c r="H402" s="143"/>
    </row>
    <row r="403" spans="8:8">
      <c r="H403" s="143"/>
    </row>
    <row r="404" spans="8:8">
      <c r="H404" s="143"/>
    </row>
    <row r="405" spans="8:8">
      <c r="H405" s="143"/>
    </row>
    <row r="406" spans="8:8">
      <c r="H406" s="143"/>
    </row>
    <row r="407" spans="8:8">
      <c r="H407" s="143"/>
    </row>
    <row r="408" spans="8:8">
      <c r="H408" s="143"/>
    </row>
    <row r="409" spans="8:8">
      <c r="H409" s="143"/>
    </row>
    <row r="410" spans="8:8">
      <c r="H410" s="143"/>
    </row>
    <row r="411" spans="8:8">
      <c r="H411" s="143"/>
    </row>
    <row r="412" spans="8:8">
      <c r="H412" s="143"/>
    </row>
    <row r="413" spans="8:8">
      <c r="H413" s="143"/>
    </row>
    <row r="414" spans="8:8">
      <c r="H414" s="143"/>
    </row>
    <row r="415" spans="8:8">
      <c r="H415" s="143"/>
    </row>
    <row r="416" spans="8:8">
      <c r="H416" s="143"/>
    </row>
    <row r="417" spans="8:8">
      <c r="H417" s="143"/>
    </row>
    <row r="418" spans="8:8">
      <c r="H418" s="143"/>
    </row>
    <row r="419" spans="8:8">
      <c r="H419" s="143"/>
    </row>
    <row r="420" spans="8:8">
      <c r="H420" s="143"/>
    </row>
    <row r="421" spans="8:8">
      <c r="H421" s="143"/>
    </row>
    <row r="422" spans="8:8">
      <c r="H422" s="143"/>
    </row>
    <row r="423" spans="8:8">
      <c r="H423" s="143"/>
    </row>
    <row r="424" spans="8:8">
      <c r="H424" s="143"/>
    </row>
    <row r="425" spans="8:8">
      <c r="H425" s="143"/>
    </row>
    <row r="426" spans="8:8">
      <c r="H426" s="143"/>
    </row>
    <row r="427" spans="8:8">
      <c r="H427" s="143"/>
    </row>
    <row r="428" spans="8:8">
      <c r="H428" s="143"/>
    </row>
    <row r="429" spans="8:8">
      <c r="H429" s="143"/>
    </row>
    <row r="430" spans="8:8">
      <c r="H430" s="143"/>
    </row>
    <row r="431" spans="8:8">
      <c r="H431" s="143"/>
    </row>
    <row r="432" spans="8:8">
      <c r="H432" s="143"/>
    </row>
    <row r="433" spans="8:8">
      <c r="H433" s="143"/>
    </row>
    <row r="434" spans="8:8">
      <c r="H434" s="143"/>
    </row>
    <row r="435" spans="8:8">
      <c r="H435" s="143"/>
    </row>
  </sheetData>
  <mergeCells count="4">
    <mergeCell ref="B12:B13"/>
    <mergeCell ref="H9:I9"/>
    <mergeCell ref="E7:F7"/>
    <mergeCell ref="E9:F9"/>
  </mergeCells>
  <phoneticPr fontId="0" type="noConversion"/>
  <dataValidations count="3">
    <dataValidation type="list" allowBlank="1" showInputMessage="1" showErrorMessage="1" sqref="C9">
      <formula1>"Annuals, Quarters, Semi-Annuals"</formula1>
    </dataValidation>
    <dataValidation type="list" allowBlank="1" showInputMessage="1" showErrorMessage="1" sqref="G7">
      <formula1>"Mixed, Local, IFRS, US"</formula1>
    </dataValidation>
    <dataValidation type="list" allowBlank="1" showInputMessage="1" showErrorMessage="1" sqref="G9">
      <formula1>"Yes, No"</formula1>
    </dataValidation>
  </dataValidations>
  <pageMargins left="0.7" right="0.7" top="0.75" bottom="0.75" header="0.3" footer="0.3"/>
  <pageSetup scale="5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atios">
    <pageSetUpPr autoPageBreaks="0"/>
  </sheetPr>
  <dimension ref="A2:IV62"/>
  <sheetViews>
    <sheetView showGridLines="0" showRowColHeaders="0" zoomScale="87" zoomScaleNormal="87" workbookViewId="0">
      <pane xSplit="3" ySplit="14" topLeftCell="D21" activePane="bottomRight" state="frozen"/>
      <selection sqref="A1:XFD1"/>
      <selection pane="topRight" sqref="A1:XFD1"/>
      <selection pane="bottomLeft" sqref="A1:XFD1"/>
      <selection pane="bottomRight" activeCell="D15" sqref="D15"/>
    </sheetView>
  </sheetViews>
  <sheetFormatPr defaultColWidth="9.140625" defaultRowHeight="15" outlineLevelRow="1"/>
  <cols>
    <col min="1" max="1" width="1.7109375" style="65" customWidth="1"/>
    <col min="2" max="2" width="28" style="65" hidden="1" customWidth="1"/>
    <col min="3" max="3" width="30.7109375" style="65" customWidth="1"/>
    <col min="4" max="14" width="11.7109375" style="65" customWidth="1"/>
    <col min="15" max="20" width="9.140625" style="65"/>
    <col min="21" max="21" width="12" style="65" bestFit="1" customWidth="1"/>
    <col min="22" max="22" width="11.42578125" style="65" bestFit="1" customWidth="1"/>
    <col min="23" max="16384" width="9.140625" style="65"/>
  </cols>
  <sheetData>
    <row r="2" spans="1:256" ht="5.0999999999999996" customHeight="1"/>
    <row r="3" spans="1:256" ht="15" customHeight="1"/>
    <row r="4" spans="1:256" ht="15" customHeight="1"/>
    <row r="5" spans="1:256" ht="15" customHeight="1"/>
    <row r="6" spans="1:256" ht="15" customHeight="1"/>
    <row r="7" spans="1:256" ht="15" customHeight="1">
      <c r="C7" s="198" t="s">
        <v>353</v>
      </c>
      <c r="D7" s="23" t="str">
        <f>Tick</f>
        <v>SYK US</v>
      </c>
      <c r="E7" s="100"/>
      <c r="F7" s="714" t="s">
        <v>344</v>
      </c>
      <c r="G7" s="715"/>
      <c r="H7" s="26" t="s">
        <v>345</v>
      </c>
      <c r="I7" s="100"/>
      <c r="J7" s="69"/>
      <c r="K7" s="69"/>
      <c r="L7" s="69"/>
      <c r="M7" s="69"/>
      <c r="N7" s="69"/>
      <c r="AA7" s="67"/>
      <c r="AB7" s="67"/>
      <c r="AC7" s="67"/>
      <c r="AD7" s="67"/>
    </row>
    <row r="8" spans="1:256" ht="5.0999999999999996" customHeight="1">
      <c r="E8" s="100"/>
      <c r="F8" s="69"/>
      <c r="G8" s="69"/>
      <c r="H8" s="69"/>
      <c r="I8" s="100"/>
      <c r="J8" s="69"/>
      <c r="K8" s="69"/>
      <c r="L8" s="69"/>
      <c r="M8" s="69"/>
      <c r="N8" s="69"/>
    </row>
    <row r="9" spans="1:256">
      <c r="C9" s="198" t="s">
        <v>352</v>
      </c>
      <c r="D9" s="26" t="s">
        <v>339</v>
      </c>
      <c r="E9" s="101"/>
      <c r="F9" s="714" t="s">
        <v>342</v>
      </c>
      <c r="G9" s="715"/>
      <c r="H9" s="26" t="s">
        <v>343</v>
      </c>
      <c r="I9" s="101"/>
      <c r="J9" s="724"/>
      <c r="K9" s="724"/>
      <c r="L9" s="94"/>
      <c r="M9" s="94"/>
      <c r="N9" s="94"/>
    </row>
    <row r="10" spans="1:256" s="72" customFormat="1" ht="15" customHeight="1" collapsed="1">
      <c r="C10" s="64"/>
      <c r="D10" s="73"/>
      <c r="E10" s="95"/>
      <c r="F10" s="95"/>
      <c r="G10" s="95"/>
      <c r="H10" s="95"/>
      <c r="I10" s="95"/>
      <c r="J10" s="95"/>
      <c r="K10" s="95"/>
      <c r="L10" s="95"/>
      <c r="M10" s="95"/>
      <c r="N10" s="95"/>
    </row>
    <row r="11" spans="1:256" s="67" customFormat="1" hidden="1" outlineLevel="1">
      <c r="C11" s="85" t="str">
        <f>IF($D$9="Annuals","A",IF($D$9="Quarters","Q",IF($D$9="Semi-Annuals","S","")))</f>
        <v>A</v>
      </c>
      <c r="D11" s="62" t="str">
        <f>"-10"&amp;$C$11</f>
        <v>-10A</v>
      </c>
      <c r="E11" s="62" t="str">
        <f>"-9"&amp;$C$11</f>
        <v>-9A</v>
      </c>
      <c r="F11" s="62" t="str">
        <f>"-8"&amp;$C$11</f>
        <v>-8A</v>
      </c>
      <c r="G11" s="62" t="str">
        <f>"-7"&amp;$C$11</f>
        <v>-7A</v>
      </c>
      <c r="H11" s="62" t="str">
        <f>"-6"&amp;$C$11</f>
        <v>-6A</v>
      </c>
      <c r="I11" s="62" t="str">
        <f>"-5"&amp;$C$11</f>
        <v>-5A</v>
      </c>
      <c r="J11" s="62" t="str">
        <f>"-4"&amp;$C$11</f>
        <v>-4A</v>
      </c>
      <c r="K11" s="62" t="str">
        <f>"-3"&amp;$C$11</f>
        <v>-3A</v>
      </c>
      <c r="L11" s="62" t="str">
        <f>"-2"&amp;$C$11</f>
        <v>-2A</v>
      </c>
      <c r="M11" s="62" t="str">
        <f>"-1"&amp;$C$11</f>
        <v>-1A</v>
      </c>
      <c r="N11" s="62" t="str">
        <f>"-0"&amp;$C$11</f>
        <v>-0A</v>
      </c>
    </row>
    <row r="12" spans="1:256" s="67" customFormat="1" hidden="1" outlineLevel="1">
      <c r="C12" s="289">
        <f>IF($C$11="Q",4,IF($C$11="S",2,1))</f>
        <v>1</v>
      </c>
      <c r="D12" s="62" t="str">
        <f>_xll.BQL(Ticker,"IS_EPS().PERIOD","FPT",$C$11,"FPO",D$11,"STD",$H$7,"CONSOL",$H$9)</f>
        <v>2008 A</v>
      </c>
      <c r="E12" s="62" t="str">
        <f>_xll.BQL(Ticker,"IS_EPS().PERIOD","FPT",$C$11,"FPO",E$11,"STD",$H$7,"CONSOL",$H$9)</f>
        <v>2009 A</v>
      </c>
      <c r="F12" s="62" t="str">
        <f>_xll.BQL(Ticker,"IS_EPS().PERIOD","FPT",$C$11,"FPO",F$11,"STD",$H$7,"CONSOL",$H$9)</f>
        <v>2010 A</v>
      </c>
      <c r="G12" s="62" t="str">
        <f>_xll.BQL(Ticker,"IS_EPS().PERIOD","FPT",$C$11,"FPO",G$11,"STD",$H$7,"CONSOL",$H$9)</f>
        <v>2011 A</v>
      </c>
      <c r="H12" s="62" t="str">
        <f>_xll.BQL(Ticker,"IS_EPS().PERIOD","FPT",$C$11,"FPO",H$11,"STD",$H$7,"CONSOL",$H$9)</f>
        <v>2012 A</v>
      </c>
      <c r="I12" s="62" t="str">
        <f>_xll.BQL(Ticker,"IS_EPS().PERIOD","FPT",$C$11,"FPO",I$11,"STD",$H$7,"CONSOL",$H$9)</f>
        <v>2013 A</v>
      </c>
      <c r="J12" s="62" t="str">
        <f>_xll.BQL(Ticker,"IS_EPS().PERIOD","FPT",$C$11,"FPO",J$11,"STD",$H$7,"CONSOL",$H$9)</f>
        <v>2014 A</v>
      </c>
      <c r="K12" s="62" t="str">
        <f>_xll.BQL(Ticker,"IS_EPS().PERIOD","FPT",$C$11,"FPO",K$11,"STD",$H$7,"CONSOL",$H$9)</f>
        <v>2015 A</v>
      </c>
      <c r="L12" s="62" t="str">
        <f>_xll.BQL(Ticker,"IS_EPS().PERIOD","FPT",$C$11,"FPO",L$11,"STD",$H$7,"CONSOL",$H$9)</f>
        <v>2016 A</v>
      </c>
      <c r="M12" s="62" t="str">
        <f>_xll.BQL(Ticker,"IS_EPS().PERIOD","FPT",$C$11,"FPO",M$11,"STD",$H$7,"CONSOL",$H$9)</f>
        <v>2017 A</v>
      </c>
      <c r="N12" s="62" t="str">
        <f>_xll.BQL(Ticker,"IS_EPS().PERIOD","FPT",$C$11,"FPO",N$11,"STD",$H$7,"CONSOL",$H$9)</f>
        <v>2018 A</v>
      </c>
    </row>
    <row r="13" spans="1:256" ht="15" customHeight="1" collapsed="1">
      <c r="C13" s="717" t="s">
        <v>120</v>
      </c>
      <c r="D13" s="61" t="str">
        <f>IF(D$12="","",IF($C$11="A","FY "&amp;LEFT(D$12,4),"F"&amp;RIGHT(D$12,2)&amp;" "&amp;LEFT(D$12,4)))</f>
        <v>FY 2008</v>
      </c>
      <c r="E13" s="61" t="str">
        <f t="shared" ref="E13:N13" si="0">IF(E$12="","",IF($C$11="A","FY "&amp;LEFT(E$12,4),"F"&amp;RIGHT(E$12,2)&amp;" "&amp;LEFT(E$12,4)))</f>
        <v>FY 2009</v>
      </c>
      <c r="F13" s="61" t="str">
        <f t="shared" si="0"/>
        <v>FY 2010</v>
      </c>
      <c r="G13" s="61" t="str">
        <f t="shared" si="0"/>
        <v>FY 2011</v>
      </c>
      <c r="H13" s="61" t="str">
        <f t="shared" si="0"/>
        <v>FY 2012</v>
      </c>
      <c r="I13" s="61" t="str">
        <f t="shared" si="0"/>
        <v>FY 2013</v>
      </c>
      <c r="J13" s="61" t="str">
        <f t="shared" si="0"/>
        <v>FY 2014</v>
      </c>
      <c r="K13" s="61" t="str">
        <f t="shared" si="0"/>
        <v>FY 2015</v>
      </c>
      <c r="L13" s="61" t="str">
        <f t="shared" si="0"/>
        <v>FY 2016</v>
      </c>
      <c r="M13" s="61" t="str">
        <f t="shared" si="0"/>
        <v>FY 2017</v>
      </c>
      <c r="N13" s="61" t="str">
        <f t="shared" si="0"/>
        <v>FY 2018</v>
      </c>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c r="IR13" s="76"/>
      <c r="IS13" s="76"/>
      <c r="IT13" s="76"/>
      <c r="IU13" s="76"/>
      <c r="IV13" s="76"/>
    </row>
    <row r="14" spans="1:256" ht="15" customHeight="1">
      <c r="C14" s="718"/>
      <c r="D14" s="295">
        <f>IFERROR(_xll.BQL(Ticker,"IS_EPS().PERIOD_END_DATE","FPT",$C$11,"FPO",D$11,"STD",$H$7,"CONSOL",$H$9)*1,"--")</f>
        <v>39813</v>
      </c>
      <c r="E14" s="295">
        <f>IFERROR(_xll.BQL(Ticker,"IS_EPS().PERIOD_END_DATE","FPT",$C$11,"FPO",E$11,"STD",$H$7,"CONSOL",$H$9)*1,"--")</f>
        <v>40178</v>
      </c>
      <c r="F14" s="295">
        <f>IFERROR(_xll.BQL(Ticker,"IS_EPS().PERIOD_END_DATE","FPT",$C$11,"FPO",F$11,"STD",$H$7,"CONSOL",$H$9)*1,"--")</f>
        <v>40543</v>
      </c>
      <c r="G14" s="295">
        <f>IFERROR(_xll.BQL(Ticker,"IS_EPS().PERIOD_END_DATE","FPT",$C$11,"FPO",G$11,"STD",$H$7,"CONSOL",$H$9)*1,"--")</f>
        <v>40908</v>
      </c>
      <c r="H14" s="295">
        <f>IFERROR(_xll.BQL(Ticker,"IS_EPS().PERIOD_END_DATE","FPT",$C$11,"FPO",H$11,"STD",$H$7,"CONSOL",$H$9)*1,"--")</f>
        <v>41274</v>
      </c>
      <c r="I14" s="295">
        <f>IFERROR(_xll.BQL(Ticker,"IS_EPS().PERIOD_END_DATE","FPT",$C$11,"FPO",I$11,"STD",$H$7,"CONSOL",$H$9)*1,"--")</f>
        <v>41639</v>
      </c>
      <c r="J14" s="295">
        <f>IFERROR(_xll.BQL(Ticker,"IS_EPS().PERIOD_END_DATE","FPT",$C$11,"FPO",J$11,"STD",$H$7,"CONSOL",$H$9)*1,"--")</f>
        <v>42004</v>
      </c>
      <c r="K14" s="295">
        <f>IFERROR(_xll.BQL(Ticker,"IS_EPS().PERIOD_END_DATE","FPT",$C$11,"FPO",K$11,"STD",$H$7,"CONSOL",$H$9)*1,"--")</f>
        <v>42369</v>
      </c>
      <c r="L14" s="295">
        <f>IFERROR(_xll.BQL(Ticker,"IS_EPS().PERIOD_END_DATE","FPT",$C$11,"FPO",L$11,"STD",$H$7,"CONSOL",$H$9)*1,"--")</f>
        <v>42735</v>
      </c>
      <c r="M14" s="295">
        <f>IFERROR(_xll.BQL(Ticker,"IS_EPS().PERIOD_END_DATE","FPT",$C$11,"FPO",M$11,"STD",$H$7,"CONSOL",$H$9)*1,"--")</f>
        <v>43100</v>
      </c>
      <c r="N14" s="295">
        <f>IFERROR(_xll.BQL(Ticker,"IS_EPS().PERIOD_END_DATE","FPT",$C$11,"FPO",N$11,"STD",$H$7,"CONSOL",$H$9)*1,"--")</f>
        <v>43465</v>
      </c>
    </row>
    <row r="15" spans="1:256" ht="15" customHeight="1">
      <c r="C15" s="78" t="s">
        <v>121</v>
      </c>
      <c r="D15" s="96"/>
      <c r="E15" s="96"/>
      <c r="F15" s="96"/>
      <c r="G15" s="96"/>
      <c r="H15" s="96"/>
      <c r="I15" s="96"/>
      <c r="J15" s="96"/>
      <c r="K15" s="96"/>
      <c r="L15" s="96"/>
      <c r="M15" s="96"/>
      <c r="N15" s="96"/>
    </row>
    <row r="16" spans="1:256" ht="15" customHeight="1">
      <c r="A16" s="77"/>
      <c r="B16" s="77" t="s">
        <v>465</v>
      </c>
      <c r="C16" s="79" t="s">
        <v>299</v>
      </c>
      <c r="D16" s="102">
        <f>IFERROR(_xll.BQL(Ticker,$B16,"FPT",$C$11,"FPO",D$11,"STD",$H$7,"CONSOL",$H$9)*1,"--")</f>
        <v>15.34768975684114</v>
      </c>
      <c r="E16" s="102">
        <f>IFERROR(_xll.BQL(Ticker,$B16,"FPT",$C$11,"FPO",E$11,"STD",$H$7,"CONSOL",$H$9)*1,"--")</f>
        <v>13.277679824403585</v>
      </c>
      <c r="F16" s="102">
        <f>IFERROR(_xll.BQL(Ticker,$B16,"FPT",$C$11,"FPO",F$11,"STD",$H$7,"CONSOL",$H$9)*1,"--")</f>
        <v>12.751486254338559</v>
      </c>
      <c r="G16" s="102">
        <f>IFERROR(_xll.BQL(Ticker,$B16,"FPT",$C$11,"FPO",G$11,"STD",$H$7,"CONSOL",$H$9)*1,"--")</f>
        <v>11.674840501714336</v>
      </c>
      <c r="H16" s="102">
        <f>IFERROR(_xll.BQL(Ticker,$B16,"FPT",$C$11,"FPO",H$11,"STD",$H$7,"CONSOL",$H$9)*1,"--")</f>
        <v>10.239823288103503</v>
      </c>
      <c r="I16" s="102">
        <f>IFERROR(_xll.BQL(Ticker,$B16,"FPT",$C$11,"FPO",I$11,"STD",$H$7,"CONSOL",$H$9)*1,"--")</f>
        <v>6.9501537186085871</v>
      </c>
      <c r="J16" s="102">
        <f>IFERROR(_xll.BQL(Ticker,$B16,"FPT",$C$11,"FPO",J$11,"STD",$H$7,"CONSOL",$H$9)*1,"--")</f>
        <v>3.1191326994125128</v>
      </c>
      <c r="K16" s="102">
        <f>IFERROR(_xll.BQL(Ticker,$B16,"FPT",$C$11,"FPO",K$11,"STD",$H$7,"CONSOL",$H$9)*1,"--")</f>
        <v>8.5843822704766453</v>
      </c>
      <c r="L16" s="102">
        <f>IFERROR(_xll.BQL(Ticker,$B16,"FPT",$C$11,"FPO",L$11,"STD",$H$7,"CONSOL",$H$9)*1,"--")</f>
        <v>8.9798811406139247</v>
      </c>
      <c r="M16" s="102">
        <f>IFERROR(_xll.BQL(Ticker,$B16,"FPT",$C$11,"FPO",M$11,"STD",$H$7,"CONSOL",$H$9)*1,"--")</f>
        <v>4.785137924563708</v>
      </c>
      <c r="N16" s="102">
        <f>IFERROR(_xll.BQL(Ticker,$B16,"FPT",$C$11,"FPO",N$11,"STD",$H$7,"CONSOL",$H$9)*1,"--")</f>
        <v>14.377048516974872</v>
      </c>
    </row>
    <row r="17" spans="1:20" ht="15" customHeight="1">
      <c r="A17" s="77"/>
      <c r="B17" s="77" t="s">
        <v>466</v>
      </c>
      <c r="C17" s="79" t="s">
        <v>300</v>
      </c>
      <c r="D17" s="102">
        <f>IFERROR(_xll.BQL(Ticker,$B17,"FPT",$C$11,"FPO",D$11,"STD",$H$7,"CONSOL",$H$9)*1,"--")</f>
        <v>21.620773285625834</v>
      </c>
      <c r="E17" s="102">
        <f>IFERROR(_xll.BQL(Ticker,$B17,"FPT",$C$11,"FPO",E$11,"STD",$H$7,"CONSOL",$H$9)*1,"--")</f>
        <v>18.546765503322604</v>
      </c>
      <c r="F17" s="102">
        <f>IFERROR(_xll.BQL(Ticker,$B17,"FPT",$C$11,"FPO",F$11,"STD",$H$7,"CONSOL",$H$9)*1,"--")</f>
        <v>17.720328442163115</v>
      </c>
      <c r="G17" s="102">
        <f>IFERROR(_xll.BQL(Ticker,$B17,"FPT",$C$11,"FPO",G$11,"STD",$H$7,"CONSOL",$H$9)*1,"--")</f>
        <v>15.750581254725025</v>
      </c>
      <c r="H17" s="102">
        <f>IFERROR(_xll.BQL(Ticker,$B17,"FPT",$C$11,"FPO",H$11,"STD",$H$7,"CONSOL",$H$9)*1,"--")</f>
        <v>13.588705606487437</v>
      </c>
      <c r="I17" s="102">
        <f>IFERROR(_xll.BQL(Ticker,$B17,"FPT",$C$11,"FPO",I$11,"STD",$H$7,"CONSOL",$H$9)*1,"--")</f>
        <v>9.6968221856015102</v>
      </c>
      <c r="J17" s="102">
        <f>IFERROR(_xll.BQL(Ticker,$B17,"FPT",$C$11,"FPO",J$11,"STD",$H$7,"CONSOL",$H$9)*1,"--")</f>
        <v>4.636515882097509</v>
      </c>
      <c r="K17" s="102">
        <f>IFERROR(_xll.BQL(Ticker,$B17,"FPT",$C$11,"FPO",K$11,"STD",$H$7,"CONSOL",$H$9)*1,"--")</f>
        <v>12.179392372968826</v>
      </c>
      <c r="L17" s="102">
        <f>IFERROR(_xll.BQL(Ticker,$B17,"FPT",$C$11,"FPO",L$11,"STD",$H$7,"CONSOL",$H$9)*1,"--")</f>
        <v>12.708069371264726</v>
      </c>
      <c r="M17" s="102">
        <f>IFERROR(_xll.BQL(Ticker,$B17,"FPT",$C$11,"FPO",M$11,"STD",$H$7,"CONSOL",$H$9)*1,"--")</f>
        <v>6.785024188602593</v>
      </c>
      <c r="N17" s="102">
        <f>IFERROR(_xll.BQL(Ticker,$B17,"FPT",$C$11,"FPO",N$11,"STD",$H$7,"CONSOL",$H$9)*1,"--")</f>
        <v>19.39398314041917</v>
      </c>
    </row>
    <row r="18" spans="1:20" ht="15" customHeight="1">
      <c r="A18" s="77"/>
      <c r="B18" s="77" t="s">
        <v>467</v>
      </c>
      <c r="C18" s="79" t="s">
        <v>301</v>
      </c>
      <c r="D18" s="102">
        <f>IFERROR(_xll.BQL(Ticker,$B18,"FPT",$C$11,"FPO",D$11,"STD",$H$7,"CONSOL",$H$9)*1,"--")</f>
        <v>21.284723509995178</v>
      </c>
      <c r="E18" s="102">
        <f>IFERROR(_xll.BQL(Ticker,$B18,"FPT",$C$11,"FPO",E$11,"STD",$H$7,"CONSOL",$H$9)*1,"--")</f>
        <v>18.447232915062742</v>
      </c>
      <c r="F18" s="102">
        <f>IFERROR(_xll.BQL(Ticker,$B18,"FPT",$C$11,"FPO",F$11,"STD",$H$7,"CONSOL",$H$9)*1,"--")</f>
        <v>18.490678403090978</v>
      </c>
      <c r="G18" s="102">
        <f>IFERROR(_xll.BQL(Ticker,$B18,"FPT",$C$11,"FPO",G$11,"STD",$H$7,"CONSOL",$H$9)*1,"--")</f>
        <v>18.105943326378139</v>
      </c>
      <c r="H18" s="102">
        <f>IFERROR(_xll.BQL(Ticker,$B18,"FPT",$C$11,"FPO",H$11,"STD",$H$7,"CONSOL",$H$9)*1,"--")</f>
        <v>15.945945945945947</v>
      </c>
      <c r="I18" s="102">
        <f>IFERROR(_xll.BQL(Ticker,$B18,"FPT",$C$11,"FPO",I$11,"STD",$H$7,"CONSOL",$H$9)*1,"--")</f>
        <v>11.403309907050556</v>
      </c>
      <c r="J18" s="102">
        <f>IFERROR(_xll.BQL(Ticker,$B18,"FPT",$C$11,"FPO",J$11,"STD",$H$7,"CONSOL",$H$9)*1,"--")</f>
        <v>5.8383403242262784</v>
      </c>
      <c r="K18" s="102">
        <f>IFERROR(_xll.BQL(Ticker,$B18,"FPT",$C$11,"FPO",K$11,"STD",$H$7,"CONSOL",$H$9)*1,"--")</f>
        <v>16.824506021279085</v>
      </c>
      <c r="L18" s="102">
        <f>IFERROR(_xll.BQL(Ticker,$B18,"FPT",$C$11,"FPO",L$11,"STD",$H$7,"CONSOL",$H$9)*1,"--")</f>
        <v>18.238192791096839</v>
      </c>
      <c r="M18" s="102">
        <f>IFERROR(_xll.BQL(Ticker,$B18,"FPT",$C$11,"FPO",M$11,"STD",$H$7,"CONSOL",$H$9)*1,"--")</f>
        <v>10.452961672473867</v>
      </c>
      <c r="N18" s="102">
        <f>IFERROR(_xll.BQL(Ticker,$B18,"FPT",$C$11,"FPO",N$11,"STD",$H$7,"CONSOL",$H$9)*1,"--")</f>
        <v>32.752581120943951</v>
      </c>
      <c r="R18" s="297"/>
    </row>
    <row r="19" spans="1:20" ht="15" customHeight="1">
      <c r="A19" s="77"/>
      <c r="B19" s="77"/>
      <c r="C19" s="79"/>
      <c r="D19" s="97"/>
      <c r="E19" s="97"/>
      <c r="F19" s="97"/>
      <c r="G19" s="97"/>
      <c r="H19" s="97"/>
      <c r="I19" s="97"/>
      <c r="J19" s="97"/>
      <c r="K19" s="97"/>
      <c r="L19" s="97"/>
      <c r="M19" s="97"/>
      <c r="N19" s="97"/>
      <c r="T19" s="296"/>
    </row>
    <row r="20" spans="1:20" ht="15" customHeight="1">
      <c r="A20" s="77"/>
      <c r="B20" s="77"/>
      <c r="C20" s="78" t="s">
        <v>122</v>
      </c>
      <c r="D20" s="97"/>
      <c r="E20" s="97"/>
      <c r="F20" s="97"/>
      <c r="G20" s="97"/>
      <c r="H20" s="97"/>
      <c r="I20" s="97"/>
      <c r="J20" s="97"/>
      <c r="K20" s="97"/>
      <c r="L20" s="97"/>
      <c r="M20" s="97"/>
      <c r="N20" s="97"/>
      <c r="T20" s="296"/>
    </row>
    <row r="21" spans="1:20" ht="15" customHeight="1">
      <c r="A21" s="77"/>
      <c r="B21" s="77" t="s">
        <v>468</v>
      </c>
      <c r="C21" s="79" t="s">
        <v>302</v>
      </c>
      <c r="D21" s="102">
        <f>IFERROR(_xll.BQL(Ticker,$B21,"FPT",$C$11,"FPO",D$11,"STD",$H$7,"CONSOL",$H$9)*1,"--")</f>
        <v>68.274240123842702</v>
      </c>
      <c r="E21" s="102">
        <f>IFERROR(_xll.BQL(Ticker,$B21,"FPT",$C$11,"FPO",E$11,"STD",$H$7,"CONSOL",$H$9)*1,"--")</f>
        <v>67.514502454261489</v>
      </c>
      <c r="F21" s="102">
        <f>IFERROR(_xll.BQL(Ticker,$B21,"FPT",$C$11,"FPO",F$11,"STD",$H$7,"CONSOL",$H$9)*1,"--")</f>
        <v>68.770491803278688</v>
      </c>
      <c r="G21" s="102">
        <f>IFERROR(_xll.BQL(Ticker,$B21,"FPT",$C$11,"FPO",G$11,"STD",$H$7,"CONSOL",$H$9)*1,"--")</f>
        <v>66.161068977970388</v>
      </c>
      <c r="H21" s="102">
        <f>IFERROR(_xll.BQL(Ticker,$B21,"FPT",$C$11,"FPO",H$11,"STD",$H$7,"CONSOL",$H$9)*1,"--")</f>
        <v>67.875707519926067</v>
      </c>
      <c r="I21" s="102">
        <f>IFERROR(_xll.BQL(Ticker,$B21,"FPT",$C$11,"FPO",I$11,"STD",$H$7,"CONSOL",$H$9)*1,"--")</f>
        <v>66.722092894357615</v>
      </c>
      <c r="J21" s="102">
        <f>IFERROR(_xll.BQL(Ticker,$B21,"FPT",$C$11,"FPO",J$11,"STD",$H$7,"CONSOL",$H$9)*1,"--")</f>
        <v>65.695090439276484</v>
      </c>
      <c r="K21" s="102">
        <f>IFERROR(_xll.BQL(Ticker,$B21,"FPT",$C$11,"FPO",K$11,"STD",$H$7,"CONSOL",$H$9)*1,"--")</f>
        <v>66.378443595415234</v>
      </c>
      <c r="L21" s="102">
        <f>IFERROR(_xll.BQL(Ticker,$B21,"FPT",$C$11,"FPO",L$11,"STD",$H$7,"CONSOL",$H$9)*1,"--")</f>
        <v>66.260485651214125</v>
      </c>
      <c r="M21" s="102">
        <f>IFERROR(_xll.BQL(Ticker,$B21,"FPT",$C$11,"FPO",M$11,"STD",$H$7,"CONSOL",$H$9)*1,"--")</f>
        <v>65.734490517518481</v>
      </c>
      <c r="N21" s="102">
        <f>IFERROR(_xll.BQL(Ticker,$B21,"FPT",$C$11,"FPO",N$11,"STD",$H$7,"CONSOL",$H$9)*1,"--")</f>
        <v>65.715756194397471</v>
      </c>
      <c r="T21" s="296"/>
    </row>
    <row r="22" spans="1:20" ht="15" customHeight="1">
      <c r="A22" s="77"/>
      <c r="B22" s="77" t="s">
        <v>504</v>
      </c>
      <c r="C22" s="79" t="s">
        <v>303</v>
      </c>
      <c r="D22" s="102" t="str">
        <f>IFERROR(_xll.BQL(Ticker,$B22,"FPT",$C$11,"FPO",D$11,"STD",$H$7,"CONSOL",$H$9)*1,"--")</f>
        <v>--</v>
      </c>
      <c r="E22" s="102" t="str">
        <f>IFERROR(_xll.BQL(Ticker,$B22,"FPT",$C$11,"FPO",E$11,"STD",$H$7,"CONSOL",$H$9)*1,"--")</f>
        <v>--</v>
      </c>
      <c r="F22" s="102" t="str">
        <f>IFERROR(_xll.BQL(Ticker,$B22,"FPT",$C$11,"FPO",F$11,"STD",$H$7,"CONSOL",$H$9)*1,"--")</f>
        <v>--</v>
      </c>
      <c r="G22" s="102">
        <f>IFERROR(_xll.BQL(Ticker,$B22,"FPT",$C$11,"FPO",G$11,"STD",$H$7,"CONSOL",$H$9)*1,"--")</f>
        <v>37.113277958348377</v>
      </c>
      <c r="H22" s="102">
        <f>IFERROR(_xll.BQL(Ticker,$B22,"FPT",$C$11,"FPO",H$11,"STD",$H$7,"CONSOL",$H$9)*1,"--")</f>
        <v>36.352085017904585</v>
      </c>
      <c r="I22" s="102">
        <f>IFERROR(_xll.BQL(Ticker,$B22,"FPT",$C$11,"FPO",I$11,"STD",$H$7,"CONSOL",$H$9)*1,"--")</f>
        <v>36.115729963418694</v>
      </c>
      <c r="J22" s="102">
        <f>IFERROR(_xll.BQL(Ticker,$B22,"FPT",$C$11,"FPO",J$11,"STD",$H$7,"CONSOL",$H$9)*1,"--")</f>
        <v>34.68733850129199</v>
      </c>
      <c r="K22" s="102">
        <f>IFERROR(_xll.BQL(Ticker,$B22,"FPT",$C$11,"FPO",K$11,"STD",$H$7,"CONSOL",$H$9)*1,"--")</f>
        <v>35.290569072994174</v>
      </c>
      <c r="L22" s="102">
        <f>IFERROR(_xll.BQL(Ticker,$B22,"FPT",$C$11,"FPO",L$11,"STD",$H$7,"CONSOL",$H$9)*1,"--")</f>
        <v>34.82560706401766</v>
      </c>
      <c r="M22" s="102">
        <f>IFERROR(_xll.BQL(Ticker,$B22,"FPT",$C$11,"FPO",M$11,"STD",$H$7,"CONSOL",$H$9)*1,"--")</f>
        <v>34.828029572484731</v>
      </c>
      <c r="N22" s="102">
        <f>IFERROR(_xll.BQL(Ticker,$B22,"FPT",$C$11,"FPO",N$11,"STD",$H$7,"CONSOL",$H$9)*1,"--")</f>
        <v>33.92397617822219</v>
      </c>
    </row>
    <row r="23" spans="1:20" ht="15" customHeight="1">
      <c r="A23" s="77"/>
      <c r="B23" s="77" t="s">
        <v>469</v>
      </c>
      <c r="C23" s="79" t="s">
        <v>304</v>
      </c>
      <c r="D23" s="102">
        <f>IFERROR(_xll.BQL(Ticker,$B23,"FPT",$C$11,"FPO",D$11,"STD",$H$7,"CONSOL",$H$9)*1,"--")</f>
        <v>28.899109880622785</v>
      </c>
      <c r="E23" s="102">
        <f>IFERROR(_xll.BQL(Ticker,$B23,"FPT",$C$11,"FPO",E$11,"STD",$H$7,"CONSOL",$H$9)*1,"--")</f>
        <v>29.436263572809757</v>
      </c>
      <c r="F23" s="102">
        <f>IFERROR(_xll.BQL(Ticker,$B23,"FPT",$C$11,"FPO",F$11,"STD",$H$7,"CONSOL",$H$9)*1,"--")</f>
        <v>26.967213114754099</v>
      </c>
      <c r="G23" s="102">
        <f>IFERROR(_xll.BQL(Ticker,$B23,"FPT",$C$11,"FPO",G$11,"STD",$H$7,"CONSOL",$H$9)*1,"--")</f>
        <v>23.690863127482846</v>
      </c>
      <c r="H23" s="102">
        <f>IFERROR(_xll.BQL(Ticker,$B23,"FPT",$C$11,"FPO",H$11,"STD",$H$7,"CONSOL",$H$9)*1,"--")</f>
        <v>23.310615686727505</v>
      </c>
      <c r="I23" s="102">
        <f>IFERROR(_xll.BQL(Ticker,$B23,"FPT",$C$11,"FPO",I$11,"STD",$H$7,"CONSOL",$H$9)*1,"--")</f>
        <v>17.326238776188891</v>
      </c>
      <c r="J23" s="102">
        <f>IFERROR(_xll.BQL(Ticker,$B23,"FPT",$C$11,"FPO",J$11,"STD",$H$7,"CONSOL",$H$9)*1,"--")</f>
        <v>16.785529715762273</v>
      </c>
      <c r="K23" s="102">
        <f>IFERROR(_xll.BQL(Ticker,$B23,"FPT",$C$11,"FPO",K$11,"STD",$H$7,"CONSOL",$H$9)*1,"--")</f>
        <v>22.702594007641263</v>
      </c>
      <c r="L23" s="102">
        <f>IFERROR(_xll.BQL(Ticker,$B23,"FPT",$C$11,"FPO",L$11,"STD",$H$7,"CONSOL",$H$9)*1,"--")</f>
        <v>24.026490066225165</v>
      </c>
      <c r="M23" s="102">
        <f>IFERROR(_xll.BQL(Ticker,$B23,"FPT",$C$11,"FPO",M$11,"STD",$H$7,"CONSOL",$H$9)*1,"--")</f>
        <v>23.617807778849244</v>
      </c>
      <c r="N23" s="102">
        <f>IFERROR(_xll.BQL(Ticker,$B23,"FPT",$C$11,"FPO",N$11,"STD",$H$7,"CONSOL",$H$9)*1,"--")</f>
        <v>23.968825821630762</v>
      </c>
    </row>
    <row r="24" spans="1:20" ht="15" customHeight="1">
      <c r="A24" s="77"/>
      <c r="B24" s="77" t="s">
        <v>470</v>
      </c>
      <c r="C24" s="79" t="s">
        <v>305</v>
      </c>
      <c r="D24" s="102">
        <f>IFERROR(_xll.BQL(Ticker,$B24,"FPT",$C$11,"FPO",D$11,"STD",$H$7,"CONSOL",$H$9)*1,"--")</f>
        <v>23.129707362091036</v>
      </c>
      <c r="E24" s="102">
        <f>IFERROR(_xll.BQL(Ticker,$B24,"FPT",$C$11,"FPO",E$11,"STD",$H$7,"CONSOL",$H$9)*1,"--")</f>
        <v>23.709653428528931</v>
      </c>
      <c r="F24" s="102">
        <f>IFERROR(_xll.BQL(Ticker,$B24,"FPT",$C$11,"FPO",F$11,"STD",$H$7,"CONSOL",$H$9)*1,"--")</f>
        <v>23.920765027322403</v>
      </c>
      <c r="G24" s="102">
        <f>IFERROR(_xll.BQL(Ticker,$B24,"FPT",$C$11,"FPO",G$11,"STD",$H$7,"CONSOL",$H$9)*1,"--")</f>
        <v>20.296135789093537</v>
      </c>
      <c r="H24" s="102">
        <f>IFERROR(_xll.BQL(Ticker,$B24,"FPT",$C$11,"FPO",H$11,"STD",$H$7,"CONSOL",$H$9)*1,"--")</f>
        <v>20.110892919025066</v>
      </c>
      <c r="I24" s="102">
        <f>IFERROR(_xll.BQL(Ticker,$B24,"FPT",$C$11,"FPO",I$11,"STD",$H$7,"CONSOL",$H$9)*1,"--")</f>
        <v>13.92306839596497</v>
      </c>
      <c r="J24" s="102">
        <f>IFERROR(_xll.BQL(Ticker,$B24,"FPT",$C$11,"FPO",J$11,"STD",$H$7,"CONSOL",$H$9)*1,"--")</f>
        <v>12.878552971576227</v>
      </c>
      <c r="K24" s="102">
        <f>IFERROR(_xll.BQL(Ticker,$B24,"FPT",$C$11,"FPO",K$11,"STD",$H$7,"CONSOL",$H$9)*1,"--")</f>
        <v>18.71103961391514</v>
      </c>
      <c r="L24" s="102">
        <f>IFERROR(_xll.BQL(Ticker,$B24,"FPT",$C$11,"FPO",L$11,"STD",$H$7,"CONSOL",$H$9)*1,"--")</f>
        <v>19.205298013245034</v>
      </c>
      <c r="M24" s="102">
        <f>IFERROR(_xll.BQL(Ticker,$B24,"FPT",$C$11,"FPO",M$11,"STD",$H$7,"CONSOL",$H$9)*1,"--")</f>
        <v>18.458694953391191</v>
      </c>
      <c r="N24" s="102">
        <f>IFERROR(_xll.BQL(Ticker,$B24,"FPT",$C$11,"FPO",N$11,"STD",$H$7,"CONSOL",$H$9)*1,"--")</f>
        <v>18.653040217631055</v>
      </c>
    </row>
    <row r="25" spans="1:20" ht="15" customHeight="1">
      <c r="A25" s="77"/>
      <c r="B25" s="77" t="s">
        <v>471</v>
      </c>
      <c r="C25" s="79" t="s">
        <v>306</v>
      </c>
      <c r="D25" s="102">
        <f>IFERROR(_xll.BQL(Ticker,$B25,"FPT",$C$11,"FPO",D$11,"STD",$H$7,"CONSOL",$H$9)*1,"--")</f>
        <v>23.129707362091036</v>
      </c>
      <c r="E25" s="102">
        <f>IFERROR(_xll.BQL(Ticker,$B25,"FPT",$C$11,"FPO",E$11,"STD",$H$7,"CONSOL",$H$9)*1,"--")</f>
        <v>23.709653428528931</v>
      </c>
      <c r="F25" s="102">
        <f>IFERROR(_xll.BQL(Ticker,$B25,"FPT",$C$11,"FPO",F$11,"STD",$H$7,"CONSOL",$H$9)*1,"--")</f>
        <v>23.920765027322403</v>
      </c>
      <c r="G25" s="102">
        <f>IFERROR(_xll.BQL(Ticker,$B25,"FPT",$C$11,"FPO",G$11,"STD",$H$7,"CONSOL",$H$9)*1,"--")</f>
        <v>20.296135789093537</v>
      </c>
      <c r="H25" s="102">
        <f>IFERROR(_xll.BQL(Ticker,$B25,"FPT",$C$11,"FPO",H$11,"STD",$H$7,"CONSOL",$H$9)*1,"--")</f>
        <v>20.110892919025066</v>
      </c>
      <c r="I25" s="102">
        <f>IFERROR(_xll.BQL(Ticker,$B25,"FPT",$C$11,"FPO",I$11,"STD",$H$7,"CONSOL",$H$9)*1,"--")</f>
        <v>13.923068395964972</v>
      </c>
      <c r="J25" s="102">
        <f>IFERROR(_xll.BQL(Ticker,$B25,"FPT",$C$11,"FPO",J$11,"STD",$H$7,"CONSOL",$H$9)*1,"--")</f>
        <v>12.878552971576227</v>
      </c>
      <c r="K25" s="102">
        <f>IFERROR(_xll.BQL(Ticker,$B25,"FPT",$C$11,"FPO",K$11,"STD",$H$7,"CONSOL",$H$9)*1,"--")</f>
        <v>18.711039613915144</v>
      </c>
      <c r="L25" s="102">
        <f>IFERROR(_xll.BQL(Ticker,$B25,"FPT",$C$11,"FPO",L$11,"STD",$H$7,"CONSOL",$H$9)*1,"--")</f>
        <v>19.205298013245034</v>
      </c>
      <c r="M25" s="102">
        <f>IFERROR(_xll.BQL(Ticker,$B25,"FPT",$C$11,"FPO",M$11,"STD",$H$7,"CONSOL",$H$9)*1,"--")</f>
        <v>18.458694953391191</v>
      </c>
      <c r="N25" s="102">
        <f>IFERROR(_xll.BQL(Ticker,$B25,"FPT",$C$11,"FPO",N$11,"STD",$H$7,"CONSOL",$H$9)*1,"--")</f>
        <v>18.653040217631055</v>
      </c>
    </row>
    <row r="26" spans="1:20" ht="15" customHeight="1">
      <c r="A26" s="77"/>
      <c r="B26" s="77" t="s">
        <v>472</v>
      </c>
      <c r="C26" s="79" t="s">
        <v>307</v>
      </c>
      <c r="D26" s="102">
        <f>IFERROR(_xll.BQL(Ticker,$B26,"FPT",$C$11,"FPO",D$11,"STD",$H$7,"CONSOL",$H$9)*1,"--")</f>
        <v>17.084933464320802</v>
      </c>
      <c r="E26" s="102">
        <f>IFERROR(_xll.BQL(Ticker,$B26,"FPT",$C$11,"FPO",E$11,"STD",$H$7,"CONSOL",$H$9)*1,"--")</f>
        <v>16.46586345381526</v>
      </c>
      <c r="F26" s="102">
        <f>IFERROR(_xll.BQL(Ticker,$B26,"FPT",$C$11,"FPO",F$11,"STD",$H$7,"CONSOL",$H$9)*1,"--")</f>
        <v>17.39071038251366</v>
      </c>
      <c r="G26" s="102">
        <f>IFERROR(_xll.BQL(Ticker,$B26,"FPT",$C$11,"FPO",G$11,"STD",$H$7,"CONSOL",$H$9)*1,"--")</f>
        <v>16.191164078488022</v>
      </c>
      <c r="H26" s="102">
        <f>IFERROR(_xll.BQL(Ticker,$B26,"FPT",$C$11,"FPO",H$11,"STD",$H$7,"CONSOL",$H$9)*1,"--")</f>
        <v>14.993646759847524</v>
      </c>
      <c r="I26" s="102">
        <f>IFERROR(_xll.BQL(Ticker,$B26,"FPT",$C$11,"FPO",I$11,"STD",$H$7,"CONSOL",$H$9)*1,"--")</f>
        <v>11.151757011417802</v>
      </c>
      <c r="J26" s="102">
        <f>IFERROR(_xll.BQL(Ticker,$B26,"FPT",$C$11,"FPO",J$11,"STD",$H$7,"CONSOL",$H$9)*1,"--")</f>
        <v>5.3229974160206712</v>
      </c>
      <c r="K26" s="102">
        <f>IFERROR(_xll.BQL(Ticker,$B26,"FPT",$C$11,"FPO",K$11,"STD",$H$7,"CONSOL",$H$9)*1,"--")</f>
        <v>14.468127890609288</v>
      </c>
      <c r="L26" s="102">
        <f>IFERROR(_xll.BQL(Ticker,$B26,"FPT",$C$11,"FPO",L$11,"STD",$H$7,"CONSOL",$H$9)*1,"--")</f>
        <v>14.543046357615893</v>
      </c>
      <c r="M26" s="102">
        <f>IFERROR(_xll.BQL(Ticker,$B26,"FPT",$C$11,"FPO",M$11,"STD",$H$7,"CONSOL",$H$9)*1,"--")</f>
        <v>8.1967213114754092</v>
      </c>
      <c r="N26" s="102">
        <f>IFERROR(_xll.BQL(Ticker,$B26,"FPT",$C$11,"FPO",N$11,"STD",$H$7,"CONSOL",$H$9)*1,"--")</f>
        <v>26.123079185354019</v>
      </c>
    </row>
    <row r="27" spans="1:20" ht="15" customHeight="1">
      <c r="A27" s="77"/>
      <c r="B27" s="77" t="s">
        <v>473</v>
      </c>
      <c r="C27" s="79" t="s">
        <v>308</v>
      </c>
      <c r="D27" s="102">
        <f>IFERROR(_xll.BQL(Ticker,$B27,"FPT",$C$11,"FPO",D$11,"STD",$H$7,"CONSOL",$H$9)*1,"--")</f>
        <v>17.407936649697834</v>
      </c>
      <c r="E27" s="102">
        <f>IFERROR(_xll.BQL(Ticker,$B27,"FPT",$C$11,"FPO",E$11,"STD",$H$7,"CONSOL",$H$9)*1,"--")</f>
        <v>17.688531905399376</v>
      </c>
      <c r="F27" s="102">
        <f>IFERROR(_xll.BQL(Ticker,$B27,"FPT",$C$11,"FPO",F$11,"STD",$H$7,"CONSOL",$H$9)*1,"--")</f>
        <v>18.306693989071039</v>
      </c>
      <c r="G27" s="102">
        <f>IFERROR(_xll.BQL(Ticker,$B27,"FPT",$C$11,"FPO",G$11,"STD",$H$7,"CONSOL",$H$9)*1,"--")</f>
        <v>17.438906945949199</v>
      </c>
      <c r="H27" s="102">
        <f>IFERROR(_xll.BQL(Ticker,$B27,"FPT",$C$11,"FPO",H$11,"STD",$H$7,"CONSOL",$H$9)*1,"--")</f>
        <v>18.080166339378536</v>
      </c>
      <c r="I27" s="102">
        <f>IFERROR(_xll.BQL(Ticker,$B27,"FPT",$C$11,"FPO",I$11,"STD",$H$7,"CONSOL",$H$9)*1,"--")</f>
        <v>17.747478106640063</v>
      </c>
      <c r="J27" s="102">
        <f>IFERROR(_xll.BQL(Ticker,$B27,"FPT",$C$11,"FPO",J$11,"STD",$H$7,"CONSOL",$H$9)*1,"--")</f>
        <v>17.333333333333332</v>
      </c>
      <c r="K27" s="102">
        <f>IFERROR(_xll.BQL(Ticker,$B27,"FPT",$C$11,"FPO",K$11,"STD",$H$7,"CONSOL",$H$9)*1,"--")</f>
        <v>18.117836316106978</v>
      </c>
      <c r="L27" s="102">
        <f>IFERROR(_xll.BQL(Ticker,$B27,"FPT",$C$11,"FPO",L$11,"STD",$H$7,"CONSOL",$H$9)*1,"--")</f>
        <v>17.421633554083886</v>
      </c>
      <c r="M27" s="102">
        <f>IFERROR(_xll.BQL(Ticker,$B27,"FPT",$C$11,"FPO",M$11,"STD",$H$7,"CONSOL",$H$9)*1,"--")</f>
        <v>17.799742847958857</v>
      </c>
      <c r="N27" s="102">
        <f>IFERROR(_xll.BQL(Ticker,$B27,"FPT",$C$11,"FPO",N$11,"STD",$H$7,"CONSOL",$H$9)*1,"--")</f>
        <v>17.947209763987942</v>
      </c>
    </row>
    <row r="28" spans="1:20" ht="15" customHeight="1">
      <c r="A28" s="77"/>
      <c r="B28" s="77" t="s">
        <v>474</v>
      </c>
      <c r="C28" s="79" t="s">
        <v>309</v>
      </c>
      <c r="D28" s="102">
        <f>IFERROR(_xll.BQL(Ticker,$B28,"FPT",$C$11,"FPO",D$11,"STD",$H$7,"CONSOL",$H$9)*1,"--")</f>
        <v>15.193057664255306</v>
      </c>
      <c r="E28" s="102">
        <f>IFERROR(_xll.BQL(Ticker,$B28,"FPT",$C$11,"FPO",E$11,"STD",$H$7,"CONSOL",$H$9)*1,"--")</f>
        <v>19.782835043879221</v>
      </c>
      <c r="F28" s="102">
        <f>IFERROR(_xll.BQL(Ticker,$B28,"FPT",$C$11,"FPO",F$11,"STD",$H$7,"CONSOL",$H$9)*1,"--")</f>
        <v>18.647540983606557</v>
      </c>
      <c r="G28" s="102">
        <f>IFERROR(_xll.BQL(Ticker,$B28,"FPT",$C$11,"FPO",G$11,"STD",$H$7,"CONSOL",$H$9)*1,"--")</f>
        <v>14.541952570121584</v>
      </c>
      <c r="H28" s="102">
        <f>IFERROR(_xll.BQL(Ticker,$B28,"FPT",$C$11,"FPO",H$11,"STD",$H$7,"CONSOL",$H$9)*1,"--")</f>
        <v>16.714797273882407</v>
      </c>
      <c r="I28" s="102">
        <f>IFERROR(_xll.BQL(Ticker,$B28,"FPT",$C$11,"FPO",I$11,"STD",$H$7,"CONSOL",$H$9)*1,"--")</f>
        <v>18.745150205077042</v>
      </c>
      <c r="J28" s="102">
        <f>IFERROR(_xll.BQL(Ticker,$B28,"FPT",$C$11,"FPO",J$11,"STD",$H$7,"CONSOL",$H$9)*1,"--")</f>
        <v>16.010335917312663</v>
      </c>
      <c r="K28" s="102">
        <f>IFERROR(_xll.BQL(Ticker,$B28,"FPT",$C$11,"FPO",K$11,"STD",$H$7,"CONSOL",$H$9)*1,"--")</f>
        <v>7.1486024532475367</v>
      </c>
      <c r="L28" s="102">
        <f>IFERROR(_xll.BQL(Ticker,$B28,"FPT",$C$11,"FPO",L$11,"STD",$H$7,"CONSOL",$H$9)*1,"--")</f>
        <v>12.582781456953642</v>
      </c>
      <c r="M28" s="102">
        <f>IFERROR(_xll.BQL(Ticker,$B28,"FPT",$C$11,"FPO",M$11,"STD",$H$7,"CONSOL",$H$9)*1,"--")</f>
        <v>7.7225972356155577</v>
      </c>
      <c r="N28" s="102">
        <f>IFERROR(_xll.BQL(Ticker,$B28,"FPT",$C$11,"FPO",N$11,"STD",$H$7,"CONSOL",$H$9)*1,"--")</f>
        <v>14.984192338798618</v>
      </c>
    </row>
    <row r="29" spans="1:20" ht="15" customHeight="1">
      <c r="A29" s="77"/>
      <c r="B29" s="77"/>
      <c r="C29" s="79"/>
      <c r="D29" s="97"/>
      <c r="E29" s="97"/>
      <c r="F29" s="97"/>
      <c r="G29" s="97"/>
      <c r="H29" s="97"/>
      <c r="I29" s="97"/>
      <c r="J29" s="97"/>
      <c r="K29" s="97"/>
      <c r="L29" s="97"/>
      <c r="M29" s="97"/>
      <c r="N29" s="97"/>
    </row>
    <row r="30" spans="1:20" ht="15" customHeight="1">
      <c r="A30" s="77"/>
      <c r="B30" s="77"/>
      <c r="C30" s="78" t="s">
        <v>123</v>
      </c>
      <c r="D30" s="97"/>
      <c r="E30" s="97"/>
      <c r="F30" s="97"/>
      <c r="G30" s="97"/>
      <c r="H30" s="97"/>
      <c r="I30" s="97"/>
      <c r="J30" s="97"/>
      <c r="K30" s="97"/>
      <c r="L30" s="97"/>
      <c r="M30" s="97"/>
      <c r="N30" s="97"/>
    </row>
    <row r="31" spans="1:20" ht="15" customHeight="1">
      <c r="A31" s="77"/>
      <c r="B31" s="77" t="s">
        <v>475</v>
      </c>
      <c r="C31" s="79" t="s">
        <v>124</v>
      </c>
      <c r="D31" s="103">
        <f>IFERROR(_xll.BQL(Ticker,$B31,"FPT",$C$11,"FPO",D$11,"STD",$H$7,"CONSOL",$H$9)*1,"--")</f>
        <v>0.89831720965682305</v>
      </c>
      <c r="E31" s="103">
        <f>IFERROR(_xll.BQL(Ticker,$B31,"FPT",$C$11,"FPO",E$11,"STD",$H$7,"CONSOL",$H$9)*1,"--")</f>
        <v>0.80637616494548592</v>
      </c>
      <c r="F31" s="103">
        <f>IFERROR(_xll.BQL(Ticker,$B31,"FPT",$C$11,"FPO",F$11,"STD",$H$7,"CONSOL",$H$9)*1,"--")</f>
        <v>0.73323550182056763</v>
      </c>
      <c r="G31" s="103">
        <f>IFERROR(_xll.BQL(Ticker,$B31,"FPT",$C$11,"FPO",G$11,"STD",$H$7,"CONSOL",$H$9)*1,"--")</f>
        <v>0.7210624538865501</v>
      </c>
      <c r="H31" s="103">
        <f>IFERROR(_xll.BQL(Ticker,$B31,"FPT",$C$11,"FPO",H$11,"STD",$H$7,"CONSOL",$H$9)*1,"--")</f>
        <v>0.68294414641842849</v>
      </c>
      <c r="I31" s="103">
        <f>IFERROR(_xll.BQL(Ticker,$B31,"FPT",$C$11,"FPO",I$11,"STD",$H$7,"CONSOL",$H$9)*1,"--")</f>
        <v>0.62323396317662094</v>
      </c>
      <c r="J31" s="103">
        <f>IFERROR(_xll.BQL(Ticker,$B31,"FPT",$C$11,"FPO",J$11,"STD",$H$7,"CONSOL",$H$9)*1,"--")</f>
        <v>0.58597298770516626</v>
      </c>
      <c r="K31" s="103">
        <f>IFERROR(_xll.BQL(Ticker,$B31,"FPT",$C$11,"FPO",K$11,"STD",$H$7,"CONSOL",$H$9)*1,"--")</f>
        <v>0.59333054942432739</v>
      </c>
      <c r="L31" s="103">
        <f>IFERROR(_xll.BQL(Ticker,$B31,"FPT",$C$11,"FPO",L$11,"STD",$H$7,"CONSOL",$H$9)*1,"--")</f>
        <v>0.61746905839376265</v>
      </c>
      <c r="M31" s="103">
        <f>IFERROR(_xll.BQL(Ticker,$B31,"FPT",$C$11,"FPO",M$11,"STD",$H$7,"CONSOL",$H$9)*1,"--")</f>
        <v>0.58378682679677241</v>
      </c>
      <c r="N31" s="103">
        <f>IFERROR(_xll.BQL(Ticker,$B31,"FPT",$C$11,"FPO",N$11,"STD",$H$7,"CONSOL",$H$9)*1,"--")</f>
        <v>0.55035811111560717</v>
      </c>
    </row>
    <row r="32" spans="1:20" ht="15" customHeight="1">
      <c r="A32" s="77"/>
      <c r="B32" s="84" t="s">
        <v>511</v>
      </c>
      <c r="C32" s="79" t="s">
        <v>125</v>
      </c>
      <c r="D32" s="298">
        <f>IFERROR(_xll.BQL(Ticker,"SALES_REV_TURN(FPO="&amp;D$11&amp;", FPT="&amp;IF($C$11="A","A","LTM")&amp;")/((BS_NET_FIX_ASSET(FPO="&amp;D$11&amp;")+BS_NET_FIX_ASSET(FPO="&amp;"-"&amp;ABS(LEFT(D$11,LEN(D$11)-1))+$C$12&amp;$C$11&amp;"))/2)","FPT",$C$11,"STD",$H$7,"CONSOL",$H$9)*1,"--")</f>
        <v>6.8714329548941393</v>
      </c>
      <c r="E32" s="298">
        <f>IFERROR(_xll.BQL(Ticker,"SALES_REV_TURN(FPO="&amp;E$11&amp;", FPT="&amp;IF($C$11="A","A","LTM")&amp;")/((BS_NET_FIX_ASSET(FPO="&amp;E$11&amp;")+BS_NET_FIX_ASSET(FPO="&amp;"-"&amp;ABS(LEFT(E$11,LEN(E$11)-1))+$C$12&amp;$C$11&amp;"))/2)","FPT",$C$11,"STD",$H$7,"CONSOL",$H$9)*1,"--")</f>
        <v>7.0346342994663598</v>
      </c>
      <c r="F32" s="298">
        <f>IFERROR(_xll.BQL(Ticker,"SALES_REV_TURN(FPO="&amp;F$11&amp;", FPT="&amp;IF($C$11="A","A","LTM")&amp;")/((BS_NET_FIX_ASSET(FPO="&amp;F$11&amp;")+BS_NET_FIX_ASSET(FPO="&amp;"-"&amp;ABS(LEFT(F$11,LEN(F$11)-1))+$C$12&amp;$C$11&amp;"))/2)","FPT",$C$11,"STD",$H$7,"CONSOL",$H$9)*1,"--")</f>
        <v>8.3868010999083413</v>
      </c>
      <c r="G32" s="298">
        <f>IFERROR(_xll.BQL(Ticker,"SALES_REV_TURN(FPO="&amp;G$11&amp;", FPT="&amp;IF($C$11="A","A","LTM")&amp;")/((BS_NET_FIX_ASSET(FPO="&amp;G$11&amp;")+BS_NET_FIX_ASSET(FPO="&amp;"-"&amp;ABS(LEFT(G$11,LEN(G$11)-1))+$C$12&amp;$C$11&amp;"))/2)","FPT",$C$11,"STD",$H$7,"CONSOL",$H$9)*1,"--")</f>
        <v>9.8540925266903923</v>
      </c>
      <c r="H32" s="298">
        <f>IFERROR(_xll.BQL(Ticker,"SALES_REV_TURN(FPO="&amp;H$11&amp;", FPT="&amp;IF($C$11="A","A","LTM")&amp;")/((BS_NET_FIX_ASSET(FPO="&amp;H$11&amp;")+BS_NET_FIX_ASSET(FPO="&amp;"-"&amp;ABS(LEFT(H$11,LEN(H$11)-1))+$C$12&amp;$C$11&amp;"))/2)","FPT",$C$11,"STD",$H$7,"CONSOL",$H$9)*1,"--")</f>
        <v>9.4302832244008723</v>
      </c>
      <c r="I32" s="298">
        <f>IFERROR(_xll.BQL(Ticker,"SALES_REV_TURN(FPO="&amp;I$11&amp;", FPT="&amp;IF($C$11="A","A","LTM")&amp;")/((BS_NET_FIX_ASSET(FPO="&amp;I$11&amp;")+BS_NET_FIX_ASSET(FPO="&amp;"-"&amp;ABS(LEFT(I$11,LEN(I$11)-1))+$C$12&amp;$C$11&amp;"))/2)","FPT",$C$11,"STD",$H$7,"CONSOL",$H$9)*1,"--")</f>
        <v>8.8920650566781667</v>
      </c>
      <c r="J32" s="298">
        <f>IFERROR(_xll.BQL(Ticker,"SALES_REV_TURN(FPO="&amp;J$11&amp;", FPT="&amp;IF($C$11="A","A","LTM")&amp;")/((BS_NET_FIX_ASSET(FPO="&amp;J$11&amp;")+BS_NET_FIX_ASSET(FPO="&amp;"-"&amp;ABS(LEFT(J$11,LEN(J$11)-1))+$C$12&amp;$C$11&amp;"))/2)","FPT",$C$11,"STD",$H$7,"CONSOL",$H$9)*1,"--")</f>
        <v>8.8802202845341895</v>
      </c>
      <c r="K32" s="298">
        <f>IFERROR(_xll.BQL(Ticker,"SALES_REV_TURN(FPO="&amp;K$11&amp;", FPT="&amp;IF($C$11="A","A","LTM")&amp;")/((BS_NET_FIX_ASSET(FPO="&amp;K$11&amp;")+BS_NET_FIX_ASSET(FPO="&amp;"-"&amp;ABS(LEFT(K$11,LEN(K$11)-1))+$C$12&amp;$C$11&amp;"))/2)","FPT",$C$11,"STD",$H$7,"CONSOL",$H$9)*1,"--")</f>
        <v>8.659991292990858</v>
      </c>
      <c r="L32" s="298">
        <f>IFERROR(_xll.BQL(Ticker,"SALES_REV_TURN(FPO="&amp;L$11&amp;", FPT="&amp;IF($C$11="A","A","LTM")&amp;")/((BS_NET_FIX_ASSET(FPO="&amp;L$11&amp;")+BS_NET_FIX_ASSET(FPO="&amp;"-"&amp;ABS(LEFT(L$11,LEN(L$11)-1))+$C$12&amp;$C$11&amp;"))/2)","FPT",$C$11,"STD",$H$7,"CONSOL",$H$9)*1,"--")</f>
        <v>8.1828034682080926</v>
      </c>
      <c r="M32" s="298">
        <f>IFERROR(_xll.BQL(Ticker,"SALES_REV_TURN(FPO="&amp;M$11&amp;", FPT="&amp;IF($C$11="A","A","LTM")&amp;")/((BS_NET_FIX_ASSET(FPO="&amp;M$11&amp;")+BS_NET_FIX_ASSET(FPO="&amp;"-"&amp;ABS(LEFT(M$11,LEN(M$11)-1))+$C$12&amp;$C$11&amp;"))/2)","FPT",$C$11,"STD",$H$7,"CONSOL",$H$9)*1,"--")</f>
        <v>7.0225733634311513</v>
      </c>
      <c r="N32" s="298">
        <f>IFERROR(_xll.BQL(Ticker,"SALES_REV_TURN(FPO="&amp;N$11&amp;", FPT="&amp;IF($C$11="A","A","LTM")&amp;")/((BS_NET_FIX_ASSET(FPO="&amp;N$11&amp;")+BS_NET_FIX_ASSET(FPO="&amp;"-"&amp;ABS(LEFT(N$11,LEN(N$11)-1))+$C$12&amp;$C$11&amp;"))/2)","FPT",$C$11,"STD",$H$7,"CONSOL",$H$9)*1,"--")</f>
        <v>6.376465072667604</v>
      </c>
    </row>
    <row r="33" spans="1:14" ht="15" customHeight="1">
      <c r="A33" s="77"/>
      <c r="B33" s="77" t="s">
        <v>512</v>
      </c>
      <c r="C33" s="79" t="s">
        <v>126</v>
      </c>
      <c r="D33" s="103">
        <f>IFERROR(_xll.BQL(Ticker,$B33,"FPT",$C$11,"FPO",D$11,"STD",$H$7,"CONSOL",$H$9)*1,"--")</f>
        <v>6.8714329548941393</v>
      </c>
      <c r="E33" s="103">
        <f>IFERROR(_xll.BQL(Ticker,$B33,"FPT",$C$11,"FPO",E$11,"STD",$H$7,"CONSOL",$H$9)*1,"--")</f>
        <v>7.0346342994663598</v>
      </c>
      <c r="F33" s="103">
        <f>IFERROR(_xll.BQL(Ticker,$B33,"FPT",$C$11,"FPO",F$11,"STD",$H$7,"CONSOL",$H$9)*1,"--")</f>
        <v>8.3868010999083413</v>
      </c>
      <c r="G33" s="103">
        <f>IFERROR(_xll.BQL(Ticker,$B33,"FPT",$C$11,"FPO",G$11,"STD",$H$7,"CONSOL",$H$9)*1,"--")</f>
        <v>9.8540925266903923</v>
      </c>
      <c r="H33" s="103">
        <f>IFERROR(_xll.BQL(Ticker,$B33,"FPT",$C$11,"FPO",H$11,"STD",$H$7,"CONSOL",$H$9)*1,"--")</f>
        <v>9.4302832244008723</v>
      </c>
      <c r="I33" s="103">
        <f>IFERROR(_xll.BQL(Ticker,$B33,"FPT",$C$11,"FPO",I$11,"STD",$H$7,"CONSOL",$H$9)*1,"--")</f>
        <v>8.8920650566781667</v>
      </c>
      <c r="J33" s="103">
        <f>IFERROR(_xll.BQL(Ticker,$B33,"FPT",$C$11,"FPO",J$11,"STD",$H$7,"CONSOL",$H$9)*1,"--")</f>
        <v>8.8802202845341895</v>
      </c>
      <c r="K33" s="103">
        <f>IFERROR(_xll.BQL(Ticker,$B33,"FPT",$C$11,"FPO",K$11,"STD",$H$7,"CONSOL",$H$9)*1,"--")</f>
        <v>8.659991292990858</v>
      </c>
      <c r="L33" s="103">
        <f>IFERROR(_xll.BQL(Ticker,$B33,"FPT",$C$11,"FPO",L$11,"STD",$H$7,"CONSOL",$H$9)*1,"--")</f>
        <v>8.1828034682080926</v>
      </c>
      <c r="M33" s="103">
        <f>IFERROR(_xll.BQL(Ticker,$B33,"FPT",$C$11,"FPO",M$11,"STD",$H$7,"CONSOL",$H$9)*1,"--")</f>
        <v>7.0225733634311513</v>
      </c>
      <c r="N33" s="103">
        <f>IFERROR(_xll.BQL(Ticker,$B33,"FPT",$C$11,"FPO",N$11,"STD",$H$7,"CONSOL",$H$9)*1,"--")</f>
        <v>6.376465072667604</v>
      </c>
    </row>
    <row r="34" spans="1:14" ht="15" customHeight="1">
      <c r="A34" s="77"/>
      <c r="B34" s="77" t="s">
        <v>477</v>
      </c>
      <c r="C34" s="79" t="s">
        <v>127</v>
      </c>
      <c r="D34" s="103">
        <f>IFERROR(_xll.BQL(Ticker,$B34,"FPT",$C$11,"FPO",D$11,"STD",$H$7,"CONSOL",$H$9)*1,"--")</f>
        <v>2.4374178054777289</v>
      </c>
      <c r="E34" s="103">
        <f>IFERROR(_xll.BQL(Ticker,$B34,"FPT",$C$11,"FPO",E$11,"STD",$H$7,"CONSOL",$H$9)*1,"--")</f>
        <v>2.3041620509574301</v>
      </c>
      <c r="F34" s="103">
        <f>IFERROR(_xll.BQL(Ticker,$B34,"FPT",$C$11,"FPO",F$11,"STD",$H$7,"CONSOL",$H$9)*1,"--")</f>
        <v>2.286</v>
      </c>
      <c r="G34" s="103">
        <f>IFERROR(_xll.BQL(Ticker,$B34,"FPT",$C$11,"FPO",G$11,"STD",$H$7,"CONSOL",$H$9)*1,"--")</f>
        <v>2.4025641025641025</v>
      </c>
      <c r="H34" s="103">
        <f>IFERROR(_xll.BQL(Ticker,$B34,"FPT",$C$11,"FPO",H$11,"STD",$H$7,"CONSOL",$H$9)*1,"--")</f>
        <v>2.1828885400313971</v>
      </c>
      <c r="I34" s="103">
        <f>IFERROR(_xll.BQL(Ticker,$B34,"FPT",$C$11,"FPO",I$11,"STD",$H$7,"CONSOL",$H$9)*1,"--")</f>
        <v>2.234462225530331</v>
      </c>
      <c r="J34" s="103">
        <f>IFERROR(_xll.BQL(Ticker,$B34,"FPT",$C$11,"FPO",J$11,"STD",$H$7,"CONSOL",$H$9)*1,"--")</f>
        <v>2.2053156146179402</v>
      </c>
      <c r="K34" s="103">
        <f>IFERROR(_xll.BQL(Ticker,$B34,"FPT",$C$11,"FPO",K$11,"STD",$H$7,"CONSOL",$H$9)*1,"--")</f>
        <v>2.0725131701270532</v>
      </c>
      <c r="L34" s="103">
        <f>IFERROR(_xll.BQL(Ticker,$B34,"FPT",$C$11,"FPO",L$11,"STD",$H$7,"CONSOL",$H$9)*1,"--")</f>
        <v>2.0828563641319162</v>
      </c>
      <c r="M34" s="103">
        <f>IFERROR(_xll.BQL(Ticker,$B34,"FPT",$C$11,"FPO",M$11,"STD",$H$7,"CONSOL",$H$9)*1,"--")</f>
        <v>1.8972191323692993</v>
      </c>
      <c r="N34" s="103">
        <f>IFERROR(_xll.BQL(Ticker,$B34,"FPT",$C$11,"FPO",N$11,"STD",$H$7,"CONSOL",$H$9)*1,"--")</f>
        <v>1.7206642066420663</v>
      </c>
    </row>
    <row r="35" spans="1:14" ht="15" customHeight="1">
      <c r="A35" s="77"/>
      <c r="B35" s="77" t="s">
        <v>476</v>
      </c>
      <c r="C35" s="79"/>
      <c r="D35" s="97"/>
      <c r="E35" s="97"/>
      <c r="F35" s="97"/>
      <c r="G35" s="97"/>
      <c r="H35" s="97"/>
      <c r="I35" s="97"/>
      <c r="J35" s="97"/>
      <c r="K35" s="97"/>
      <c r="L35" s="97"/>
      <c r="M35" s="97"/>
      <c r="N35" s="97"/>
    </row>
    <row r="36" spans="1:14" ht="15" customHeight="1">
      <c r="A36" s="77"/>
      <c r="B36" s="299"/>
      <c r="C36" s="78" t="s">
        <v>128</v>
      </c>
      <c r="D36" s="97"/>
      <c r="E36" s="97"/>
      <c r="F36" s="97"/>
      <c r="G36" s="97"/>
      <c r="H36" s="97"/>
      <c r="I36" s="97"/>
      <c r="J36" s="97"/>
      <c r="K36" s="97"/>
      <c r="L36" s="97"/>
      <c r="M36" s="97"/>
      <c r="N36" s="97"/>
    </row>
    <row r="37" spans="1:14" ht="15" customHeight="1">
      <c r="A37" s="77"/>
      <c r="B37" s="77" t="s">
        <v>478</v>
      </c>
      <c r="C37" s="79" t="s">
        <v>129</v>
      </c>
      <c r="D37" s="103">
        <f>IFERROR(_xll.BQL(Ticker,$B37,"FPT",$C$11,"FPO",D$11,"STD",$H$7,"CONSOL",$H$9)*1,"--")</f>
        <v>3.40558101361056</v>
      </c>
      <c r="E37" s="103">
        <f>IFERROR(_xll.BQL(Ticker,$B37,"FPT",$C$11,"FPO",E$11,"STD",$H$7,"CONSOL",$H$9)*1,"--")</f>
        <v>4.0605135322692574</v>
      </c>
      <c r="F37" s="103">
        <f>IFERROR(_xll.BQL(Ticker,$B37,"FPT",$C$11,"FPO",F$11,"STD",$H$7,"CONSOL",$H$9)*1,"--")</f>
        <v>4.755140186915888</v>
      </c>
      <c r="G37" s="103">
        <f>IFERROR(_xll.BQL(Ticker,$B37,"FPT",$C$11,"FPO",G$11,"STD",$H$7,"CONSOL",$H$9)*1,"--")</f>
        <v>3.9168478260869564</v>
      </c>
      <c r="H37" s="103">
        <f>IFERROR(_xll.BQL(Ticker,$B37,"FPT",$C$11,"FPO",H$11,"STD",$H$7,"CONSOL",$H$9)*1,"--")</f>
        <v>4.3432835820895521</v>
      </c>
      <c r="I37" s="103">
        <f>IFERROR(_xll.BQL(Ticker,$B37,"FPT",$C$11,"FPO",I$11,"STD",$H$7,"CONSOL",$H$9)*1,"--")</f>
        <v>3.1369966127211142</v>
      </c>
      <c r="J37" s="103">
        <f>IFERROR(_xll.BQL(Ticker,$B37,"FPT",$C$11,"FPO",J$11,"STD",$H$7,"CONSOL",$H$9)*1,"--")</f>
        <v>1.9466487334678324</v>
      </c>
      <c r="K37" s="103">
        <f>IFERROR(_xll.BQL(Ticker,$B37,"FPT",$C$11,"FPO",K$11,"STD",$H$7,"CONSOL",$H$9)*1,"--")</f>
        <v>2.2677704824436198</v>
      </c>
      <c r="L37" s="103">
        <f>IFERROR(_xll.BQL(Ticker,$B37,"FPT",$C$11,"FPO",L$11,"STD",$H$7,"CONSOL",$H$9)*1,"--")</f>
        <v>2.4971410419313851</v>
      </c>
      <c r="M37" s="103">
        <f>IFERROR(_xll.BQL(Ticker,$B37,"FPT",$C$11,"FPO",M$11,"STD",$H$7,"CONSOL",$H$9)*1,"--")</f>
        <v>2.2935437589670014</v>
      </c>
      <c r="N37" s="103">
        <f>IFERROR(_xll.BQL(Ticker,$B37,"FPT",$C$11,"FPO",N$11,"STD",$H$7,"CONSOL",$H$9)*1,"--")</f>
        <v>2.0247555648013313</v>
      </c>
    </row>
    <row r="38" spans="1:14" ht="15" customHeight="1">
      <c r="A38" s="77"/>
      <c r="B38" s="77" t="s">
        <v>479</v>
      </c>
      <c r="C38" s="79" t="s">
        <v>130</v>
      </c>
      <c r="D38" s="103">
        <f>IFERROR(_xll.BQL(Ticker,$B38,"FPT",$C$11,"FPO",D$11,"STD",$H$7,"CONSOL",$H$9)*1,"--")</f>
        <v>2.2741946515286231</v>
      </c>
      <c r="E38" s="103">
        <f>IFERROR(_xll.BQL(Ticker,$B38,"FPT",$C$11,"FPO",E$11,"STD",$H$7,"CONSOL",$H$9)*1,"--")</f>
        <v>2.8465648854961834</v>
      </c>
      <c r="F38" s="103">
        <f>IFERROR(_xll.BQL(Ticker,$B38,"FPT",$C$11,"FPO",F$11,"STD",$H$7,"CONSOL",$H$9)*1,"--")</f>
        <v>3.5090342679127726</v>
      </c>
      <c r="G38" s="103">
        <f>IFERROR(_xll.BQL(Ticker,$B38,"FPT",$C$11,"FPO",G$11,"STD",$H$7,"CONSOL",$H$9)*1,"--")</f>
        <v>2.6277173913043477</v>
      </c>
      <c r="H38" s="103">
        <f>IFERROR(_xll.BQL(Ticker,$B38,"FPT",$C$11,"FPO",H$11,"STD",$H$7,"CONSOL",$H$9)*1,"--")</f>
        <v>3.0463752665245201</v>
      </c>
      <c r="I38" s="103">
        <f>IFERROR(_xll.BQL(Ticker,$B38,"FPT",$C$11,"FPO",I$11,"STD",$H$7,"CONSOL",$H$9)*1,"--")</f>
        <v>2.0692510350018818</v>
      </c>
      <c r="J38" s="103">
        <f>IFERROR(_xll.BQL(Ticker,$B38,"FPT",$C$11,"FPO",J$11,"STD",$H$7,"CONSOL",$H$9)*1,"--")</f>
        <v>1.4732122842412014</v>
      </c>
      <c r="K38" s="103">
        <f>IFERROR(_xll.BQL(Ticker,$B38,"FPT",$C$11,"FPO",K$11,"STD",$H$7,"CONSOL",$H$9)*1,"--")</f>
        <v>1.6388809591778475</v>
      </c>
      <c r="L38" s="103">
        <f>IFERROR(_xll.BQL(Ticker,$B38,"FPT",$C$11,"FPO",L$11,"STD",$H$7,"CONSOL",$H$9)*1,"--")</f>
        <v>1.6998094027954256</v>
      </c>
      <c r="M38" s="103">
        <f>IFERROR(_xll.BQL(Ticker,$B38,"FPT",$C$11,"FPO",M$11,"STD",$H$7,"CONSOL",$H$9)*1,"--")</f>
        <v>1.4321377331420373</v>
      </c>
      <c r="N38" s="103">
        <f>IFERROR(_xll.BQL(Ticker,$B38,"FPT",$C$11,"FPO",N$11,"STD",$H$7,"CONSOL",$H$9)*1,"--")</f>
        <v>1.25462866652798</v>
      </c>
    </row>
    <row r="39" spans="1:14" ht="15" customHeight="1">
      <c r="A39" s="77"/>
      <c r="B39" s="77" t="s">
        <v>480</v>
      </c>
      <c r="C39" s="79" t="s">
        <v>163</v>
      </c>
      <c r="D39" s="103">
        <f>IFERROR(_xll.BQL(Ticker,$B39,"FPT",$C$11,"FPO",D$11,"STD",$H$7,"CONSOL",$H$9)*1,"--")</f>
        <v>1.5016756719786608</v>
      </c>
      <c r="E39" s="103">
        <f>IFERROR(_xll.BQL(Ticker,$B39,"FPT",$C$11,"FPO",E$11,"STD",$H$7,"CONSOL",$H$9)*1,"--")</f>
        <v>2.0505204718945178</v>
      </c>
      <c r="F39" s="103">
        <f>IFERROR(_xll.BQL(Ticker,$B39,"FPT",$C$11,"FPO",F$11,"STD",$H$7,"CONSOL",$H$9)*1,"--")</f>
        <v>2.7289719626168223</v>
      </c>
      <c r="G39" s="103">
        <f>IFERROR(_xll.BQL(Ticker,$B39,"FPT",$C$11,"FPO",G$11,"STD",$H$7,"CONSOL",$H$9)*1,"--")</f>
        <v>1.857608695652174</v>
      </c>
      <c r="H39" s="103">
        <f>IFERROR(_xll.BQL(Ticker,$B39,"FPT",$C$11,"FPO",H$11,"STD",$H$7,"CONSOL",$H$9)*1,"--")</f>
        <v>2.2841151385927505</v>
      </c>
      <c r="I39" s="103">
        <f>IFERROR(_xll.BQL(Ticker,$B39,"FPT",$C$11,"FPO",I$11,"STD",$H$7,"CONSOL",$H$9)*1,"--")</f>
        <v>1.4979299962363568</v>
      </c>
      <c r="J39" s="103">
        <f>IFERROR(_xll.BQL(Ticker,$B39,"FPT",$C$11,"FPO",J$11,"STD",$H$7,"CONSOL",$H$9)*1,"--")</f>
        <v>1.1208249271463797</v>
      </c>
      <c r="K39" s="103">
        <f>IFERROR(_xll.BQL(Ticker,$B39,"FPT",$C$11,"FPO",K$11,"STD",$H$7,"CONSOL",$H$9)*1,"--")</f>
        <v>1.1644304881530116</v>
      </c>
      <c r="L39" s="103">
        <f>IFERROR(_xll.BQL(Ticker,$B39,"FPT",$C$11,"FPO",L$11,"STD",$H$7,"CONSOL",$H$9)*1,"--")</f>
        <v>1.0749682337992377</v>
      </c>
      <c r="M39" s="103">
        <f>IFERROR(_xll.BQL(Ticker,$B39,"FPT",$C$11,"FPO",M$11,"STD",$H$7,"CONSOL",$H$9)*1,"--")</f>
        <v>0.8014347202295552</v>
      </c>
      <c r="N39" s="103">
        <f>IFERROR(_xll.BQL(Ticker,$B39,"FPT",$C$11,"FPO",N$11,"STD",$H$7,"CONSOL",$H$9)*1,"--")</f>
        <v>0.76950280840441021</v>
      </c>
    </row>
    <row r="40" spans="1:14" ht="15" customHeight="1">
      <c r="A40" s="77"/>
      <c r="B40" s="77" t="s">
        <v>481</v>
      </c>
      <c r="C40" s="79" t="s">
        <v>131</v>
      </c>
      <c r="D40" s="103">
        <f>IFERROR(_xll.BQL(Ticker,$B40,"FPT",$C$11,"FPO",D$11,"STD",$H$7,"CONSOL",$H$9)*1,"--")</f>
        <v>58.842636420469773</v>
      </c>
      <c r="E40" s="103">
        <f>IFERROR(_xll.BQL(Ticker,$B40,"FPT",$C$11,"FPO",E$11,"STD",$H$7,"CONSOL",$H$9)*1,"--")</f>
        <v>61.799717388070803</v>
      </c>
      <c r="F40" s="103">
        <f>IFERROR(_xll.BQL(Ticker,$B40,"FPT",$C$11,"FPO",F$11,"STD",$H$7,"CONSOL",$H$9)*1,"--")</f>
        <v>59.813627049180326</v>
      </c>
      <c r="G40" s="103">
        <f>IFERROR(_xll.BQL(Ticker,$B40,"FPT",$C$11,"FPO",G$11,"STD",$H$7,"CONSOL",$H$9)*1,"--")</f>
        <v>58.636390995545923</v>
      </c>
      <c r="H40" s="103">
        <f>IFERROR(_xll.BQL(Ticker,$B40,"FPT",$C$11,"FPO",H$11,"STD",$H$7,"CONSOL",$H$9)*1,"--")</f>
        <v>60.182626776019404</v>
      </c>
      <c r="I40" s="103">
        <f>IFERROR(_xll.BQL(Ticker,$B40,"FPT",$C$11,"FPO",I$11,"STD",$H$7,"CONSOL",$H$9)*1,"--")</f>
        <v>59.639729520008871</v>
      </c>
      <c r="J40" s="103">
        <f>IFERROR(_xll.BQL(Ticker,$B40,"FPT",$C$11,"FPO",J$11,"STD",$H$7,"CONSOL",$H$9)*1,"--")</f>
        <v>58.286821705426355</v>
      </c>
      <c r="K40" s="103">
        <f>IFERROR(_xll.BQL(Ticker,$B40,"FPT",$C$11,"FPO",K$11,"STD",$H$7,"CONSOL",$H$9)*1,"--")</f>
        <v>59.34094108184194</v>
      </c>
      <c r="L40" s="103">
        <f>IFERROR(_xll.BQL(Ticker,$B40,"FPT",$C$11,"FPO",L$11,"STD",$H$7,"CONSOL",$H$9)*1,"--")</f>
        <v>58.640794701986749</v>
      </c>
      <c r="M40" s="103">
        <f>IFERROR(_xll.BQL(Ticker,$B40,"FPT",$C$11,"FPO",M$11,"STD",$H$7,"CONSOL",$H$9)*1,"--")</f>
        <v>61.082650273224047</v>
      </c>
      <c r="N40" s="103">
        <f>IFERROR(_xll.BQL(Ticker,$B40,"FPT",$C$11,"FPO",N$11,"STD",$H$7,"CONSOL",$H$9)*1,"--")</f>
        <v>60.784133519594143</v>
      </c>
    </row>
    <row r="41" spans="1:14" ht="15" customHeight="1">
      <c r="A41" s="77"/>
      <c r="B41" s="77" t="s">
        <v>482</v>
      </c>
      <c r="C41" s="79" t="s">
        <v>132</v>
      </c>
      <c r="D41" s="103">
        <f>IFERROR(_xll.BQL(Ticker,$B41,"FPT",$C$11,"FPO",D$11,"STD",$H$7,"CONSOL",$H$9)*1,"--")</f>
        <v>150.1589096368584</v>
      </c>
      <c r="E41" s="103">
        <f>IFERROR(_xll.BQL(Ticker,$B41,"FPT",$C$11,"FPO",E$11,"STD",$H$7,"CONSOL",$H$9)*1,"--")</f>
        <v>158.40899725274724</v>
      </c>
      <c r="F41" s="103">
        <f>IFERROR(_xll.BQL(Ticker,$B41,"FPT",$C$11,"FPO",F$11,"STD",$H$7,"CONSOL",$H$9)*1,"--")</f>
        <v>159.66754155730533</v>
      </c>
      <c r="G41" s="103">
        <f>IFERROR(_xll.BQL(Ticker,$B41,"FPT",$C$11,"FPO",G$11,"STD",$H$7,"CONSOL",$H$9)*1,"--")</f>
        <v>151.92102454642477</v>
      </c>
      <c r="H41" s="103">
        <f>IFERROR(_xll.BQL(Ticker,$B41,"FPT",$C$11,"FPO",H$11,"STD",$H$7,"CONSOL",$H$9)*1,"--")</f>
        <v>167.66774541531825</v>
      </c>
      <c r="I41" s="103">
        <f>IFERROR(_xll.BQL(Ticker,$B41,"FPT",$C$11,"FPO",I$11,"STD",$H$7,"CONSOL",$H$9)*1,"--")</f>
        <v>163.35026648900734</v>
      </c>
      <c r="J41" s="103">
        <f>IFERROR(_xll.BQL(Ticker,$B41,"FPT",$C$11,"FPO",J$11,"STD",$H$7,"CONSOL",$H$9)*1,"--")</f>
        <v>165.50918951491414</v>
      </c>
      <c r="K41" s="103">
        <f>IFERROR(_xll.BQL(Ticker,$B41,"FPT",$C$11,"FPO",K$11,"STD",$H$7,"CONSOL",$H$9)*1,"--")</f>
        <v>176.11468301435406</v>
      </c>
      <c r="L41" s="103">
        <f>IFERROR(_xll.BQL(Ticker,$B41,"FPT",$C$11,"FPO",L$11,"STD",$H$7,"CONSOL",$H$9)*1,"--")</f>
        <v>175.72023030620255</v>
      </c>
      <c r="M41" s="103">
        <f>IFERROR(_xll.BQL(Ticker,$B41,"FPT",$C$11,"FPO",M$11,"STD",$H$7,"CONSOL",$H$9)*1,"--")</f>
        <v>192.38684333958724</v>
      </c>
      <c r="N41" s="103">
        <f>IFERROR(_xll.BQL(Ticker,$B41,"FPT",$C$11,"FPO",N$11,"STD",$H$7,"CONSOL",$H$9)*1,"--")</f>
        <v>212.12738580313103</v>
      </c>
    </row>
    <row r="42" spans="1:14" ht="15" customHeight="1">
      <c r="A42" s="77"/>
      <c r="B42" s="77" t="s">
        <v>483</v>
      </c>
      <c r="C42" s="79" t="s">
        <v>133</v>
      </c>
      <c r="D42" s="103">
        <f>IFERROR(_xll.BQL(Ticker,$B42,"FPT",$C$11,"FPO",D$11,"STD",$H$7,"CONSOL",$H$9)*1,"--")</f>
        <v>43.176450019668692</v>
      </c>
      <c r="E42" s="103">
        <f>IFERROR(_xll.BQL(Ticker,$B42,"FPT",$C$11,"FPO",E$11,"STD",$H$7,"CONSOL",$H$9)*1,"--")</f>
        <v>39.827185760934555</v>
      </c>
      <c r="F42" s="103">
        <f>IFERROR(_xll.BQL(Ticker,$B42,"FPT",$C$11,"FPO",F$11,"STD",$H$7,"CONSOL",$H$9)*1,"--")</f>
        <v>37.427708333333335</v>
      </c>
      <c r="G42" s="103">
        <f>IFERROR(_xll.BQL(Ticker,$B42,"FPT",$C$11,"FPO",G$11,"STD",$H$7,"CONSOL",$H$9)*1,"--")</f>
        <v>38.278729008890352</v>
      </c>
      <c r="H42" s="103">
        <f>IFERROR(_xll.BQL(Ticker,$B42,"FPT",$C$11,"FPO",H$11,"STD",$H$7,"CONSOL",$H$9)*1,"--")</f>
        <v>41.925081433224754</v>
      </c>
      <c r="I42" s="103">
        <f>IFERROR(_xll.BQL(Ticker,$B42,"FPT",$C$11,"FPO",I$11,"STD",$H$7,"CONSOL",$H$9)*1,"--")</f>
        <v>34.778410889522</v>
      </c>
      <c r="J42" s="103">
        <f>IFERROR(_xll.BQL(Ticker,$B42,"FPT",$C$11,"FPO",J$11,"STD",$H$7,"CONSOL",$H$9)*1,"--")</f>
        <v>33.672166427546628</v>
      </c>
      <c r="K42" s="103">
        <f>IFERROR(_xll.BQL(Ticker,$B42,"FPT",$C$11,"FPO",K$11,"STD",$H$7,"CONSOL",$H$9)*1,"--")</f>
        <v>39.725331369661262</v>
      </c>
      <c r="L42" s="103">
        <f>IFERROR(_xll.BQL(Ticker,$B42,"FPT",$C$11,"FPO",L$11,"STD",$H$7,"CONSOL",$H$9)*1,"--")</f>
        <v>36.799857549857549</v>
      </c>
      <c r="M42" s="103">
        <f>IFERROR(_xll.BQL(Ticker,$B42,"FPT",$C$11,"FPO",M$11,"STD",$H$7,"CONSOL",$H$9)*1,"--")</f>
        <v>35.886358799744627</v>
      </c>
      <c r="N42" s="103">
        <f>IFERROR(_xll.BQL(Ticker,$B42,"FPT",$C$11,"FPO",N$11,"STD",$H$7,"CONSOL",$H$9)*1,"--")</f>
        <v>40.12662526683485</v>
      </c>
    </row>
    <row r="43" spans="1:14" ht="15" customHeight="1">
      <c r="A43" s="77"/>
      <c r="B43" s="77" t="s">
        <v>484</v>
      </c>
      <c r="C43" s="79" t="s">
        <v>134</v>
      </c>
      <c r="D43" s="103">
        <f>IFERROR(_xll.BQL(Ticker,$B43,"FPT",$C$11,"FPO",D$11,"STD",$H$7,"CONSOL",$H$9)*1,"--")</f>
        <v>165.82509603765948</v>
      </c>
      <c r="E43" s="103">
        <f>IFERROR(_xll.BQL(Ticker,$B43,"FPT",$C$11,"FPO",E$11,"STD",$H$7,"CONSOL",$H$9)*1,"--")</f>
        <v>180.38152887988349</v>
      </c>
      <c r="F43" s="103">
        <f>IFERROR(_xll.BQL(Ticker,$B43,"FPT",$C$11,"FPO",F$11,"STD",$H$7,"CONSOL",$H$9)*1,"--")</f>
        <v>182.05346027315233</v>
      </c>
      <c r="G43" s="103">
        <f>IFERROR(_xll.BQL(Ticker,$B43,"FPT",$C$11,"FPO",G$11,"STD",$H$7,"CONSOL",$H$9)*1,"--")</f>
        <v>172.27868653308036</v>
      </c>
      <c r="H43" s="103">
        <f>IFERROR(_xll.BQL(Ticker,$B43,"FPT",$C$11,"FPO",H$11,"STD",$H$7,"CONSOL",$H$9)*1,"--")</f>
        <v>185.92529075811291</v>
      </c>
      <c r="I43" s="103">
        <f>IFERROR(_xll.BQL(Ticker,$B43,"FPT",$C$11,"FPO",I$11,"STD",$H$7,"CONSOL",$H$9)*1,"--")</f>
        <v>188.2115851194942</v>
      </c>
      <c r="J43" s="103">
        <f>IFERROR(_xll.BQL(Ticker,$B43,"FPT",$C$11,"FPO",J$11,"STD",$H$7,"CONSOL",$H$9)*1,"--")</f>
        <v>190.12384479279388</v>
      </c>
      <c r="K43" s="103">
        <f>IFERROR(_xll.BQL(Ticker,$B43,"FPT",$C$11,"FPO",K$11,"STD",$H$7,"CONSOL",$H$9)*1,"--")</f>
        <v>195.73029272653474</v>
      </c>
      <c r="L43" s="103">
        <f>IFERROR(_xll.BQL(Ticker,$B43,"FPT",$C$11,"FPO",L$11,"STD",$H$7,"CONSOL",$H$9)*1,"--")</f>
        <v>197.56116745833174</v>
      </c>
      <c r="M43" s="103">
        <f>IFERROR(_xll.BQL(Ticker,$B43,"FPT",$C$11,"FPO",M$11,"STD",$H$7,"CONSOL",$H$9)*1,"--")</f>
        <v>217.58313481306664</v>
      </c>
      <c r="N43" s="103">
        <f>IFERROR(_xll.BQL(Ticker,$B43,"FPT",$C$11,"FPO",N$11,"STD",$H$7,"CONSOL",$H$9)*1,"--")</f>
        <v>232.78489405589031</v>
      </c>
    </row>
    <row r="44" spans="1:14" ht="15" customHeight="1">
      <c r="A44" s="77"/>
      <c r="B44" s="77"/>
      <c r="C44" s="79"/>
      <c r="D44" s="97"/>
      <c r="E44" s="97"/>
      <c r="F44" s="97"/>
      <c r="G44" s="97"/>
      <c r="H44" s="97"/>
      <c r="I44" s="97"/>
      <c r="J44" s="97"/>
      <c r="K44" s="97"/>
      <c r="L44" s="97"/>
      <c r="M44" s="97"/>
      <c r="N44" s="97"/>
    </row>
    <row r="45" spans="1:14" ht="15" customHeight="1">
      <c r="A45" s="77"/>
      <c r="B45" s="77"/>
      <c r="C45" s="78" t="s">
        <v>135</v>
      </c>
      <c r="D45" s="97"/>
      <c r="E45" s="97"/>
      <c r="F45" s="97"/>
      <c r="G45" s="97"/>
      <c r="H45" s="97"/>
      <c r="I45" s="97"/>
      <c r="J45" s="97"/>
      <c r="K45" s="97"/>
      <c r="L45" s="97"/>
      <c r="M45" s="97"/>
      <c r="N45" s="97"/>
    </row>
    <row r="46" spans="1:14" ht="15" customHeight="1">
      <c r="A46" s="77"/>
      <c r="B46" s="77" t="s">
        <v>485</v>
      </c>
      <c r="C46" s="79" t="s">
        <v>136</v>
      </c>
      <c r="D46" s="102">
        <f>IFERROR(_xll.BQL(Ticker,$B46,"FPT",$C$11,"FPO",D$11,"STD",$H$7,"CONSOL",$H$9)*1,"--")</f>
        <v>0.37915919137366599</v>
      </c>
      <c r="E46" s="102">
        <f>IFERROR(_xll.BQL(Ticker,$B46,"FPT",$C$11,"FPO",E$11,"STD",$H$7,"CONSOL",$H$9)*1,"--")</f>
        <v>0.27292990250337373</v>
      </c>
      <c r="F46" s="102">
        <f>IFERROR(_xll.BQL(Ticker,$B46,"FPT",$C$11,"FPO",F$11,"STD",$H$7,"CONSOL",$H$9)*1,"--")</f>
        <v>14.231948703652078</v>
      </c>
      <c r="G46" s="102">
        <f>IFERROR(_xll.BQL(Ticker,$B46,"FPT",$C$11,"FPO",G$11,"STD",$H$7,"CONSOL",$H$9)*1,"--")</f>
        <v>23.011844331641285</v>
      </c>
      <c r="H46" s="102">
        <f>IFERROR(_xll.BQL(Ticker,$B46,"FPT",$C$11,"FPO",H$11,"STD",$H$7,"CONSOL",$H$9)*1,"--")</f>
        <v>20.495521693614052</v>
      </c>
      <c r="I46" s="102">
        <f>IFERROR(_xll.BQL(Ticker,$B46,"FPT",$C$11,"FPO",I$11,"STD",$H$7,"CONSOL",$H$9)*1,"--")</f>
        <v>30.55156405438267</v>
      </c>
      <c r="J46" s="102">
        <f>IFERROR(_xll.BQL(Ticker,$B46,"FPT",$C$11,"FPO",J$11,"STD",$H$7,"CONSOL",$H$9)*1,"--")</f>
        <v>46.224549156486326</v>
      </c>
      <c r="K46" s="102">
        <f>IFERROR(_xll.BQL(Ticker,$B46,"FPT",$C$11,"FPO",K$11,"STD",$H$7,"CONSOL",$H$9)*1,"--")</f>
        <v>47.256491599107036</v>
      </c>
      <c r="L46" s="102">
        <f>IFERROR(_xll.BQL(Ticker,$B46,"FPT",$C$11,"FPO",L$11,"STD",$H$7,"CONSOL",$H$9)*1,"--")</f>
        <v>72.397905759162313</v>
      </c>
      <c r="M46" s="102">
        <f>IFERROR(_xll.BQL(Ticker,$B46,"FPT",$C$11,"FPO",M$11,"STD",$H$7,"CONSOL",$H$9)*1,"--")</f>
        <v>72.364729458917836</v>
      </c>
      <c r="N46" s="102">
        <f>IFERROR(_xll.BQL(Ticker,$B46,"FPT",$C$11,"FPO",N$11,"STD",$H$7,"CONSOL",$H$9)*1,"--")</f>
        <v>84.049445865302644</v>
      </c>
    </row>
    <row r="47" spans="1:14" ht="15" customHeight="1">
      <c r="A47" s="77"/>
      <c r="B47" s="77" t="s">
        <v>486</v>
      </c>
      <c r="C47" s="79" t="s">
        <v>137</v>
      </c>
      <c r="D47" s="102">
        <f>IFERROR(_xll.BQL(Ticker,$B47,"FPT",$C$11,"FPO",D$11,"STD",$H$7,"CONSOL",$H$9)*1,"--")</f>
        <v>0.37772700471698112</v>
      </c>
      <c r="E47" s="102">
        <f>IFERROR(_xll.BQL(Ticker,$B47,"FPT",$C$11,"FPO",E$11,"STD",$H$7,"CONSOL",$H$9)*1,"--")</f>
        <v>0.27218702272761641</v>
      </c>
      <c r="F47" s="102">
        <f>IFERROR(_xll.BQL(Ticker,$B47,"FPT",$C$11,"FPO",F$11,"STD",$H$7,"CONSOL",$H$9)*1,"--")</f>
        <v>12.4588163514338</v>
      </c>
      <c r="G47" s="102">
        <f>IFERROR(_xll.BQL(Ticker,$B47,"FPT",$C$11,"FPO",G$11,"STD",$H$7,"CONSOL",$H$9)*1,"--")</f>
        <v>18.707015130674005</v>
      </c>
      <c r="H47" s="102">
        <f>IFERROR(_xll.BQL(Ticker,$B47,"FPT",$C$11,"FPO",H$11,"STD",$H$7,"CONSOL",$H$9)*1,"--")</f>
        <v>17.009363838208323</v>
      </c>
      <c r="I47" s="102">
        <f>IFERROR(_xll.BQL(Ticker,$B47,"FPT",$C$11,"FPO",I$11,"STD",$H$7,"CONSOL",$H$9)*1,"--")</f>
        <v>23.401913470493607</v>
      </c>
      <c r="J47" s="102">
        <f>IFERROR(_xll.BQL(Ticker,$B47,"FPT",$C$11,"FPO",J$11,"STD",$H$7,"CONSOL",$H$9)*1,"--")</f>
        <v>31.612030553787395</v>
      </c>
      <c r="K47" s="102">
        <f>IFERROR(_xll.BQL(Ticker,$B47,"FPT",$C$11,"FPO",K$11,"STD",$H$7,"CONSOL",$H$9)*1,"--")</f>
        <v>32.091279023378284</v>
      </c>
      <c r="L47" s="102">
        <f>IFERROR(_xll.BQL(Ticker,$B47,"FPT",$C$11,"FPO",L$11,"STD",$H$7,"CONSOL",$H$9)*1,"--")</f>
        <v>41.994655004859091</v>
      </c>
      <c r="M47" s="102">
        <f>IFERROR(_xll.BQL(Ticker,$B47,"FPT",$C$11,"FPO",M$11,"STD",$H$7,"CONSOL",$H$9)*1,"--")</f>
        <v>41.983490291826527</v>
      </c>
      <c r="N47" s="102">
        <f>IFERROR(_xll.BQL(Ticker,$B47,"FPT",$C$11,"FPO",N$11,"STD",$H$7,"CONSOL",$H$9)*1,"--")</f>
        <v>45.66677474639863</v>
      </c>
    </row>
    <row r="48" spans="1:14" ht="15" customHeight="1">
      <c r="A48" s="77"/>
      <c r="B48" s="77" t="s">
        <v>487</v>
      </c>
      <c r="C48" s="79" t="s">
        <v>138</v>
      </c>
      <c r="D48" s="102">
        <f>IFERROR(_xll.BQL(Ticker,$B48,"FPT",$C$11,"FPO",D$11,"STD",$H$7,"CONSOL",$H$9)*1,"--")</f>
        <v>0</v>
      </c>
      <c r="E48" s="102">
        <f>IFERROR(_xll.BQL(Ticker,$B48,"FPT",$C$11,"FPO",E$11,"STD",$H$7,"CONSOL",$H$9)*1,"--")</f>
        <v>0</v>
      </c>
      <c r="F48" s="102">
        <f>IFERROR(_xll.BQL(Ticker,$B48,"FPT",$C$11,"FPO",F$11,"STD",$H$7,"CONSOL",$H$9)*1,"--")</f>
        <v>13.883468079174797</v>
      </c>
      <c r="G48" s="102">
        <f>IFERROR(_xll.BQL(Ticker,$B48,"FPT",$C$11,"FPO",G$11,"STD",$H$7,"CONSOL",$H$9)*1,"--")</f>
        <v>22.790576597683195</v>
      </c>
      <c r="H48" s="102">
        <f>IFERROR(_xll.BQL(Ticker,$B48,"FPT",$C$11,"FPO",H$11,"STD",$H$7,"CONSOL",$H$9)*1,"--")</f>
        <v>20.309410259392813</v>
      </c>
      <c r="I48" s="102">
        <f>IFERROR(_xll.BQL(Ticker,$B48,"FPT",$C$11,"FPO",I$11,"STD",$H$7,"CONSOL",$H$9)*1,"--")</f>
        <v>30.275229357798164</v>
      </c>
      <c r="J48" s="102">
        <f>IFERROR(_xll.BQL(Ticker,$B48,"FPT",$C$11,"FPO",J$11,"STD",$H$7,"CONSOL",$H$9)*1,"--")</f>
        <v>37.766143106457243</v>
      </c>
      <c r="K48" s="102">
        <f>IFERROR(_xll.BQL(Ticker,$B48,"FPT",$C$11,"FPO",K$11,"STD",$H$7,"CONSOL",$H$9)*1,"--")</f>
        <v>38.221125602161905</v>
      </c>
      <c r="L48" s="102">
        <f>IFERROR(_xll.BQL(Ticker,$B48,"FPT",$C$11,"FPO",L$11,"STD",$H$7,"CONSOL",$H$9)*1,"--")</f>
        <v>70.010471204188477</v>
      </c>
      <c r="M48" s="102">
        <f>IFERROR(_xll.BQL(Ticker,$B48,"FPT",$C$11,"FPO",M$11,"STD",$H$7,"CONSOL",$H$9)*1,"--")</f>
        <v>66.124824402970091</v>
      </c>
      <c r="N48" s="102">
        <f>IFERROR(_xll.BQL(Ticker,$B48,"FPT",$C$11,"FPO",N$11,"STD",$H$7,"CONSOL",$H$9)*1,"--")</f>
        <v>72.344416027280474</v>
      </c>
    </row>
    <row r="49" spans="1:14" ht="15" customHeight="1">
      <c r="A49" s="77"/>
      <c r="B49" s="77" t="s">
        <v>488</v>
      </c>
      <c r="C49" s="79" t="s">
        <v>139</v>
      </c>
      <c r="D49" s="102">
        <f>IFERROR(_xll.BQL(Ticker,$B49,"FPT",$C$11,"FPO",D$11,"STD",$H$7,"CONSOL",$H$9)*1,"--")</f>
        <v>0</v>
      </c>
      <c r="E49" s="102">
        <f>IFERROR(_xll.BQL(Ticker,$B49,"FPT",$C$11,"FPO",E$11,"STD",$H$7,"CONSOL",$H$9)*1,"--")</f>
        <v>0</v>
      </c>
      <c r="F49" s="102">
        <f>IFERROR(_xll.BQL(Ticker,$B49,"FPT",$C$11,"FPO",F$11,"STD",$H$7,"CONSOL",$H$9)*1,"--")</f>
        <v>12.153752287980476</v>
      </c>
      <c r="G49" s="102">
        <f>IFERROR(_xll.BQL(Ticker,$B49,"FPT",$C$11,"FPO",G$11,"STD",$H$7,"CONSOL",$H$9)*1,"--")</f>
        <v>18.527139985186754</v>
      </c>
      <c r="H49" s="102">
        <f>IFERROR(_xll.BQL(Ticker,$B49,"FPT",$C$11,"FPO",H$11,"STD",$H$7,"CONSOL",$H$9)*1,"--")</f>
        <v>16.854908774978281</v>
      </c>
      <c r="I49" s="102">
        <f>IFERROR(_xll.BQL(Ticker,$B49,"FPT",$C$11,"FPO",I$11,"STD",$H$7,"CONSOL",$H$9)*1,"--")</f>
        <v>23.190246380492759</v>
      </c>
      <c r="J49" s="102">
        <f>IFERROR(_xll.BQL(Ticker,$B49,"FPT",$C$11,"FPO",J$11,"STD",$H$7,"CONSOL",$H$9)*1,"--")</f>
        <v>25.827498408656908</v>
      </c>
      <c r="K49" s="102">
        <f>IFERROR(_xll.BQL(Ticker,$B49,"FPT",$C$11,"FPO",K$11,"STD",$H$7,"CONSOL",$H$9)*1,"--")</f>
        <v>25.955477539296258</v>
      </c>
      <c r="L49" s="102">
        <f>IFERROR(_xll.BQL(Ticker,$B49,"FPT",$C$11,"FPO",L$11,"STD",$H$7,"CONSOL",$H$9)*1,"--")</f>
        <v>40.609815354713312</v>
      </c>
      <c r="M49" s="102">
        <f>IFERROR(_xll.BQL(Ticker,$B49,"FPT",$C$11,"FPO",M$11,"STD",$H$7,"CONSOL",$H$9)*1,"--")</f>
        <v>38.309498895477269</v>
      </c>
      <c r="N49" s="102">
        <f>IFERROR(_xll.BQL(Ticker,$B49,"FPT",$C$11,"FPO",N$11,"STD",$H$7,"CONSOL",$H$9)*1,"--")</f>
        <v>39.307054518504792</v>
      </c>
    </row>
    <row r="50" spans="1:14" ht="15" customHeight="1">
      <c r="A50" s="77"/>
      <c r="B50" s="77" t="s">
        <v>489</v>
      </c>
      <c r="C50" s="79" t="s">
        <v>140</v>
      </c>
      <c r="D50" s="102">
        <f>IFERROR(_xll.BQL(Ticker,$B50,"FPT",$C$11,"FPO",D$11,"STD",$H$7,"CONSOL",$H$9)*1,"--")</f>
        <v>9.6602790893427848</v>
      </c>
      <c r="E50" s="102">
        <f>IFERROR(_xll.BQL(Ticker,$B50,"FPT",$C$11,"FPO",E$11,"STD",$H$7,"CONSOL",$H$9)*1,"--")</f>
        <v>11.411815285570977</v>
      </c>
      <c r="F50" s="102">
        <f>IFERROR(_xll.BQL(Ticker,$B50,"FPT",$C$11,"FPO",F$11,"STD",$H$7,"CONSOL",$H$9)*1,"--")</f>
        <v>19.421753097751264</v>
      </c>
      <c r="G50" s="102">
        <f>IFERROR(_xll.BQL(Ticker,$B50,"FPT",$C$11,"FPO",G$11,"STD",$H$7,"CONSOL",$H$9)*1,"--")</f>
        <v>21.595587024534826</v>
      </c>
      <c r="H50" s="102">
        <f>IFERROR(_xll.BQL(Ticker,$B50,"FPT",$C$11,"FPO",H$11,"STD",$H$7,"CONSOL",$H$9)*1,"--")</f>
        <v>20.695138573375736</v>
      </c>
      <c r="I50" s="102">
        <f>IFERROR(_xll.BQL(Ticker,$B50,"FPT",$C$11,"FPO",I$11,"STD",$H$7,"CONSOL",$H$9)*1,"--")</f>
        <v>25.655847043130279</v>
      </c>
      <c r="J50" s="102">
        <f>IFERROR(_xll.BQL(Ticker,$B50,"FPT",$C$11,"FPO",J$11,"STD",$H$7,"CONSOL",$H$9)*1,"--")</f>
        <v>24.440071763412234</v>
      </c>
      <c r="K50" s="102">
        <f>IFERROR(_xll.BQL(Ticker,$B50,"FPT",$C$11,"FPO",K$11,"STD",$H$7,"CONSOL",$H$9)*1,"--")</f>
        <v>26.054040745983876</v>
      </c>
      <c r="L50" s="102">
        <f>IFERROR(_xll.BQL(Ticker,$B50,"FPT",$C$11,"FPO",L$11,"STD",$H$7,"CONSOL",$H$9)*1,"--")</f>
        <v>37.861512111573283</v>
      </c>
      <c r="M50" s="102">
        <f>IFERROR(_xll.BQL(Ticker,$B50,"FPT",$C$11,"FPO",M$11,"STD",$H$7,"CONSOL",$H$9)*1,"--")</f>
        <v>39.338649367031579</v>
      </c>
      <c r="N50" s="102">
        <f>IFERROR(_xll.BQL(Ticker,$B50,"FPT",$C$11,"FPO",N$11,"STD",$H$7,"CONSOL",$H$9)*1,"--")</f>
        <v>39.266958022696393</v>
      </c>
    </row>
    <row r="51" spans="1:14" ht="15" customHeight="1">
      <c r="A51" s="77"/>
      <c r="B51" s="77"/>
      <c r="C51" s="79"/>
      <c r="D51" s="97"/>
      <c r="E51" s="97"/>
      <c r="F51" s="97"/>
      <c r="G51" s="97"/>
      <c r="H51" s="97"/>
      <c r="I51" s="97"/>
      <c r="J51" s="97"/>
      <c r="K51" s="97"/>
      <c r="L51" s="97"/>
      <c r="M51" s="97"/>
      <c r="N51" s="97"/>
    </row>
    <row r="52" spans="1:14" ht="15" customHeight="1">
      <c r="A52" s="77"/>
      <c r="B52" s="77" t="s">
        <v>490</v>
      </c>
      <c r="C52" s="79" t="s">
        <v>141</v>
      </c>
      <c r="D52" s="104">
        <f>IFERROR(_xll.BQL(Ticker,$B52,"FPT",$C$11,"FPO",D$11,"STD",$H$7,"CONSOL",$H$9)*1,"--")</f>
        <v>50.947540983606558</v>
      </c>
      <c r="E52" s="104">
        <f>IFERROR(_xll.BQL(Ticker,$B52,"FPT",$C$11,"FPO",E$11,"STD",$H$7,"CONSOL",$H$9)*1,"--")</f>
        <v>113.85714285714286</v>
      </c>
      <c r="F52" s="104">
        <f>IFERROR(_xll.BQL(Ticker,$B52,"FPT",$C$11,"FPO",F$11,"STD",$H$7,"CONSOL",$H$9)*1,"--")</f>
        <v>33.037735849056602</v>
      </c>
      <c r="G52" s="104">
        <f>IFERROR(_xll.BQL(Ticker,$B52,"FPT",$C$11,"FPO",G$11,"STD",$H$7,"CONSOL",$H$9)*1,"--")</f>
        <v>30.107142857142858</v>
      </c>
      <c r="H52" s="104">
        <f>IFERROR(_xll.BQL(Ticker,$B52,"FPT",$C$11,"FPO",H$11,"STD",$H$7,"CONSOL",$H$9)*1,"--")</f>
        <v>27.634920634920636</v>
      </c>
      <c r="I52" s="104">
        <f>IFERROR(_xll.BQL(Ticker,$B52,"FPT",$C$11,"FPO",I$11,"STD",$H$7,"CONSOL",$H$9)*1,"--")</f>
        <v>15.132530120481928</v>
      </c>
      <c r="J52" s="104">
        <f>IFERROR(_xll.BQL(Ticker,$B52,"FPT",$C$11,"FPO",J$11,"STD",$H$7,"CONSOL",$H$9)*1,"--")</f>
        <v>11.026548672566372</v>
      </c>
      <c r="K52" s="104">
        <f>IFERROR(_xll.BQL(Ticker,$B52,"FPT",$C$11,"FPO",K$11,"STD",$H$7,"CONSOL",$H$9)*1,"--")</f>
        <v>17.231481481481481</v>
      </c>
      <c r="L52" s="104">
        <f>IFERROR(_xll.BQL(Ticker,$B52,"FPT",$C$11,"FPO",L$11,"STD",$H$7,"CONSOL",$H$9)*1,"--")</f>
        <v>9.5394736842105257</v>
      </c>
      <c r="M52" s="104">
        <f>IFERROR(_xll.BQL(Ticker,$B52,"FPT",$C$11,"FPO",M$11,"STD",$H$7,"CONSOL",$H$9)*1,"--")</f>
        <v>9.2995951417004044</v>
      </c>
      <c r="N52" s="104">
        <f>IFERROR(_xll.BQL(Ticker,$B52,"FPT",$C$11,"FPO",N$11,"STD",$H$7,"CONSOL",$H$9)*1,"--")</f>
        <v>9.6098484848484844</v>
      </c>
    </row>
    <row r="53" spans="1:14" ht="15" customHeight="1">
      <c r="A53" s="77"/>
      <c r="B53" s="77" t="s">
        <v>491</v>
      </c>
      <c r="C53" s="79" t="s">
        <v>142</v>
      </c>
      <c r="D53" s="104">
        <f>IFERROR(_xll.BQL(Ticker,$B53,"FPT",$C$11,"FPO",D$11,"STD",$H$7,"CONSOL",$H$9)*1,"--")</f>
        <v>63.655737704918032</v>
      </c>
      <c r="E53" s="104">
        <f>IFERROR(_xll.BQL(Ticker,$B53,"FPT",$C$11,"FPO",E$11,"STD",$H$7,"CONSOL",$H$9)*1,"--")</f>
        <v>5.6542857142857139</v>
      </c>
      <c r="F53" s="104">
        <f>IFERROR(_xll.BQL(Ticker,$B53,"FPT",$C$11,"FPO",F$11,"STD",$H$7,"CONSOL",$H$9)*1,"--")</f>
        <v>37.245283018867923</v>
      </c>
      <c r="G53" s="104">
        <f>IFERROR(_xll.BQL(Ticker,$B53,"FPT",$C$11,"FPO",G$11,"STD",$H$7,"CONSOL",$H$9)*1,"--")</f>
        <v>35.142857142857146</v>
      </c>
      <c r="H53" s="104">
        <f>IFERROR(_xll.BQL(Ticker,$B53,"FPT",$C$11,"FPO",H$11,"STD",$H$7,"CONSOL",$H$9)*1,"--")</f>
        <v>32.031746031746032</v>
      </c>
      <c r="I53" s="104">
        <f>IFERROR(_xll.BQL(Ticker,$B53,"FPT",$C$11,"FPO",I$11,"STD",$H$7,"CONSOL",$H$9)*1,"--")</f>
        <v>18.831325301204821</v>
      </c>
      <c r="J53" s="104">
        <f>IFERROR(_xll.BQL(Ticker,$B53,"FPT",$C$11,"FPO",J$11,"STD",$H$7,"CONSOL",$H$9)*1,"--")</f>
        <v>14.371681415929203</v>
      </c>
      <c r="K53" s="104">
        <f>IFERROR(_xll.BQL(Ticker,$B53,"FPT",$C$11,"FPO",K$11,"STD",$H$7,"CONSOL",$H$9)*1,"--")</f>
        <v>20.907407407407408</v>
      </c>
      <c r="L53" s="104">
        <f>IFERROR(_xll.BQL(Ticker,$B53,"FPT",$C$11,"FPO",L$11,"STD",$H$7,"CONSOL",$H$9)*1,"--")</f>
        <v>11.934210526315789</v>
      </c>
      <c r="M53" s="104">
        <f>IFERROR(_xll.BQL(Ticker,$B53,"FPT",$C$11,"FPO",M$11,"STD",$H$7,"CONSOL",$H$9)*1,"--")</f>
        <v>11.898785425101215</v>
      </c>
      <c r="N53" s="104">
        <f>IFERROR(_xll.BQL(Ticker,$B53,"FPT",$C$11,"FPO",N$11,"STD",$H$7,"CONSOL",$H$9)*1,"--")</f>
        <v>12.348484848484848</v>
      </c>
    </row>
    <row r="54" spans="1:14" ht="15" customHeight="1">
      <c r="A54" s="77"/>
      <c r="B54" s="77" t="s">
        <v>505</v>
      </c>
      <c r="C54" s="79" t="s">
        <v>143</v>
      </c>
      <c r="D54" s="104">
        <f>IFERROR(_xll.BQL(Ticker,$B54,"FPT",$C$11,"FPO",D$11,"STD",$H$7,"CONSOL",$H$9)*1,"--")</f>
        <v>58.567213114754097</v>
      </c>
      <c r="E54" s="104">
        <f>IFERROR(_xll.BQL(Ticker,$B54,"FPT",$C$11,"FPO",E$11,"STD",$H$7,"CONSOL",$H$9)*1,"--")</f>
        <v>5.28</v>
      </c>
      <c r="F54" s="104">
        <f>IFERROR(_xll.BQL(Ticker,$B54,"FPT",$C$11,"FPO",F$11,"STD",$H$7,"CONSOL",$H$9)*1,"--")</f>
        <v>33.811320754716981</v>
      </c>
      <c r="G54" s="104">
        <f>IFERROR(_xll.BQL(Ticker,$B54,"FPT",$C$11,"FPO",G$11,"STD",$H$7,"CONSOL",$H$9)*1,"--")</f>
        <v>31.107142857142858</v>
      </c>
      <c r="H54" s="104">
        <f>IFERROR(_xll.BQL(Ticker,$B54,"FPT",$C$11,"FPO",H$11,"STD",$H$7,"CONSOL",$H$9)*1,"--")</f>
        <v>28.698412698412699</v>
      </c>
      <c r="I54" s="104">
        <f>IFERROR(_xll.BQL(Ticker,$B54,"FPT",$C$11,"FPO",I$11,"STD",$H$7,"CONSOL",$H$9)*1,"--")</f>
        <v>16.481927710843372</v>
      </c>
      <c r="J54" s="104">
        <f>IFERROR(_xll.BQL(Ticker,$B54,"FPT",$C$11,"FPO",J$11,"STD",$H$7,"CONSOL",$H$9)*1,"--")</f>
        <v>12.309734513274336</v>
      </c>
      <c r="K54" s="104">
        <f>IFERROR(_xll.BQL(Ticker,$B54,"FPT",$C$11,"FPO",K$11,"STD",$H$7,"CONSOL",$H$9)*1,"--")</f>
        <v>18.407407407407408</v>
      </c>
      <c r="L54" s="104">
        <f>IFERROR(_xll.BQL(Ticker,$B54,"FPT",$C$11,"FPO",L$11,"STD",$H$7,"CONSOL",$H$9)*1,"--")</f>
        <v>9.7850877192982448</v>
      </c>
      <c r="M54" s="104">
        <f>IFERROR(_xll.BQL(Ticker,$B54,"FPT",$C$11,"FPO",M$11,"STD",$H$7,"CONSOL",$H$9)*1,"--")</f>
        <v>9.4777327935222679</v>
      </c>
      <c r="N54" s="104">
        <f>IFERROR(_xll.BQL(Ticker,$B54,"FPT",$C$11,"FPO",N$11,"STD",$H$7,"CONSOL",$H$9)*1,"--")</f>
        <v>10.181818181818182</v>
      </c>
    </row>
    <row r="55" spans="1:14" ht="15" customHeight="1">
      <c r="A55" s="77"/>
      <c r="B55" s="77" t="s">
        <v>492</v>
      </c>
      <c r="C55" s="79" t="s">
        <v>144</v>
      </c>
      <c r="D55" s="104">
        <f>IFERROR(_xll.BQL(Ticker,$B55,"FPT",$C$11,"FPO",D$11,"STD",$H$7,"CONSOL",$H$9)*1,"--")</f>
        <v>1.0558846252897245E-2</v>
      </c>
      <c r="E55" s="104">
        <f>IFERROR(_xll.BQL(Ticker,$B55,"FPT",$C$11,"FPO",E$11,"STD",$H$7,"CONSOL",$H$9)*1,"--")</f>
        <v>9.0955027791814053E-3</v>
      </c>
      <c r="F55" s="104">
        <f>IFERROR(_xll.BQL(Ticker,$B55,"FPT",$C$11,"FPO",F$11,"STD",$H$7,"CONSOL",$H$9)*1,"--")</f>
        <v>0.51722391084093211</v>
      </c>
      <c r="G55" s="104">
        <f>IFERROR(_xll.BQL(Ticker,$B55,"FPT",$C$11,"FPO",G$11,"STD",$H$7,"CONSOL",$H$9)*1,"--")</f>
        <v>0.89837398373983735</v>
      </c>
      <c r="H55" s="104">
        <f>IFERROR(_xll.BQL(Ticker,$B55,"FPT",$C$11,"FPO",H$11,"STD",$H$7,"CONSOL",$H$9)*1,"--")</f>
        <v>0.87314172447968286</v>
      </c>
      <c r="I55" s="104">
        <f>IFERROR(_xll.BQL(Ticker,$B55,"FPT",$C$11,"FPO",I$11,"STD",$H$7,"CONSOL",$H$9)*1,"--")</f>
        <v>1.7683941138835573</v>
      </c>
      <c r="J55" s="104">
        <f>IFERROR(_xll.BQL(Ticker,$B55,"FPT",$C$11,"FPO",J$11,"STD",$H$7,"CONSOL",$H$9)*1,"--")</f>
        <v>2.4464285714285716</v>
      </c>
      <c r="K55" s="104">
        <f>IFERROR(_xll.BQL(Ticker,$B55,"FPT",$C$11,"FPO",K$11,"STD",$H$7,"CONSOL",$H$9)*1,"--")</f>
        <v>1.7812223206377324</v>
      </c>
      <c r="L55" s="104">
        <f>IFERROR(_xll.BQL(Ticker,$B55,"FPT",$C$11,"FPO",L$11,"STD",$H$7,"CONSOL",$H$9)*1,"--")</f>
        <v>2.5409775817714078</v>
      </c>
      <c r="M55" s="104">
        <f>IFERROR(_xll.BQL(Ticker,$B55,"FPT",$C$11,"FPO",M$11,"STD",$H$7,"CONSOL",$H$9)*1,"--")</f>
        <v>2.4572984008166041</v>
      </c>
      <c r="N55" s="104">
        <f>IFERROR(_xll.BQL(Ticker,$B55,"FPT",$C$11,"FPO",N$11,"STD",$H$7,"CONSOL",$H$9)*1,"--")</f>
        <v>3.0242331288343558</v>
      </c>
    </row>
    <row r="56" spans="1:14" ht="15" customHeight="1">
      <c r="A56" s="77"/>
      <c r="B56" s="77" t="s">
        <v>493</v>
      </c>
      <c r="C56" s="79" t="s">
        <v>145</v>
      </c>
      <c r="D56" s="104">
        <f>IFERROR(_xll.BQL(Ticker,$B56,"FPT",$C$11,"FPO",D$11,"STD",$H$7,"CONSOL",$H$9)*1,"--")</f>
        <v>-1.1203193407159413</v>
      </c>
      <c r="E56" s="104">
        <f>IFERROR(_xll.BQL(Ticker,$B56,"FPT",$C$11,"FPO",E$11,"STD",$H$7,"CONSOL",$H$9)*1,"--")</f>
        <v>-1.4839818089944417</v>
      </c>
      <c r="F56" s="104">
        <f>IFERROR(_xll.BQL(Ticker,$B56,"FPT",$C$11,"FPO",F$11,"STD",$H$7,"CONSOL",$H$9)*1,"--")</f>
        <v>-1.7016210739614994</v>
      </c>
      <c r="G56" s="104">
        <f>IFERROR(_xll.BQL(Ticker,$B56,"FPT",$C$11,"FPO",G$11,"STD",$H$7,"CONSOL",$H$9)*1,"--")</f>
        <v>-0.83841463414634143</v>
      </c>
      <c r="H56" s="104">
        <f>IFERROR(_xll.BQL(Ticker,$B56,"FPT",$C$11,"FPO",H$11,"STD",$H$7,"CONSOL",$H$9)*1,"--")</f>
        <v>-1.2502477700693757</v>
      </c>
      <c r="I56" s="104">
        <f>IFERROR(_xll.BQL(Ticker,$B56,"FPT",$C$11,"FPO",I$11,"STD",$H$7,"CONSOL",$H$9)*1,"--")</f>
        <v>-0.77799104286628284</v>
      </c>
      <c r="J56" s="104">
        <f>IFERROR(_xll.BQL(Ticker,$B56,"FPT",$C$11,"FPO",J$11,"STD",$H$7,"CONSOL",$H$9)*1,"--")</f>
        <v>-0.6323891625615764</v>
      </c>
      <c r="K56" s="104">
        <f>IFERROR(_xll.BQL(Ticker,$B56,"FPT",$C$11,"FPO",K$11,"STD",$H$7,"CONSOL",$H$9)*1,"--")</f>
        <v>-2.5243578387953942E-2</v>
      </c>
      <c r="L56" s="104">
        <f>IFERROR(_xll.BQL(Ticker,$B56,"FPT",$C$11,"FPO",L$11,"STD",$H$7,"CONSOL",$H$9)*1,"--")</f>
        <v>1.2973171628077913</v>
      </c>
      <c r="M56" s="104">
        <f>IFERROR(_xll.BQL(Ticker,$B56,"FPT",$C$11,"FPO",M$11,"STD",$H$7,"CONSOL",$H$9)*1,"--")</f>
        <v>1.5069751616195985</v>
      </c>
      <c r="N56" s="104">
        <f>IFERROR(_xll.BQL(Ticker,$B56,"FPT",$C$11,"FPO",N$11,"STD",$H$7,"CONSOL",$H$9)*1,"--")</f>
        <v>1.8895705521472392</v>
      </c>
    </row>
    <row r="57" spans="1:14" ht="15" customHeight="1">
      <c r="A57" s="77"/>
      <c r="B57" s="77"/>
      <c r="C57" s="79"/>
      <c r="D57" s="97"/>
      <c r="E57" s="97"/>
      <c r="F57" s="97"/>
      <c r="G57" s="97"/>
      <c r="H57" s="97"/>
      <c r="I57" s="97"/>
      <c r="J57" s="97"/>
      <c r="K57" s="97"/>
      <c r="L57" s="97"/>
      <c r="M57" s="97"/>
      <c r="N57" s="97"/>
    </row>
    <row r="58" spans="1:14" ht="15" customHeight="1">
      <c r="A58" s="77"/>
      <c r="B58" s="77" t="s">
        <v>494</v>
      </c>
      <c r="C58" s="79" t="s">
        <v>146</v>
      </c>
      <c r="D58" s="98">
        <f>IFERROR(_xll.BQL(Ticker,$B58,"FPT",$C$11,"FPO",D$11,"STD",$H$7,"CONSOL",$H$9)*1,"--")</f>
        <v>22.432715799303999</v>
      </c>
      <c r="E58" s="98">
        <f>IFERROR(_xll.BQL(Ticker,$B58,"FPT",$C$11,"FPO",E$11,"STD",$H$7,"CONSOL",$H$9)*1,"--")</f>
        <v>20.264485999395802</v>
      </c>
      <c r="F58" s="98">
        <f>IFERROR(_xll.BQL(Ticker,$B58,"FPT",$C$11,"FPO",F$11,"STD",$H$7,"CONSOL",$H$9)*1,"--")</f>
        <v>14.42899070749432</v>
      </c>
      <c r="G58" s="98">
        <f>IFERROR(_xll.BQL(Ticker,$B58,"FPT",$C$11,"FPO",G$11,"STD",$H$7,"CONSOL",$H$9)*1,"--")</f>
        <v>12.805192535299632</v>
      </c>
      <c r="H58" s="98">
        <f>IFERROR(_xll.BQL(Ticker,$B58,"FPT",$C$11,"FPO",H$11,"STD",$H$7,"CONSOL",$H$9)*1,"--")</f>
        <v>12.443135614454803</v>
      </c>
      <c r="I58" s="98">
        <f>IFERROR(_xll.BQL(Ticker,$B58,"FPT",$C$11,"FPO",I$11,"STD",$H$7,"CONSOL",$H$9)*1,"--")</f>
        <v>9.3583250170894487</v>
      </c>
      <c r="J58" s="98">
        <f>IFERROR(_xll.BQL(Ticker,$B58,"FPT",$C$11,"FPO",J$11,"STD",$H$7,"CONSOL",$H$9)*1,"--")</f>
        <v>7.4896487642140759</v>
      </c>
      <c r="K58" s="98">
        <f>IFERROR(_xll.BQL(Ticker,$B58,"FPT",$C$11,"FPO",K$11,"STD",$H$7,"CONSOL",$H$9)*1,"--")</f>
        <v>8.5569808936834022</v>
      </c>
      <c r="L58" s="98">
        <f>IFERROR(_xll.BQL(Ticker,$B58,"FPT",$C$11,"FPO",L$11,"STD",$H$7,"CONSOL",$H$9)*1,"--")</f>
        <v>7.311024435730479</v>
      </c>
      <c r="M58" s="98">
        <f>IFERROR(_xll.BQL(Ticker,$B58,"FPT",$C$11,"FPO",M$11,"STD",$H$7,"CONSOL",$H$9)*1,"--")</f>
        <v>6.7251145112539801</v>
      </c>
      <c r="N58" s="98">
        <f>IFERROR(_xll.BQL(Ticker,$B58,"FPT",$C$11,"FPO",N$11,"STD",$H$7,"CONSOL",$H$9)*1,"--")</f>
        <v>5.6689842384446578</v>
      </c>
    </row>
    <row r="59" spans="1:14" ht="15" customHeight="1">
      <c r="A59" s="77"/>
      <c r="B59" s="77"/>
      <c r="C59" s="79"/>
      <c r="D59" s="99"/>
      <c r="E59" s="99"/>
      <c r="F59" s="99"/>
      <c r="G59" s="99"/>
      <c r="H59" s="99"/>
      <c r="I59" s="99"/>
      <c r="J59" s="99"/>
      <c r="K59" s="99"/>
      <c r="L59" s="99"/>
      <c r="M59" s="99"/>
      <c r="N59" s="99"/>
    </row>
    <row r="60" spans="1:14">
      <c r="A60" s="77"/>
      <c r="B60" s="77"/>
      <c r="C60" s="79"/>
      <c r="D60" s="79"/>
      <c r="E60" s="79"/>
      <c r="F60" s="79"/>
      <c r="G60" s="79"/>
      <c r="H60" s="626"/>
      <c r="I60" s="79"/>
      <c r="J60" s="77"/>
      <c r="K60" s="77"/>
      <c r="L60" s="77"/>
      <c r="M60" s="77"/>
      <c r="N60" s="77"/>
    </row>
    <row r="61" spans="1:14">
      <c r="A61" s="77"/>
      <c r="B61" s="77"/>
    </row>
    <row r="62" spans="1:14">
      <c r="A62" s="77"/>
      <c r="B62" s="77"/>
    </row>
  </sheetData>
  <mergeCells count="4">
    <mergeCell ref="C13:C14"/>
    <mergeCell ref="F7:G7"/>
    <mergeCell ref="F9:G9"/>
    <mergeCell ref="J9:K9"/>
  </mergeCells>
  <phoneticPr fontId="0" type="noConversion"/>
  <dataValidations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2" right="0.2" top="0.5" bottom="0.5" header="0.5" footer="0.5"/>
  <pageSetup scale="61"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apStrucSum"/>
  <dimension ref="A2:AJ587"/>
  <sheetViews>
    <sheetView showGridLines="0" showRowColHeaders="0" topLeftCell="A23" zoomScale="87" zoomScaleNormal="87" workbookViewId="0"/>
  </sheetViews>
  <sheetFormatPr defaultColWidth="9.140625" defaultRowHeight="15" outlineLevelRow="1"/>
  <cols>
    <col min="1" max="1" width="1.7109375" style="105" customWidth="1"/>
    <col min="2" max="2" width="30.7109375" style="105" customWidth="1"/>
    <col min="3" max="12" width="11.7109375" style="110" customWidth="1"/>
    <col min="13" max="16" width="12.7109375" style="105" customWidth="1"/>
    <col min="17" max="21" width="9.140625" style="105"/>
    <col min="22" max="22" width="11.42578125" style="105" bestFit="1" customWidth="1"/>
    <col min="23" max="16384" width="9.140625" style="105"/>
  </cols>
  <sheetData>
    <row r="2" spans="1:13" ht="5.0999999999999996" customHeight="1"/>
    <row r="3" spans="1:13" ht="15" customHeight="1"/>
    <row r="4" spans="1:13" ht="15" customHeight="1"/>
    <row r="5" spans="1:13" ht="15" customHeight="1"/>
    <row r="6" spans="1:13" ht="15" customHeight="1"/>
    <row r="7" spans="1:13" ht="15" customHeight="1">
      <c r="B7" s="199" t="s">
        <v>353</v>
      </c>
      <c r="C7" s="107" t="str">
        <f>Tick</f>
        <v>SYK US</v>
      </c>
      <c r="D7" s="8"/>
      <c r="E7" s="714" t="s">
        <v>344</v>
      </c>
      <c r="F7" s="715"/>
      <c r="G7" s="26" t="s">
        <v>345</v>
      </c>
      <c r="H7" s="153"/>
      <c r="I7" s="714" t="s">
        <v>0</v>
      </c>
      <c r="J7" s="715"/>
      <c r="K7" s="27" t="str">
        <f>_xll.BDP(Ticker,"EQY FUND CRNCY")</f>
        <v>USD</v>
      </c>
      <c r="L7" s="109"/>
      <c r="M7" s="8"/>
    </row>
    <row r="8" spans="1:13" ht="5.0999999999999996" customHeight="1">
      <c r="D8" s="8"/>
      <c r="E8" s="8"/>
      <c r="F8" s="8"/>
      <c r="G8" s="8"/>
      <c r="H8" s="154"/>
      <c r="I8" s="8"/>
      <c r="J8" s="8"/>
      <c r="K8" s="8"/>
      <c r="L8" s="719"/>
      <c r="M8" s="8"/>
    </row>
    <row r="9" spans="1:13" ht="15" customHeight="1">
      <c r="B9" s="198" t="s">
        <v>352</v>
      </c>
      <c r="C9" s="26" t="s">
        <v>339</v>
      </c>
      <c r="D9" s="155"/>
      <c r="E9" s="714" t="s">
        <v>342</v>
      </c>
      <c r="F9" s="715"/>
      <c r="G9" s="26" t="s">
        <v>343</v>
      </c>
      <c r="H9" s="153"/>
      <c r="I9" s="59"/>
      <c r="J9" s="10"/>
      <c r="K9" s="10"/>
      <c r="L9" s="719"/>
      <c r="M9" s="8"/>
    </row>
    <row r="10" spans="1:13" s="111" customFormat="1" ht="15" customHeight="1">
      <c r="B10" s="59"/>
      <c r="C10" s="12"/>
      <c r="D10" s="16"/>
      <c r="E10" s="16"/>
      <c r="F10" s="16"/>
      <c r="G10" s="16"/>
      <c r="H10" s="16"/>
      <c r="I10" s="16"/>
      <c r="J10" s="16"/>
      <c r="K10" s="16"/>
      <c r="L10" s="16"/>
      <c r="M10" s="156"/>
    </row>
    <row r="11" spans="1:13" s="106" customFormat="1" hidden="1" outlineLevel="1">
      <c r="B11" s="63" t="str">
        <f>IF($C$9="Annuals","FY",IF($C$9="Quarters","FQ",IF($C$9="Semi-Annuals","FS","")))</f>
        <v>FY</v>
      </c>
      <c r="C11" s="735" t="str">
        <f>"-4"&amp;$B$11</f>
        <v>-4FY</v>
      </c>
      <c r="D11" s="735"/>
      <c r="E11" s="735" t="str">
        <f>"-3"&amp;$B$11</f>
        <v>-3FY</v>
      </c>
      <c r="F11" s="735"/>
      <c r="G11" s="735" t="str">
        <f>"-2"&amp;$B$11</f>
        <v>-2FY</v>
      </c>
      <c r="H11" s="735"/>
      <c r="I11" s="735" t="str">
        <f>"-1"&amp;$B$11</f>
        <v>-1FY</v>
      </c>
      <c r="J11" s="735"/>
      <c r="K11" s="735" t="str">
        <f>"-0"&amp;$B$11</f>
        <v>-0FY</v>
      </c>
      <c r="L11" s="735"/>
    </row>
    <row r="12" spans="1:13" ht="15" customHeight="1" collapsed="1">
      <c r="B12" s="717" t="s">
        <v>283</v>
      </c>
      <c r="C12" s="729" t="str">
        <f>IF($B$11="FY","FY "&amp;LEFT(_xll.BDP(Ticker,"FISCAL_YEAR_PERIOD","EQY_FUND_RELATIVE_PERIOD",C$11),4),IF($B$11="FS","FS"&amp;RIGHT(_xll.BDP(Ticker,"FISCAL_YEAR_PERIOD","EQY_FUND_RELATIVE_PERIOD",C$11),1)&amp;" "&amp;LEFT(_xll.BDP(Ticker,"FISCAL_YEAR_PERIOD","EQY_FUND_RELATIVE_PERIOD",C$11),4),IF($B$11="FQ","FQ"&amp;RIGHT(_xll.BDP(Ticker,"FISCAL_YEAR_PERIOD","EQY_FUND_RELATIVE_PERIOD",C$11),1)&amp;" "&amp;LEFT(_xll.BDP(Ticker,"FISCAL_YEAR_PERIOD","EQY_FUND_RELATIVE_PERIOD",C$11),4))))</f>
        <v>FY 2014</v>
      </c>
      <c r="D12" s="729"/>
      <c r="E12" s="729"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2015</v>
      </c>
      <c r="F12" s="729"/>
      <c r="G12" s="729"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2016</v>
      </c>
      <c r="H12" s="729"/>
      <c r="I12" s="729"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2017</v>
      </c>
      <c r="J12" s="729"/>
      <c r="K12" s="729"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2018</v>
      </c>
      <c r="L12" s="732"/>
    </row>
    <row r="13" spans="1:13" ht="15" customHeight="1">
      <c r="B13" s="736"/>
      <c r="C13" s="733" t="str">
        <f>IF(LEFT(_xll.BDP(Ticker,"LATEST_PERIOD_END_DT_FULL_RECORD","EQY_FUND_RELATIVE_PERIOD",C$11,"EQY_CONSOLIDATED",$G$9),1)="#","--",_xll.BDP(Ticker,"LATEST_PERIOD_END_DT_FULL_RECORD","EQY_FUND_RELATIVE_PERIOD",C$11,"EQY_CONSOLIDATED",$G$9))</f>
        <v>12/31/2014</v>
      </c>
      <c r="D13" s="733"/>
      <c r="E13" s="733" t="str">
        <f>IF(LEFT(_xll.BDP(Ticker,"LATEST_PERIOD_END_DT_FULL_RECORD","EQY_FUND_RELATIVE_PERIOD",E$11,"EQY_CONSOLIDATED",$G$9),1)="#","--",_xll.BDP(Ticker,"LATEST_PERIOD_END_DT_FULL_RECORD","EQY_FUND_RELATIVE_PERIOD",E$11,"EQY_CONSOLIDATED",$G$9))</f>
        <v>12/31/2015</v>
      </c>
      <c r="F13" s="733"/>
      <c r="G13" s="733" t="str">
        <f>IF(LEFT(_xll.BDP(Ticker,"LATEST_PERIOD_END_DT_FULL_RECORD","EQY_FUND_RELATIVE_PERIOD",G$11,"EQY_CONSOLIDATED",$G$9),1)="#","--",_xll.BDP(Ticker,"LATEST_PERIOD_END_DT_FULL_RECORD","EQY_FUND_RELATIVE_PERIOD",G$11,"EQY_CONSOLIDATED",$G$9))</f>
        <v>12/31/2016</v>
      </c>
      <c r="H13" s="733"/>
      <c r="I13" s="733" t="str">
        <f>IF(LEFT(_xll.BDP(Ticker,"LATEST_PERIOD_END_DT_FULL_RECORD","EQY_FUND_RELATIVE_PERIOD",I$11,"EQY_CONSOLIDATED",$G$9),1)="#","--",_xll.BDP(Ticker,"LATEST_PERIOD_END_DT_FULL_RECORD","EQY_FUND_RELATIVE_PERIOD",I$11,"EQY_CONSOLIDATED",$G$9))</f>
        <v>12/31/2017</v>
      </c>
      <c r="J13" s="733"/>
      <c r="K13" s="733" t="str">
        <f>IF(LEFT(_xll.BDP(Ticker,"LATEST_PERIOD_END_DT_FULL_RECORD","EQY_FUND_RELATIVE_PERIOD",K$11,"EQY_CONSOLIDATED",$G$9),1)="#","--",_xll.BDP(Ticker,"LATEST_PERIOD_END_DT_FULL_RECORD","EQY_FUND_RELATIVE_PERIOD",K$11,"EQY_CONSOLIDATED",$G$9))</f>
        <v>12/31/2018</v>
      </c>
      <c r="L13" s="734"/>
    </row>
    <row r="14" spans="1:13" ht="15" customHeight="1">
      <c r="A14" s="112"/>
      <c r="B14" s="157" t="s">
        <v>284</v>
      </c>
      <c r="C14" s="158"/>
      <c r="D14" s="158"/>
      <c r="E14" s="158"/>
      <c r="F14" s="158"/>
      <c r="G14" s="158"/>
      <c r="H14" s="158"/>
      <c r="I14" s="158"/>
      <c r="J14" s="158"/>
      <c r="K14" s="158"/>
      <c r="L14" s="158"/>
      <c r="M14" s="112"/>
    </row>
    <row r="15" spans="1:13" ht="15" customHeight="1">
      <c r="A15" s="112"/>
      <c r="B15" s="159" t="s">
        <v>285</v>
      </c>
      <c r="C15" s="727">
        <f>_xll.BDH(Ticker,"WACC_COST_EQUITY",C$11,C$11,"Per",$B$11)</f>
        <v>9.6919000000000004</v>
      </c>
      <c r="D15" s="727"/>
      <c r="E15" s="727">
        <f>_xll.BDH(Ticker,"WACC_COST_EQUITY",E$11,E$11,"Per",$B$11)</f>
        <v>8.5848999999999993</v>
      </c>
      <c r="F15" s="727"/>
      <c r="G15" s="727">
        <f>_xll.BDH(Ticker,"WACC_COST_EQUITY",G$11,G$11,"Per",$B$11)</f>
        <v>7.4222000000000001</v>
      </c>
      <c r="H15" s="727"/>
      <c r="I15" s="727">
        <f>_xll.BDH(Ticker,"WACC_COST_EQUITY",I$11,I$11,"Per",$B$11)</f>
        <v>7.2317</v>
      </c>
      <c r="J15" s="727"/>
      <c r="K15" s="727">
        <f>_xll.BDH(Ticker,"WACC_COST_EQUITY",K$11,K$11,"Per",$B$11)</f>
        <v>11.1381</v>
      </c>
      <c r="L15" s="727"/>
      <c r="M15" s="112"/>
    </row>
    <row r="16" spans="1:13" ht="15" customHeight="1">
      <c r="A16" s="112"/>
      <c r="B16" s="159" t="s">
        <v>286</v>
      </c>
      <c r="C16" s="728">
        <f>IF(ISERROR(D29*100),"--",D29*100)</f>
        <v>89.974700818122955</v>
      </c>
      <c r="D16" s="728"/>
      <c r="E16" s="728">
        <f>IF(ISERROR(F29*100),"--",F29*100)</f>
        <v>89.659797509971654</v>
      </c>
      <c r="F16" s="728"/>
      <c r="G16" s="728">
        <f>IF(ISERROR(H29*100),"--",H29*100)</f>
        <v>86.663516113632085</v>
      </c>
      <c r="H16" s="728"/>
      <c r="I16" s="728">
        <f>IF(ISERROR(J29*100),"--",J29*100)</f>
        <v>88.928674761975458</v>
      </c>
      <c r="J16" s="728"/>
      <c r="K16" s="728">
        <f>IF(ISERROR(L29*100),"--",L29*100)</f>
        <v>85.559695106516656</v>
      </c>
      <c r="L16" s="728"/>
      <c r="M16" s="112"/>
    </row>
    <row r="17" spans="1:13" ht="15" customHeight="1">
      <c r="A17" s="112"/>
      <c r="B17" s="160" t="s">
        <v>287</v>
      </c>
      <c r="C17" s="161"/>
      <c r="D17" s="161"/>
      <c r="E17" s="161"/>
      <c r="F17" s="161"/>
      <c r="G17" s="161"/>
      <c r="H17" s="161"/>
      <c r="I17" s="161"/>
      <c r="J17" s="161"/>
      <c r="K17" s="161"/>
      <c r="L17" s="161"/>
      <c r="M17" s="112"/>
    </row>
    <row r="18" spans="1:13" ht="15" customHeight="1">
      <c r="A18" s="112"/>
      <c r="B18" s="159" t="s">
        <v>288</v>
      </c>
      <c r="C18" s="727">
        <f>_xll.BDH(Ticker,"WACC_COST_DEBT",C$11,C$11,"Per",$B$11)</f>
        <v>1.0419</v>
      </c>
      <c r="D18" s="727"/>
      <c r="E18" s="727">
        <f>_xll.BDH(Ticker,"WACC_COST_DEBT",E$11,E$11,"Per",$B$11)</f>
        <v>2.0893999999999999</v>
      </c>
      <c r="F18" s="727"/>
      <c r="G18" s="727">
        <f>_xll.BDH(Ticker,"WACC_COST_DEBT",G$11,G$11,"Per",$B$11)</f>
        <v>2.6488</v>
      </c>
      <c r="H18" s="727"/>
      <c r="I18" s="727">
        <f>_xll.BDH(Ticker,"WACC_COST_DEBT",I$11,I$11,"Per",$B$11)</f>
        <v>1.5</v>
      </c>
      <c r="J18" s="727"/>
      <c r="K18" s="727">
        <f>_xll.BDH(Ticker,"WACC_COST_DEBT",K$11,K$11,"Per",$B$11)</f>
        <v>3.4159999999999999</v>
      </c>
      <c r="L18" s="727"/>
      <c r="M18" s="112"/>
    </row>
    <row r="19" spans="1:13" ht="15" customHeight="1">
      <c r="A19" s="112"/>
      <c r="B19" s="162" t="s">
        <v>289</v>
      </c>
      <c r="C19" s="731">
        <f>IF(ISERROR((D30+D31)*100),"--",(D30+D31)*100)</f>
        <v>10.025299181877045</v>
      </c>
      <c r="D19" s="731"/>
      <c r="E19" s="731">
        <f>IF(ISERROR((F30+F31)*100),"--",(F30+F31)*100)</f>
        <v>10.340202490028352</v>
      </c>
      <c r="F19" s="731"/>
      <c r="G19" s="731">
        <f>IF(ISERROR((H30+H31)*100),"--",(H30+H31)*100)</f>
        <v>13.336483886367912</v>
      </c>
      <c r="H19" s="731"/>
      <c r="I19" s="731">
        <f>IF(ISERROR((J30+J31)*100),"--",(J30+J31)*100)</f>
        <v>11.071325238024542</v>
      </c>
      <c r="J19" s="731"/>
      <c r="K19" s="731">
        <f>IF(ISERROR((L30+L31)*100),"--",(L30+L31)*100)</f>
        <v>14.440304893483363</v>
      </c>
      <c r="L19" s="731"/>
      <c r="M19" s="112"/>
    </row>
    <row r="20" spans="1:13" ht="15" customHeight="1">
      <c r="A20" s="112"/>
      <c r="B20" s="163" t="s">
        <v>290</v>
      </c>
      <c r="C20" s="164"/>
      <c r="D20" s="164"/>
      <c r="E20" s="164"/>
      <c r="F20" s="164"/>
      <c r="G20" s="164"/>
      <c r="H20" s="164"/>
      <c r="I20" s="164"/>
      <c r="J20" s="164"/>
      <c r="K20" s="164"/>
      <c r="L20" s="164"/>
      <c r="M20" s="112"/>
    </row>
    <row r="21" spans="1:13" ht="15" customHeight="1">
      <c r="A21" s="112"/>
      <c r="B21" s="162" t="s">
        <v>291</v>
      </c>
      <c r="C21" s="727">
        <f>_xll.BDH(Ticker,"WACC_COST_PFD",C$11,C$11,"Per",$B$11)</f>
        <v>0</v>
      </c>
      <c r="D21" s="727"/>
      <c r="E21" s="727">
        <f>_xll.BDH(Ticker,"WACC_COST_PFD",E$11,E$11,"Per",$B$11)</f>
        <v>0</v>
      </c>
      <c r="F21" s="727"/>
      <c r="G21" s="727">
        <f>_xll.BDH(Ticker,"WACC_COST_PFD",G$11,G$11,"Per",$B$11)</f>
        <v>0</v>
      </c>
      <c r="H21" s="727"/>
      <c r="I21" s="727">
        <f>_xll.BDH(Ticker,"WACC_COST_PFD",I$11,I$11,"Per",$B$11)</f>
        <v>0</v>
      </c>
      <c r="J21" s="727"/>
      <c r="K21" s="727">
        <f>_xll.BDH(Ticker,"WACC_COST_PFD",K$11,K$11,"Per",$B$11)</f>
        <v>0</v>
      </c>
      <c r="L21" s="727"/>
      <c r="M21" s="112"/>
    </row>
    <row r="22" spans="1:13" ht="15" customHeight="1">
      <c r="A22" s="112"/>
      <c r="B22" s="162" t="s">
        <v>292</v>
      </c>
      <c r="C22" s="731">
        <f>IF(ISERROR(D32*100),"--",D32*100)</f>
        <v>0</v>
      </c>
      <c r="D22" s="731"/>
      <c r="E22" s="731">
        <f>IF(ISERROR(F32*100),"--",F32*100)</f>
        <v>0</v>
      </c>
      <c r="F22" s="731"/>
      <c r="G22" s="731">
        <f>IF(ISERROR(H32*100),"--",H32*100)</f>
        <v>0</v>
      </c>
      <c r="H22" s="731"/>
      <c r="I22" s="731">
        <f>IF(ISERROR(J32*100),"--",J32*100)</f>
        <v>0</v>
      </c>
      <c r="J22" s="731"/>
      <c r="K22" s="731">
        <f>IF(ISERROR(L32*100),"--",L32*100)</f>
        <v>0</v>
      </c>
      <c r="L22" s="731"/>
      <c r="M22" s="112"/>
    </row>
    <row r="23" spans="1:13" ht="15" customHeight="1">
      <c r="A23" s="112"/>
      <c r="B23" s="162"/>
      <c r="C23" s="164"/>
      <c r="D23" s="164"/>
      <c r="E23" s="164"/>
      <c r="F23" s="164"/>
      <c r="G23" s="164"/>
      <c r="H23" s="164"/>
      <c r="I23" s="164"/>
      <c r="J23" s="164"/>
      <c r="K23" s="164"/>
      <c r="L23" s="164"/>
      <c r="M23" s="112"/>
    </row>
    <row r="24" spans="1:13" ht="15" customHeight="1">
      <c r="A24" s="112"/>
      <c r="B24" s="157" t="s">
        <v>298</v>
      </c>
      <c r="C24" s="730">
        <f>IF(ISERROR(((C15*C16)+(C18*C19)+(C21*C22))/100),"--",((C15*C16)+(C18*C19)+(C21*C22))/100)</f>
        <v>8.8247116207676353</v>
      </c>
      <c r="D24" s="730"/>
      <c r="E24" s="730">
        <f>IF(ISERROR(((E15*E16)+(E18*E19)+(E21*E22))/100),"--",((E15*E16)+(E18*E19)+(E21*E22))/100)</f>
        <v>7.9132521472602084</v>
      </c>
      <c r="F24" s="730"/>
      <c r="G24" s="730">
        <f>IF(ISERROR(((G15*G16)+(G18*G19)+(G21*G22))/100),"--",((G15*G16)+(G18*G19)+(G21*G22))/100)</f>
        <v>6.7855962781681152</v>
      </c>
      <c r="H24" s="730"/>
      <c r="I24" s="730">
        <f>IF(ISERROR(((I15*I16)+(I18*I19)+(I21*I22))/100),"--",((I15*I16)+(I18*I19)+(I21*I22))/100)</f>
        <v>6.5971248513321488</v>
      </c>
      <c r="J24" s="730"/>
      <c r="K24" s="730">
        <f>IF(ISERROR(((K15*K16)+(K18*K19)+(K21*K22))/100),"--",((K15*K16)+(K18*K19)+(K21*K22))/100)</f>
        <v>10.023005215820323</v>
      </c>
      <c r="L24" s="730"/>
      <c r="M24" s="112"/>
    </row>
    <row r="25" spans="1:13" ht="15" customHeight="1">
      <c r="A25" s="112"/>
      <c r="B25" s="121"/>
      <c r="C25" s="165"/>
      <c r="D25" s="165"/>
      <c r="E25" s="165"/>
      <c r="F25" s="165"/>
      <c r="G25" s="165"/>
      <c r="H25" s="165"/>
      <c r="I25" s="165"/>
      <c r="J25" s="165"/>
      <c r="K25" s="165"/>
      <c r="L25" s="165"/>
      <c r="M25" s="112"/>
    </row>
    <row r="26" spans="1:13" ht="15" customHeight="1">
      <c r="A26" s="112"/>
      <c r="B26" s="717" t="s">
        <v>293</v>
      </c>
      <c r="C26" s="729" t="str">
        <f>IF($B$11="FY","FY "&amp;LEFT(_xll.BDP(Ticker,"FISCAL_YEAR_PERIOD","EQY_FUND_RELATIVE_PERIOD",C$11),4),IF($B$11="FS","FS"&amp;RIGHT(_xll.BDP(Ticker,"FISCAL_YEAR_PERIOD","EQY_FUND_RELATIVE_PERIOD",C$11),1)&amp;" "&amp;LEFT(_xll.BDP(Ticker,"FISCAL_YEAR_PERIOD","EQY_FUND_RELATIVE_PERIOD",C$11),4),IF($B$11="FQ","FQ"&amp;RIGHT(_xll.BDP(Ticker,"FISCAL_YEAR_PERIOD","EQY_FUND_RELATIVE_PERIOD",C$11),1)&amp;" "&amp;LEFT(_xll.BDP(Ticker,"FISCAL_YEAR_PERIOD","EQY_FUND_RELATIVE_PERIOD",C$11),4))))</f>
        <v>FY 2014</v>
      </c>
      <c r="D26" s="729"/>
      <c r="E26" s="729"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2015</v>
      </c>
      <c r="F26" s="729"/>
      <c r="G26" s="729"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2016</v>
      </c>
      <c r="H26" s="729"/>
      <c r="I26" s="729"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2017</v>
      </c>
      <c r="J26" s="729"/>
      <c r="K26" s="729"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2018</v>
      </c>
      <c r="L26" s="732"/>
      <c r="M26" s="112"/>
    </row>
    <row r="27" spans="1:13" ht="15" customHeight="1">
      <c r="A27" s="112"/>
      <c r="B27" s="737"/>
      <c r="C27" s="725" t="str">
        <f>IF(LEFT(_xll.BDP(Ticker,"LATEST_PERIOD_END_DT_FULL_RECORD","EQY_FUND_RELATIVE_PERIOD",C$11,"EQY_CONSOLIDATED",$G$9),1)="#","--",_xll.BDP(Ticker,"LATEST_PERIOD_END_DT_FULL_RECORD","EQY_FUND_RELATIVE_PERIOD",C$11,"EQY_CONSOLIDATED",$G$9))</f>
        <v>12/31/2014</v>
      </c>
      <c r="D27" s="725"/>
      <c r="E27" s="725" t="str">
        <f>IF(LEFT(_xll.BDP(Ticker,"LATEST_PERIOD_END_DT_FULL_RECORD","EQY_FUND_RELATIVE_PERIOD",E$11,"EQY_CONSOLIDATED",$G$9),1)="#","--",_xll.BDP(Ticker,"LATEST_PERIOD_END_DT_FULL_RECORD","EQY_FUND_RELATIVE_PERIOD",E$11,"EQY_CONSOLIDATED",$G$9))</f>
        <v>12/31/2015</v>
      </c>
      <c r="F27" s="725"/>
      <c r="G27" s="725" t="str">
        <f>IF(LEFT(_xll.BDP(Ticker,"LATEST_PERIOD_END_DT_FULL_RECORD","EQY_FUND_RELATIVE_PERIOD",G$11,"EQY_CONSOLIDATED",$G$9),1)="#","--",_xll.BDP(Ticker,"LATEST_PERIOD_END_DT_FULL_RECORD","EQY_FUND_RELATIVE_PERIOD",G$11,"EQY_CONSOLIDATED",$G$9))</f>
        <v>12/31/2016</v>
      </c>
      <c r="H27" s="725"/>
      <c r="I27" s="725" t="str">
        <f>IF(LEFT(_xll.BDP(Ticker,"LATEST_PERIOD_END_DT_FULL_RECORD","EQY_FUND_RELATIVE_PERIOD",I$11,"EQY_CONSOLIDATED",$G$9),1)="#","--",_xll.BDP(Ticker,"LATEST_PERIOD_END_DT_FULL_RECORD","EQY_FUND_RELATIVE_PERIOD",I$11,"EQY_CONSOLIDATED",$G$9))</f>
        <v>12/31/2017</v>
      </c>
      <c r="J27" s="725"/>
      <c r="K27" s="725" t="str">
        <f>IF(LEFT(_xll.BDP(Ticker,"LATEST_PERIOD_END_DT_FULL_RECORD","EQY_FUND_RELATIVE_PERIOD",K$11,"EQY_CONSOLIDATED",$G$9),1)="#","--",_xll.BDP(Ticker,"LATEST_PERIOD_END_DT_FULL_RECORD","EQY_FUND_RELATIVE_PERIOD",K$11,"EQY_CONSOLIDATED",$G$9))</f>
        <v>12/31/2018</v>
      </c>
      <c r="L27" s="726"/>
      <c r="M27" s="112"/>
    </row>
    <row r="28" spans="1:13" ht="15" customHeight="1">
      <c r="A28" s="112"/>
      <c r="B28" s="736"/>
      <c r="C28" s="191" t="s">
        <v>227</v>
      </c>
      <c r="D28" s="191" t="s">
        <v>228</v>
      </c>
      <c r="E28" s="191" t="s">
        <v>227</v>
      </c>
      <c r="F28" s="191" t="s">
        <v>228</v>
      </c>
      <c r="G28" s="191" t="s">
        <v>227</v>
      </c>
      <c r="H28" s="191" t="s">
        <v>228</v>
      </c>
      <c r="I28" s="191" t="s">
        <v>227</v>
      </c>
      <c r="J28" s="191" t="s">
        <v>228</v>
      </c>
      <c r="K28" s="191" t="s">
        <v>227</v>
      </c>
      <c r="L28" s="192" t="s">
        <v>228</v>
      </c>
      <c r="M28" s="112"/>
    </row>
    <row r="29" spans="1:13" ht="15" customHeight="1">
      <c r="A29" s="112"/>
      <c r="B29" s="166" t="s">
        <v>294</v>
      </c>
      <c r="C29" s="193">
        <f>_xll.BDP(Ticker,"HISTORICAL_MARKET_CAP","EQY_FUND_RELATIVE_PERIOD",C$11,"EQY_FUND_CRNCY",$K$7,"EQY_CONSOLIDATED",$G$9,"ACCOUNTING_STANDARD_OVERRIDE",$G$7,"Fill=--")</f>
        <v>35656.74</v>
      </c>
      <c r="D29" s="167">
        <f>IF(ISERROR(C29/C$33),"--",C29/C$33)</f>
        <v>0.89974700818122955</v>
      </c>
      <c r="E29" s="194">
        <f>_xll.BDP(Ticker,"HISTORICAL_MARKET_CAP","EQY_FUND_RELATIVE_PERIOD",E$11,"EQY_FUND_CRNCY",$K$7,"EQY_CONSOLIDATED",$G$9,"ACCOUNTING_STANDARD_OVERRIDE",$G$7,"Fill=--")</f>
        <v>34666.620000000003</v>
      </c>
      <c r="F29" s="167">
        <f>IF(ISERROR(E29/E$33),"--",E29/E$33)</f>
        <v>0.8965979750997165</v>
      </c>
      <c r="G29" s="194">
        <f>_xll.BDP(Ticker,"HISTORICAL_MARKET_CAP","EQY_FUND_RELATIVE_PERIOD",G$11,"EQY_FUND_CRNCY",$K$7,"EQY_CONSOLIDATED",$G$9,"ACCOUNTING_STANDARD_OVERRIDE",$G$7,"Fill=--")</f>
        <v>44928.75</v>
      </c>
      <c r="H29" s="167">
        <f>IF(ISERROR(G29/G$33),"--",G29/G$33)</f>
        <v>0.86663516113632089</v>
      </c>
      <c r="I29" s="194">
        <f>_xll.BDP(Ticker,"HISTORICAL_MARKET_CAP","EQY_FUND_RELATIVE_PERIOD",I$11,"EQY_FUND_CRNCY",$K$7,"EQY_CONSOLIDATED",$G$9,"ACCOUNTING_STANDARD_OVERRIDE",$G$7,"Fill=--")</f>
        <v>58009.5765704</v>
      </c>
      <c r="J29" s="167">
        <f>IF(ISERROR(I29/I$33),"--",I29/I$33)</f>
        <v>0.88928674761975457</v>
      </c>
      <c r="K29" s="194">
        <f>_xll.BDP(Ticker,"HISTORICAL_MARKET_CAP","EQY_FUND_RELATIVE_PERIOD",K$11,"EQY_FUND_CRNCY",$K$7,"EQY_CONSOLIDATED",$G$9,"ACCOUNTING_STANDARD_OVERRIDE",$G$7,"Fill=--")</f>
        <v>58415.181692999999</v>
      </c>
      <c r="L29" s="167">
        <f>IF(ISERROR(K29/K$33),"--",K29/K$33)</f>
        <v>0.85559695106516653</v>
      </c>
      <c r="M29" s="112"/>
    </row>
    <row r="30" spans="1:13" ht="15" customHeight="1">
      <c r="A30" s="112"/>
      <c r="B30" s="166" t="s">
        <v>295</v>
      </c>
      <c r="C30" s="193">
        <f>_xll.BDP(Ticker,"BS_ST_BORROW","EQY_FUND_RELATIVE_PERIOD",C$11,"EQY_FUND_CRNCY",$K$7,"EQY_CONSOLIDATED",$G$9,"ACCOUNTING_STANDARD_OVERRIDE",$G$7,"Fill=--")</f>
        <v>727</v>
      </c>
      <c r="D30" s="167">
        <f>IF(ISERROR(C30/C$33),"--",C30/C$33)</f>
        <v>1.8344808721934589E-2</v>
      </c>
      <c r="E30" s="194">
        <f>_xll.BDP(Ticker,"BS_ST_BORROW","EQY_FUND_RELATIVE_PERIOD",E$11,"EQY_FUND_CRNCY",$K$7,"EQY_CONSOLIDATED",$G$9,"ACCOUNTING_STANDARD_OVERRIDE",$G$7,"Fill=--")</f>
        <v>768</v>
      </c>
      <c r="F30" s="167">
        <f>IF(ISERROR(E30/E$33),"--",E30/E$33)</f>
        <v>1.9863120341024946E-2</v>
      </c>
      <c r="G30" s="194">
        <f>_xll.BDP(Ticker,"BS_ST_BORROW","EQY_FUND_RELATIVE_PERIOD",G$11,"EQY_FUND_CRNCY",$K$7,"EQY_CONSOLIDATED",$G$9,"ACCOUNTING_STANDARD_OVERRIDE",$G$7,"Fill=--")</f>
        <v>228</v>
      </c>
      <c r="H30" s="167">
        <f>IF(ISERROR(G30/G$33),"--",G30/G$33)</f>
        <v>4.3979148482671156E-3</v>
      </c>
      <c r="I30" s="194">
        <f>_xll.BDP(Ticker,"BS_ST_BORROW","EQY_FUND_RELATIVE_PERIOD",I$11,"EQY_FUND_CRNCY",$K$7,"EQY_CONSOLIDATED",$G$9,"ACCOUNTING_STANDARD_OVERRIDE",$G$7,"Fill=--")</f>
        <v>632</v>
      </c>
      <c r="J30" s="167">
        <f>IF(ISERROR(I30/I$33),"--",I30/I$33)</f>
        <v>9.6885593331923446E-3</v>
      </c>
      <c r="K30" s="194">
        <f>_xll.BDP(Ticker,"BS_ST_BORROW","EQY_FUND_RELATIVE_PERIOD",K$11,"EQY_FUND_CRNCY",$K$7,"EQY_CONSOLIDATED",$G$9,"ACCOUNTING_STANDARD_OVERRIDE",$G$7,"Fill=--")</f>
        <v>1373</v>
      </c>
      <c r="L30" s="167">
        <f>IF(ISERROR(K30/K$33),"--",K30/K$33)</f>
        <v>2.0110090900448987E-2</v>
      </c>
      <c r="M30" s="112"/>
    </row>
    <row r="31" spans="1:13" ht="15" customHeight="1">
      <c r="A31" s="112"/>
      <c r="B31" s="166" t="s">
        <v>296</v>
      </c>
      <c r="C31" s="193">
        <f>_xll.BDP(Ticker,"BS_LT_BORROW","EQY_FUND_RELATIVE_PERIOD",C$11,"EQY_FUND_CRNCY",$K$7,"EQY_CONSOLIDATED",$G$9,"ACCOUNTING_STANDARD_OVERRIDE",$G$7,"Fill=--")</f>
        <v>3246</v>
      </c>
      <c r="D31" s="167">
        <f>IF(ISERROR(C31/C$33),"--",C31/C$33)</f>
        <v>8.1908183096835868E-2</v>
      </c>
      <c r="E31" s="194">
        <f>_xll.BDP(Ticker,"BS_LT_BORROW","EQY_FUND_RELATIVE_PERIOD",E$11,"EQY_FUND_CRNCY",$K$7,"EQY_CONSOLIDATED",$G$9,"ACCOUNTING_STANDARD_OVERRIDE",$G$7,"Fill=--")</f>
        <v>3230</v>
      </c>
      <c r="F31" s="167">
        <f>IF(ISERROR(E31/E$33),"--",E31/E$33)</f>
        <v>8.3538904559258567E-2</v>
      </c>
      <c r="G31" s="194">
        <f>_xll.BDP(Ticker,"BS_LT_BORROW","EQY_FUND_RELATIVE_PERIOD",G$11,"EQY_FUND_CRNCY",$K$7,"EQY_CONSOLIDATED",$G$9,"ACCOUNTING_STANDARD_OVERRIDE",$G$7,"Fill=--")</f>
        <v>6686</v>
      </c>
      <c r="H31" s="167">
        <f>IF(ISERROR(G31/G$33),"--",G31/G$33)</f>
        <v>0.12896692401541199</v>
      </c>
      <c r="I31" s="194">
        <f>_xll.BDP(Ticker,"BS_LT_BORROW","EQY_FUND_RELATIVE_PERIOD",I$11,"EQY_FUND_CRNCY",$K$7,"EQY_CONSOLIDATED",$G$9,"ACCOUNTING_STANDARD_OVERRIDE",$G$7,"Fill=--")</f>
        <v>6590</v>
      </c>
      <c r="J31" s="167">
        <f>IF(ISERROR(I31/I$33),"--",I31/I$33)</f>
        <v>0.10102469304705308</v>
      </c>
      <c r="K31" s="194">
        <f>_xll.BDP(Ticker,"BS_LT_BORROW","EQY_FUND_RELATIVE_PERIOD",K$11,"EQY_FUND_CRNCY",$K$7,"EQY_CONSOLIDATED",$G$9,"ACCOUNTING_STANDARD_OVERRIDE",$G$7,"Fill=--")</f>
        <v>8486</v>
      </c>
      <c r="L31" s="167">
        <f>IF(ISERROR(K31/K$33),"--",K31/K$33)</f>
        <v>0.12429295803438464</v>
      </c>
      <c r="M31" s="112"/>
    </row>
    <row r="32" spans="1:13" ht="15" customHeight="1">
      <c r="A32" s="112"/>
      <c r="B32" s="166" t="s">
        <v>297</v>
      </c>
      <c r="C32" s="193">
        <f>_xll.BDP(Ticker,"BS_PFD_EQY","EQY_FUND_RELATIVE_PERIOD",C$11,"EQY_FUND_CRNCY",$K$7,"EQY_CONSOLIDATED",$G$9,"ACCOUNTING_STANDARD_OVERRIDE",$G$7,"Fill=--")</f>
        <v>0</v>
      </c>
      <c r="D32" s="167">
        <f>IF(ISERROR(C32/C$33),"--",C32/C$33)</f>
        <v>0</v>
      </c>
      <c r="E32" s="194">
        <f>_xll.BDP(Ticker,"BS_PFD_EQY","EQY_FUND_RELATIVE_PERIOD",E$11,"EQY_FUND_CRNCY",$K$7,"EQY_CONSOLIDATED",$G$9,"ACCOUNTING_STANDARD_OVERRIDE",$G$7,"Fill=--")</f>
        <v>0</v>
      </c>
      <c r="F32" s="167">
        <f>IF(ISERROR(E32/E$33),"--",E32/E$33)</f>
        <v>0</v>
      </c>
      <c r="G32" s="194">
        <f>_xll.BDP(Ticker,"BS_PFD_EQY","EQY_FUND_RELATIVE_PERIOD",G$11,"EQY_FUND_CRNCY",$K$7,"EQY_CONSOLIDATED",$G$9,"ACCOUNTING_STANDARD_OVERRIDE",$G$7,"Fill=--")</f>
        <v>0</v>
      </c>
      <c r="H32" s="167">
        <f>IF(ISERROR(G32/G$33),"--",G32/G$33)</f>
        <v>0</v>
      </c>
      <c r="I32" s="194">
        <f>_xll.BDP(Ticker,"BS_PFD_EQY","EQY_FUND_RELATIVE_PERIOD",I$11,"EQY_FUND_CRNCY",$K$7,"EQY_CONSOLIDATED",$G$9,"ACCOUNTING_STANDARD_OVERRIDE",$G$7,"Fill=--")</f>
        <v>0</v>
      </c>
      <c r="J32" s="167">
        <f>IF(ISERROR(I32/I$33),"--",I32/I$33)</f>
        <v>0</v>
      </c>
      <c r="K32" s="194">
        <f>_xll.BDP(Ticker,"BS_PFD_EQY","EQY_FUND_RELATIVE_PERIOD",K$11,"EQY_FUND_CRNCY",$K$7,"EQY_CONSOLIDATED",$G$9,"ACCOUNTING_STANDARD_OVERRIDE",$G$7,"Fill=--")</f>
        <v>0</v>
      </c>
      <c r="L32" s="167">
        <f>IF(ISERROR(K32/K$33),"--",K32/K$33)</f>
        <v>0</v>
      </c>
      <c r="M32" s="112"/>
    </row>
    <row r="33" spans="1:36" ht="15" customHeight="1">
      <c r="A33" s="112"/>
      <c r="B33" s="169" t="s">
        <v>206</v>
      </c>
      <c r="C33" s="170">
        <f t="shared" ref="C33:L33" si="0">SUM(C29:C32)</f>
        <v>39629.74</v>
      </c>
      <c r="D33" s="171">
        <f t="shared" si="0"/>
        <v>1</v>
      </c>
      <c r="E33" s="172">
        <f t="shared" si="0"/>
        <v>38664.620000000003</v>
      </c>
      <c r="F33" s="171">
        <f t="shared" si="0"/>
        <v>1</v>
      </c>
      <c r="G33" s="172">
        <f t="shared" si="0"/>
        <v>51842.75</v>
      </c>
      <c r="H33" s="171">
        <f t="shared" si="0"/>
        <v>1</v>
      </c>
      <c r="I33" s="172">
        <f t="shared" si="0"/>
        <v>65231.5765704</v>
      </c>
      <c r="J33" s="171">
        <f t="shared" si="0"/>
        <v>1</v>
      </c>
      <c r="K33" s="172">
        <f t="shared" si="0"/>
        <v>68274.181692999991</v>
      </c>
      <c r="L33" s="171">
        <f t="shared" si="0"/>
        <v>1.0000000000000002</v>
      </c>
      <c r="M33" s="112"/>
    </row>
    <row r="34" spans="1:36" ht="15" customHeight="1">
      <c r="A34" s="112"/>
      <c r="B34" s="121"/>
      <c r="C34" s="165"/>
      <c r="D34" s="165"/>
      <c r="E34" s="165"/>
      <c r="F34" s="165"/>
      <c r="G34" s="165"/>
      <c r="H34" s="165"/>
      <c r="I34" s="165"/>
      <c r="J34" s="165"/>
      <c r="K34" s="165"/>
      <c r="L34" s="165"/>
      <c r="M34" s="112"/>
    </row>
    <row r="35" spans="1:36" ht="15" customHeight="1">
      <c r="B35" s="122"/>
      <c r="C35" s="165"/>
      <c r="D35" s="165"/>
      <c r="E35" s="165"/>
      <c r="F35" s="165"/>
      <c r="G35" s="165"/>
      <c r="H35" s="165"/>
      <c r="I35" s="165"/>
      <c r="J35" s="165"/>
      <c r="K35" s="165"/>
      <c r="L35" s="165"/>
      <c r="M35" s="112"/>
    </row>
    <row r="36" spans="1:36" ht="15" customHeight="1">
      <c r="B36" s="717" t="s">
        <v>354</v>
      </c>
      <c r="C36" s="729" t="str">
        <f>IF($B$11="FY","FY "&amp;LEFT(_xll.BDP(Ticker,"FISCAL_YEAR_PERIOD","EQY_FUND_RELATIVE_PERIOD",C$11),4),IF($B$11="FS","FS"&amp;RIGHT(_xll.BDP(Ticker,"FISCAL_YEAR_PERIOD","EQY_FUND_RELATIVE_PERIOD",C$11),1)&amp;" "&amp;LEFT(_xll.BDP(Ticker,"FISCAL_YEAR_PERIOD","EQY_FUND_RELATIVE_PERIOD",C$11),4),IF($B$11="FQ","FQ"&amp;RIGHT(_xll.BDP(Ticker,"FISCAL_YEAR_PERIOD","EQY_FUND_RELATIVE_PERIOD",C$11),1)&amp;" "&amp;LEFT(_xll.BDP(Ticker,"FISCAL_YEAR_PERIOD","EQY_FUND_RELATIVE_PERIOD",C$11),4))))</f>
        <v>FY 2014</v>
      </c>
      <c r="D36" s="729"/>
      <c r="E36" s="729"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2015</v>
      </c>
      <c r="F36" s="729"/>
      <c r="G36" s="729"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2016</v>
      </c>
      <c r="H36" s="729"/>
      <c r="I36" s="729"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2017</v>
      </c>
      <c r="J36" s="729"/>
      <c r="K36" s="729"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2018</v>
      </c>
      <c r="L36" s="732"/>
      <c r="M36" s="112"/>
    </row>
    <row r="37" spans="1:36" ht="15" customHeight="1">
      <c r="B37" s="737"/>
      <c r="C37" s="725" t="str">
        <f>IF(LEFT(_xll.BDP(Ticker,"LATEST_PERIOD_END_DT_FULL_RECORD","EQY_FUND_RELATIVE_PERIOD",C$11,"EQY_CONSOLIDATED",$G$9),1)="#","--",_xll.BDP(Ticker,"LATEST_PERIOD_END_DT_FULL_RECORD","EQY_FUND_RELATIVE_PERIOD",C$11,"EQY_CONSOLIDATED",$G$9))</f>
        <v>12/31/2014</v>
      </c>
      <c r="D37" s="725"/>
      <c r="E37" s="725" t="str">
        <f>IF(LEFT(_xll.BDP(Ticker,"LATEST_PERIOD_END_DT_FULL_RECORD","EQY_FUND_RELATIVE_PERIOD",E$11,"EQY_CONSOLIDATED",$G$9),1)="#","--",_xll.BDP(Ticker,"LATEST_PERIOD_END_DT_FULL_RECORD","EQY_FUND_RELATIVE_PERIOD",E$11,"EQY_CONSOLIDATED",$G$9))</f>
        <v>12/31/2015</v>
      </c>
      <c r="F37" s="725"/>
      <c r="G37" s="725" t="str">
        <f>IF(LEFT(_xll.BDP(Ticker,"LATEST_PERIOD_END_DT_FULL_RECORD","EQY_FUND_RELATIVE_PERIOD",G$11,"EQY_CONSOLIDATED",$G$9),1)="#","--",_xll.BDP(Ticker,"LATEST_PERIOD_END_DT_FULL_RECORD","EQY_FUND_RELATIVE_PERIOD",G$11,"EQY_CONSOLIDATED",$G$9))</f>
        <v>12/31/2016</v>
      </c>
      <c r="H37" s="725"/>
      <c r="I37" s="725" t="str">
        <f>IF(LEFT(_xll.BDP(Ticker,"LATEST_PERIOD_END_DT_FULL_RECORD","EQY_FUND_RELATIVE_PERIOD",I$11,"EQY_CONSOLIDATED",$G$9),1)="#","--",_xll.BDP(Ticker,"LATEST_PERIOD_END_DT_FULL_RECORD","EQY_FUND_RELATIVE_PERIOD",I$11,"EQY_CONSOLIDATED",$G$9))</f>
        <v>12/31/2017</v>
      </c>
      <c r="J37" s="725"/>
      <c r="K37" s="725" t="str">
        <f>IF(LEFT(_xll.BDP(Ticker,"LATEST_PERIOD_END_DT_FULL_RECORD","EQY_FUND_RELATIVE_PERIOD",K$11,"EQY_CONSOLIDATED",$G$9),1)="#","--",_xll.BDP(Ticker,"LATEST_PERIOD_END_DT_FULL_RECORD","EQY_FUND_RELATIVE_PERIOD",K$11,"EQY_CONSOLIDATED",$G$9))</f>
        <v>12/31/2018</v>
      </c>
      <c r="L37" s="726"/>
      <c r="M37" s="112"/>
    </row>
    <row r="38" spans="1:36" ht="15" customHeight="1">
      <c r="B38" s="736"/>
      <c r="C38" s="191" t="s">
        <v>227</v>
      </c>
      <c r="D38" s="191" t="s">
        <v>228</v>
      </c>
      <c r="E38" s="191" t="s">
        <v>227</v>
      </c>
      <c r="F38" s="191" t="s">
        <v>228</v>
      </c>
      <c r="G38" s="191" t="s">
        <v>227</v>
      </c>
      <c r="H38" s="191" t="s">
        <v>228</v>
      </c>
      <c r="I38" s="191" t="s">
        <v>227</v>
      </c>
      <c r="J38" s="191" t="s">
        <v>228</v>
      </c>
      <c r="K38" s="191" t="s">
        <v>227</v>
      </c>
      <c r="L38" s="192" t="s">
        <v>228</v>
      </c>
      <c r="M38" s="112"/>
    </row>
    <row r="39" spans="1:36" ht="15" customHeight="1">
      <c r="A39" s="112"/>
      <c r="B39" s="166" t="s">
        <v>207</v>
      </c>
      <c r="C39" s="194">
        <f>_xll.BDP(Ticker,"BS_TOT_COM_PAPER_ISSUED","EQY_FUND_RELATIVE_PERIOD",C$11,"EQY_FUND_CRNCY",$K$7,"EQY_CONSOLIDATED",$G$9,"ACCOUNTING_STANDARD_OVERRIDE",$G$7,"Fill=--")</f>
        <v>200</v>
      </c>
      <c r="D39" s="167">
        <f>IF(ISERROR(C39/C$43),"--",C39/C$43)</f>
        <v>5.0339793606846213E-2</v>
      </c>
      <c r="E39" s="194">
        <f>_xll.BDP(Ticker,"BS_TOT_COM_PAPER_ISSUED","EQY_FUND_RELATIVE_PERIOD",E$11,"EQY_FUND_CRNCY",$K$7,"EQY_CONSOLIDATED",$G$9,"ACCOUNTING_STANDARD_OVERRIDE",$G$7,"Fill=--")</f>
        <v>0</v>
      </c>
      <c r="F39" s="167">
        <f>IF(ISERROR(E39/E$43),"--",E39/E$43)</f>
        <v>0</v>
      </c>
      <c r="G39" s="194">
        <f>_xll.BDP(Ticker,"BS_TOT_COM_PAPER_ISSUED","EQY_FUND_RELATIVE_PERIOD",G$11,"EQY_FUND_CRNCY",$K$7,"EQY_CONSOLIDATED",$G$9,"ACCOUNTING_STANDARD_OVERRIDE",$G$7,"Fill=--")</f>
        <v>200</v>
      </c>
      <c r="H39" s="167">
        <f>IF(ISERROR(G39/G$43),"--",G39/G$43)</f>
        <v>2.8926815157651144E-2</v>
      </c>
      <c r="I39" s="194">
        <f>_xll.BDP(Ticker,"BS_TOT_COM_PAPER_ISSUED","EQY_FUND_RELATIVE_PERIOD",I$11,"EQY_FUND_CRNCY",$K$7,"EQY_CONSOLIDATED",$G$9,"ACCOUNTING_STANDARD_OVERRIDE",$G$7,"Fill=--")</f>
        <v>0</v>
      </c>
      <c r="J39" s="167">
        <f>IF(ISERROR(I39/I$43),"--",I39/I$43)</f>
        <v>0</v>
      </c>
      <c r="K39" s="194">
        <f>_xll.BDP(Ticker,"BS_TOT_COM_PAPER_ISSUED","EQY_FUND_RELATIVE_PERIOD",K$11,"EQY_FUND_CRNCY",$K$7,"EQY_CONSOLIDATED",$G$9,"ACCOUNTING_STANDARD_OVERRIDE",$G$7,"Fill=--")</f>
        <v>0</v>
      </c>
      <c r="L39" s="167">
        <f>IF(ISERROR(K39/K$43),"--",K39/K$43)</f>
        <v>0</v>
      </c>
      <c r="M39" s="112"/>
    </row>
    <row r="40" spans="1:36" ht="15" customHeight="1">
      <c r="A40" s="112"/>
      <c r="B40" s="166" t="s">
        <v>208</v>
      </c>
      <c r="C40" s="194">
        <f>_xll.BDP(Ticker,"BS_TOTAL_AVAIL_LINE_OF_CREDIT","EQY_FUND_RELATIVE_PERIOD",C$11,"EQY_FUND_CRNCY",$K$7,"EQY_CONSOLIDATED",$G$9,"ACCOUNTING_STANDARD_OVERRIDE",$G$7,"Fill=--")</f>
        <v>1289</v>
      </c>
      <c r="D40" s="167">
        <f>IF(ISERROR(C40/C$43),"--",C40/C$43)</f>
        <v>0.32443996979612383</v>
      </c>
      <c r="E40" s="194">
        <f>_xll.BDP(Ticker,"BS_TOTAL_AVAIL_LINE_OF_CREDIT","EQY_FUND_RELATIVE_PERIOD",E$11,"EQY_FUND_CRNCY",$K$7,"EQY_CONSOLIDATED",$G$9,"ACCOUNTING_STANDARD_OVERRIDE",$G$7,"Fill=--")</f>
        <v>1236</v>
      </c>
      <c r="F40" s="167">
        <f>IF(ISERROR(E40/E$43),"--",E40/E$43)</f>
        <v>0.30915457728864432</v>
      </c>
      <c r="G40" s="194">
        <f>_xll.BDP(Ticker,"BS_TOTAL_AVAIL_LINE_OF_CREDIT","EQY_FUND_RELATIVE_PERIOD",G$11,"EQY_FUND_CRNCY",$K$7,"EQY_CONSOLIDATED",$G$9,"ACCOUNTING_STANDARD_OVERRIDE",$G$7,"Fill=--")</f>
        <v>1551</v>
      </c>
      <c r="H40" s="167">
        <f>IF(ISERROR(G40/G$43),"--",G40/G$43)</f>
        <v>0.2243274515475846</v>
      </c>
      <c r="I40" s="194">
        <f>_xll.BDP(Ticker,"BS_TOTAL_AVAIL_LINE_OF_CREDIT","EQY_FUND_RELATIVE_PERIOD",I$11,"EQY_FUND_CRNCY",$K$7,"EQY_CONSOLIDATED",$G$9,"ACCOUNTING_STANDARD_OVERRIDE",$G$7,"Fill=--")</f>
        <v>1547</v>
      </c>
      <c r="J40" s="167">
        <f>IF(ISERROR(I40/I$43),"--",I40/I$43)</f>
        <v>0.2142065909720299</v>
      </c>
      <c r="K40" s="194">
        <f>_xll.BDP(Ticker,"BS_TOTAL_AVAIL_LINE_OF_CREDIT","EQY_FUND_RELATIVE_PERIOD",K$11,"EQY_FUND_CRNCY",$K$7,"EQY_CONSOLIDATED",$G$9,"ACCOUNTING_STANDARD_OVERRIDE",$G$7,"Fill=--")</f>
        <v>1548</v>
      </c>
      <c r="L40" s="167">
        <f>IF(ISERROR(K40/K$43),"--",K40/K$43)</f>
        <v>0.15701389593265036</v>
      </c>
      <c r="M40" s="112"/>
    </row>
    <row r="41" spans="1:36" ht="15" customHeight="1">
      <c r="A41" s="112"/>
      <c r="B41" s="166" t="s">
        <v>209</v>
      </c>
      <c r="C41" s="194">
        <f>_xll.BDP(Ticker,"BS_TOTAL_CAPITAL_LEASES","EQY_FUND_RELATIVE_PERIOD",C$11,"EQY_FUND_CRNCY",$K$7,"EQY_CONSOLIDATED",$G$9,"ACCOUNTING_STANDARD_OVERRIDE",$G$7,"Fill=--")</f>
        <v>0</v>
      </c>
      <c r="D41" s="167">
        <f>IF(ISERROR(C41/C$43),"--",C41/C$43)</f>
        <v>0</v>
      </c>
      <c r="E41" s="194">
        <f>_xll.BDP(Ticker,"BS_TOTAL_CAPITAL_LEASES","EQY_FUND_RELATIVE_PERIOD",E$11,"EQY_FUND_CRNCY",$K$7,"EQY_CONSOLIDATED",$G$9,"ACCOUNTING_STANDARD_OVERRIDE",$G$7,"Fill=--")</f>
        <v>0</v>
      </c>
      <c r="F41" s="167">
        <f>IF(ISERROR(E41/E$43),"--",E41/E$43)</f>
        <v>0</v>
      </c>
      <c r="G41" s="194">
        <f>_xll.BDP(Ticker,"BS_TOTAL_CAPITAL_LEASES","EQY_FUND_RELATIVE_PERIOD",G$11,"EQY_FUND_CRNCY",$K$7,"EQY_CONSOLIDATED",$G$9,"ACCOUNTING_STANDARD_OVERRIDE",$G$7,"Fill=--")</f>
        <v>0</v>
      </c>
      <c r="H41" s="167">
        <f>IF(ISERROR(G41/G$43),"--",G41/G$43)</f>
        <v>0</v>
      </c>
      <c r="I41" s="194">
        <f>_xll.BDP(Ticker,"BS_TOTAL_CAPITAL_LEASES","EQY_FUND_RELATIVE_PERIOD",I$11,"EQY_FUND_CRNCY",$K$7,"EQY_CONSOLIDATED",$G$9,"ACCOUNTING_STANDARD_OVERRIDE",$G$7,"Fill=--")</f>
        <v>0</v>
      </c>
      <c r="J41" s="167">
        <f>IF(ISERROR(I41/I$43),"--",I41/I$43)</f>
        <v>0</v>
      </c>
      <c r="K41" s="194">
        <f>_xll.BDP(Ticker,"BS_TOTAL_CAPITAL_LEASES","EQY_FUND_RELATIVE_PERIOD",K$11,"EQY_FUND_CRNCY",$K$7,"EQY_CONSOLIDATED",$G$9,"ACCOUNTING_STANDARD_OVERRIDE",$G$7,"Fill=--")</f>
        <v>0</v>
      </c>
      <c r="L41" s="167">
        <f>IF(ISERROR(K41/K$43),"--",K41/K$43)</f>
        <v>0</v>
      </c>
      <c r="M41" s="112"/>
    </row>
    <row r="42" spans="1:36" ht="15" customHeight="1">
      <c r="A42" s="112"/>
      <c r="B42" s="166" t="s">
        <v>210</v>
      </c>
      <c r="C42" s="194">
        <f>C43-SUM(C39:C41)</f>
        <v>2484</v>
      </c>
      <c r="D42" s="167">
        <f>IF(ISERROR(C42/C$43),"--",C42/C$43)</f>
        <v>0.62522023659702997</v>
      </c>
      <c r="E42" s="194">
        <f>E43-SUM(E39:E41)</f>
        <v>2762</v>
      </c>
      <c r="F42" s="167">
        <f>IF(ISERROR(E42/E$43),"--",E42/E$43)</f>
        <v>0.69084542271135563</v>
      </c>
      <c r="G42" s="194">
        <f>G43-SUM(G39:G41)</f>
        <v>5163</v>
      </c>
      <c r="H42" s="167">
        <f>IF(ISERROR(G42/G$43),"--",G42/G$43)</f>
        <v>0.74674573329476424</v>
      </c>
      <c r="I42" s="194">
        <f>I43-SUM(I39:I41)</f>
        <v>5675</v>
      </c>
      <c r="J42" s="167">
        <f>IF(ISERROR(I42/I$43),"--",I42/I$43)</f>
        <v>0.78579340902797012</v>
      </c>
      <c r="K42" s="194">
        <f>K43-SUM(K39:K41)</f>
        <v>8311</v>
      </c>
      <c r="L42" s="167">
        <f>IF(ISERROR(K42/K$43),"--",K42/K$43)</f>
        <v>0.84298610406734964</v>
      </c>
      <c r="M42" s="112"/>
    </row>
    <row r="43" spans="1:36" ht="15" customHeight="1">
      <c r="A43" s="112"/>
      <c r="B43" s="169" t="s">
        <v>211</v>
      </c>
      <c r="C43" s="195">
        <f>_xll.BDP(Ticker,"SHORT_AND_LONG_TERM_DEBT","EQY_FUND_RELATIVE_PERIOD",C$11,"EQY_FUND_CRNCY",$K$7,"EQY_CONSOLIDATED",$G$9,"ACCOUNTING_STANDARD_OVERRIDE",$G$7,"Fill=--")</f>
        <v>3973</v>
      </c>
      <c r="D43" s="171">
        <f>IF(ISERROR(C43/C$43),"--",C43/C$43)</f>
        <v>1</v>
      </c>
      <c r="E43" s="195">
        <f>_xll.BDP(Ticker,"SHORT_AND_LONG_TERM_DEBT","EQY_FUND_RELATIVE_PERIOD",E$11,"EQY_FUND_CRNCY",$K$7,"EQY_CONSOLIDATED",$G$9,"ACCOUNTING_STANDARD_OVERRIDE",$G$7,"Fill=--")</f>
        <v>3998</v>
      </c>
      <c r="F43" s="171">
        <f>IF(ISERROR(E43/E$43),"--",E43/E$43)</f>
        <v>1</v>
      </c>
      <c r="G43" s="195">
        <f>_xll.BDP(Ticker,"SHORT_AND_LONG_TERM_DEBT","EQY_FUND_RELATIVE_PERIOD",G$11,"EQY_FUND_CRNCY",$K$7,"EQY_CONSOLIDATED",$G$9,"ACCOUNTING_STANDARD_OVERRIDE",$G$7,"Fill=--")</f>
        <v>6914</v>
      </c>
      <c r="H43" s="171">
        <f>IF(ISERROR(G43/G$43),"--",G43/G$43)</f>
        <v>1</v>
      </c>
      <c r="I43" s="195">
        <f>_xll.BDP(Ticker,"SHORT_AND_LONG_TERM_DEBT","EQY_FUND_RELATIVE_PERIOD",I$11,"EQY_FUND_CRNCY",$K$7,"EQY_CONSOLIDATED",$G$9,"ACCOUNTING_STANDARD_OVERRIDE",$G$7,"Fill=--")</f>
        <v>7222</v>
      </c>
      <c r="J43" s="171">
        <f>IF(ISERROR(I43/I$43),"--",I43/I$43)</f>
        <v>1</v>
      </c>
      <c r="K43" s="195">
        <f>_xll.BDP(Ticker,"SHORT_AND_LONG_TERM_DEBT","EQY_FUND_RELATIVE_PERIOD",K$11,"EQY_FUND_CRNCY",$K$7,"EQY_CONSOLIDATED",$G$9,"ACCOUNTING_STANDARD_OVERRIDE",$G$7,"Fill=--")</f>
        <v>9859</v>
      </c>
      <c r="L43" s="171">
        <f>IF(ISERROR(K43/K$43),"--",K43/K$43)</f>
        <v>1</v>
      </c>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row>
    <row r="44" spans="1:36" ht="15" customHeight="1">
      <c r="A44" s="112"/>
      <c r="B44" s="166"/>
      <c r="C44" s="168"/>
      <c r="D44" s="165"/>
      <c r="E44" s="168"/>
      <c r="F44" s="165"/>
      <c r="G44" s="168"/>
      <c r="H44" s="165"/>
      <c r="I44" s="168"/>
      <c r="J44" s="165"/>
      <c r="K44" s="168"/>
      <c r="L44" s="165"/>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row>
    <row r="45" spans="1:36" ht="15" customHeight="1">
      <c r="A45" s="112"/>
      <c r="B45" s="169" t="s">
        <v>212</v>
      </c>
      <c r="C45" s="195">
        <f>_xll.BDP(Ticker,"SHORT_AND_LONG_TERM_DEBT","EQY_FUND_RELATIVE_PERIOD",C$11,"EQY_FUND_CRNCY",$K$7,"EQY_CONSOLIDATED",$G$9,"ACCOUNTING_STANDARD_OVERRIDE",$G$7,"Fill=--")</f>
        <v>3973</v>
      </c>
      <c r="D45" s="196"/>
      <c r="E45" s="195">
        <f>_xll.BDP(Ticker,"SHORT_AND_LONG_TERM_DEBT","EQY_FUND_RELATIVE_PERIOD",E$11,"EQY_FUND_CRNCY",$K$7,"EQY_CONSOLIDATED",$G$9,"ACCOUNTING_STANDARD_OVERRIDE",$G$7,"Fill=--")</f>
        <v>3998</v>
      </c>
      <c r="F45" s="196"/>
      <c r="G45" s="195">
        <f>_xll.BDP(Ticker,"SHORT_AND_LONG_TERM_DEBT","EQY_FUND_RELATIVE_PERIOD",G$11,"EQY_FUND_CRNCY",$K$7,"EQY_CONSOLIDATED",$G$9,"ACCOUNTING_STANDARD_OVERRIDE",$G$7,"Fill=--")</f>
        <v>6914</v>
      </c>
      <c r="H45" s="196"/>
      <c r="I45" s="195">
        <f>_xll.BDP(Ticker,"SHORT_AND_LONG_TERM_DEBT","EQY_FUND_RELATIVE_PERIOD",I$11,"EQY_FUND_CRNCY",$K$7,"EQY_CONSOLIDATED",$G$9,"ACCOUNTING_STANDARD_OVERRIDE",$G$7,"Fill=--")</f>
        <v>7222</v>
      </c>
      <c r="J45" s="196"/>
      <c r="K45" s="195">
        <f>_xll.BDP(Ticker,"SHORT_AND_LONG_TERM_DEBT","EQY_FUND_RELATIVE_PERIOD",K$11,"EQY_FUND_CRNCY",$K$7,"EQY_CONSOLIDATED",$G$9,"ACCOUNTING_STANDARD_OVERRIDE",$G$7,"Fill=--")</f>
        <v>9859</v>
      </c>
      <c r="L45" s="165"/>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row>
    <row r="46" spans="1:36" ht="15" customHeight="1">
      <c r="A46" s="112"/>
      <c r="B46" s="166"/>
      <c r="C46" s="168"/>
      <c r="D46" s="165"/>
      <c r="E46" s="168"/>
      <c r="F46" s="165"/>
      <c r="G46" s="168"/>
      <c r="H46" s="165"/>
      <c r="I46" s="168"/>
      <c r="J46" s="165"/>
      <c r="K46" s="168"/>
      <c r="L46" s="165"/>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row>
    <row r="47" spans="1:36" ht="15" customHeight="1">
      <c r="A47" s="112"/>
      <c r="B47" s="169" t="s">
        <v>213</v>
      </c>
      <c r="C47" s="168"/>
      <c r="D47" s="165"/>
      <c r="E47" s="168"/>
      <c r="F47" s="165"/>
      <c r="G47" s="168"/>
      <c r="H47" s="165"/>
      <c r="I47" s="168"/>
      <c r="J47" s="165"/>
      <c r="K47" s="168"/>
      <c r="L47" s="165"/>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row>
    <row r="48" spans="1:36" ht="15" customHeight="1">
      <c r="A48" s="112"/>
      <c r="B48" s="166" t="s">
        <v>214</v>
      </c>
      <c r="C48" s="194">
        <f>_xll.BDP(Ticker,"CASH_AND_ST_INVESTMENTS","EQY_FUND_RELATIVE_PERIOD",C$11,"EQY_FUND_CRNCY",$K$7,"EQY_CONSOLIDATED",$G$9,"ACCOUNTING_STANDARD_OVERRIDE",$G$7,"Fill=--")</f>
        <v>5000</v>
      </c>
      <c r="D48" s="167">
        <f>IF(ISERROR(C48/C$45),"--",C48/C$45)</f>
        <v>1.2584948401711553</v>
      </c>
      <c r="E48" s="194">
        <f>_xll.BDP(Ticker,"CASH_AND_ST_INVESTMENTS","EQY_FUND_RELATIVE_PERIOD",E$11,"EQY_FUND_CRNCY",$K$7,"EQY_CONSOLIDATED",$G$9,"ACCOUNTING_STANDARD_OVERRIDE",$G$7,"Fill=--")</f>
        <v>4079</v>
      </c>
      <c r="F48" s="167">
        <f>IF(ISERROR(E48/E$45),"--",E48/E$45)</f>
        <v>1.0202601300650325</v>
      </c>
      <c r="G48" s="194">
        <f>_xll.BDP(Ticker,"CASH_AND_ST_INVESTMENTS","EQY_FUND_RELATIVE_PERIOD",G$11,"EQY_FUND_CRNCY",$K$7,"EQY_CONSOLIDATED",$G$9,"ACCOUNTING_STANDARD_OVERRIDE",$G$7,"Fill=--")</f>
        <v>3384</v>
      </c>
      <c r="H48" s="167">
        <f t="shared" ref="H48:H55" si="1">IF(ISERROR(G48/G$45),"--",G48/G$45)</f>
        <v>0.48944171246745732</v>
      </c>
      <c r="I48" s="194">
        <f>_xll.BDP(Ticker,"CASH_AND_ST_INVESTMENTS","EQY_FUND_RELATIVE_PERIOD",I$11,"EQY_FUND_CRNCY",$K$7,"EQY_CONSOLIDATED",$G$9,"ACCOUNTING_STANDARD_OVERRIDE",$G$7,"Fill=--")</f>
        <v>2793</v>
      </c>
      <c r="J48" s="167">
        <f t="shared" ref="J48:J55" si="2">IF(ISERROR(I48/I$45),"--",I48/I$45)</f>
        <v>0.38673497646081417</v>
      </c>
      <c r="K48" s="194">
        <f>_xll.BDP(Ticker,"CASH_AND_ST_INVESTMENTS","EQY_FUND_RELATIVE_PERIOD",K$11,"EQY_FUND_CRNCY",$K$7,"EQY_CONSOLIDATED",$G$9,"ACCOUNTING_STANDARD_OVERRIDE",$G$7,"Fill=--")</f>
        <v>3699</v>
      </c>
      <c r="L48" s="167">
        <f t="shared" ref="L48:L55" si="3">IF(ISERROR(K48/K$45),"--",K48/K$45)</f>
        <v>0.37519018155999595</v>
      </c>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row>
    <row r="49" spans="1:36" ht="15" customHeight="1">
      <c r="A49" s="112"/>
      <c r="B49" s="166" t="s">
        <v>96</v>
      </c>
      <c r="C49" s="194">
        <f>_xll.BDP(Ticker,"NET_DEBT","EQY_FUND_RELATIVE_PERIOD",C$11,"EQY_FUND_CRNCY",$K$7,"EQY_CONSOLIDATED",$G$9,"ACCOUNTING_STANDARD_OVERRIDE",$G$7,"Fill=--")</f>
        <v>-1027</v>
      </c>
      <c r="D49" s="167">
        <f t="shared" ref="D49:F55" si="4">IF(ISERROR(C49/C$45),"--",C49/C$45)</f>
        <v>-0.25849484017115532</v>
      </c>
      <c r="E49" s="194">
        <f>_xll.BDP(Ticker,"NET_DEBT","EQY_FUND_RELATIVE_PERIOD",E$11,"EQY_FUND_CRNCY",$K$7,"EQY_CONSOLIDATED",$G$9,"ACCOUNTING_STANDARD_OVERRIDE",$G$7,"Fill=--")</f>
        <v>-81</v>
      </c>
      <c r="F49" s="167">
        <f t="shared" si="4"/>
        <v>-2.0260130065032515E-2</v>
      </c>
      <c r="G49" s="194">
        <f>_xll.BDP(Ticker,"NET_DEBT","EQY_FUND_RELATIVE_PERIOD",G$11,"EQY_FUND_CRNCY",$K$7,"EQY_CONSOLIDATED",$G$9,"ACCOUNTING_STANDARD_OVERRIDE",$G$7,"Fill=--")</f>
        <v>3530</v>
      </c>
      <c r="H49" s="167">
        <f t="shared" si="1"/>
        <v>0.51055828753254262</v>
      </c>
      <c r="I49" s="194">
        <f>_xll.BDP(Ticker,"NET_DEBT","EQY_FUND_RELATIVE_PERIOD",I$11,"EQY_FUND_CRNCY",$K$7,"EQY_CONSOLIDATED",$G$9,"ACCOUNTING_STANDARD_OVERRIDE",$G$7,"Fill=--")</f>
        <v>4429</v>
      </c>
      <c r="J49" s="167">
        <f t="shared" si="2"/>
        <v>0.61326502353918577</v>
      </c>
      <c r="K49" s="194">
        <f>_xll.BDP(Ticker,"NET_DEBT","EQY_FUND_RELATIVE_PERIOD",K$11,"EQY_FUND_CRNCY",$K$7,"EQY_CONSOLIDATED",$G$9,"ACCOUNTING_STANDARD_OVERRIDE",$G$7,"Fill=--")</f>
        <v>6160</v>
      </c>
      <c r="L49" s="167">
        <f t="shared" si="3"/>
        <v>0.62480981844000405</v>
      </c>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row>
    <row r="50" spans="1:36" ht="15" customHeight="1">
      <c r="A50" s="112"/>
      <c r="B50" s="166" t="s">
        <v>215</v>
      </c>
      <c r="C50" s="194">
        <f>_xll.BDP(Ticker,"BS_ST_BORROW","EQY_FUND_RELATIVE_PERIOD",C$11,"EQY_FUND_CRNCY",$K$7,"EQY_CONSOLIDATED",$G$9,"ACCOUNTING_STANDARD_OVERRIDE",$G$7,"Fill=--")</f>
        <v>727</v>
      </c>
      <c r="D50" s="167">
        <f t="shared" si="4"/>
        <v>0.18298514976088598</v>
      </c>
      <c r="E50" s="194">
        <f>_xll.BDP(Ticker,"BS_ST_BORROW","EQY_FUND_RELATIVE_PERIOD",E$11,"EQY_FUND_CRNCY",$K$7,"EQY_CONSOLIDATED",$G$9,"ACCOUNTING_STANDARD_OVERRIDE",$G$7,"Fill=--")</f>
        <v>768</v>
      </c>
      <c r="F50" s="167">
        <f t="shared" si="4"/>
        <v>0.19209604802401201</v>
      </c>
      <c r="G50" s="194">
        <f>_xll.BDP(Ticker,"BS_ST_BORROW","EQY_FUND_RELATIVE_PERIOD",G$11,"EQY_FUND_CRNCY",$K$7,"EQY_CONSOLIDATED",$G$9,"ACCOUNTING_STANDARD_OVERRIDE",$G$7,"Fill=--")</f>
        <v>228</v>
      </c>
      <c r="H50" s="167">
        <f t="shared" si="1"/>
        <v>3.2976569279722305E-2</v>
      </c>
      <c r="I50" s="194">
        <f>_xll.BDP(Ticker,"BS_ST_BORROW","EQY_FUND_RELATIVE_PERIOD",I$11,"EQY_FUND_CRNCY",$K$7,"EQY_CONSOLIDATED",$G$9,"ACCOUNTING_STANDARD_OVERRIDE",$G$7,"Fill=--")</f>
        <v>632</v>
      </c>
      <c r="J50" s="167">
        <f t="shared" si="2"/>
        <v>8.7510384934921068E-2</v>
      </c>
      <c r="K50" s="194">
        <f>_xll.BDP(Ticker,"BS_ST_BORROW","EQY_FUND_RELATIVE_PERIOD",K$11,"EQY_FUND_CRNCY",$K$7,"EQY_CONSOLIDATED",$G$9,"ACCOUNTING_STANDARD_OVERRIDE",$G$7,"Fill=--")</f>
        <v>1373</v>
      </c>
      <c r="L50" s="167">
        <f t="shared" si="3"/>
        <v>0.13926361699969572</v>
      </c>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row>
    <row r="51" spans="1:36" ht="15" customHeight="1">
      <c r="A51" s="112"/>
      <c r="B51" s="166" t="s">
        <v>216</v>
      </c>
      <c r="C51" s="194">
        <f>_xll.BDP(Ticker,"BS_ST_PORTION_OF_LT_DEBT","EQY_FUND_RELATIVE_PERIOD",C$11,"EQY_FUND_CRNCY",$K$7,"EQY_CONSOLIDATED",$G$9,"ACCOUNTING_STANDARD_OVERRIDE",$G$7,"Fill=--")</f>
        <v>727</v>
      </c>
      <c r="D51" s="167">
        <f t="shared" si="4"/>
        <v>0.18298514976088598</v>
      </c>
      <c r="E51" s="194">
        <f>_xll.BDP(Ticker,"BS_ST_PORTION_OF_LT_DEBT","EQY_FUND_RELATIVE_PERIOD",E$11,"EQY_FUND_CRNCY",$K$7,"EQY_CONSOLIDATED",$G$9,"ACCOUNTING_STANDARD_OVERRIDE",$G$7,"Fill=--")</f>
        <v>768</v>
      </c>
      <c r="F51" s="167">
        <f t="shared" si="4"/>
        <v>0.19209604802401201</v>
      </c>
      <c r="G51" s="194">
        <f>_xll.BDP(Ticker,"BS_ST_PORTION_OF_LT_DEBT","EQY_FUND_RELATIVE_PERIOD",G$11,"EQY_FUND_CRNCY",$K$7,"EQY_CONSOLIDATED",$G$9,"ACCOUNTING_STANDARD_OVERRIDE",$G$7,"Fill=--")</f>
        <v>228</v>
      </c>
      <c r="H51" s="167">
        <f t="shared" si="1"/>
        <v>3.2976569279722305E-2</v>
      </c>
      <c r="I51" s="194">
        <f>_xll.BDP(Ticker,"BS_ST_PORTION_OF_LT_DEBT","EQY_FUND_RELATIVE_PERIOD",I$11,"EQY_FUND_CRNCY",$K$7,"EQY_CONSOLIDATED",$G$9,"ACCOUNTING_STANDARD_OVERRIDE",$G$7,"Fill=--")</f>
        <v>632</v>
      </c>
      <c r="J51" s="167">
        <f t="shared" si="2"/>
        <v>8.7510384934921068E-2</v>
      </c>
      <c r="K51" s="194">
        <f>_xll.BDP(Ticker,"BS_ST_PORTION_OF_LT_DEBT","EQY_FUND_RELATIVE_PERIOD",K$11,"EQY_FUND_CRNCY",$K$7,"EQY_CONSOLIDATED",$G$9,"ACCOUNTING_STANDARD_OVERRIDE",$G$7,"Fill=--")</f>
        <v>1373</v>
      </c>
      <c r="L51" s="167">
        <f t="shared" si="3"/>
        <v>0.13926361699969572</v>
      </c>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row>
    <row r="52" spans="1:36" ht="15" customHeight="1">
      <c r="A52" s="112"/>
      <c r="B52" s="166" t="s">
        <v>217</v>
      </c>
      <c r="C52" s="194">
        <f>_xll.BDP(Ticker,"BS_LT_BORROW","EQY_FUND_RELATIVE_PERIOD",C$11,"EQY_FUND_CRNCY",$K$7,"EQY_CONSOLIDATED",$G$9,"ACCOUNTING_STANDARD_OVERRIDE",$G$7,"Fill=--")</f>
        <v>3246</v>
      </c>
      <c r="D52" s="167">
        <f t="shared" si="4"/>
        <v>0.81701485023911402</v>
      </c>
      <c r="E52" s="194">
        <f>_xll.BDP(Ticker,"BS_LT_BORROW","EQY_FUND_RELATIVE_PERIOD",E$11,"EQY_FUND_CRNCY",$K$7,"EQY_CONSOLIDATED",$G$9,"ACCOUNTING_STANDARD_OVERRIDE",$G$7,"Fill=--")</f>
        <v>3230</v>
      </c>
      <c r="F52" s="167">
        <f t="shared" si="4"/>
        <v>0.80790395197598797</v>
      </c>
      <c r="G52" s="194">
        <f>_xll.BDP(Ticker,"BS_LT_BORROW","EQY_FUND_RELATIVE_PERIOD",G$11,"EQY_FUND_CRNCY",$K$7,"EQY_CONSOLIDATED",$G$9,"ACCOUNTING_STANDARD_OVERRIDE",$G$7,"Fill=--")</f>
        <v>6686</v>
      </c>
      <c r="H52" s="167">
        <f t="shared" si="1"/>
        <v>0.96702343072027774</v>
      </c>
      <c r="I52" s="194">
        <f>_xll.BDP(Ticker,"BS_LT_BORROW","EQY_FUND_RELATIVE_PERIOD",I$11,"EQY_FUND_CRNCY",$K$7,"EQY_CONSOLIDATED",$G$9,"ACCOUNTING_STANDARD_OVERRIDE",$G$7,"Fill=--")</f>
        <v>6590</v>
      </c>
      <c r="J52" s="167">
        <f t="shared" si="2"/>
        <v>0.91248961506507897</v>
      </c>
      <c r="K52" s="194">
        <f>_xll.BDP(Ticker,"BS_LT_BORROW","EQY_FUND_RELATIVE_PERIOD",K$11,"EQY_FUND_CRNCY",$K$7,"EQY_CONSOLIDATED",$G$9,"ACCOUNTING_STANDARD_OVERRIDE",$G$7,"Fill=--")</f>
        <v>8486</v>
      </c>
      <c r="L52" s="167">
        <f t="shared" si="3"/>
        <v>0.86073638300030431</v>
      </c>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row>
    <row r="53" spans="1:36" ht="15" customHeight="1">
      <c r="A53" s="112"/>
      <c r="B53" s="166" t="s">
        <v>218</v>
      </c>
      <c r="C53" s="194" t="str">
        <f>_xll.BDP(Ticker,"BS_SECURED_DEBT","EQY_FUND_RELATIVE_PERIOD",C$11,"EQY_FUND_CRNCY",$K$7,"EQY_CONSOLIDATED",$G$9,"ACCOUNTING_STANDARD_OVERRIDE",$G$7,"Fill=--")</f>
        <v>--</v>
      </c>
      <c r="D53" s="167" t="str">
        <f t="shared" si="4"/>
        <v>--</v>
      </c>
      <c r="E53" s="194" t="str">
        <f>_xll.BDP(Ticker,"BS_SECURED_DEBT","EQY_FUND_RELATIVE_PERIOD",E$11,"EQY_FUND_CRNCY",$K$7,"EQY_CONSOLIDATED",$G$9,"ACCOUNTING_STANDARD_OVERRIDE",$G$7,"Fill=--")</f>
        <v>--</v>
      </c>
      <c r="F53" s="167" t="str">
        <f t="shared" si="4"/>
        <v>--</v>
      </c>
      <c r="G53" s="194" t="str">
        <f>_xll.BDP(Ticker,"BS_SECURED_DEBT","EQY_FUND_RELATIVE_PERIOD",G$11,"EQY_FUND_CRNCY",$K$7,"EQY_CONSOLIDATED",$G$9,"ACCOUNTING_STANDARD_OVERRIDE",$G$7,"Fill=--")</f>
        <v>--</v>
      </c>
      <c r="H53" s="167" t="str">
        <f t="shared" si="1"/>
        <v>--</v>
      </c>
      <c r="I53" s="194" t="str">
        <f>_xll.BDP(Ticker,"BS_SECURED_DEBT","EQY_FUND_RELATIVE_PERIOD",I$11,"EQY_FUND_CRNCY",$K$7,"EQY_CONSOLIDATED",$G$9,"ACCOUNTING_STANDARD_OVERRIDE",$G$7,"Fill=--")</f>
        <v>--</v>
      </c>
      <c r="J53" s="167" t="str">
        <f t="shared" si="2"/>
        <v>--</v>
      </c>
      <c r="K53" s="194" t="str">
        <f>_xll.BDP(Ticker,"BS_SECURED_DEBT","EQY_FUND_RELATIVE_PERIOD",K$11,"EQY_FUND_CRNCY",$K$7,"EQY_CONSOLIDATED",$G$9,"ACCOUNTING_STANDARD_OVERRIDE",$G$7,"Fill=--")</f>
        <v>--</v>
      </c>
      <c r="L53" s="167" t="str">
        <f t="shared" si="3"/>
        <v>--</v>
      </c>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row>
    <row r="54" spans="1:36" ht="15" customHeight="1">
      <c r="A54" s="112"/>
      <c r="B54" s="166" t="s">
        <v>219</v>
      </c>
      <c r="C54" s="194" t="str">
        <f>_xll.BDP(Ticker,"BS_FIX_RT_DEBT","EQY_FUND_RELATIVE_PERIOD",C$11,"EQY_FUND_CRNCY",$K$7,"EQY_CONSOLIDATED",$G$9,"ACCOUNTING_STANDARD_OVERRIDE",$G$7,"Fill=--")</f>
        <v>--</v>
      </c>
      <c r="D54" s="167" t="str">
        <f t="shared" si="4"/>
        <v>--</v>
      </c>
      <c r="E54" s="194" t="str">
        <f>_xll.BDP(Ticker,"BS_FIX_RT_DEBT","EQY_FUND_RELATIVE_PERIOD",E$11,"EQY_FUND_CRNCY",$K$7,"EQY_CONSOLIDATED",$G$9,"ACCOUNTING_STANDARD_OVERRIDE",$G$7,"Fill=--")</f>
        <v>--</v>
      </c>
      <c r="F54" s="167" t="str">
        <f t="shared" si="4"/>
        <v>--</v>
      </c>
      <c r="G54" s="194" t="str">
        <f>_xll.BDP(Ticker,"BS_FIX_RT_DEBT","EQY_FUND_RELATIVE_PERIOD",G$11,"EQY_FUND_CRNCY",$K$7,"EQY_CONSOLIDATED",$G$9,"ACCOUNTING_STANDARD_OVERRIDE",$G$7,"Fill=--")</f>
        <v>--</v>
      </c>
      <c r="H54" s="167" t="str">
        <f t="shared" si="1"/>
        <v>--</v>
      </c>
      <c r="I54" s="194" t="str">
        <f>_xll.BDP(Ticker,"BS_FIX_RT_DEBT","EQY_FUND_RELATIVE_PERIOD",I$11,"EQY_FUND_CRNCY",$K$7,"EQY_CONSOLIDATED",$G$9,"ACCOUNTING_STANDARD_OVERRIDE",$G$7,"Fill=--")</f>
        <v>--</v>
      </c>
      <c r="J54" s="167" t="str">
        <f t="shared" si="2"/>
        <v>--</v>
      </c>
      <c r="K54" s="194" t="str">
        <f>_xll.BDP(Ticker,"BS_FIX_RT_DEBT","EQY_FUND_RELATIVE_PERIOD",K$11,"EQY_FUND_CRNCY",$K$7,"EQY_CONSOLIDATED",$G$9,"ACCOUNTING_STANDARD_OVERRIDE",$G$7,"Fill=--")</f>
        <v>--</v>
      </c>
      <c r="L54" s="167" t="str">
        <f t="shared" si="3"/>
        <v>--</v>
      </c>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row>
    <row r="55" spans="1:36" ht="15" customHeight="1">
      <c r="A55" s="112"/>
      <c r="B55" s="166" t="s">
        <v>220</v>
      </c>
      <c r="C55" s="194" t="str">
        <f>_xll.BDP(Ticker,"BS_VAR_RT_DEBT","EQY_FUND_RELATIVE_PERIOD",C$11,"EQY_FUND_CRNCY",$K$7,"EQY_CONSOLIDATED",$G$9,"ACCOUNTING_STANDARD_OVERRIDE",$G$7,"Fill=--")</f>
        <v>--</v>
      </c>
      <c r="D55" s="167" t="str">
        <f t="shared" si="4"/>
        <v>--</v>
      </c>
      <c r="E55" s="194" t="str">
        <f>_xll.BDP(Ticker,"BS_VAR_RT_DEBT","EQY_FUND_RELATIVE_PERIOD",E$11,"EQY_FUND_CRNCY",$K$7,"EQY_CONSOLIDATED",$G$9,"ACCOUNTING_STANDARD_OVERRIDE",$G$7,"Fill=--")</f>
        <v>--</v>
      </c>
      <c r="F55" s="167" t="str">
        <f t="shared" si="4"/>
        <v>--</v>
      </c>
      <c r="G55" s="194" t="str">
        <f>_xll.BDP(Ticker,"BS_VAR_RT_DEBT","EQY_FUND_RELATIVE_PERIOD",G$11,"EQY_FUND_CRNCY",$K$7,"EQY_CONSOLIDATED",$G$9,"ACCOUNTING_STANDARD_OVERRIDE",$G$7,"Fill=--")</f>
        <v>--</v>
      </c>
      <c r="H55" s="167" t="str">
        <f t="shared" si="1"/>
        <v>--</v>
      </c>
      <c r="I55" s="194" t="str">
        <f>_xll.BDP(Ticker,"BS_VAR_RT_DEBT","EQY_FUND_RELATIVE_PERIOD",I$11,"EQY_FUND_CRNCY",$K$7,"EQY_CONSOLIDATED",$G$9,"ACCOUNTING_STANDARD_OVERRIDE",$G$7,"Fill=--")</f>
        <v>--</v>
      </c>
      <c r="J55" s="167" t="str">
        <f t="shared" si="2"/>
        <v>--</v>
      </c>
      <c r="K55" s="194" t="str">
        <f>_xll.BDP(Ticker,"BS_VAR_RT_DEBT","EQY_FUND_RELATIVE_PERIOD",K$11,"EQY_FUND_CRNCY",$K$7,"EQY_CONSOLIDATED",$G$9,"ACCOUNTING_STANDARD_OVERRIDE",$G$7,"Fill=--")</f>
        <v>--</v>
      </c>
      <c r="L55" s="167" t="str">
        <f t="shared" si="3"/>
        <v>--</v>
      </c>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row>
    <row r="56" spans="1:36" ht="15" customHeight="1">
      <c r="A56" s="112"/>
      <c r="B56" s="166"/>
      <c r="C56" s="173"/>
      <c r="D56" s="165"/>
      <c r="E56" s="173"/>
      <c r="F56" s="165"/>
      <c r="G56" s="173"/>
      <c r="H56" s="165"/>
      <c r="I56" s="173"/>
      <c r="J56" s="165"/>
      <c r="K56" s="173"/>
      <c r="L56" s="165"/>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row>
    <row r="57" spans="1:36" ht="15" customHeight="1">
      <c r="A57" s="112"/>
      <c r="B57" s="169" t="s">
        <v>221</v>
      </c>
      <c r="C57" s="173"/>
      <c r="D57" s="165"/>
      <c r="E57" s="173"/>
      <c r="F57" s="165"/>
      <c r="G57" s="173"/>
      <c r="H57" s="165"/>
      <c r="I57" s="173"/>
      <c r="J57" s="165"/>
      <c r="K57" s="173"/>
      <c r="L57" s="165"/>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row>
    <row r="58" spans="1:36" ht="15" customHeight="1">
      <c r="A58" s="112"/>
      <c r="B58" s="166" t="s">
        <v>222</v>
      </c>
      <c r="C58" s="197">
        <f>_xll.BDP(Ticker,"NET_DEBT_TO_EBITDA","EQY_FUND_RELATIVE_PERIOD",C$11,"EQY_FUND_CRNCY",$K$7,"EQY_CONSOLIDATED",$G$9,"ACCOUNTING_STANDARD_OVERRIDE",$G$7,"Fill=--")</f>
        <v>-0.6323891625615764</v>
      </c>
      <c r="D58" s="174"/>
      <c r="E58" s="197">
        <f>_xll.BDP(Ticker,"NET_DEBT_TO_EBITDA","EQY_FUND_RELATIVE_PERIOD",E$11,"EQY_FUND_CRNCY",$K$7,"EQY_CONSOLIDATED",$G$9,"ACCOUNTING_STANDARD_OVERRIDE",$G$7,"Fill=--")</f>
        <v>-3.5872453498671387E-2</v>
      </c>
      <c r="F58" s="175"/>
      <c r="G58" s="197">
        <f>_xll.BDP(Ticker,"NET_DEBT_TO_EBITDA","EQY_FUND_RELATIVE_PERIOD",G$11,"EQY_FUND_CRNCY",$K$7,"EQY_CONSOLIDATED",$G$9,"ACCOUNTING_STANDARD_OVERRIDE",$G$7,"Fill=--")</f>
        <v>1.2973171628077913</v>
      </c>
      <c r="H58" s="175"/>
      <c r="I58" s="197">
        <f>_xll.BDP(Ticker,"NET_DEBT_TO_EBITDA","EQY_FUND_RELATIVE_PERIOD",I$11,"EQY_FUND_CRNCY",$K$7,"EQY_CONSOLIDATED",$G$9,"ACCOUNTING_STANDARD_OVERRIDE",$G$7,"Fill=--")</f>
        <v>1.5069751616195985</v>
      </c>
      <c r="J58" s="175"/>
      <c r="K58" s="197">
        <f>_xll.BDP(Ticker,"NET_DEBT_TO_EBITDA","EQY_FUND_RELATIVE_PERIOD",K$11,"EQY_FUND_CRNCY",$K$7,"EQY_CONSOLIDATED",$G$9,"ACCOUNTING_STANDARD_OVERRIDE",$G$7,"Fill=--")</f>
        <v>1.8895705521472392</v>
      </c>
      <c r="L58" s="175"/>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row>
    <row r="59" spans="1:36" ht="15" customHeight="1">
      <c r="A59" s="112"/>
      <c r="B59" s="166" t="s">
        <v>223</v>
      </c>
      <c r="C59" s="197">
        <f>_xll.BDP(Ticker,"TOT_DEBT_TO_EBITDA","EQY_FUND_RELATIVE_PERIOD",C$11,"EQY_FUND_CRNCY",$K$7,"EQY_CONSOLIDATED",$G$9,"ACCOUNTING_STANDARD_OVERRIDE",$G$7,"Fill=--")</f>
        <v>2.4464285714285716</v>
      </c>
      <c r="D59" s="175"/>
      <c r="E59" s="197">
        <f>_xll.BDP(Ticker,"TOT_DEBT_TO_EBITDA","EQY_FUND_RELATIVE_PERIOD",E$11,"EQY_FUND_CRNCY",$K$7,"EQY_CONSOLIDATED",$G$9,"ACCOUNTING_STANDARD_OVERRIDE",$G$7,"Fill=--")</f>
        <v>1.7705934455270151</v>
      </c>
      <c r="F59" s="175"/>
      <c r="G59" s="197">
        <f>_xll.BDP(Ticker,"TOT_DEBT_TO_EBITDA","EQY_FUND_RELATIVE_PERIOD",G$11,"EQY_FUND_CRNCY",$K$7,"EQY_CONSOLIDATED",$G$9,"ACCOUNTING_STANDARD_OVERRIDE",$G$7,"Fill=--")</f>
        <v>2.5409775817714078</v>
      </c>
      <c r="H59" s="175"/>
      <c r="I59" s="197">
        <f>_xll.BDP(Ticker,"TOT_DEBT_TO_EBITDA","EQY_FUND_RELATIVE_PERIOD",I$11,"EQY_FUND_CRNCY",$K$7,"EQY_CONSOLIDATED",$G$9,"ACCOUNTING_STANDARD_OVERRIDE",$G$7,"Fill=--")</f>
        <v>2.4572984008166041</v>
      </c>
      <c r="J59" s="175"/>
      <c r="K59" s="197">
        <f>_xll.BDP(Ticker,"TOT_DEBT_TO_EBITDA","EQY_FUND_RELATIVE_PERIOD",K$11,"EQY_FUND_CRNCY",$K$7,"EQY_CONSOLIDATED",$G$9,"ACCOUNTING_STANDARD_OVERRIDE",$G$7,"Fill=--")</f>
        <v>3.0242331288343558</v>
      </c>
      <c r="L59" s="175"/>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row>
    <row r="60" spans="1:36" ht="15" customHeight="1">
      <c r="A60" s="112"/>
      <c r="B60" s="166" t="s">
        <v>272</v>
      </c>
      <c r="C60" s="197">
        <f>_xll.BDP(Ticker,"OPER_INC_TO_TOT_DEBT","EQY_FUND_RELATIVE_PERIOD",C$11,"EQY_FUND_CRNCY",$K$7,"EQY_CONSOLIDATED",$G$9,"ACCOUNTING_STANDARD_OVERRIDE",$G$7,"Fill=--")</f>
        <v>0.31361691417065191</v>
      </c>
      <c r="D60" s="175"/>
      <c r="E60" s="197">
        <f>_xll.BDP(Ticker,"OPER_INC_TO_TOT_DEBT","EQY_FUND_RELATIVE_PERIOD",E$11,"EQY_FUND_CRNCY",$K$7,"EQY_CONSOLIDATED",$G$9,"ACCOUNTING_STANDARD_OVERRIDE",$G$7,"Fill=--")</f>
        <v>0.46548274137068535</v>
      </c>
      <c r="F60" s="175"/>
      <c r="G60" s="197">
        <f>_xll.BDP(Ticker,"OPER_INC_TO_TOT_DEBT","EQY_FUND_RELATIVE_PERIOD",G$11,"EQY_FUND_CRNCY",$K$7,"EQY_CONSOLIDATED",$G$9,"ACCOUNTING_STANDARD_OVERRIDE",$G$7,"Fill=--")</f>
        <v>0.31457911483945616</v>
      </c>
      <c r="H60" s="625"/>
      <c r="I60" s="197">
        <f>_xll.BDP(Ticker,"OPER_INC_TO_TOT_DEBT","EQY_FUND_RELATIVE_PERIOD",I$11,"EQY_FUND_CRNCY",$K$7,"EQY_CONSOLIDATED",$G$9,"ACCOUNTING_STANDARD_OVERRIDE",$G$7,"Fill=--")</f>
        <v>0.31805594018277483</v>
      </c>
      <c r="J60" s="175"/>
      <c r="K60" s="197">
        <f>_xll.BDP(Ticker,"OPER_INC_TO_TOT_DEBT","EQY_FUND_RELATIVE_PERIOD",K$11,"EQY_FUND_CRNCY",$K$7,"EQY_CONSOLIDATED",$G$9,"ACCOUNTING_STANDARD_OVERRIDE",$G$7,"Fill=--")</f>
        <v>0.25732832944517697</v>
      </c>
      <c r="L60" s="175"/>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row>
    <row r="61" spans="1:36" ht="15" customHeight="1">
      <c r="A61" s="112"/>
      <c r="B61" s="166" t="s">
        <v>273</v>
      </c>
      <c r="C61" s="197">
        <f>_xll.BDP(Ticker,"FCF_TO_TOTAL_DEBT","EQY_FUND_RELATIVE_PERIOD",C$11,"EQY_FUND_CRNCY",$K$7,"EQY_CONSOLIDATED",$G$9,"ACCOUNTING_STANDARD_OVERRIDE",$G$7,"Fill=--")</f>
        <v>0.38988170148502393</v>
      </c>
      <c r="D61" s="175"/>
      <c r="E61" s="197">
        <f>_xll.BDP(Ticker,"FCF_TO_TOTAL_DEBT","EQY_FUND_RELATIVE_PERIOD",E$11,"EQY_FUND_CRNCY",$K$7,"EQY_CONSOLIDATED",$G$9,"ACCOUNTING_STANDARD_OVERRIDE",$G$7,"Fill=--")</f>
        <v>0.15732866433216608</v>
      </c>
      <c r="F61" s="175"/>
      <c r="G61" s="197">
        <f>_xll.BDP(Ticker,"FCF_TO_TOTAL_DEBT","EQY_FUND_RELATIVE_PERIOD",G$11,"EQY_FUND_CRNCY",$K$7,"EQY_CONSOLIDATED",$G$9,"ACCOUNTING_STANDARD_OVERRIDE",$G$7,"Fill=--")</f>
        <v>0.20610355799826438</v>
      </c>
      <c r="H61" s="175"/>
      <c r="I61" s="197">
        <f>_xll.BDP(Ticker,"FCF_TO_TOTAL_DEBT","EQY_FUND_RELATIVE_PERIOD",I$11,"EQY_FUND_CRNCY",$K$7,"EQY_CONSOLIDATED",$G$9,"ACCOUNTING_STANDARD_OVERRIDE",$G$7,"Fill=--")</f>
        <v>0.13306563278870118</v>
      </c>
      <c r="J61" s="175"/>
      <c r="K61" s="197">
        <f>_xll.BDP(Ticker,"FCF_TO_TOTAL_DEBT","EQY_FUND_RELATIVE_PERIOD",K$11,"EQY_FUND_CRNCY",$K$7,"EQY_CONSOLIDATED",$G$9,"ACCOUNTING_STANDARD_OVERRIDE",$G$7,"Fill=--")</f>
        <v>0.20671467694492343</v>
      </c>
      <c r="L61" s="175"/>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row>
    <row r="62" spans="1:36" ht="15" customHeight="1">
      <c r="A62" s="112"/>
      <c r="B62" s="166" t="s">
        <v>274</v>
      </c>
      <c r="C62" s="197">
        <f>_xll.BDP(Ticker,"CFO_TO_TOT_DEBT","EQY_FUND_RELATIVE_PERIOD",C$11,"EQY_FUND_CRNCY",$K$7,"EQY_CONSOLIDATED",$G$9,"ACCOUNTING_STANDARD_OVERRIDE",$G$7,"Fill=--")</f>
        <v>0.44852756103699976</v>
      </c>
      <c r="D62" s="175"/>
      <c r="E62" s="197">
        <f>_xll.BDP(Ticker,"CFO_TO_TOT_DEBT","EQY_FUND_RELATIVE_PERIOD",E$11,"EQY_FUND_CRNCY",$K$7,"EQY_CONSOLIDATED",$G$9,"ACCOUNTING_STANDARD_OVERRIDE",$G$7,"Fill=--")</f>
        <v>0.22486243121560781</v>
      </c>
      <c r="F62" s="175"/>
      <c r="G62" s="197">
        <f>_xll.BDP(Ticker,"CFO_TO_TOT_DEBT","EQY_FUND_RELATIVE_PERIOD",G$11,"EQY_FUND_CRNCY",$K$7,"EQY_CONSOLIDATED",$G$9,"ACCOUNTING_STANDARD_OVERRIDE",$G$7,"Fill=--")</f>
        <v>0.27697425513450968</v>
      </c>
      <c r="H62" s="175"/>
      <c r="I62" s="197">
        <f>_xll.BDP(Ticker,"CFO_TO_TOT_DEBT","EQY_FUND_RELATIVE_PERIOD",I$11,"EQY_FUND_CRNCY",$K$7,"EQY_CONSOLIDATED",$G$9,"ACCOUNTING_STANDARD_OVERRIDE",$G$7,"Fill=--")</f>
        <v>0.21586818055940182</v>
      </c>
      <c r="J62" s="175"/>
      <c r="K62" s="197">
        <f>_xll.BDP(Ticker,"CFO_TO_TOT_DEBT","EQY_FUND_RELATIVE_PERIOD",K$11,"EQY_FUND_CRNCY",$K$7,"EQY_CONSOLIDATED",$G$9,"ACCOUNTING_STANDARD_OVERRIDE",$G$7,"Fill=--")</f>
        <v>0.26473273151435239</v>
      </c>
      <c r="L62" s="175"/>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row>
    <row r="63" spans="1:36" ht="15" customHeight="1">
      <c r="A63" s="112"/>
      <c r="B63" s="166"/>
      <c r="C63" s="196"/>
      <c r="D63" s="165"/>
      <c r="E63" s="196"/>
      <c r="F63" s="165"/>
      <c r="G63" s="196"/>
      <c r="H63" s="165"/>
      <c r="I63" s="196"/>
      <c r="J63" s="165"/>
      <c r="K63" s="196"/>
      <c r="L63" s="165"/>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row>
    <row r="64" spans="1:36" ht="15" customHeight="1">
      <c r="A64" s="112"/>
      <c r="B64" s="166" t="s">
        <v>275</v>
      </c>
      <c r="C64" s="197">
        <f>_xll.BDP(Ticker,"EBIT_TO_INT_EXP","EQY_FUND_RELATIVE_PERIOD",C$11,"EQY_FUND_CRNCY",$K$7,"EQY_CONSOLIDATED",$G$9,"ACCOUNTING_STANDARD_OVERRIDE",$G$7,"Fill=--")</f>
        <v>11.026548672566372</v>
      </c>
      <c r="D64" s="175"/>
      <c r="E64" s="197">
        <f>_xll.BDP(Ticker,"EBIT_TO_INT_EXP","EQY_FUND_RELATIVE_PERIOD",E$11,"EQY_FUND_CRNCY",$K$7,"EQY_CONSOLIDATED",$G$9,"ACCOUNTING_STANDARD_OVERRIDE",$G$7,"Fill=--")</f>
        <v>17.231481481481481</v>
      </c>
      <c r="F64" s="175"/>
      <c r="G64" s="197">
        <f>_xll.BDP(Ticker,"EBIT_TO_INT_EXP","EQY_FUND_RELATIVE_PERIOD",G$11,"EQY_FUND_CRNCY",$K$7,"EQY_CONSOLIDATED",$G$9,"ACCOUNTING_STANDARD_OVERRIDE",$G$7,"Fill=--")</f>
        <v>9.5394736842105257</v>
      </c>
      <c r="H64" s="175"/>
      <c r="I64" s="197">
        <f>_xll.BDP(Ticker,"EBIT_TO_INT_EXP","EQY_FUND_RELATIVE_PERIOD",I$11,"EQY_FUND_CRNCY",$K$7,"EQY_CONSOLIDATED",$G$9,"ACCOUNTING_STANDARD_OVERRIDE",$G$7,"Fill=--")</f>
        <v>9.2995951417004044</v>
      </c>
      <c r="J64" s="175"/>
      <c r="K64" s="197">
        <f>_xll.BDP(Ticker,"EBIT_TO_INT_EXP","EQY_FUND_RELATIVE_PERIOD",K$11,"EQY_FUND_CRNCY",$K$7,"EQY_CONSOLIDATED",$G$9,"ACCOUNTING_STANDARD_OVERRIDE",$G$7,"Fill=--")</f>
        <v>9.6098484848484844</v>
      </c>
      <c r="L64" s="175"/>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row>
    <row r="65" spans="1:36" ht="15" customHeight="1">
      <c r="A65" s="112"/>
      <c r="B65" s="166" t="s">
        <v>276</v>
      </c>
      <c r="C65" s="197">
        <f>_xll.BDP(Ticker,"INTEREST_COVERAGE_RATIO","EQY_FUND_RELATIVE_PERIOD",C$11,"EQY_FUND_CRNCY",$K$7,"EQY_CONSOLIDATED",$G$9,"ACCOUNTING_STANDARD_OVERRIDE",$G$7,"Fill=--")</f>
        <v>11.026548672566372</v>
      </c>
      <c r="D65" s="175"/>
      <c r="E65" s="197">
        <f>_xll.BDP(Ticker,"INTEREST_COVERAGE_RATIO","EQY_FUND_RELATIVE_PERIOD",E$11,"EQY_FUND_CRNCY",$K$7,"EQY_CONSOLIDATED",$G$9,"ACCOUNTING_STANDARD_OVERRIDE",$G$7,"Fill=--")</f>
        <v>17.231481481481481</v>
      </c>
      <c r="F65" s="175"/>
      <c r="G65" s="197">
        <f>_xll.BDP(Ticker,"INTEREST_COVERAGE_RATIO","EQY_FUND_RELATIVE_PERIOD",G$11,"EQY_FUND_CRNCY",$K$7,"EQY_CONSOLIDATED",$G$9,"ACCOUNTING_STANDARD_OVERRIDE",$G$7,"Fill=--")</f>
        <v>9.5394736842105257</v>
      </c>
      <c r="H65" s="175"/>
      <c r="I65" s="197">
        <f>_xll.BDP(Ticker,"INTEREST_COVERAGE_RATIO","EQY_FUND_RELATIVE_PERIOD",I$11,"EQY_FUND_CRNCY",$K$7,"EQY_CONSOLIDATED",$G$9,"ACCOUNTING_STANDARD_OVERRIDE",$G$7,"Fill=--")</f>
        <v>9.2995951417004044</v>
      </c>
      <c r="J65" s="175"/>
      <c r="K65" s="197">
        <f>_xll.BDP(Ticker,"INTEREST_COVERAGE_RATIO","EQY_FUND_RELATIVE_PERIOD",K$11,"EQY_FUND_CRNCY",$K$7,"EQY_CONSOLIDATED",$G$9,"ACCOUNTING_STANDARD_OVERRIDE",$G$7,"Fill=--")</f>
        <v>9.6098484848484844</v>
      </c>
      <c r="L65" s="175"/>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row>
    <row r="66" spans="1:36" ht="15" customHeight="1">
      <c r="A66" s="112"/>
      <c r="B66" s="166" t="s">
        <v>277</v>
      </c>
      <c r="C66" s="197">
        <f>_xll.BDP(Ticker,"DEGREE_FINANCIAL_LEVERAGE","EQY_FUND_RELATIVE_PERIOD",C$11,"EQY_FUND_CRNCY",$K$7,"EQY_CONSOLIDATED",$G$9,"ACCOUNTING_STANDARD_OVERRIDE",$G$7,"Fill=--")</f>
        <v>1.0997352162400706</v>
      </c>
      <c r="D66" s="175"/>
      <c r="E66" s="197">
        <f>_xll.BDP(Ticker,"DEGREE_FINANCIAL_LEVERAGE","EQY_FUND_RELATIVE_PERIOD",E$11,"EQY_FUND_CRNCY",$K$7,"EQY_CONSOLIDATED",$G$9,"ACCOUNTING_STANDARD_OVERRIDE",$G$7,"Fill=--")</f>
        <v>1.0616086708499715</v>
      </c>
      <c r="F66" s="175"/>
      <c r="G66" s="197">
        <f>_xll.BDP(Ticker,"DEGREE_FINANCIAL_LEVERAGE","EQY_FUND_RELATIVE_PERIOD",G$11,"EQY_FUND_CRNCY",$K$7,"EQY_CONSOLIDATED",$G$9,"ACCOUNTING_STANDARD_OVERRIDE",$G$7,"Fill=--")</f>
        <v>1.1171032357473036</v>
      </c>
      <c r="H66" s="175"/>
      <c r="I66" s="197">
        <f>_xll.BDP(Ticker,"DEGREE_FINANCIAL_LEVERAGE","EQY_FUND_RELATIVE_PERIOD",I$11,"EQY_FUND_CRNCY",$K$7,"EQY_CONSOLIDATED",$G$9,"ACCOUNTING_STANDARD_OVERRIDE",$G$7,"Fill=--")</f>
        <v>1.1204878048780489</v>
      </c>
      <c r="J66" s="175"/>
      <c r="K66" s="197">
        <f>_xll.BDP(Ticker,"DEGREE_FINANCIAL_LEVERAGE","EQY_FUND_RELATIVE_PERIOD",K$11,"EQY_FUND_CRNCY",$K$7,"EQY_CONSOLIDATED",$G$9,"ACCOUNTING_STANDARD_OVERRIDE",$G$7,"Fill=--")</f>
        <v>1.1161460624725033</v>
      </c>
      <c r="L66" s="175"/>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row>
    <row r="67" spans="1:36" ht="15" customHeight="1">
      <c r="A67" s="112"/>
      <c r="B67" s="166" t="s">
        <v>278</v>
      </c>
      <c r="C67" s="197">
        <f>_xll.BDP(Ticker,"EBITDA_LES_CAP_EXPEND_TO_INT_EXP","EQY_FUND_RELATIVE_PERIOD",C$11,"EQY_FUND_CRNCY",$K$7,"EQY_CONSOLIDATED",$G$9,"ACCOUNTING_STANDARD_OVERRIDE",$G$7,"Fill=--")</f>
        <v>12.309734513274336</v>
      </c>
      <c r="D67" s="175"/>
      <c r="E67" s="197">
        <f>_xll.BDP(Ticker,"EBITDA_LES_CAP_EXPEND_TO_INT_EXP","EQY_FUND_RELATIVE_PERIOD",E$11,"EQY_FUND_CRNCY",$K$7,"EQY_CONSOLIDATED",$G$9,"ACCOUNTING_STANDARD_OVERRIDE",$G$7,"Fill=--")</f>
        <v>18.407407407407408</v>
      </c>
      <c r="F67" s="175"/>
      <c r="G67" s="197">
        <f>_xll.BDP(Ticker,"EBITDA_LES_CAP_EXPEND_TO_INT_EXP","EQY_FUND_RELATIVE_PERIOD",G$11,"EQY_FUND_CRNCY",$K$7,"EQY_CONSOLIDATED",$G$9,"ACCOUNTING_STANDARD_OVERRIDE",$G$7,"Fill=--")</f>
        <v>9.7850877192982448</v>
      </c>
      <c r="H67" s="175"/>
      <c r="I67" s="197">
        <f>_xll.BDP(Ticker,"EBITDA_LES_CAP_EXPEND_TO_INT_EXP","EQY_FUND_RELATIVE_PERIOD",I$11,"EQY_FUND_CRNCY",$K$7,"EQY_CONSOLIDATED",$G$9,"ACCOUNTING_STANDARD_OVERRIDE",$G$7,"Fill=--")</f>
        <v>9.4777327935222679</v>
      </c>
      <c r="J67" s="175"/>
      <c r="K67" s="197">
        <f>_xll.BDP(Ticker,"EBITDA_LES_CAP_EXPEND_TO_INT_EXP","EQY_FUND_RELATIVE_PERIOD",K$11,"EQY_FUND_CRNCY",$K$7,"EQY_CONSOLIDATED",$G$9,"ACCOUNTING_STANDARD_OVERRIDE",$G$7,"Fill=--")</f>
        <v>10.181818181818182</v>
      </c>
      <c r="L67" s="175"/>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row>
    <row r="68" spans="1:36" ht="15" customHeight="1">
      <c r="A68" s="112"/>
      <c r="B68" s="166" t="s">
        <v>279</v>
      </c>
      <c r="C68" s="197">
        <f>_xll.BDP(Ticker,"EBITDA_TO_TOT_INT_EXP","EQY_FUND_RELATIVE_PERIOD",C$11,"EQY_FUND_CRNCY",$K$7,"EQY_CONSOLIDATED",$G$9,"ACCOUNTING_STANDARD_OVERRIDE",$G$7,"Fill=--")</f>
        <v>14.371681415929203</v>
      </c>
      <c r="D68" s="175"/>
      <c r="E68" s="197">
        <f>_xll.BDP(Ticker,"EBITDA_TO_TOT_INT_EXP","EQY_FUND_RELATIVE_PERIOD",E$11,"EQY_FUND_CRNCY",$K$7,"EQY_CONSOLIDATED",$G$9,"ACCOUNTING_STANDARD_OVERRIDE",$G$7,"Fill=--")</f>
        <v>20.907407407407408</v>
      </c>
      <c r="F68" s="175"/>
      <c r="G68" s="197">
        <f>_xll.BDP(Ticker,"EBITDA_TO_TOT_INT_EXP","EQY_FUND_RELATIVE_PERIOD",G$11,"EQY_FUND_CRNCY",$K$7,"EQY_CONSOLIDATED",$G$9,"ACCOUNTING_STANDARD_OVERRIDE",$G$7,"Fill=--")</f>
        <v>11.934210526315789</v>
      </c>
      <c r="H68" s="175"/>
      <c r="I68" s="197">
        <f>_xll.BDP(Ticker,"EBITDA_TO_TOT_INT_EXP","EQY_FUND_RELATIVE_PERIOD",I$11,"EQY_FUND_CRNCY",$K$7,"EQY_CONSOLIDATED",$G$9,"ACCOUNTING_STANDARD_OVERRIDE",$G$7,"Fill=--")</f>
        <v>11.898785425101215</v>
      </c>
      <c r="J68" s="175"/>
      <c r="K68" s="197">
        <f>_xll.BDP(Ticker,"EBITDA_TO_TOT_INT_EXP","EQY_FUND_RELATIVE_PERIOD",K$11,"EQY_FUND_CRNCY",$K$7,"EQY_CONSOLIDATED",$G$9,"ACCOUNTING_STANDARD_OVERRIDE",$G$7,"Fill=--")</f>
        <v>12.348484848484848</v>
      </c>
      <c r="L68" s="175"/>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row>
    <row r="69" spans="1:36" ht="15" customHeight="1">
      <c r="A69" s="112"/>
      <c r="B69" s="166"/>
      <c r="C69" s="173"/>
      <c r="D69" s="165"/>
      <c r="E69" s="173"/>
      <c r="F69" s="165"/>
      <c r="G69" s="173"/>
      <c r="H69" s="165"/>
      <c r="I69" s="173"/>
      <c r="J69" s="165"/>
      <c r="K69" s="173"/>
      <c r="L69" s="165"/>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row>
    <row r="70" spans="1:36" ht="15" customHeight="1">
      <c r="A70" s="112"/>
      <c r="B70" s="169" t="s">
        <v>239</v>
      </c>
      <c r="C70" s="173"/>
      <c r="D70" s="165"/>
      <c r="E70" s="173"/>
      <c r="F70" s="165"/>
      <c r="G70" s="173"/>
      <c r="H70" s="165"/>
      <c r="I70" s="173"/>
      <c r="J70" s="165"/>
      <c r="K70" s="173"/>
      <c r="L70" s="165"/>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row>
    <row r="71" spans="1:36" ht="15" customHeight="1">
      <c r="A71" s="112"/>
      <c r="B71" s="176" t="s">
        <v>229</v>
      </c>
      <c r="C71" s="194">
        <f>_xll.BDP(Ticker,"BS_YEAR_1_PRINCIPAL","EQY_FUND_RELATIVE_PERIOD",C$11,"EQY_FUND_CRNCY",$K$7,"EQY_CONSOLIDATED",$G$9,"ACCOUNTING_STANDARD_OVERRIDE",$G$7,"Fill=--")</f>
        <v>727</v>
      </c>
      <c r="D71" s="167">
        <f>IF(ISERROR(C71/C$80),"--",C71/C$80)</f>
        <v>0.18298514976088598</v>
      </c>
      <c r="E71" s="194">
        <f>_xll.BDP(Ticker,"BS_YEAR_1_PRINCIPAL","EQY_FUND_RELATIVE_PERIOD",E$11,"EQY_FUND_CRNCY",$K$7,"EQY_CONSOLIDATED",$G$9,"ACCOUNTING_STANDARD_OVERRIDE",$G$7,"Fill=--")</f>
        <v>768</v>
      </c>
      <c r="F71" s="167">
        <f>IF(ISERROR(E71/E$80),"--",E71/E$80)</f>
        <v>0.19209604802401201</v>
      </c>
      <c r="G71" s="194">
        <f>_xll.BDP(Ticker,"BS_YEAR_1_PRINCIPAL","EQY_FUND_RELATIVE_PERIOD",G$11,"EQY_FUND_CRNCY",$K$7,"EQY_CONSOLIDATED",$G$9,"ACCOUNTING_STANDARD_OVERRIDE",$G$7,"Fill=--")</f>
        <v>200</v>
      </c>
      <c r="H71" s="167">
        <f t="shared" ref="H71:H80" si="5">IF(ISERROR(G71/G$80),"--",G71/G$80)</f>
        <v>2.8926815157651144E-2</v>
      </c>
      <c r="I71" s="194">
        <f>_xll.BDP(Ticker,"BS_YEAR_1_PRINCIPAL","EQY_FUND_RELATIVE_PERIOD",I$11,"EQY_FUND_CRNCY",$K$7,"EQY_CONSOLIDATED",$G$9,"ACCOUNTING_STANDARD_OVERRIDE",$G$7,"Fill=--")</f>
        <v>600</v>
      </c>
      <c r="J71" s="167">
        <f t="shared" ref="J71:J80" si="6">IF(ISERROR(I71/I$80),"--",I71/I$80)</f>
        <v>8.3079479368595957E-2</v>
      </c>
      <c r="K71" s="194">
        <f>_xll.BDP(Ticker,"BS_YEAR_1_PRINCIPAL","EQY_FUND_RELATIVE_PERIOD",K$11,"EQY_FUND_CRNCY",$K$7,"EQY_CONSOLIDATED",$G$9,"ACCOUNTING_STANDARD_OVERRIDE",$G$7,"Fill=--")</f>
        <v>1373</v>
      </c>
      <c r="L71" s="167">
        <f t="shared" ref="L71:L80" si="7">IF(ISERROR(K71/K$80),"--",K71/K$80)</f>
        <v>0.13926361699969572</v>
      </c>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row>
    <row r="72" spans="1:36" ht="15" customHeight="1">
      <c r="A72" s="112"/>
      <c r="B72" s="176" t="s">
        <v>230</v>
      </c>
      <c r="C72" s="194" t="str">
        <f>_xll.BDP(Ticker,"BS_YEAR_2_PRINCIPAL","EQY_FUND_RELATIVE_PERIOD",C$11,"EQY_FUND_CRNCY",$K$7,"EQY_CONSOLIDATED",$G$9,"ACCOUNTING_STANDARD_OVERRIDE",$G$7,"Fill=--")</f>
        <v>--</v>
      </c>
      <c r="D72" s="167" t="str">
        <f t="shared" ref="D72:F80" si="8">IF(ISERROR(C72/C$80),"--",C72/C$80)</f>
        <v>--</v>
      </c>
      <c r="E72" s="194" t="str">
        <f>_xll.BDP(Ticker,"BS_YEAR_2_PRINCIPAL","EQY_FUND_RELATIVE_PERIOD",E$11,"EQY_FUND_CRNCY",$K$7,"EQY_CONSOLIDATED",$G$9,"ACCOUNTING_STANDARD_OVERRIDE",$G$7,"Fill=--")</f>
        <v>--</v>
      </c>
      <c r="F72" s="167" t="str">
        <f t="shared" si="8"/>
        <v>--</v>
      </c>
      <c r="G72" s="194" t="str">
        <f>_xll.BDP(Ticker,"BS_YEAR_2_PRINCIPAL","EQY_FUND_RELATIVE_PERIOD",G$11,"EQY_FUND_CRNCY",$K$7,"EQY_CONSOLIDATED",$G$9,"ACCOUNTING_STANDARD_OVERRIDE",$G$7,"Fill=--")</f>
        <v>--</v>
      </c>
      <c r="H72" s="167" t="str">
        <f t="shared" si="5"/>
        <v>--</v>
      </c>
      <c r="I72" s="194" t="str">
        <f>_xll.BDP(Ticker,"BS_YEAR_2_PRINCIPAL","EQY_FUND_RELATIVE_PERIOD",I$11,"EQY_FUND_CRNCY",$K$7,"EQY_CONSOLIDATED",$G$9,"ACCOUNTING_STANDARD_OVERRIDE",$G$7,"Fill=--")</f>
        <v>--</v>
      </c>
      <c r="J72" s="167" t="str">
        <f t="shared" si="6"/>
        <v>--</v>
      </c>
      <c r="K72" s="194">
        <f>_xll.BDP(Ticker,"BS_YEAR_2_PRINCIPAL","EQY_FUND_RELATIVE_PERIOD",K$11,"EQY_FUND_CRNCY",$K$7,"EQY_CONSOLIDATED",$G$9,"ACCOUNTING_STANDARD_OVERRIDE",$G$7,"Fill=--")</f>
        <v>844</v>
      </c>
      <c r="L72" s="167">
        <f t="shared" si="7"/>
        <v>8.5607059539507049E-2</v>
      </c>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row>
    <row r="73" spans="1:36" ht="15" customHeight="1">
      <c r="A73" s="112"/>
      <c r="B73" s="176" t="s">
        <v>231</v>
      </c>
      <c r="C73" s="194" t="str">
        <f>_xll.BDP(Ticker,"BS_YEAR_3_PRINCIPAL","EQY_FUND_RELATIVE_PERIOD",C$11,"EQY_FUND_CRNCY",$K$7,"EQY_CONSOLIDATED",$G$9,"ACCOUNTING_STANDARD_OVERRIDE",$G$7,"Fill=--")</f>
        <v>--</v>
      </c>
      <c r="D73" s="167" t="str">
        <f t="shared" si="8"/>
        <v>--</v>
      </c>
      <c r="E73" s="194" t="str">
        <f>_xll.BDP(Ticker,"BS_YEAR_3_PRINCIPAL","EQY_FUND_RELATIVE_PERIOD",E$11,"EQY_FUND_CRNCY",$K$7,"EQY_CONSOLIDATED",$G$9,"ACCOUNTING_STANDARD_OVERRIDE",$G$7,"Fill=--")</f>
        <v>--</v>
      </c>
      <c r="F73" s="167" t="str">
        <f t="shared" si="8"/>
        <v>--</v>
      </c>
      <c r="G73" s="194" t="str">
        <f>_xll.BDP(Ticker,"BS_YEAR_3_PRINCIPAL","EQY_FUND_RELATIVE_PERIOD",G$11,"EQY_FUND_CRNCY",$K$7,"EQY_CONSOLIDATED",$G$9,"ACCOUNTING_STANDARD_OVERRIDE",$G$7,"Fill=--")</f>
        <v>--</v>
      </c>
      <c r="H73" s="167" t="str">
        <f t="shared" si="5"/>
        <v>--</v>
      </c>
      <c r="I73" s="194" t="str">
        <f>_xll.BDP(Ticker,"BS_YEAR_3_PRINCIPAL","EQY_FUND_RELATIVE_PERIOD",I$11,"EQY_FUND_CRNCY",$K$7,"EQY_CONSOLIDATED",$G$9,"ACCOUNTING_STANDARD_OVERRIDE",$G$7,"Fill=--")</f>
        <v>--</v>
      </c>
      <c r="J73" s="167" t="str">
        <f t="shared" si="6"/>
        <v>--</v>
      </c>
      <c r="K73" s="194">
        <f>_xll.BDP(Ticker,"BS_YEAR_3_PRINCIPAL","EQY_FUND_RELATIVE_PERIOD",K$11,"EQY_FUND_CRNCY",$K$7,"EQY_CONSOLIDATED",$G$9,"ACCOUNTING_STANDARD_OVERRIDE",$G$7,"Fill=--")</f>
        <v>750</v>
      </c>
      <c r="L73" s="167">
        <f t="shared" si="7"/>
        <v>7.6072623998377123E-2</v>
      </c>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row>
    <row r="74" spans="1:36" ht="15" customHeight="1">
      <c r="A74" s="112"/>
      <c r="B74" s="176" t="s">
        <v>232</v>
      </c>
      <c r="C74" s="194" t="str">
        <f>_xll.BDP(Ticker,"BS_YEAR_4_PRINCIPAL","EQY_FUND_RELATIVE_PERIOD",C$11,"EQY_FUND_CRNCY",$K$7,"EQY_CONSOLIDATED",$G$9,"ACCOUNTING_STANDARD_OVERRIDE",$G$7,"Fill=--")</f>
        <v>--</v>
      </c>
      <c r="D74" s="167" t="str">
        <f t="shared" si="8"/>
        <v>--</v>
      </c>
      <c r="E74" s="194" t="str">
        <f>_xll.BDP(Ticker,"BS_YEAR_4_PRINCIPAL","EQY_FUND_RELATIVE_PERIOD",E$11,"EQY_FUND_CRNCY",$K$7,"EQY_CONSOLIDATED",$G$9,"ACCOUNTING_STANDARD_OVERRIDE",$G$7,"Fill=--")</f>
        <v>--</v>
      </c>
      <c r="F74" s="167" t="str">
        <f t="shared" si="8"/>
        <v>--</v>
      </c>
      <c r="G74" s="194" t="str">
        <f>_xll.BDP(Ticker,"BS_YEAR_4_PRINCIPAL","EQY_FUND_RELATIVE_PERIOD",G$11,"EQY_FUND_CRNCY",$K$7,"EQY_CONSOLIDATED",$G$9,"ACCOUNTING_STANDARD_OVERRIDE",$G$7,"Fill=--")</f>
        <v>--</v>
      </c>
      <c r="H74" s="167" t="str">
        <f t="shared" si="5"/>
        <v>--</v>
      </c>
      <c r="I74" s="194" t="str">
        <f>_xll.BDP(Ticker,"BS_YEAR_4_PRINCIPAL","EQY_FUND_RELATIVE_PERIOD",I$11,"EQY_FUND_CRNCY",$K$7,"EQY_CONSOLIDATED",$G$9,"ACCOUNTING_STANDARD_OVERRIDE",$G$7,"Fill=--")</f>
        <v>--</v>
      </c>
      <c r="J74" s="167" t="str">
        <f t="shared" si="6"/>
        <v>--</v>
      </c>
      <c r="K74" s="194">
        <f>_xll.BDP(Ticker,"BS_YEAR_4_PRINCIPAL","EQY_FUND_RELATIVE_PERIOD",K$11,"EQY_FUND_CRNCY",$K$7,"EQY_CONSOLIDATED",$G$9,"ACCOUNTING_STANDARD_OVERRIDE",$G$7,"Fill=--")</f>
        <v>0</v>
      </c>
      <c r="L74" s="167">
        <f t="shared" si="7"/>
        <v>0</v>
      </c>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row>
    <row r="75" spans="1:36" ht="15" customHeight="1">
      <c r="A75" s="112"/>
      <c r="B75" s="176" t="s">
        <v>233</v>
      </c>
      <c r="C75" s="194" t="str">
        <f>_xll.BDP(Ticker,"BS_YEAR_5_PRINCIPAL","EQY_FUND_RELATIVE_PERIOD",C$11,"EQY_FUND_CRNCY",$K$7,"EQY_CONSOLIDATED",$G$9,"ACCOUNTING_STANDARD_OVERRIDE",$G$7,"Fill=--")</f>
        <v>--</v>
      </c>
      <c r="D75" s="167" t="str">
        <f t="shared" si="8"/>
        <v>--</v>
      </c>
      <c r="E75" s="194" t="str">
        <f>_xll.BDP(Ticker,"BS_YEAR_5_PRINCIPAL","EQY_FUND_RELATIVE_PERIOD",E$11,"EQY_FUND_CRNCY",$K$7,"EQY_CONSOLIDATED",$G$9,"ACCOUNTING_STANDARD_OVERRIDE",$G$7,"Fill=--")</f>
        <v>--</v>
      </c>
      <c r="F75" s="167" t="str">
        <f t="shared" si="8"/>
        <v>--</v>
      </c>
      <c r="G75" s="194" t="str">
        <f>_xll.BDP(Ticker,"BS_YEAR_5_PRINCIPAL","EQY_FUND_RELATIVE_PERIOD",G$11,"EQY_FUND_CRNCY",$K$7,"EQY_CONSOLIDATED",$G$9,"ACCOUNTING_STANDARD_OVERRIDE",$G$7,"Fill=--")</f>
        <v>--</v>
      </c>
      <c r="H75" s="167" t="str">
        <f t="shared" si="5"/>
        <v>--</v>
      </c>
      <c r="I75" s="194" t="str">
        <f>_xll.BDP(Ticker,"BS_YEAR_5_PRINCIPAL","EQY_FUND_RELATIVE_PERIOD",I$11,"EQY_FUND_CRNCY",$K$7,"EQY_CONSOLIDATED",$G$9,"ACCOUNTING_STANDARD_OVERRIDE",$G$7,"Fill=--")</f>
        <v>--</v>
      </c>
      <c r="J75" s="167" t="str">
        <f t="shared" si="6"/>
        <v>--</v>
      </c>
      <c r="K75" s="194">
        <f>_xll.BDP(Ticker,"BS_YEAR_5_PRINCIPAL","EQY_FUND_RELATIVE_PERIOD",K$11,"EQY_FUND_CRNCY",$K$7,"EQY_CONSOLIDATED",$G$9,"ACCOUNTING_STANDARD_OVERRIDE",$G$7,"Fill=--")</f>
        <v>630</v>
      </c>
      <c r="L75" s="167">
        <f t="shared" si="7"/>
        <v>6.3901004158636782E-2</v>
      </c>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row>
    <row r="76" spans="1:36" ht="15" customHeight="1">
      <c r="A76" s="112"/>
      <c r="B76" s="176" t="s">
        <v>234</v>
      </c>
      <c r="C76" s="194">
        <f>_xll.BDP(Ticker,"BS_DEBT_SCHEDULE_YR_2_3","EQY_FUND_RELATIVE_PERIOD",C$11,"EQY_FUND_CRNCY",$K$7,"EQY_CONSOLIDATED",$G$9,"ACCOUNTING_STANDARD_OVERRIDE",$G$7,"Fill=--")</f>
        <v>750</v>
      </c>
      <c r="D76" s="167">
        <f t="shared" si="8"/>
        <v>0.18877422602567329</v>
      </c>
      <c r="E76" s="194">
        <f>_xll.BDP(Ticker,"BS_DEBT_SCHEDULE_YR_2_3","EQY_FUND_RELATIVE_PERIOD",E$11,"EQY_FUND_CRNCY",$K$7,"EQY_CONSOLIDATED",$G$9,"ACCOUNTING_STANDARD_OVERRIDE",$G$7,"Fill=--")</f>
        <v>600</v>
      </c>
      <c r="F76" s="167">
        <f t="shared" si="8"/>
        <v>0.15007503751875939</v>
      </c>
      <c r="G76" s="194">
        <f>_xll.BDP(Ticker,"BS_DEBT_SCHEDULE_YR_2_3","EQY_FUND_RELATIVE_PERIOD",G$11,"EQY_FUND_CRNCY",$K$7,"EQY_CONSOLIDATED",$G$9,"ACCOUNTING_STANDARD_OVERRIDE",$G$7,"Fill=--")</f>
        <v>1352</v>
      </c>
      <c r="H76" s="167">
        <f t="shared" si="5"/>
        <v>0.19554527046572173</v>
      </c>
      <c r="I76" s="194">
        <f>_xll.BDP(Ticker,"BS_DEBT_SCHEDULE_YR_2_3","EQY_FUND_RELATIVE_PERIOD",I$11,"EQY_FUND_CRNCY",$K$7,"EQY_CONSOLIDATED",$G$9,"ACCOUNTING_STANDARD_OVERRIDE",$G$7,"Fill=--")</f>
        <v>1750</v>
      </c>
      <c r="J76" s="167">
        <f t="shared" si="6"/>
        <v>0.24231514815840488</v>
      </c>
      <c r="K76" s="194">
        <f>_xll.BDP(Ticker,"BS_DEBT_SCHEDULE_YR_2_3","EQY_FUND_RELATIVE_PERIOD",K$11,"EQY_FUND_CRNCY",$K$7,"EQY_CONSOLIDATED",$G$9,"ACCOUNTING_STANDARD_OVERRIDE",$G$7,"Fill=--")</f>
        <v>1594</v>
      </c>
      <c r="L76" s="167">
        <f t="shared" si="7"/>
        <v>0.16167968353788417</v>
      </c>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row>
    <row r="77" spans="1:36" ht="15" customHeight="1">
      <c r="A77" s="112"/>
      <c r="B77" s="176" t="s">
        <v>235</v>
      </c>
      <c r="C77" s="194">
        <f>_xll.BDP(Ticker,"BS_DEBT_SCHEDULE_YR_4_5","EQY_FUND_RELATIVE_PERIOD",C$11,"EQY_FUND_CRNCY",$K$7,"EQY_CONSOLIDATED",$G$9,"ACCOUNTING_STANDARD_OVERRIDE",$G$7,"Fill=--")</f>
        <v>600</v>
      </c>
      <c r="D77" s="167">
        <f t="shared" si="8"/>
        <v>0.15101938082053865</v>
      </c>
      <c r="E77" s="194">
        <f>_xll.BDP(Ticker,"BS_DEBT_SCHEDULE_YR_4_5","EQY_FUND_RELATIVE_PERIOD",E$11,"EQY_FUND_CRNCY",$K$7,"EQY_CONSOLIDATED",$G$9,"ACCOUNTING_STANDARD_OVERRIDE",$G$7,"Fill=--")</f>
        <v>500</v>
      </c>
      <c r="F77" s="167">
        <f t="shared" si="8"/>
        <v>0.12506253126563283</v>
      </c>
      <c r="G77" s="194">
        <f>_xll.BDP(Ticker,"BS_DEBT_SCHEDULE_YR_4_5","EQY_FUND_RELATIVE_PERIOD",G$11,"EQY_FUND_CRNCY",$K$7,"EQY_CONSOLIDATED",$G$9,"ACCOUNTING_STANDARD_OVERRIDE",$G$7,"Fill=--")</f>
        <v>1250</v>
      </c>
      <c r="H77" s="167">
        <f t="shared" si="5"/>
        <v>0.18079259473531964</v>
      </c>
      <c r="I77" s="194">
        <f>_xll.BDP(Ticker,"BS_DEBT_SCHEDULE_YR_4_5","EQY_FUND_RELATIVE_PERIOD",I$11,"EQY_FUND_CRNCY",$K$7,"EQY_CONSOLIDATED",$G$9,"ACCOUNTING_STANDARD_OVERRIDE",$G$7,"Fill=--")</f>
        <v>750</v>
      </c>
      <c r="J77" s="167">
        <f t="shared" si="6"/>
        <v>0.10384934921074494</v>
      </c>
      <c r="K77" s="194">
        <f>_xll.BDP(Ticker,"BS_DEBT_SCHEDULE_YR_4_5","EQY_FUND_RELATIVE_PERIOD",K$11,"EQY_FUND_CRNCY",$K$7,"EQY_CONSOLIDATED",$G$9,"ACCOUNTING_STANDARD_OVERRIDE",$G$7,"Fill=--")</f>
        <v>630</v>
      </c>
      <c r="L77" s="167">
        <f t="shared" si="7"/>
        <v>6.3901004158636782E-2</v>
      </c>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row>
    <row r="78" spans="1:36" ht="15" customHeight="1">
      <c r="A78" s="112"/>
      <c r="B78" s="176" t="s">
        <v>236</v>
      </c>
      <c r="C78" s="194">
        <f>_xll.BDP(Ticker,"BS_DEBT_SCHEDULE_YR_2_5","EQY_FUND_RELATIVE_PERIOD",C$11,"EQY_FUND_CRNCY",$K$7,"EQY_CONSOLIDATED",$G$9,"ACCOUNTING_STANDARD_OVERRIDE",$G$7,"Fill=--")</f>
        <v>1350</v>
      </c>
      <c r="D78" s="167">
        <f t="shared" si="8"/>
        <v>0.3397936068462119</v>
      </c>
      <c r="E78" s="194">
        <f>_xll.BDP(Ticker,"BS_DEBT_SCHEDULE_YR_2_5","EQY_FUND_RELATIVE_PERIOD",E$11,"EQY_FUND_CRNCY",$K$7,"EQY_CONSOLIDATED",$G$9,"ACCOUNTING_STANDARD_OVERRIDE",$G$7,"Fill=--")</f>
        <v>1100</v>
      </c>
      <c r="F78" s="167">
        <f t="shared" si="8"/>
        <v>0.27513756878439222</v>
      </c>
      <c r="G78" s="194">
        <f>_xll.BDP(Ticker,"BS_DEBT_SCHEDULE_YR_2_5","EQY_FUND_RELATIVE_PERIOD",G$11,"EQY_FUND_CRNCY",$K$7,"EQY_CONSOLIDATED",$G$9,"ACCOUNTING_STANDARD_OVERRIDE",$G$7,"Fill=--")</f>
        <v>2602</v>
      </c>
      <c r="H78" s="167">
        <f t="shared" si="5"/>
        <v>0.37633786520104134</v>
      </c>
      <c r="I78" s="194">
        <f>_xll.BDP(Ticker,"BS_DEBT_SCHEDULE_YR_2_5","EQY_FUND_RELATIVE_PERIOD",I$11,"EQY_FUND_CRNCY",$K$7,"EQY_CONSOLIDATED",$G$9,"ACCOUNTING_STANDARD_OVERRIDE",$G$7,"Fill=--")</f>
        <v>2500</v>
      </c>
      <c r="J78" s="167">
        <f t="shared" si="6"/>
        <v>0.34616449736914984</v>
      </c>
      <c r="K78" s="194">
        <f>_xll.BDP(Ticker,"BS_DEBT_SCHEDULE_YR_2_5","EQY_FUND_RELATIVE_PERIOD",K$11,"EQY_FUND_CRNCY",$K$7,"EQY_CONSOLIDATED",$G$9,"ACCOUNTING_STANDARD_OVERRIDE",$G$7,"Fill=--")</f>
        <v>2224</v>
      </c>
      <c r="L78" s="167">
        <f t="shared" si="7"/>
        <v>0.22558068769652095</v>
      </c>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row>
    <row r="79" spans="1:36" ht="15" customHeight="1">
      <c r="A79" s="112"/>
      <c r="B79" s="176" t="s">
        <v>237</v>
      </c>
      <c r="C79" s="194">
        <f>_xll.BDP(Ticker,"BS_BEYOND_YEAR_5_PRINCIPAL","EQY_FUND_RELATIVE_PERIOD",C$11,"EQY_FUND_CRNCY",$K$7,"EQY_CONSOLIDATED",$G$9,"ACCOUNTING_STANDARD_OVERRIDE",$G$7,"Fill=--")</f>
        <v>1902</v>
      </c>
      <c r="D79" s="167">
        <f t="shared" si="8"/>
        <v>0.4787314372011075</v>
      </c>
      <c r="E79" s="194">
        <f>_xll.BDP(Ticker,"BS_BEYOND_YEAR_5_PRINCIPAL","EQY_FUND_RELATIVE_PERIOD",E$11,"EQY_FUND_CRNCY",$K$7,"EQY_CONSOLIDATED",$G$9,"ACCOUNTING_STANDARD_OVERRIDE",$G$7,"Fill=--")</f>
        <v>2153</v>
      </c>
      <c r="F79" s="167">
        <f t="shared" si="8"/>
        <v>0.53851925962981495</v>
      </c>
      <c r="G79" s="194">
        <f>_xll.BDP(Ticker,"BS_BEYOND_YEAR_5_PRINCIPAL","EQY_FUND_RELATIVE_PERIOD",G$11,"EQY_FUND_CRNCY",$K$7,"EQY_CONSOLIDATED",$G$9,"ACCOUNTING_STANDARD_OVERRIDE",$G$7,"Fill=--")</f>
        <v>4150</v>
      </c>
      <c r="H79" s="167">
        <f t="shared" si="5"/>
        <v>0.60023141452126116</v>
      </c>
      <c r="I79" s="194">
        <f>_xll.BDP(Ticker,"BS_BEYOND_YEAR_5_PRINCIPAL","EQY_FUND_RELATIVE_PERIOD",I$11,"EQY_FUND_CRNCY",$K$7,"EQY_CONSOLIDATED",$G$9,"ACCOUNTING_STANDARD_OVERRIDE",$G$7,"Fill=--")</f>
        <v>4150</v>
      </c>
      <c r="J79" s="167">
        <f t="shared" si="6"/>
        <v>0.57463306563278871</v>
      </c>
      <c r="K79" s="194">
        <f>_xll.BDP(Ticker,"BS_BEYOND_YEAR_5_PRINCIPAL","EQY_FUND_RELATIVE_PERIOD",K$11,"EQY_FUND_CRNCY",$K$7,"EQY_CONSOLIDATED",$G$9,"ACCOUNTING_STANDARD_OVERRIDE",$G$7,"Fill=--")</f>
        <v>6355</v>
      </c>
      <c r="L79" s="167">
        <f t="shared" si="7"/>
        <v>0.64458870067958207</v>
      </c>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row>
    <row r="80" spans="1:36" s="179" customFormat="1" ht="15" customHeight="1">
      <c r="A80" s="177"/>
      <c r="B80" s="178" t="s">
        <v>238</v>
      </c>
      <c r="C80" s="195">
        <f>_xll.BDP(Ticker,"ARDR_DEBT_SCHEDULE_TOTAL_DEBT","EQY_FUND_RELATIVE_PERIOD",C$11,"EQY_FUND_CRNCY",$K$7,"EQY_CONSOLIDATED",$G$9,"ACCOUNTING_STANDARD_OVERRIDE",$G$7,"Fill=--")</f>
        <v>3973</v>
      </c>
      <c r="D80" s="171">
        <f t="shared" si="8"/>
        <v>1</v>
      </c>
      <c r="E80" s="195">
        <f>_xll.BDP(Ticker,"ARDR_DEBT_SCHEDULE_TOTAL_DEBT","EQY_FUND_RELATIVE_PERIOD",E$11,"EQY_FUND_CRNCY",$K$7,"EQY_CONSOLIDATED",$G$9,"ACCOUNTING_STANDARD_OVERRIDE",$G$7,"Fill=--")</f>
        <v>3998</v>
      </c>
      <c r="F80" s="171">
        <f t="shared" si="8"/>
        <v>1</v>
      </c>
      <c r="G80" s="195">
        <f>_xll.BDP(Ticker,"ARDR_DEBT_SCHEDULE_TOTAL_DEBT","EQY_FUND_RELATIVE_PERIOD",G$11,"EQY_FUND_CRNCY",$K$7,"EQY_CONSOLIDATED",$G$9,"ACCOUNTING_STANDARD_OVERRIDE",$G$7,"Fill=--")</f>
        <v>6914</v>
      </c>
      <c r="H80" s="171">
        <f t="shared" si="5"/>
        <v>1</v>
      </c>
      <c r="I80" s="195">
        <f>_xll.BDP(Ticker,"ARDR_DEBT_SCHEDULE_TOTAL_DEBT","EQY_FUND_RELATIVE_PERIOD",I$11,"EQY_FUND_CRNCY",$K$7,"EQY_CONSOLIDATED",$G$9,"ACCOUNTING_STANDARD_OVERRIDE",$G$7,"Fill=--")</f>
        <v>7222</v>
      </c>
      <c r="J80" s="171">
        <f t="shared" si="6"/>
        <v>1</v>
      </c>
      <c r="K80" s="195">
        <f>_xll.BDP(Ticker,"ARDR_DEBT_SCHEDULE_TOTAL_DEBT","EQY_FUND_RELATIVE_PERIOD",K$11,"EQY_FUND_CRNCY",$K$7,"EQY_CONSOLIDATED",$G$9,"ACCOUNTING_STANDARD_OVERRIDE",$G$7,"Fill=--")</f>
        <v>9859</v>
      </c>
      <c r="L80" s="171">
        <f t="shared" si="7"/>
        <v>1</v>
      </c>
      <c r="M80" s="177"/>
      <c r="N80" s="177"/>
      <c r="O80" s="177"/>
      <c r="P80" s="177"/>
      <c r="Q80" s="177"/>
      <c r="R80" s="177"/>
      <c r="S80" s="177"/>
      <c r="T80" s="177"/>
      <c r="U80" s="177"/>
      <c r="V80" s="177"/>
      <c r="W80" s="177"/>
      <c r="X80" s="177"/>
      <c r="Y80" s="177"/>
      <c r="Z80" s="177"/>
      <c r="AA80" s="177"/>
      <c r="AB80" s="177"/>
      <c r="AC80" s="177"/>
      <c r="AD80" s="177"/>
      <c r="AE80" s="177"/>
      <c r="AF80" s="177"/>
      <c r="AG80" s="177"/>
      <c r="AH80" s="177"/>
      <c r="AI80" s="177"/>
      <c r="AJ80" s="177"/>
    </row>
    <row r="81" spans="1:36" ht="15" customHeight="1">
      <c r="A81" s="112"/>
      <c r="B81" s="166"/>
      <c r="C81" s="168"/>
      <c r="D81" s="165"/>
      <c r="E81" s="168"/>
      <c r="F81" s="165"/>
      <c r="G81" s="168"/>
      <c r="H81" s="165"/>
      <c r="I81" s="168"/>
      <c r="J81" s="165"/>
      <c r="K81" s="168"/>
      <c r="L81" s="165"/>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row>
    <row r="82" spans="1:36" ht="15" customHeight="1">
      <c r="A82" s="112"/>
      <c r="B82" s="169" t="s">
        <v>240</v>
      </c>
      <c r="C82" s="168"/>
      <c r="D82" s="180"/>
      <c r="E82" s="168"/>
      <c r="F82" s="180"/>
      <c r="G82" s="168"/>
      <c r="H82" s="180"/>
      <c r="I82" s="168"/>
      <c r="J82" s="180"/>
      <c r="K82" s="168"/>
      <c r="L82" s="165"/>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row>
    <row r="83" spans="1:36" ht="15" customHeight="1">
      <c r="A83" s="112"/>
      <c r="B83" s="181" t="s">
        <v>241</v>
      </c>
      <c r="C83" s="194" t="str">
        <f>_xll.BDP(Ticker,"BS_CAPITAL_LEASE_YR_1","EQY_FUND_RELATIVE_PERIOD",C$11,"EQY_FUND_CRNCY",$K$7,"EQY_CONSOLIDATED",$G$9,"ACCOUNTING_STANDARD_OVERRIDE",$G$7,"Fill=--")</f>
        <v>--</v>
      </c>
      <c r="D83" s="167" t="str">
        <f>IF(ISERROR(C83/C$92),"--",C83/C$92)</f>
        <v>--</v>
      </c>
      <c r="E83" s="194" t="str">
        <f>_xll.BDP(Ticker,"BS_CAPITAL_LEASE_YR_1","EQY_FUND_RELATIVE_PERIOD",E$11,"EQY_FUND_CRNCY",$K$7,"EQY_CONSOLIDATED",$G$9,"ACCOUNTING_STANDARD_OVERRIDE",$G$7,"Fill=--")</f>
        <v>--</v>
      </c>
      <c r="F83" s="167" t="str">
        <f>IF(ISERROR(E83/E$92),"--",E83/E$92)</f>
        <v>--</v>
      </c>
      <c r="G83" s="194" t="str">
        <f>_xll.BDP(Ticker,"BS_CAPITAL_LEASE_YR_1","EQY_FUND_RELATIVE_PERIOD",G$11,"EQY_FUND_CRNCY",$K$7,"EQY_CONSOLIDATED",$G$9,"ACCOUNTING_STANDARD_OVERRIDE",$G$7,"Fill=--")</f>
        <v>--</v>
      </c>
      <c r="H83" s="167" t="str">
        <f t="shared" ref="H83:H92" si="9">IF(ISERROR(G83/G$92),"--",G83/G$92)</f>
        <v>--</v>
      </c>
      <c r="I83" s="194" t="str">
        <f>_xll.BDP(Ticker,"BS_CAPITAL_LEASE_YR_1","EQY_FUND_RELATIVE_PERIOD",I$11,"EQY_FUND_CRNCY",$K$7,"EQY_CONSOLIDATED",$G$9,"ACCOUNTING_STANDARD_OVERRIDE",$G$7,"Fill=--")</f>
        <v>--</v>
      </c>
      <c r="J83" s="167" t="str">
        <f t="shared" ref="J83:J92" si="10">IF(ISERROR(I83/I$92),"--",I83/I$92)</f>
        <v>--</v>
      </c>
      <c r="K83" s="194" t="str">
        <f>_xll.BDP(Ticker,"BS_CAPITAL_LEASE_YR_1","EQY_FUND_RELATIVE_PERIOD",K$11,"EQY_FUND_CRNCY",$K$7,"EQY_CONSOLIDATED",$G$9,"ACCOUNTING_STANDARD_OVERRIDE",$G$7,"Fill=--")</f>
        <v>--</v>
      </c>
      <c r="L83" s="167" t="str">
        <f t="shared" ref="L83:L92" si="11">IF(ISERROR(K83/K$92),"--",K83/K$92)</f>
        <v>--</v>
      </c>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row>
    <row r="84" spans="1:36" ht="15" customHeight="1">
      <c r="A84" s="112"/>
      <c r="B84" s="181" t="s">
        <v>242</v>
      </c>
      <c r="C84" s="194" t="str">
        <f>_xll.BDP(Ticker,"BS_CAPITAL_LEASE_YR_2","EQY_FUND_RELATIVE_PERIOD",C$11,"EQY_FUND_CRNCY",$K$7,"EQY_CONSOLIDATED",$G$9,"ACCOUNTING_STANDARD_OVERRIDE",$G$7,"Fill=--")</f>
        <v>--</v>
      </c>
      <c r="D84" s="167" t="str">
        <f t="shared" ref="D84:F92" si="12">IF(ISERROR(C84/C$92),"--",C84/C$92)</f>
        <v>--</v>
      </c>
      <c r="E84" s="194" t="str">
        <f>_xll.BDP(Ticker,"BS_CAPITAL_LEASE_YR_2","EQY_FUND_RELATIVE_PERIOD",E$11,"EQY_FUND_CRNCY",$K$7,"EQY_CONSOLIDATED",$G$9,"ACCOUNTING_STANDARD_OVERRIDE",$G$7,"Fill=--")</f>
        <v>--</v>
      </c>
      <c r="F84" s="167" t="str">
        <f t="shared" si="12"/>
        <v>--</v>
      </c>
      <c r="G84" s="194" t="str">
        <f>_xll.BDP(Ticker,"BS_CAPITAL_LEASE_YR_2","EQY_FUND_RELATIVE_PERIOD",G$11,"EQY_FUND_CRNCY",$K$7,"EQY_CONSOLIDATED",$G$9,"ACCOUNTING_STANDARD_OVERRIDE",$G$7,"Fill=--")</f>
        <v>--</v>
      </c>
      <c r="H84" s="167" t="str">
        <f t="shared" si="9"/>
        <v>--</v>
      </c>
      <c r="I84" s="194" t="str">
        <f>_xll.BDP(Ticker,"BS_CAPITAL_LEASE_YR_2","EQY_FUND_RELATIVE_PERIOD",I$11,"EQY_FUND_CRNCY",$K$7,"EQY_CONSOLIDATED",$G$9,"ACCOUNTING_STANDARD_OVERRIDE",$G$7,"Fill=--")</f>
        <v>--</v>
      </c>
      <c r="J84" s="167" t="str">
        <f t="shared" si="10"/>
        <v>--</v>
      </c>
      <c r="K84" s="194" t="str">
        <f>_xll.BDP(Ticker,"BS_CAPITAL_LEASE_YR_2","EQY_FUND_RELATIVE_PERIOD",K$11,"EQY_FUND_CRNCY",$K$7,"EQY_CONSOLIDATED",$G$9,"ACCOUNTING_STANDARD_OVERRIDE",$G$7,"Fill=--")</f>
        <v>--</v>
      </c>
      <c r="L84" s="167" t="str">
        <f t="shared" si="11"/>
        <v>--</v>
      </c>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row>
    <row r="85" spans="1:36" ht="15" customHeight="1">
      <c r="A85" s="112"/>
      <c r="B85" s="181" t="s">
        <v>243</v>
      </c>
      <c r="C85" s="194" t="str">
        <f>_xll.BDP(Ticker,"BS_CAPITAL_LEASE_YR_3","EQY_FUND_RELATIVE_PERIOD",C$11,"EQY_FUND_CRNCY",$K$7,"EQY_CONSOLIDATED",$G$9,"ACCOUNTING_STANDARD_OVERRIDE",$G$7,"Fill=--")</f>
        <v>--</v>
      </c>
      <c r="D85" s="167" t="str">
        <f t="shared" si="12"/>
        <v>--</v>
      </c>
      <c r="E85" s="194" t="str">
        <f>_xll.BDP(Ticker,"BS_CAPITAL_LEASE_YR_3","EQY_FUND_RELATIVE_PERIOD",E$11,"EQY_FUND_CRNCY",$K$7,"EQY_CONSOLIDATED",$G$9,"ACCOUNTING_STANDARD_OVERRIDE",$G$7,"Fill=--")</f>
        <v>--</v>
      </c>
      <c r="F85" s="167" t="str">
        <f t="shared" si="12"/>
        <v>--</v>
      </c>
      <c r="G85" s="194" t="str">
        <f>_xll.BDP(Ticker,"BS_CAPITAL_LEASE_YR_3","EQY_FUND_RELATIVE_PERIOD",G$11,"EQY_FUND_CRNCY",$K$7,"EQY_CONSOLIDATED",$G$9,"ACCOUNTING_STANDARD_OVERRIDE",$G$7,"Fill=--")</f>
        <v>--</v>
      </c>
      <c r="H85" s="167" t="str">
        <f t="shared" si="9"/>
        <v>--</v>
      </c>
      <c r="I85" s="194" t="str">
        <f>_xll.BDP(Ticker,"BS_CAPITAL_LEASE_YR_3","EQY_FUND_RELATIVE_PERIOD",I$11,"EQY_FUND_CRNCY",$K$7,"EQY_CONSOLIDATED",$G$9,"ACCOUNTING_STANDARD_OVERRIDE",$G$7,"Fill=--")</f>
        <v>--</v>
      </c>
      <c r="J85" s="167" t="str">
        <f t="shared" si="10"/>
        <v>--</v>
      </c>
      <c r="K85" s="194" t="str">
        <f>_xll.BDP(Ticker,"BS_CAPITAL_LEASE_YR_3","EQY_FUND_RELATIVE_PERIOD",K$11,"EQY_FUND_CRNCY",$K$7,"EQY_CONSOLIDATED",$G$9,"ACCOUNTING_STANDARD_OVERRIDE",$G$7,"Fill=--")</f>
        <v>--</v>
      </c>
      <c r="L85" s="167" t="str">
        <f t="shared" si="11"/>
        <v>--</v>
      </c>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row>
    <row r="86" spans="1:36" ht="15" customHeight="1">
      <c r="A86" s="112"/>
      <c r="B86" s="181" t="s">
        <v>244</v>
      </c>
      <c r="C86" s="194" t="str">
        <f>_xll.BDP(Ticker,"BS_CAPITAL_LEASE_YR_4","EQY_FUND_RELATIVE_PERIOD",C$11,"EQY_FUND_CRNCY",$K$7,"EQY_CONSOLIDATED",$G$9,"ACCOUNTING_STANDARD_OVERRIDE",$G$7,"Fill=--")</f>
        <v>--</v>
      </c>
      <c r="D86" s="167" t="str">
        <f t="shared" si="12"/>
        <v>--</v>
      </c>
      <c r="E86" s="194" t="str">
        <f>_xll.BDP(Ticker,"BS_CAPITAL_LEASE_YR_4","EQY_FUND_RELATIVE_PERIOD",E$11,"EQY_FUND_CRNCY",$K$7,"EQY_CONSOLIDATED",$G$9,"ACCOUNTING_STANDARD_OVERRIDE",$G$7,"Fill=--")</f>
        <v>--</v>
      </c>
      <c r="F86" s="167" t="str">
        <f t="shared" si="12"/>
        <v>--</v>
      </c>
      <c r="G86" s="194" t="str">
        <f>_xll.BDP(Ticker,"BS_CAPITAL_LEASE_YR_4","EQY_FUND_RELATIVE_PERIOD",G$11,"EQY_FUND_CRNCY",$K$7,"EQY_CONSOLIDATED",$G$9,"ACCOUNTING_STANDARD_OVERRIDE",$G$7,"Fill=--")</f>
        <v>--</v>
      </c>
      <c r="H86" s="167" t="str">
        <f t="shared" si="9"/>
        <v>--</v>
      </c>
      <c r="I86" s="194" t="str">
        <f>_xll.BDP(Ticker,"BS_CAPITAL_LEASE_YR_4","EQY_FUND_RELATIVE_PERIOD",I$11,"EQY_FUND_CRNCY",$K$7,"EQY_CONSOLIDATED",$G$9,"ACCOUNTING_STANDARD_OVERRIDE",$G$7,"Fill=--")</f>
        <v>--</v>
      </c>
      <c r="J86" s="167" t="str">
        <f t="shared" si="10"/>
        <v>--</v>
      </c>
      <c r="K86" s="194" t="str">
        <f>_xll.BDP(Ticker,"BS_CAPITAL_LEASE_YR_4","EQY_FUND_RELATIVE_PERIOD",K$11,"EQY_FUND_CRNCY",$K$7,"EQY_CONSOLIDATED",$G$9,"ACCOUNTING_STANDARD_OVERRIDE",$G$7,"Fill=--")</f>
        <v>--</v>
      </c>
      <c r="L86" s="167" t="str">
        <f t="shared" si="11"/>
        <v>--</v>
      </c>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row>
    <row r="87" spans="1:36" ht="15" customHeight="1">
      <c r="A87" s="112"/>
      <c r="B87" s="181" t="s">
        <v>245</v>
      </c>
      <c r="C87" s="194" t="str">
        <f>_xll.BDP(Ticker,"BS_CAPITAL_LEASE_YR_5","EQY_FUND_RELATIVE_PERIOD",C$11,"EQY_FUND_CRNCY",$K$7,"EQY_CONSOLIDATED",$G$9,"ACCOUNTING_STANDARD_OVERRIDE",$G$7,"Fill=--")</f>
        <v>--</v>
      </c>
      <c r="D87" s="167" t="str">
        <f t="shared" si="12"/>
        <v>--</v>
      </c>
      <c r="E87" s="194" t="str">
        <f>_xll.BDP(Ticker,"BS_CAPITAL_LEASE_YR_5","EQY_FUND_RELATIVE_PERIOD",E$11,"EQY_FUND_CRNCY",$K$7,"EQY_CONSOLIDATED",$G$9,"ACCOUNTING_STANDARD_OVERRIDE",$G$7,"Fill=--")</f>
        <v>--</v>
      </c>
      <c r="F87" s="167" t="str">
        <f t="shared" si="12"/>
        <v>--</v>
      </c>
      <c r="G87" s="194" t="str">
        <f>_xll.BDP(Ticker,"BS_CAPITAL_LEASE_YR_5","EQY_FUND_RELATIVE_PERIOD",G$11,"EQY_FUND_CRNCY",$K$7,"EQY_CONSOLIDATED",$G$9,"ACCOUNTING_STANDARD_OVERRIDE",$G$7,"Fill=--")</f>
        <v>--</v>
      </c>
      <c r="H87" s="167" t="str">
        <f t="shared" si="9"/>
        <v>--</v>
      </c>
      <c r="I87" s="194" t="str">
        <f>_xll.BDP(Ticker,"BS_CAPITAL_LEASE_YR_5","EQY_FUND_RELATIVE_PERIOD",I$11,"EQY_FUND_CRNCY",$K$7,"EQY_CONSOLIDATED",$G$9,"ACCOUNTING_STANDARD_OVERRIDE",$G$7,"Fill=--")</f>
        <v>--</v>
      </c>
      <c r="J87" s="167" t="str">
        <f t="shared" si="10"/>
        <v>--</v>
      </c>
      <c r="K87" s="194" t="str">
        <f>_xll.BDP(Ticker,"BS_CAPITAL_LEASE_YR_5","EQY_FUND_RELATIVE_PERIOD",K$11,"EQY_FUND_CRNCY",$K$7,"EQY_CONSOLIDATED",$G$9,"ACCOUNTING_STANDARD_OVERRIDE",$G$7,"Fill=--")</f>
        <v>--</v>
      </c>
      <c r="L87" s="167" t="str">
        <f t="shared" si="11"/>
        <v>--</v>
      </c>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row>
    <row r="88" spans="1:36" ht="15" customHeight="1">
      <c r="A88" s="112"/>
      <c r="B88" s="181" t="s">
        <v>246</v>
      </c>
      <c r="C88" s="194" t="str">
        <f>_xll.BDP(Ticker,"BS_CAPITAL_LEASE_YR_2_3","EQY_FUND_RELATIVE_PERIOD",C$11,"EQY_FUND_CRNCY",$K$7,"EQY_CONSOLIDATED",$G$9,"ACCOUNTING_STANDARD_OVERRIDE",$G$7,"Fill=--")</f>
        <v>--</v>
      </c>
      <c r="D88" s="167" t="str">
        <f t="shared" si="12"/>
        <v>--</v>
      </c>
      <c r="E88" s="194" t="str">
        <f>_xll.BDP(Ticker,"BS_CAPITAL_LEASE_YR_2_3","EQY_FUND_RELATIVE_PERIOD",E$11,"EQY_FUND_CRNCY",$K$7,"EQY_CONSOLIDATED",$G$9,"ACCOUNTING_STANDARD_OVERRIDE",$G$7,"Fill=--")</f>
        <v>--</v>
      </c>
      <c r="F88" s="167" t="str">
        <f t="shared" si="12"/>
        <v>--</v>
      </c>
      <c r="G88" s="194" t="str">
        <f>_xll.BDP(Ticker,"BS_CAPITAL_LEASE_YR_2_3","EQY_FUND_RELATIVE_PERIOD",G$11,"EQY_FUND_CRNCY",$K$7,"EQY_CONSOLIDATED",$G$9,"ACCOUNTING_STANDARD_OVERRIDE",$G$7,"Fill=--")</f>
        <v>--</v>
      </c>
      <c r="H88" s="167" t="str">
        <f t="shared" si="9"/>
        <v>--</v>
      </c>
      <c r="I88" s="194" t="str">
        <f>_xll.BDP(Ticker,"BS_CAPITAL_LEASE_YR_2_3","EQY_FUND_RELATIVE_PERIOD",I$11,"EQY_FUND_CRNCY",$K$7,"EQY_CONSOLIDATED",$G$9,"ACCOUNTING_STANDARD_OVERRIDE",$G$7,"Fill=--")</f>
        <v>--</v>
      </c>
      <c r="J88" s="167" t="str">
        <f t="shared" si="10"/>
        <v>--</v>
      </c>
      <c r="K88" s="194" t="str">
        <f>_xll.BDP(Ticker,"BS_CAPITAL_LEASE_YR_2_3","EQY_FUND_RELATIVE_PERIOD",K$11,"EQY_FUND_CRNCY",$K$7,"EQY_CONSOLIDATED",$G$9,"ACCOUNTING_STANDARD_OVERRIDE",$G$7,"Fill=--")</f>
        <v>--</v>
      </c>
      <c r="L88" s="167" t="str">
        <f t="shared" si="11"/>
        <v>--</v>
      </c>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row>
    <row r="89" spans="1:36" ht="15" customHeight="1">
      <c r="A89" s="112"/>
      <c r="B89" s="181" t="s">
        <v>247</v>
      </c>
      <c r="C89" s="194" t="str">
        <f>_xll.BDP(Ticker,"BS_CAPITAL_LEASE_YR_4_5","EQY_FUND_RELATIVE_PERIOD",C$11,"EQY_FUND_CRNCY",$K$7,"EQY_CONSOLIDATED",$G$9,"ACCOUNTING_STANDARD_OVERRIDE",$G$7,"Fill=--")</f>
        <v>--</v>
      </c>
      <c r="D89" s="167" t="str">
        <f t="shared" si="12"/>
        <v>--</v>
      </c>
      <c r="E89" s="194" t="str">
        <f>_xll.BDP(Ticker,"BS_CAPITAL_LEASE_YR_4_5","EQY_FUND_RELATIVE_PERIOD",E$11,"EQY_FUND_CRNCY",$K$7,"EQY_CONSOLIDATED",$G$9,"ACCOUNTING_STANDARD_OVERRIDE",$G$7,"Fill=--")</f>
        <v>--</v>
      </c>
      <c r="F89" s="167" t="str">
        <f t="shared" si="12"/>
        <v>--</v>
      </c>
      <c r="G89" s="194" t="str">
        <f>_xll.BDP(Ticker,"BS_CAPITAL_LEASE_YR_4_5","EQY_FUND_RELATIVE_PERIOD",G$11,"EQY_FUND_CRNCY",$K$7,"EQY_CONSOLIDATED",$G$9,"ACCOUNTING_STANDARD_OVERRIDE",$G$7,"Fill=--")</f>
        <v>--</v>
      </c>
      <c r="H89" s="167" t="str">
        <f t="shared" si="9"/>
        <v>--</v>
      </c>
      <c r="I89" s="194" t="str">
        <f>_xll.BDP(Ticker,"BS_CAPITAL_LEASE_YR_4_5","EQY_FUND_RELATIVE_PERIOD",I$11,"EQY_FUND_CRNCY",$K$7,"EQY_CONSOLIDATED",$G$9,"ACCOUNTING_STANDARD_OVERRIDE",$G$7,"Fill=--")</f>
        <v>--</v>
      </c>
      <c r="J89" s="167" t="str">
        <f t="shared" si="10"/>
        <v>--</v>
      </c>
      <c r="K89" s="194" t="str">
        <f>_xll.BDP(Ticker,"BS_CAPITAL_LEASE_YR_4_5","EQY_FUND_RELATIVE_PERIOD",K$11,"EQY_FUND_CRNCY",$K$7,"EQY_CONSOLIDATED",$G$9,"ACCOUNTING_STANDARD_OVERRIDE",$G$7,"Fill=--")</f>
        <v>--</v>
      </c>
      <c r="L89" s="167" t="str">
        <f t="shared" si="11"/>
        <v>--</v>
      </c>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row>
    <row r="90" spans="1:36" ht="15" customHeight="1">
      <c r="A90" s="112"/>
      <c r="B90" s="181" t="s">
        <v>248</v>
      </c>
      <c r="C90" s="194" t="str">
        <f>_xll.BDP(Ticker,"BS_CAPITAL_LEASE_YR_2_5","EQY_FUND_RELATIVE_PERIOD",C$11,"EQY_FUND_CRNCY",$K$7,"EQY_CONSOLIDATED",$G$9,"ACCOUNTING_STANDARD_OVERRIDE",$G$7,"Fill=--")</f>
        <v>--</v>
      </c>
      <c r="D90" s="167" t="str">
        <f t="shared" si="12"/>
        <v>--</v>
      </c>
      <c r="E90" s="194" t="str">
        <f>_xll.BDP(Ticker,"BS_CAPITAL_LEASE_YR_2_5","EQY_FUND_RELATIVE_PERIOD",E$11,"EQY_FUND_CRNCY",$K$7,"EQY_CONSOLIDATED",$G$9,"ACCOUNTING_STANDARD_OVERRIDE",$G$7,"Fill=--")</f>
        <v>--</v>
      </c>
      <c r="F90" s="167" t="str">
        <f t="shared" si="12"/>
        <v>--</v>
      </c>
      <c r="G90" s="194" t="str">
        <f>_xll.BDP(Ticker,"BS_CAPITAL_LEASE_YR_2_5","EQY_FUND_RELATIVE_PERIOD",G$11,"EQY_FUND_CRNCY",$K$7,"EQY_CONSOLIDATED",$G$9,"ACCOUNTING_STANDARD_OVERRIDE",$G$7,"Fill=--")</f>
        <v>--</v>
      </c>
      <c r="H90" s="167" t="str">
        <f t="shared" si="9"/>
        <v>--</v>
      </c>
      <c r="I90" s="194" t="str">
        <f>_xll.BDP(Ticker,"BS_CAPITAL_LEASE_YR_2_5","EQY_FUND_RELATIVE_PERIOD",I$11,"EQY_FUND_CRNCY",$K$7,"EQY_CONSOLIDATED",$G$9,"ACCOUNTING_STANDARD_OVERRIDE",$G$7,"Fill=--")</f>
        <v>--</v>
      </c>
      <c r="J90" s="167" t="str">
        <f t="shared" si="10"/>
        <v>--</v>
      </c>
      <c r="K90" s="194" t="str">
        <f>_xll.BDP(Ticker,"BS_CAPITAL_LEASE_YR_2_5","EQY_FUND_RELATIVE_PERIOD",K$11,"EQY_FUND_CRNCY",$K$7,"EQY_CONSOLIDATED",$G$9,"ACCOUNTING_STANDARD_OVERRIDE",$G$7,"Fill=--")</f>
        <v>--</v>
      </c>
      <c r="L90" s="167" t="str">
        <f t="shared" si="11"/>
        <v>--</v>
      </c>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row>
    <row r="91" spans="1:36" ht="15" customHeight="1">
      <c r="A91" s="112"/>
      <c r="B91" s="181" t="s">
        <v>249</v>
      </c>
      <c r="C91" s="194" t="str">
        <f>_xll.BDP(Ticker,"BS_CAPITAL_LEASE_BEYOND_YR_5","EQY_FUND_RELATIVE_PERIOD",C$11,"EQY_FUND_CRNCY",$K$7,"EQY_CONSOLIDATED",$G$9,"ACCOUNTING_STANDARD_OVERRIDE",$G$7,"Fill=--")</f>
        <v>--</v>
      </c>
      <c r="D91" s="167" t="str">
        <f t="shared" si="12"/>
        <v>--</v>
      </c>
      <c r="E91" s="194" t="str">
        <f>_xll.BDP(Ticker,"BS_CAPITAL_LEASE_BEYOND_YR_5","EQY_FUND_RELATIVE_PERIOD",E$11,"EQY_FUND_CRNCY",$K$7,"EQY_CONSOLIDATED",$G$9,"ACCOUNTING_STANDARD_OVERRIDE",$G$7,"Fill=--")</f>
        <v>--</v>
      </c>
      <c r="F91" s="167" t="str">
        <f t="shared" si="12"/>
        <v>--</v>
      </c>
      <c r="G91" s="194" t="str">
        <f>_xll.BDP(Ticker,"BS_CAPITAL_LEASE_BEYOND_YR_5","EQY_FUND_RELATIVE_PERIOD",G$11,"EQY_FUND_CRNCY",$K$7,"EQY_CONSOLIDATED",$G$9,"ACCOUNTING_STANDARD_OVERRIDE",$G$7,"Fill=--")</f>
        <v>--</v>
      </c>
      <c r="H91" s="167" t="str">
        <f t="shared" si="9"/>
        <v>--</v>
      </c>
      <c r="I91" s="194" t="str">
        <f>_xll.BDP(Ticker,"BS_CAPITAL_LEASE_BEYOND_YR_5","EQY_FUND_RELATIVE_PERIOD",I$11,"EQY_FUND_CRNCY",$K$7,"EQY_CONSOLIDATED",$G$9,"ACCOUNTING_STANDARD_OVERRIDE",$G$7,"Fill=--")</f>
        <v>--</v>
      </c>
      <c r="J91" s="167" t="str">
        <f t="shared" si="10"/>
        <v>--</v>
      </c>
      <c r="K91" s="194" t="str">
        <f>_xll.BDP(Ticker,"BS_CAPITAL_LEASE_BEYOND_YR_5","EQY_FUND_RELATIVE_PERIOD",K$11,"EQY_FUND_CRNCY",$K$7,"EQY_CONSOLIDATED",$G$9,"ACCOUNTING_STANDARD_OVERRIDE",$G$7,"Fill=--")</f>
        <v>--</v>
      </c>
      <c r="L91" s="167" t="str">
        <f t="shared" si="11"/>
        <v>--</v>
      </c>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row>
    <row r="92" spans="1:36" s="179" customFormat="1" ht="15" customHeight="1">
      <c r="A92" s="177"/>
      <c r="B92" s="182" t="s">
        <v>250</v>
      </c>
      <c r="C92" s="195">
        <f>_xll.BDP(Ticker,"BS_TOTAL_FUT_VAL_CAPITAL_LEASE","EQY_FUND_RELATIVE_PERIOD",C$11,"EQY_FUND_CRNCY",$K$7,"EQY_CONSOLIDATED",$G$9,"ACCOUNTING_STANDARD_OVERRIDE",$G$7,"Fill=--")</f>
        <v>0</v>
      </c>
      <c r="D92" s="171" t="str">
        <f t="shared" si="12"/>
        <v>--</v>
      </c>
      <c r="E92" s="195">
        <f>_xll.BDP(Ticker,"BS_TOTAL_FUT_VAL_CAPITAL_LEASE","EQY_FUND_RELATIVE_PERIOD",E$11,"EQY_FUND_CRNCY",$K$7,"EQY_CONSOLIDATED",$G$9,"ACCOUNTING_STANDARD_OVERRIDE",$G$7,"Fill=--")</f>
        <v>0</v>
      </c>
      <c r="F92" s="171" t="str">
        <f t="shared" si="12"/>
        <v>--</v>
      </c>
      <c r="G92" s="195">
        <f>_xll.BDP(Ticker,"BS_TOTAL_FUT_VAL_CAPITAL_LEASE","EQY_FUND_RELATIVE_PERIOD",G$11,"EQY_FUND_CRNCY",$K$7,"EQY_CONSOLIDATED",$G$9,"ACCOUNTING_STANDARD_OVERRIDE",$G$7,"Fill=--")</f>
        <v>0</v>
      </c>
      <c r="H92" s="171" t="str">
        <f t="shared" si="9"/>
        <v>--</v>
      </c>
      <c r="I92" s="195">
        <f>_xll.BDP(Ticker,"BS_TOTAL_FUT_VAL_CAPITAL_LEASE","EQY_FUND_RELATIVE_PERIOD",I$11,"EQY_FUND_CRNCY",$K$7,"EQY_CONSOLIDATED",$G$9,"ACCOUNTING_STANDARD_OVERRIDE",$G$7,"Fill=--")</f>
        <v>0</v>
      </c>
      <c r="J92" s="171" t="str">
        <f t="shared" si="10"/>
        <v>--</v>
      </c>
      <c r="K92" s="195">
        <f>_xll.BDP(Ticker,"BS_TOTAL_FUT_VAL_CAPITAL_LEASE","EQY_FUND_RELATIVE_PERIOD",K$11,"EQY_FUND_CRNCY",$K$7,"EQY_CONSOLIDATED",$G$9,"ACCOUNTING_STANDARD_OVERRIDE",$G$7,"Fill=--")</f>
        <v>0</v>
      </c>
      <c r="L92" s="171" t="str">
        <f t="shared" si="11"/>
        <v>--</v>
      </c>
      <c r="M92" s="177"/>
      <c r="N92" s="177"/>
      <c r="O92" s="177"/>
      <c r="P92" s="177"/>
      <c r="Q92" s="177"/>
      <c r="R92" s="177"/>
      <c r="S92" s="177"/>
      <c r="T92" s="177"/>
      <c r="U92" s="177"/>
      <c r="V92" s="177"/>
      <c r="W92" s="177"/>
      <c r="X92" s="177"/>
      <c r="Y92" s="177"/>
      <c r="Z92" s="177"/>
      <c r="AA92" s="177"/>
      <c r="AB92" s="177"/>
      <c r="AC92" s="177"/>
      <c r="AD92" s="177"/>
      <c r="AE92" s="177"/>
      <c r="AF92" s="177"/>
      <c r="AG92" s="177"/>
      <c r="AH92" s="177"/>
      <c r="AI92" s="177"/>
      <c r="AJ92" s="177"/>
    </row>
    <row r="93" spans="1:36" ht="15" customHeight="1">
      <c r="A93" s="112"/>
      <c r="B93" s="181" t="s">
        <v>251</v>
      </c>
      <c r="C93" s="194">
        <f>_xll.BDP(Ticker,"ST_CAPITAL_LEASE_OBLIGATIONS","EQY_FUND_RELATIVE_PERIOD",C$11,"EQY_FUND_CRNCY",$K$7,"EQY_CONSOLIDATED",$G$9,"ACCOUNTING_STANDARD_OVERRIDE",$G$7,"Fill=--")</f>
        <v>0</v>
      </c>
      <c r="D93" s="158"/>
      <c r="E93" s="194">
        <f>_xll.BDP(Ticker,"ST_CAPITAL_LEASE_OBLIGATIONS","EQY_FUND_RELATIVE_PERIOD",E$11,"EQY_FUND_CRNCY",$K$7,"EQY_CONSOLIDATED",$G$9,"ACCOUNTING_STANDARD_OVERRIDE",$G$7,"Fill=--")</f>
        <v>0</v>
      </c>
      <c r="F93" s="158"/>
      <c r="G93" s="194">
        <f>_xll.BDP(Ticker,"ST_CAPITAL_LEASE_OBLIGATIONS","EQY_FUND_RELATIVE_PERIOD",G$11,"EQY_FUND_CRNCY",$K$7,"EQY_CONSOLIDATED",$G$9,"ACCOUNTING_STANDARD_OVERRIDE",$G$7,"Fill=--")</f>
        <v>0</v>
      </c>
      <c r="H93" s="158"/>
      <c r="I93" s="194">
        <f>_xll.BDP(Ticker,"ST_CAPITAL_LEASE_OBLIGATIONS","EQY_FUND_RELATIVE_PERIOD",I$11,"EQY_FUND_CRNCY",$K$7,"EQY_CONSOLIDATED",$G$9,"ACCOUNTING_STANDARD_OVERRIDE",$G$7,"Fill=--")</f>
        <v>0</v>
      </c>
      <c r="J93" s="158"/>
      <c r="K93" s="194">
        <f>_xll.BDP(Ticker,"ST_CAPITAL_LEASE_OBLIGATIONS","EQY_FUND_RELATIVE_PERIOD",K$11,"EQY_FUND_CRNCY",$K$7,"EQY_CONSOLIDATED",$G$9,"ACCOUNTING_STANDARD_OVERRIDE",$G$7,"Fill=--")</f>
        <v>0</v>
      </c>
      <c r="L93" s="158"/>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row>
    <row r="94" spans="1:36" ht="15" customHeight="1">
      <c r="A94" s="112"/>
      <c r="B94" s="181" t="s">
        <v>252</v>
      </c>
      <c r="C94" s="194">
        <f>_xll.BDP(Ticker,"LT_CAPITAL_LEASE_OBLIGATIONS","EQY_FUND_RELATIVE_PERIOD",C$11,"EQY_FUND_CRNCY",$K$7,"EQY_CONSOLIDATED",$G$9,"ACCOUNTING_STANDARD_OVERRIDE",$G$7,"Fill=--")</f>
        <v>0</v>
      </c>
      <c r="D94" s="158"/>
      <c r="E94" s="194">
        <f>_xll.BDP(Ticker,"LT_CAPITAL_LEASE_OBLIGATIONS","EQY_FUND_RELATIVE_PERIOD",E$11,"EQY_FUND_CRNCY",$K$7,"EQY_CONSOLIDATED",$G$9,"ACCOUNTING_STANDARD_OVERRIDE",$G$7,"Fill=--")</f>
        <v>0</v>
      </c>
      <c r="F94" s="158"/>
      <c r="G94" s="194">
        <f>_xll.BDP(Ticker,"LT_CAPITAL_LEASE_OBLIGATIONS","EQY_FUND_RELATIVE_PERIOD",G$11,"EQY_FUND_CRNCY",$K$7,"EQY_CONSOLIDATED",$G$9,"ACCOUNTING_STANDARD_OVERRIDE",$G$7,"Fill=--")</f>
        <v>0</v>
      </c>
      <c r="H94" s="158"/>
      <c r="I94" s="194">
        <f>_xll.BDP(Ticker,"LT_CAPITAL_LEASE_OBLIGATIONS","EQY_FUND_RELATIVE_PERIOD",I$11,"EQY_FUND_CRNCY",$K$7,"EQY_CONSOLIDATED",$G$9,"ACCOUNTING_STANDARD_OVERRIDE",$G$7,"Fill=--")</f>
        <v>0</v>
      </c>
      <c r="J94" s="158"/>
      <c r="K94" s="194">
        <f>_xll.BDP(Ticker,"LT_CAPITAL_LEASE_OBLIGATIONS","EQY_FUND_RELATIVE_PERIOD",K$11,"EQY_FUND_CRNCY",$K$7,"EQY_CONSOLIDATED",$G$9,"ACCOUNTING_STANDARD_OVERRIDE",$G$7,"Fill=--")</f>
        <v>0</v>
      </c>
      <c r="L94" s="158"/>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row>
    <row r="95" spans="1:36" ht="15" customHeight="1">
      <c r="A95" s="112"/>
      <c r="B95" s="166"/>
      <c r="C95" s="168"/>
      <c r="D95" s="158"/>
      <c r="E95" s="168"/>
      <c r="F95" s="158"/>
      <c r="G95" s="168"/>
      <c r="H95" s="158"/>
      <c r="I95" s="168"/>
      <c r="J95" s="158"/>
      <c r="K95" s="168"/>
      <c r="L95" s="158"/>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row>
    <row r="96" spans="1:36" ht="15" customHeight="1">
      <c r="A96" s="112"/>
      <c r="B96" s="169" t="s">
        <v>253</v>
      </c>
      <c r="C96" s="168"/>
      <c r="D96" s="158"/>
      <c r="E96" s="168"/>
      <c r="F96" s="158"/>
      <c r="G96" s="168"/>
      <c r="H96" s="158"/>
      <c r="I96" s="168"/>
      <c r="J96" s="158"/>
      <c r="K96" s="168"/>
      <c r="L96" s="158"/>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row>
    <row r="97" spans="1:36" ht="15" customHeight="1">
      <c r="A97" s="112"/>
      <c r="B97" s="183" t="s">
        <v>254</v>
      </c>
      <c r="C97" s="194">
        <f>_xll.BDP(Ticker,"BS_RENTAL_EXP_YEAR_1","EQY_FUND_RELATIVE_PERIOD",C$11,"EQY_FUND_CRNCY",$K$7,"EQY_CONSOLIDATED",$G$9,"ACCOUNTING_STANDARD_OVERRIDE",$G$7,"Fill=--")</f>
        <v>60</v>
      </c>
      <c r="D97" s="167">
        <f>IF(ISERROR(C97/C$107),"--",C97/C$107)</f>
        <v>0.27777777777777779</v>
      </c>
      <c r="E97" s="194">
        <f>_xll.BDP(Ticker,"BS_RENTAL_EXP_YEAR_1","EQY_FUND_RELATIVE_PERIOD",E$11,"EQY_FUND_CRNCY",$K$7,"EQY_CONSOLIDATED",$G$9,"ACCOUNTING_STANDARD_OVERRIDE",$G$7,"Fill=--")</f>
        <v>69</v>
      </c>
      <c r="F97" s="167">
        <f>IF(ISERROR(E97/E$107),"--",E97/E$107)</f>
        <v>0.26235741444866922</v>
      </c>
      <c r="G97" s="194">
        <f>_xll.BDP(Ticker,"BS_RENTAL_EXP_YEAR_1","EQY_FUND_RELATIVE_PERIOD",G$11,"EQY_FUND_CRNCY",$K$7,"EQY_CONSOLIDATED",$G$9,"ACCOUNTING_STANDARD_OVERRIDE",$G$7,"Fill=--")</f>
        <v>90</v>
      </c>
      <c r="H97" s="167">
        <f t="shared" ref="H97:H107" si="13">IF(ISERROR(G97/G$107),"--",G97/G$107)</f>
        <v>0.33457249070631973</v>
      </c>
      <c r="I97" s="194">
        <f>_xll.BDP(Ticker,"BS_RENTAL_EXP_YEAR_1","EQY_FUND_RELATIVE_PERIOD",I$11,"EQY_FUND_CRNCY",$K$7,"EQY_CONSOLIDATED",$G$9,"ACCOUNTING_STANDARD_OVERRIDE",$G$7,"Fill=--")</f>
        <v>106</v>
      </c>
      <c r="J97" s="167">
        <f t="shared" ref="J97:J107" si="14">IF(ISERROR(I97/I$107),"--",I97/I$107)</f>
        <v>0.32515337423312884</v>
      </c>
      <c r="K97" s="194">
        <f>_xll.BDP(Ticker,"BS_RENTAL_EXP_YEAR_1","EQY_FUND_RELATIVE_PERIOD",K$11,"EQY_FUND_CRNCY",$K$7,"EQY_CONSOLIDATED",$G$9,"ACCOUNTING_STANDARD_OVERRIDE",$G$7,"Fill=--")</f>
        <v>107</v>
      </c>
      <c r="L97" s="167">
        <f t="shared" ref="L97:L107" si="15">IF(ISERROR(K97/K$107),"--",K97/K$107)</f>
        <v>0.3128654970760234</v>
      </c>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row>
    <row r="98" spans="1:36" ht="15" customHeight="1">
      <c r="A98" s="112"/>
      <c r="B98" s="183" t="s">
        <v>255</v>
      </c>
      <c r="C98" s="194">
        <f>_xll.BDP(Ticker,"BS_RENTAL_EXP_YEAR_2","EQY_FUND_RELATIVE_PERIOD",C$11,"EQY_FUND_CRNCY",$K$7,"EQY_CONSOLIDATED",$G$9,"ACCOUNTING_STANDARD_OVERRIDE",$G$7,"Fill=--")</f>
        <v>45</v>
      </c>
      <c r="D98" s="167">
        <f t="shared" ref="D98:F107" si="16">IF(ISERROR(C98/C$107),"--",C98/C$107)</f>
        <v>0.20833333333333334</v>
      </c>
      <c r="E98" s="194">
        <f>_xll.BDP(Ticker,"BS_RENTAL_EXP_YEAR_2","EQY_FUND_RELATIVE_PERIOD",E$11,"EQY_FUND_CRNCY",$K$7,"EQY_CONSOLIDATED",$G$9,"ACCOUNTING_STANDARD_OVERRIDE",$G$7,"Fill=--")</f>
        <v>51</v>
      </c>
      <c r="F98" s="167">
        <f t="shared" si="16"/>
        <v>0.19391634980988592</v>
      </c>
      <c r="G98" s="194">
        <f>_xll.BDP(Ticker,"BS_RENTAL_EXP_YEAR_2","EQY_FUND_RELATIVE_PERIOD",G$11,"EQY_FUND_CRNCY",$K$7,"EQY_CONSOLIDATED",$G$9,"ACCOUNTING_STANDARD_OVERRIDE",$G$7,"Fill=--")</f>
        <v>47</v>
      </c>
      <c r="H98" s="167">
        <f t="shared" si="13"/>
        <v>0.17472118959107807</v>
      </c>
      <c r="I98" s="194">
        <f>_xll.BDP(Ticker,"BS_RENTAL_EXP_YEAR_2","EQY_FUND_RELATIVE_PERIOD",I$11,"EQY_FUND_CRNCY",$K$7,"EQY_CONSOLIDATED",$G$9,"ACCOUNTING_STANDARD_OVERRIDE",$G$7,"Fill=--")</f>
        <v>63</v>
      </c>
      <c r="J98" s="167">
        <f t="shared" si="14"/>
        <v>0.19325153374233128</v>
      </c>
      <c r="K98" s="194">
        <f>_xll.BDP(Ticker,"BS_RENTAL_EXP_YEAR_2","EQY_FUND_RELATIVE_PERIOD",K$11,"EQY_FUND_CRNCY",$K$7,"EQY_CONSOLIDATED",$G$9,"ACCOUNTING_STANDARD_OVERRIDE",$G$7,"Fill=--")</f>
        <v>53</v>
      </c>
      <c r="L98" s="167">
        <f t="shared" si="15"/>
        <v>0.15497076023391812</v>
      </c>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row>
    <row r="99" spans="1:36" ht="15" customHeight="1">
      <c r="A99" s="112"/>
      <c r="B99" s="183" t="s">
        <v>256</v>
      </c>
      <c r="C99" s="194">
        <f>_xll.BDP(Ticker,"BS_RENTAL_EXP_YEAR_3","EQY_FUND_RELATIVE_PERIOD",C$11,"EQY_FUND_CRNCY",$K$7,"EQY_CONSOLIDATED",$G$9,"ACCOUNTING_STANDARD_OVERRIDE",$G$7,"Fill=--")</f>
        <v>33</v>
      </c>
      <c r="D99" s="167">
        <f t="shared" si="16"/>
        <v>0.15277777777777779</v>
      </c>
      <c r="E99" s="194">
        <f>_xll.BDP(Ticker,"BS_RENTAL_EXP_YEAR_3","EQY_FUND_RELATIVE_PERIOD",E$11,"EQY_FUND_CRNCY",$K$7,"EQY_CONSOLIDATED",$G$9,"ACCOUNTING_STANDARD_OVERRIDE",$G$7,"Fill=--")</f>
        <v>39</v>
      </c>
      <c r="F99" s="167">
        <f t="shared" si="16"/>
        <v>0.14828897338403041</v>
      </c>
      <c r="G99" s="194">
        <f>_xll.BDP(Ticker,"BS_RENTAL_EXP_YEAR_3","EQY_FUND_RELATIVE_PERIOD",G$11,"EQY_FUND_CRNCY",$K$7,"EQY_CONSOLIDATED",$G$9,"ACCOUNTING_STANDARD_OVERRIDE",$G$7,"Fill=--")</f>
        <v>34</v>
      </c>
      <c r="H99" s="167">
        <f t="shared" si="13"/>
        <v>0.12639405204460966</v>
      </c>
      <c r="I99" s="194">
        <f>_xll.BDP(Ticker,"BS_RENTAL_EXP_YEAR_3","EQY_FUND_RELATIVE_PERIOD",I$11,"EQY_FUND_CRNCY",$K$7,"EQY_CONSOLIDATED",$G$9,"ACCOUNTING_STANDARD_OVERRIDE",$G$7,"Fill=--")</f>
        <v>45</v>
      </c>
      <c r="J99" s="167">
        <f t="shared" si="14"/>
        <v>0.13803680981595093</v>
      </c>
      <c r="K99" s="194">
        <f>_xll.BDP(Ticker,"BS_RENTAL_EXP_YEAR_3","EQY_FUND_RELATIVE_PERIOD",K$11,"EQY_FUND_CRNCY",$K$7,"EQY_CONSOLIDATED",$G$9,"ACCOUNTING_STANDARD_OVERRIDE",$G$7,"Fill=--")</f>
        <v>39</v>
      </c>
      <c r="L99" s="167">
        <f t="shared" si="15"/>
        <v>0.11403508771929824</v>
      </c>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row>
    <row r="100" spans="1:36" ht="15" customHeight="1">
      <c r="A100" s="112"/>
      <c r="B100" s="183" t="s">
        <v>257</v>
      </c>
      <c r="C100" s="194">
        <f>_xll.BDP(Ticker,"BS_RENTAL_EXP_YEAR_4","EQY_FUND_RELATIVE_PERIOD",C$11,"EQY_FUND_CRNCY",$K$7,"EQY_CONSOLIDATED",$G$9,"ACCOUNTING_STANDARD_OVERRIDE",$G$7,"Fill=--")</f>
        <v>25</v>
      </c>
      <c r="D100" s="167">
        <f t="shared" si="16"/>
        <v>0.11574074074074074</v>
      </c>
      <c r="E100" s="194">
        <f>_xll.BDP(Ticker,"BS_RENTAL_EXP_YEAR_4","EQY_FUND_RELATIVE_PERIOD",E$11,"EQY_FUND_CRNCY",$K$7,"EQY_CONSOLIDATED",$G$9,"ACCOUNTING_STANDARD_OVERRIDE",$G$7,"Fill=--")</f>
        <v>28</v>
      </c>
      <c r="F100" s="167">
        <f t="shared" si="16"/>
        <v>0.10646387832699619</v>
      </c>
      <c r="G100" s="194">
        <f>_xll.BDP(Ticker,"BS_RENTAL_EXP_YEAR_4","EQY_FUND_RELATIVE_PERIOD",G$11,"EQY_FUND_CRNCY",$K$7,"EQY_CONSOLIDATED",$G$9,"ACCOUNTING_STANDARD_OVERRIDE",$G$7,"Fill=--")</f>
        <v>24</v>
      </c>
      <c r="H100" s="167">
        <f t="shared" si="13"/>
        <v>8.9219330855018583E-2</v>
      </c>
      <c r="I100" s="194">
        <f>_xll.BDP(Ticker,"BS_RENTAL_EXP_YEAR_4","EQY_FUND_RELATIVE_PERIOD",I$11,"EQY_FUND_CRNCY",$K$7,"EQY_CONSOLIDATED",$G$9,"ACCOUNTING_STANDARD_OVERRIDE",$G$7,"Fill=--")</f>
        <v>31</v>
      </c>
      <c r="J100" s="167">
        <f t="shared" si="14"/>
        <v>9.5092024539877307E-2</v>
      </c>
      <c r="K100" s="194">
        <f>_xll.BDP(Ticker,"BS_RENTAL_EXP_YEAR_4","EQY_FUND_RELATIVE_PERIOD",K$11,"EQY_FUND_CRNCY",$K$7,"EQY_CONSOLIDATED",$G$9,"ACCOUNTING_STANDARD_OVERRIDE",$G$7,"Fill=--")</f>
        <v>30</v>
      </c>
      <c r="L100" s="167">
        <f t="shared" si="15"/>
        <v>8.771929824561403E-2</v>
      </c>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row>
    <row r="101" spans="1:36" ht="15" customHeight="1">
      <c r="A101" s="112"/>
      <c r="B101" s="183" t="s">
        <v>258</v>
      </c>
      <c r="C101" s="194">
        <f>_xll.BDP(Ticker,"BS_RENTAL_EXP_YEAR_5","EQY_FUND_RELATIVE_PERIOD",C$11,"EQY_FUND_CRNCY",$K$7,"EQY_CONSOLIDATED",$G$9,"ACCOUNTING_STANDARD_OVERRIDE",$G$7,"Fill=--")</f>
        <v>19</v>
      </c>
      <c r="D101" s="167">
        <f t="shared" si="16"/>
        <v>8.7962962962962965E-2</v>
      </c>
      <c r="E101" s="194">
        <f>_xll.BDP(Ticker,"BS_RENTAL_EXP_YEAR_5","EQY_FUND_RELATIVE_PERIOD",E$11,"EQY_FUND_CRNCY",$K$7,"EQY_CONSOLIDATED",$G$9,"ACCOUNTING_STANDARD_OVERRIDE",$G$7,"Fill=--")</f>
        <v>20</v>
      </c>
      <c r="F101" s="167">
        <f t="shared" si="16"/>
        <v>7.6045627376425853E-2</v>
      </c>
      <c r="G101" s="194">
        <f>_xll.BDP(Ticker,"BS_RENTAL_EXP_YEAR_5","EQY_FUND_RELATIVE_PERIOD",G$11,"EQY_FUND_CRNCY",$K$7,"EQY_CONSOLIDATED",$G$9,"ACCOUNTING_STANDARD_OVERRIDE",$G$7,"Fill=--")</f>
        <v>15</v>
      </c>
      <c r="H101" s="167">
        <f t="shared" si="13"/>
        <v>5.5762081784386616E-2</v>
      </c>
      <c r="I101" s="194">
        <f>_xll.BDP(Ticker,"BS_RENTAL_EXP_YEAR_5","EQY_FUND_RELATIVE_PERIOD",I$11,"EQY_FUND_CRNCY",$K$7,"EQY_CONSOLIDATED",$G$9,"ACCOUNTING_STANDARD_OVERRIDE",$G$7,"Fill=--")</f>
        <v>21</v>
      </c>
      <c r="J101" s="167">
        <f t="shared" si="14"/>
        <v>6.4417177914110432E-2</v>
      </c>
      <c r="K101" s="194">
        <f>_xll.BDP(Ticker,"BS_RENTAL_EXP_YEAR_5","EQY_FUND_RELATIVE_PERIOD",K$11,"EQY_FUND_CRNCY",$K$7,"EQY_CONSOLIDATED",$G$9,"ACCOUNTING_STANDARD_OVERRIDE",$G$7,"Fill=--")</f>
        <v>24</v>
      </c>
      <c r="L101" s="167">
        <f t="shared" si="15"/>
        <v>7.0175438596491224E-2</v>
      </c>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row>
    <row r="102" spans="1:36" ht="15" customHeight="1">
      <c r="A102" s="112"/>
      <c r="B102" s="183" t="s">
        <v>259</v>
      </c>
      <c r="C102" s="194">
        <f>_xll.BDP(Ticker,"BS_RENTAL_EXPENSE_YR_2_3","EQY_FUND_RELATIVE_PERIOD",C$11,"EQY_FUND_CRNCY",$K$7,"EQY_CONSOLIDATED",$G$9,"ACCOUNTING_STANDARD_OVERRIDE",$G$7,"Fill=--")</f>
        <v>78</v>
      </c>
      <c r="D102" s="167">
        <f t="shared" si="16"/>
        <v>0.3611111111111111</v>
      </c>
      <c r="E102" s="194">
        <f>_xll.BDP(Ticker,"BS_RENTAL_EXPENSE_YR_2_3","EQY_FUND_RELATIVE_PERIOD",E$11,"EQY_FUND_CRNCY",$K$7,"EQY_CONSOLIDATED",$G$9,"ACCOUNTING_STANDARD_OVERRIDE",$G$7,"Fill=--")</f>
        <v>90</v>
      </c>
      <c r="F102" s="167">
        <f t="shared" si="16"/>
        <v>0.34220532319391633</v>
      </c>
      <c r="G102" s="194">
        <f>_xll.BDP(Ticker,"BS_RENTAL_EXPENSE_YR_2_3","EQY_FUND_RELATIVE_PERIOD",G$11,"EQY_FUND_CRNCY",$K$7,"EQY_CONSOLIDATED",$G$9,"ACCOUNTING_STANDARD_OVERRIDE",$G$7,"Fill=--")</f>
        <v>81</v>
      </c>
      <c r="H102" s="167">
        <f t="shared" si="13"/>
        <v>0.30111524163568776</v>
      </c>
      <c r="I102" s="194">
        <f>_xll.BDP(Ticker,"BS_RENTAL_EXPENSE_YR_2_3","EQY_FUND_RELATIVE_PERIOD",I$11,"EQY_FUND_CRNCY",$K$7,"EQY_CONSOLIDATED",$G$9,"ACCOUNTING_STANDARD_OVERRIDE",$G$7,"Fill=--")</f>
        <v>108</v>
      </c>
      <c r="J102" s="167">
        <f t="shared" si="14"/>
        <v>0.33128834355828218</v>
      </c>
      <c r="K102" s="194">
        <f>_xll.BDP(Ticker,"BS_RENTAL_EXPENSE_YR_2_3","EQY_FUND_RELATIVE_PERIOD",K$11,"EQY_FUND_CRNCY",$K$7,"EQY_CONSOLIDATED",$G$9,"ACCOUNTING_STANDARD_OVERRIDE",$G$7,"Fill=--")</f>
        <v>92</v>
      </c>
      <c r="L102" s="167">
        <f t="shared" si="15"/>
        <v>0.26900584795321636</v>
      </c>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row>
    <row r="103" spans="1:36" ht="15" customHeight="1">
      <c r="A103" s="112"/>
      <c r="B103" s="183" t="s">
        <v>260</v>
      </c>
      <c r="C103" s="194">
        <f>_xll.BDP(Ticker,"BS_RENTAL_EXPENSE_YR_4_5","EQY_FUND_RELATIVE_PERIOD",C$11,"EQY_FUND_CRNCY",$K$7,"EQY_CONSOLIDATED",$G$9,"ACCOUNTING_STANDARD_OVERRIDE",$G$7,"Fill=--")</f>
        <v>44</v>
      </c>
      <c r="D103" s="167">
        <f t="shared" si="16"/>
        <v>0.20370370370370369</v>
      </c>
      <c r="E103" s="194">
        <f>_xll.BDP(Ticker,"BS_RENTAL_EXPENSE_YR_4_5","EQY_FUND_RELATIVE_PERIOD",E$11,"EQY_FUND_CRNCY",$K$7,"EQY_CONSOLIDATED",$G$9,"ACCOUNTING_STANDARD_OVERRIDE",$G$7,"Fill=--")</f>
        <v>48</v>
      </c>
      <c r="F103" s="167">
        <f t="shared" si="16"/>
        <v>0.18250950570342206</v>
      </c>
      <c r="G103" s="194">
        <f>_xll.BDP(Ticker,"BS_RENTAL_EXPENSE_YR_4_5","EQY_FUND_RELATIVE_PERIOD",G$11,"EQY_FUND_CRNCY",$K$7,"EQY_CONSOLIDATED",$G$9,"ACCOUNTING_STANDARD_OVERRIDE",$G$7,"Fill=--")</f>
        <v>39</v>
      </c>
      <c r="H103" s="167">
        <f t="shared" si="13"/>
        <v>0.1449814126394052</v>
      </c>
      <c r="I103" s="194">
        <f>_xll.BDP(Ticker,"BS_RENTAL_EXPENSE_YR_4_5","EQY_FUND_RELATIVE_PERIOD",I$11,"EQY_FUND_CRNCY",$K$7,"EQY_CONSOLIDATED",$G$9,"ACCOUNTING_STANDARD_OVERRIDE",$G$7,"Fill=--")</f>
        <v>52</v>
      </c>
      <c r="J103" s="167">
        <f t="shared" si="14"/>
        <v>0.15950920245398773</v>
      </c>
      <c r="K103" s="194">
        <f>_xll.BDP(Ticker,"BS_RENTAL_EXPENSE_YR_4_5","EQY_FUND_RELATIVE_PERIOD",K$11,"EQY_FUND_CRNCY",$K$7,"EQY_CONSOLIDATED",$G$9,"ACCOUNTING_STANDARD_OVERRIDE",$G$7,"Fill=--")</f>
        <v>54</v>
      </c>
      <c r="L103" s="167">
        <f t="shared" si="15"/>
        <v>0.15789473684210525</v>
      </c>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row>
    <row r="104" spans="1:36" ht="15" customHeight="1">
      <c r="A104" s="112"/>
      <c r="B104" s="183" t="s">
        <v>261</v>
      </c>
      <c r="C104" s="194">
        <f>_xll.BDP(Ticker,"BS_RENTAL_EXPENSE_YR_2_5","EQY_FUND_RELATIVE_PERIOD",C$11,"EQY_FUND_CRNCY",$K$7,"EQY_CONSOLIDATED",$G$9,"ACCOUNTING_STANDARD_OVERRIDE",$G$7,"Fill=--")</f>
        <v>122</v>
      </c>
      <c r="D104" s="167">
        <f t="shared" si="16"/>
        <v>0.56481481481481477</v>
      </c>
      <c r="E104" s="194">
        <f>_xll.BDP(Ticker,"BS_RENTAL_EXPENSE_YR_2_5","EQY_FUND_RELATIVE_PERIOD",E$11,"EQY_FUND_CRNCY",$K$7,"EQY_CONSOLIDATED",$G$9,"ACCOUNTING_STANDARD_OVERRIDE",$G$7,"Fill=--")</f>
        <v>138</v>
      </c>
      <c r="F104" s="167">
        <f t="shared" si="16"/>
        <v>0.52471482889733845</v>
      </c>
      <c r="G104" s="194">
        <f>_xll.BDP(Ticker,"BS_RENTAL_EXPENSE_YR_2_5","EQY_FUND_RELATIVE_PERIOD",G$11,"EQY_FUND_CRNCY",$K$7,"EQY_CONSOLIDATED",$G$9,"ACCOUNTING_STANDARD_OVERRIDE",$G$7,"Fill=--")</f>
        <v>120</v>
      </c>
      <c r="H104" s="167">
        <f t="shared" si="13"/>
        <v>0.44609665427509293</v>
      </c>
      <c r="I104" s="194">
        <f>_xll.BDP(Ticker,"BS_RENTAL_EXPENSE_YR_2_5","EQY_FUND_RELATIVE_PERIOD",I$11,"EQY_FUND_CRNCY",$K$7,"EQY_CONSOLIDATED",$G$9,"ACCOUNTING_STANDARD_OVERRIDE",$G$7,"Fill=--")</f>
        <v>160</v>
      </c>
      <c r="J104" s="167">
        <f t="shared" si="14"/>
        <v>0.49079754601226994</v>
      </c>
      <c r="K104" s="194">
        <f>_xll.BDP(Ticker,"BS_RENTAL_EXPENSE_YR_2_5","EQY_FUND_RELATIVE_PERIOD",K$11,"EQY_FUND_CRNCY",$K$7,"EQY_CONSOLIDATED",$G$9,"ACCOUNTING_STANDARD_OVERRIDE",$G$7,"Fill=--")</f>
        <v>146</v>
      </c>
      <c r="L104" s="167">
        <f t="shared" si="15"/>
        <v>0.42690058479532161</v>
      </c>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row>
    <row r="105" spans="1:36" ht="15" customHeight="1">
      <c r="A105" s="112"/>
      <c r="B105" s="183" t="s">
        <v>262</v>
      </c>
      <c r="C105" s="194">
        <f>_xll.BDP(Ticker,"BS_RENTAL_EXP_BEYOND_YEAR_5","EQY_FUND_RELATIVE_PERIOD",C$11,"EQY_FUND_CRNCY",$K$7,"EQY_CONSOLIDATED",$G$9,"ACCOUNTING_STANDARD_OVERRIDE",$G$7,"Fill=--")</f>
        <v>34</v>
      </c>
      <c r="D105" s="167">
        <f t="shared" si="16"/>
        <v>0.15740740740740741</v>
      </c>
      <c r="E105" s="194">
        <f>_xll.BDP(Ticker,"BS_RENTAL_EXP_BEYOND_YEAR_5","EQY_FUND_RELATIVE_PERIOD",E$11,"EQY_FUND_CRNCY",$K$7,"EQY_CONSOLIDATED",$G$9,"ACCOUNTING_STANDARD_OVERRIDE",$G$7,"Fill=--")</f>
        <v>56</v>
      </c>
      <c r="F105" s="167">
        <f t="shared" si="16"/>
        <v>0.21292775665399238</v>
      </c>
      <c r="G105" s="194">
        <f>_xll.BDP(Ticker,"BS_RENTAL_EXP_BEYOND_YEAR_5","EQY_FUND_RELATIVE_PERIOD",G$11,"EQY_FUND_CRNCY",$K$7,"EQY_CONSOLIDATED",$G$9,"ACCOUNTING_STANDARD_OVERRIDE",$G$7,"Fill=--")</f>
        <v>59</v>
      </c>
      <c r="H105" s="167">
        <f t="shared" si="13"/>
        <v>0.21933085501858737</v>
      </c>
      <c r="I105" s="194">
        <f>_xll.BDP(Ticker,"BS_RENTAL_EXP_BEYOND_YEAR_5","EQY_FUND_RELATIVE_PERIOD",I$11,"EQY_FUND_CRNCY",$K$7,"EQY_CONSOLIDATED",$G$9,"ACCOUNTING_STANDARD_OVERRIDE",$G$7,"Fill=--")</f>
        <v>60</v>
      </c>
      <c r="J105" s="167">
        <f t="shared" si="14"/>
        <v>0.18404907975460122</v>
      </c>
      <c r="K105" s="194">
        <f>_xll.BDP(Ticker,"BS_RENTAL_EXP_BEYOND_YEAR_5","EQY_FUND_RELATIVE_PERIOD",K$11,"EQY_FUND_CRNCY",$K$7,"EQY_CONSOLIDATED",$G$9,"ACCOUNTING_STANDARD_OVERRIDE",$G$7,"Fill=--")</f>
        <v>89</v>
      </c>
      <c r="L105" s="167">
        <f t="shared" si="15"/>
        <v>0.26023391812865498</v>
      </c>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row>
    <row r="106" spans="1:36" ht="15" customHeight="1">
      <c r="A106" s="112"/>
      <c r="B106" s="183" t="s">
        <v>263</v>
      </c>
      <c r="C106" s="194" t="str">
        <f>_xll.BDP(Ticker,"BS_TOTAL_SUBLEASE_INCOME","EQY_FUND_RELATIVE_PERIOD",C$11,"EQY_FUND_CRNCY",$K$7,"EQY_CONSOLIDATED",$G$9,"ACCOUNTING_STANDARD_OVERRIDE",$G$7,"Fill=--")</f>
        <v>--</v>
      </c>
      <c r="D106" s="167" t="str">
        <f t="shared" si="16"/>
        <v>--</v>
      </c>
      <c r="E106" s="194" t="str">
        <f>_xll.BDP(Ticker,"BS_TOTAL_SUBLEASE_INCOME","EQY_FUND_RELATIVE_PERIOD",E$11,"EQY_FUND_CRNCY",$K$7,"EQY_CONSOLIDATED",$G$9,"ACCOUNTING_STANDARD_OVERRIDE",$G$7,"Fill=--")</f>
        <v>--</v>
      </c>
      <c r="F106" s="167" t="str">
        <f t="shared" si="16"/>
        <v>--</v>
      </c>
      <c r="G106" s="194" t="str">
        <f>_xll.BDP(Ticker,"BS_TOTAL_SUBLEASE_INCOME","EQY_FUND_RELATIVE_PERIOD",G$11,"EQY_FUND_CRNCY",$K$7,"EQY_CONSOLIDATED",$G$9,"ACCOUNTING_STANDARD_OVERRIDE",$G$7,"Fill=--")</f>
        <v>--</v>
      </c>
      <c r="H106" s="167" t="str">
        <f t="shared" si="13"/>
        <v>--</v>
      </c>
      <c r="I106" s="194" t="str">
        <f>_xll.BDP(Ticker,"BS_TOTAL_SUBLEASE_INCOME","EQY_FUND_RELATIVE_PERIOD",I$11,"EQY_FUND_CRNCY",$K$7,"EQY_CONSOLIDATED",$G$9,"ACCOUNTING_STANDARD_OVERRIDE",$G$7,"Fill=--")</f>
        <v>--</v>
      </c>
      <c r="J106" s="167" t="str">
        <f t="shared" si="14"/>
        <v>--</v>
      </c>
      <c r="K106" s="194" t="str">
        <f>_xll.BDP(Ticker,"BS_TOTAL_SUBLEASE_INCOME","EQY_FUND_RELATIVE_PERIOD",K$11,"EQY_FUND_CRNCY",$K$7,"EQY_CONSOLIDATED",$G$9,"ACCOUNTING_STANDARD_OVERRIDE",$G$7,"Fill=--")</f>
        <v>--</v>
      </c>
      <c r="L106" s="167" t="str">
        <f t="shared" si="15"/>
        <v>--</v>
      </c>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row>
    <row r="107" spans="1:36" s="179" customFormat="1" ht="15" customHeight="1">
      <c r="A107" s="177"/>
      <c r="B107" s="184" t="s">
        <v>264</v>
      </c>
      <c r="C107" s="195">
        <f>_xll.BDP(Ticker,"BS_FUTURE_MIN_OPER_LEASE_OBLIG","EQY_FUND_RELATIVE_PERIOD",C$11,"EQY_FUND_CRNCY",$K$7,"EQY_CONSOLIDATED",$G$9,"ACCOUNTING_STANDARD_OVERRIDE",$G$7,"Fill=--")</f>
        <v>216</v>
      </c>
      <c r="D107" s="171">
        <f t="shared" si="16"/>
        <v>1</v>
      </c>
      <c r="E107" s="195">
        <f>_xll.BDP(Ticker,"BS_FUTURE_MIN_OPER_LEASE_OBLIG","EQY_FUND_RELATIVE_PERIOD",E$11,"EQY_FUND_CRNCY",$K$7,"EQY_CONSOLIDATED",$G$9,"ACCOUNTING_STANDARD_OVERRIDE",$G$7,"Fill=--")</f>
        <v>263</v>
      </c>
      <c r="F107" s="171">
        <f t="shared" si="16"/>
        <v>1</v>
      </c>
      <c r="G107" s="195">
        <f>_xll.BDP(Ticker,"BS_FUTURE_MIN_OPER_LEASE_OBLIG","EQY_FUND_RELATIVE_PERIOD",G$11,"EQY_FUND_CRNCY",$K$7,"EQY_CONSOLIDATED",$G$9,"ACCOUNTING_STANDARD_OVERRIDE",$G$7,"Fill=--")</f>
        <v>269</v>
      </c>
      <c r="H107" s="171">
        <f t="shared" si="13"/>
        <v>1</v>
      </c>
      <c r="I107" s="195">
        <f>_xll.BDP(Ticker,"BS_FUTURE_MIN_OPER_LEASE_OBLIG","EQY_FUND_RELATIVE_PERIOD",I$11,"EQY_FUND_CRNCY",$K$7,"EQY_CONSOLIDATED",$G$9,"ACCOUNTING_STANDARD_OVERRIDE",$G$7,"Fill=--")</f>
        <v>326</v>
      </c>
      <c r="J107" s="171">
        <f t="shared" si="14"/>
        <v>1</v>
      </c>
      <c r="K107" s="195">
        <f>_xll.BDP(Ticker,"BS_FUTURE_MIN_OPER_LEASE_OBLIG","EQY_FUND_RELATIVE_PERIOD",K$11,"EQY_FUND_CRNCY",$K$7,"EQY_CONSOLIDATED",$G$9,"ACCOUNTING_STANDARD_OVERRIDE",$G$7,"Fill=--")</f>
        <v>342</v>
      </c>
      <c r="L107" s="171">
        <f t="shared" si="15"/>
        <v>1</v>
      </c>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row>
    <row r="108" spans="1:36" ht="15" customHeight="1">
      <c r="A108" s="112"/>
      <c r="B108" s="166"/>
      <c r="C108" s="168"/>
      <c r="D108" s="158"/>
      <c r="E108" s="168"/>
      <c r="F108" s="158"/>
      <c r="G108" s="168"/>
      <c r="H108" s="158"/>
      <c r="I108" s="168"/>
      <c r="J108" s="158"/>
      <c r="K108" s="168"/>
      <c r="L108" s="158"/>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row>
    <row r="109" spans="1:36" ht="15" customHeight="1">
      <c r="A109" s="112"/>
      <c r="B109" s="169" t="s">
        <v>265</v>
      </c>
      <c r="C109" s="168"/>
      <c r="D109" s="158"/>
      <c r="E109" s="168"/>
      <c r="F109" s="158"/>
      <c r="G109" s="168"/>
      <c r="H109" s="158"/>
      <c r="I109" s="168"/>
      <c r="J109" s="158"/>
      <c r="K109" s="168"/>
      <c r="L109" s="158"/>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row>
    <row r="110" spans="1:36" ht="15" customHeight="1">
      <c r="A110" s="112"/>
      <c r="B110" s="185" t="s">
        <v>266</v>
      </c>
      <c r="C110" s="194">
        <f>_xll.BDP(Ticker,"BS_CONTRACTUAL_OBLIG_YEAR_1","EQY_FUND_RELATIVE_PERIOD",C$11,"EQY_FUND_CRNCY",$K$7,"EQY_CONSOLIDATED",$G$9,"ACCOUNTING_STANDARD_OVERRIDE",$G$7,"Fill=--")</f>
        <v>1516</v>
      </c>
      <c r="D110" s="186">
        <f>IF(ISERROR(C110/C$115),"--",C110/C$115)</f>
        <v>0.28262490678598062</v>
      </c>
      <c r="E110" s="194">
        <f>_xll.BDP(Ticker,"BS_CONTRACTUAL_OBLIG_YEAR_1","EQY_FUND_RELATIVE_PERIOD",E$11,"EQY_FUND_CRNCY",$K$7,"EQY_CONSOLIDATED",$G$9,"ACCOUNTING_STANDARD_OVERRIDE",$G$7,"Fill=--")</f>
        <v>1658</v>
      </c>
      <c r="F110" s="186">
        <f>IF(ISERROR(E110/E$115),"--",E110/E$115)</f>
        <v>0.30612998522895124</v>
      </c>
      <c r="G110" s="194">
        <f>_xll.BDP(Ticker,"BS_CONTRACTUAL_OBLIG_YEAR_1","EQY_FUND_RELATIVE_PERIOD",G$11,"EQY_FUND_CRNCY",$K$7,"EQY_CONSOLIDATED",$G$9,"ACCOUNTING_STANDARD_OVERRIDE",$G$7,"Fill=--")</f>
        <v>1047</v>
      </c>
      <c r="H110" s="186">
        <f t="shared" ref="H110:H115" si="17">IF(ISERROR(G110/G$115),"--",G110/G$115)</f>
        <v>0.12771407660404976</v>
      </c>
      <c r="I110" s="194">
        <f>_xll.BDP(Ticker,"BS_CONTRACTUAL_OBLIG_YEAR_1","EQY_FUND_RELATIVE_PERIOD",I$11,"EQY_FUND_CRNCY",$K$7,"EQY_CONSOLIDATED",$G$9,"ACCOUNTING_STANDARD_OVERRIDE",$G$7,"Fill=--")</f>
        <v>1995</v>
      </c>
      <c r="J110" s="186">
        <f t="shared" ref="J110:J115" si="18">IF(ISERROR(I110/I$115),"--",I110/I$115)</f>
        <v>0.16838284942606346</v>
      </c>
      <c r="K110" s="194">
        <f>_xll.BDP(Ticker,"BS_CONTRACTUAL_OBLIG_YEAR_1","EQY_FUND_RELATIVE_PERIOD",K$11,"EQY_FUND_CRNCY",$K$7,"EQY_CONSOLIDATED",$G$9,"ACCOUNTING_STANDARD_OVERRIDE",$G$7,"Fill=--")</f>
        <v>3125</v>
      </c>
      <c r="L110" s="186">
        <f t="shared" ref="L110:L115" si="19">IF(ISERROR(K110/K$115),"--",K110/K$115)</f>
        <v>0.19550800800800802</v>
      </c>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row>
    <row r="111" spans="1:36" ht="15" customHeight="1">
      <c r="A111" s="112"/>
      <c r="B111" s="185" t="s">
        <v>267</v>
      </c>
      <c r="C111" s="194">
        <f>_xll.BDP(Ticker,"BS_CONTRACTUAL_OBLIG_YEAR_2_3","EQY_FUND_RELATIVE_PERIOD",C$11,"EQY_FUND_CRNCY",$K$7,"EQY_CONSOLIDATED",$G$9,"ACCOUNTING_STANDARD_OVERRIDE",$G$7,"Fill=--")</f>
        <v>1083</v>
      </c>
      <c r="D111" s="186">
        <f t="shared" ref="D111:F115" si="20">IF(ISERROR(C111/C$115),"--",C111/C$115)</f>
        <v>0.20190156599552572</v>
      </c>
      <c r="E111" s="194">
        <f>_xll.BDP(Ticker,"BS_CONTRACTUAL_OBLIG_YEAR_2_3","EQY_FUND_RELATIVE_PERIOD",E$11,"EQY_FUND_CRNCY",$K$7,"EQY_CONSOLIDATED",$G$9,"ACCOUNTING_STANDARD_OVERRIDE",$G$7,"Fill=--")</f>
        <v>877</v>
      </c>
      <c r="F111" s="186">
        <f t="shared" si="20"/>
        <v>0.16192762186115214</v>
      </c>
      <c r="G111" s="194">
        <f>_xll.BDP(Ticker,"BS_CONTRACTUAL_OBLIG_YEAR_2_3","EQY_FUND_RELATIVE_PERIOD",G$11,"EQY_FUND_CRNCY",$K$7,"EQY_CONSOLIDATED",$G$9,"ACCOUNTING_STANDARD_OVERRIDE",$G$7,"Fill=--")</f>
        <v>1567</v>
      </c>
      <c r="H111" s="186">
        <f t="shared" si="17"/>
        <v>0.19114418150768481</v>
      </c>
      <c r="I111" s="194">
        <f>_xll.BDP(Ticker,"BS_CONTRACTUAL_OBLIG_YEAR_2_3","EQY_FUND_RELATIVE_PERIOD",I$11,"EQY_FUND_CRNCY",$K$7,"EQY_CONSOLIDATED",$G$9,"ACCOUNTING_STANDARD_OVERRIDE",$G$7,"Fill=--")</f>
        <v>2374</v>
      </c>
      <c r="J111" s="186">
        <f t="shared" si="18"/>
        <v>0.20037137069547603</v>
      </c>
      <c r="K111" s="194">
        <f>_xll.BDP(Ticker,"BS_CONTRACTUAL_OBLIG_YEAR_2_3","EQY_FUND_RELATIVE_PERIOD",K$11,"EQY_FUND_CRNCY",$K$7,"EQY_CONSOLIDATED",$G$9,"ACCOUNTING_STANDARD_OVERRIDE",$G$7,"Fill=--")</f>
        <v>2409</v>
      </c>
      <c r="L111" s="186">
        <f t="shared" si="19"/>
        <v>0.15071321321321321</v>
      </c>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row>
    <row r="112" spans="1:36" ht="15" customHeight="1">
      <c r="A112" s="112"/>
      <c r="B112" s="185" t="s">
        <v>268</v>
      </c>
      <c r="C112" s="194">
        <f>_xll.BDP(Ticker,"BS_CONTRACTUAL_OBLIG_YEAR_4_5","EQY_FUND_RELATIVE_PERIOD",C$11,"EQY_FUND_CRNCY",$K$7,"EQY_CONSOLIDATED",$G$9,"ACCOUNTING_STANDARD_OVERRIDE",$G$7,"Fill=--")</f>
        <v>773</v>
      </c>
      <c r="D112" s="186">
        <f t="shared" si="20"/>
        <v>0.14410887397464578</v>
      </c>
      <c r="E112" s="194">
        <f>_xll.BDP(Ticker,"BS_CONTRACTUAL_OBLIG_YEAR_4_5","EQY_FUND_RELATIVE_PERIOD",E$11,"EQY_FUND_CRNCY",$K$7,"EQY_CONSOLIDATED",$G$9,"ACCOUNTING_STANDARD_OVERRIDE",$G$7,"Fill=--")</f>
        <v>605</v>
      </c>
      <c r="F112" s="186">
        <f t="shared" si="20"/>
        <v>0.11170605612998523</v>
      </c>
      <c r="G112" s="194">
        <f>_xll.BDP(Ticker,"BS_CONTRACTUAL_OBLIG_YEAR_4_5","EQY_FUND_RELATIVE_PERIOD",G$11,"EQY_FUND_CRNCY",$K$7,"EQY_CONSOLIDATED",$G$9,"ACCOUNTING_STANDARD_OVERRIDE",$G$7,"Fill=--")</f>
        <v>1298</v>
      </c>
      <c r="H112" s="186">
        <f t="shared" si="17"/>
        <v>0.15833130031715054</v>
      </c>
      <c r="I112" s="194">
        <f>_xll.BDP(Ticker,"BS_CONTRACTUAL_OBLIG_YEAR_4_5","EQY_FUND_RELATIVE_PERIOD",I$11,"EQY_FUND_CRNCY",$K$7,"EQY_CONSOLIDATED",$G$9,"ACCOUNTING_STANDARD_OVERRIDE",$G$7,"Fill=--")</f>
        <v>1141</v>
      </c>
      <c r="J112" s="186">
        <f t="shared" si="18"/>
        <v>9.6303173531397709E-2</v>
      </c>
      <c r="K112" s="194">
        <f>_xll.BDP(Ticker,"BS_CONTRACTUAL_OBLIG_YEAR_4_5","EQY_FUND_RELATIVE_PERIOD",K$11,"EQY_FUND_CRNCY",$K$7,"EQY_CONSOLIDATED",$G$9,"ACCOUNTING_STANDARD_OVERRIDE",$G$7,"Fill=--")</f>
        <v>1344</v>
      </c>
      <c r="L112" s="186">
        <f t="shared" si="19"/>
        <v>8.408408408408409E-2</v>
      </c>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row>
    <row r="113" spans="1:36" ht="15" customHeight="1">
      <c r="A113" s="112"/>
      <c r="B113" s="185" t="s">
        <v>269</v>
      </c>
      <c r="C113" s="194">
        <f>_xll.BDP(Ticker,"BS_CONTRACTUAL_OBLIG_YEAR_2_5","EQY_FUND_RELATIVE_PERIOD",C$11,"EQY_FUND_CRNCY",$K$7,"EQY_CONSOLIDATED",$G$9,"ACCOUNTING_STANDARD_OVERRIDE",$G$7,"Fill=--")</f>
        <v>1856</v>
      </c>
      <c r="D113" s="186">
        <f t="shared" si="20"/>
        <v>0.3460104399701715</v>
      </c>
      <c r="E113" s="194">
        <f>_xll.BDP(Ticker,"BS_CONTRACTUAL_OBLIG_YEAR_2_5","EQY_FUND_RELATIVE_PERIOD",E$11,"EQY_FUND_CRNCY",$K$7,"EQY_CONSOLIDATED",$G$9,"ACCOUNTING_STANDARD_OVERRIDE",$G$7,"Fill=--")</f>
        <v>1482</v>
      </c>
      <c r="F113" s="186">
        <f t="shared" si="20"/>
        <v>0.27363367799113736</v>
      </c>
      <c r="G113" s="194">
        <f>_xll.BDP(Ticker,"BS_CONTRACTUAL_OBLIG_YEAR_2_5","EQY_FUND_RELATIVE_PERIOD",G$11,"EQY_FUND_CRNCY",$K$7,"EQY_CONSOLIDATED",$G$9,"ACCOUNTING_STANDARD_OVERRIDE",$G$7,"Fill=--")</f>
        <v>2865</v>
      </c>
      <c r="H113" s="186">
        <f t="shared" si="17"/>
        <v>0.34947548182483534</v>
      </c>
      <c r="I113" s="194">
        <f>_xll.BDP(Ticker,"BS_CONTRACTUAL_OBLIG_YEAR_2_5","EQY_FUND_RELATIVE_PERIOD",I$11,"EQY_FUND_CRNCY",$K$7,"EQY_CONSOLIDATED",$G$9,"ACCOUNTING_STANDARD_OVERRIDE",$G$7,"Fill=--")</f>
        <v>3515</v>
      </c>
      <c r="J113" s="186">
        <f t="shared" si="18"/>
        <v>0.29667454422687373</v>
      </c>
      <c r="K113" s="194">
        <f>_xll.BDP(Ticker,"BS_CONTRACTUAL_OBLIG_YEAR_2_5","EQY_FUND_RELATIVE_PERIOD",K$11,"EQY_FUND_CRNCY",$K$7,"EQY_CONSOLIDATED",$G$9,"ACCOUNTING_STANDARD_OVERRIDE",$G$7,"Fill=--")</f>
        <v>3753</v>
      </c>
      <c r="L113" s="186">
        <f t="shared" si="19"/>
        <v>0.23479729729729729</v>
      </c>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row>
    <row r="114" spans="1:36" ht="15" customHeight="1">
      <c r="A114" s="112"/>
      <c r="B114" s="185" t="s">
        <v>270</v>
      </c>
      <c r="C114" s="194">
        <f>_xll.BDP(Ticker,"BS_CONTRACTUAL_OBLIG_BEYOND_YR_5","EQY_FUND_RELATIVE_PERIOD",C$11,"EQY_FUND_CRNCY",$K$7,"EQY_CONSOLIDATED",$G$9,"ACCOUNTING_STANDARD_OVERRIDE",$G$7,"Fill=--")</f>
        <v>1992</v>
      </c>
      <c r="D114" s="186">
        <f t="shared" si="20"/>
        <v>0.37136465324384788</v>
      </c>
      <c r="E114" s="194">
        <f>_xll.BDP(Ticker,"BS_CONTRACTUAL_OBLIG_BEYOND_YR_5","EQY_FUND_RELATIVE_PERIOD",E$11,"EQY_FUND_CRNCY",$K$7,"EQY_CONSOLIDATED",$G$9,"ACCOUNTING_STANDARD_OVERRIDE",$G$7,"Fill=--")</f>
        <v>2276</v>
      </c>
      <c r="F114" s="186">
        <f t="shared" si="20"/>
        <v>0.4202363367799114</v>
      </c>
      <c r="G114" s="194">
        <f>_xll.BDP(Ticker,"BS_CONTRACTUAL_OBLIG_BEYOND_YR_5","EQY_FUND_RELATIVE_PERIOD",G$11,"EQY_FUND_CRNCY",$K$7,"EQY_CONSOLIDATED",$G$9,"ACCOUNTING_STANDARD_OVERRIDE",$G$7,"Fill=--")</f>
        <v>4286</v>
      </c>
      <c r="H114" s="186">
        <f t="shared" si="17"/>
        <v>0.52281044157111489</v>
      </c>
      <c r="I114" s="194">
        <f>_xll.BDP(Ticker,"BS_CONTRACTUAL_OBLIG_BEYOND_YR_5","EQY_FUND_RELATIVE_PERIOD",I$11,"EQY_FUND_CRNCY",$K$7,"EQY_CONSOLIDATED",$G$9,"ACCOUNTING_STANDARD_OVERRIDE",$G$7,"Fill=--")</f>
        <v>6338</v>
      </c>
      <c r="J114" s="186">
        <f t="shared" si="18"/>
        <v>0.53494260634706281</v>
      </c>
      <c r="K114" s="194">
        <f>_xll.BDP(Ticker,"BS_CONTRACTUAL_OBLIG_BEYOND_YR_5","EQY_FUND_RELATIVE_PERIOD",K$11,"EQY_FUND_CRNCY",$K$7,"EQY_CONSOLIDATED",$G$9,"ACCOUNTING_STANDARD_OVERRIDE",$G$7,"Fill=--")</f>
        <v>9106</v>
      </c>
      <c r="L114" s="186">
        <f t="shared" si="19"/>
        <v>0.56969469469469469</v>
      </c>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row>
    <row r="115" spans="1:36" s="179" customFormat="1" ht="15" customHeight="1">
      <c r="A115" s="177"/>
      <c r="B115" s="187" t="s">
        <v>224</v>
      </c>
      <c r="C115" s="195">
        <f>_xll.BDP(Ticker,"BS_CONTRACTUAL_OBLIG_TOTAL","EQY_FUND_RELATIVE_PERIOD",C$11,"EQY_FUND_CRNCY",$K$7,"EQY_CONSOLIDATED",$G$9,"ACCOUNTING_STANDARD_OVERRIDE",$G$7,"Fill=--")</f>
        <v>5364</v>
      </c>
      <c r="D115" s="188">
        <f t="shared" si="20"/>
        <v>1</v>
      </c>
      <c r="E115" s="195">
        <f>_xll.BDP(Ticker,"BS_CONTRACTUAL_OBLIG_TOTAL","EQY_FUND_RELATIVE_PERIOD",E$11,"EQY_FUND_CRNCY",$K$7,"EQY_CONSOLIDATED",$G$9,"ACCOUNTING_STANDARD_OVERRIDE",$G$7,"Fill=--")</f>
        <v>5416</v>
      </c>
      <c r="F115" s="188">
        <f t="shared" si="20"/>
        <v>1</v>
      </c>
      <c r="G115" s="195">
        <f>_xll.BDP(Ticker,"BS_CONTRACTUAL_OBLIG_TOTAL","EQY_FUND_RELATIVE_PERIOD",G$11,"EQY_FUND_CRNCY",$K$7,"EQY_CONSOLIDATED",$G$9,"ACCOUNTING_STANDARD_OVERRIDE",$G$7,"Fill=--")</f>
        <v>8198</v>
      </c>
      <c r="H115" s="188">
        <f t="shared" si="17"/>
        <v>1</v>
      </c>
      <c r="I115" s="195">
        <f>_xll.BDP(Ticker,"BS_CONTRACTUAL_OBLIG_TOTAL","EQY_FUND_RELATIVE_PERIOD",I$11,"EQY_FUND_CRNCY",$K$7,"EQY_CONSOLIDATED",$G$9,"ACCOUNTING_STANDARD_OVERRIDE",$G$7,"Fill=--")</f>
        <v>11848</v>
      </c>
      <c r="J115" s="188">
        <f t="shared" si="18"/>
        <v>1</v>
      </c>
      <c r="K115" s="195">
        <f>_xll.BDP(Ticker,"BS_CONTRACTUAL_OBLIG_TOTAL","EQY_FUND_RELATIVE_PERIOD",K$11,"EQY_FUND_CRNCY",$K$7,"EQY_CONSOLIDATED",$G$9,"ACCOUNTING_STANDARD_OVERRIDE",$G$7,"Fill=--")</f>
        <v>15984</v>
      </c>
      <c r="L115" s="188">
        <f t="shared" si="19"/>
        <v>1</v>
      </c>
      <c r="M115" s="177"/>
      <c r="N115" s="177"/>
      <c r="O115" s="177"/>
      <c r="P115" s="177"/>
      <c r="Q115" s="177"/>
      <c r="R115" s="177"/>
      <c r="S115" s="177"/>
      <c r="T115" s="177"/>
      <c r="U115" s="177"/>
      <c r="V115" s="177"/>
      <c r="W115" s="177"/>
      <c r="X115" s="177"/>
      <c r="Y115" s="177"/>
      <c r="Z115" s="177"/>
      <c r="AA115" s="177"/>
      <c r="AB115" s="177"/>
      <c r="AC115" s="177"/>
      <c r="AD115" s="177"/>
      <c r="AE115" s="177"/>
      <c r="AF115" s="177"/>
      <c r="AG115" s="177"/>
      <c r="AH115" s="177"/>
      <c r="AI115" s="177"/>
      <c r="AJ115" s="177"/>
    </row>
    <row r="116" spans="1:36" ht="15" customHeight="1">
      <c r="A116" s="112"/>
      <c r="B116" s="187"/>
      <c r="C116" s="194"/>
      <c r="D116" s="158"/>
      <c r="E116" s="194"/>
      <c r="F116" s="158"/>
      <c r="G116" s="194"/>
      <c r="H116" s="158"/>
      <c r="I116" s="194"/>
      <c r="J116" s="158"/>
      <c r="K116" s="194"/>
      <c r="L116" s="158"/>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row>
    <row r="117" spans="1:36" s="179" customFormat="1" ht="15" customHeight="1">
      <c r="A117" s="177"/>
      <c r="B117" s="187" t="s">
        <v>271</v>
      </c>
      <c r="C117" s="195">
        <f>_xll.BDP(Ticker,"BS_PURCHASE_OBLIGATIONS","EQY_FUND_RELATIVE_PERIOD",C$11,"EQY_FUND_CRNCY",$K$7,"EQY_CONSOLIDATED",$G$9,"ACCOUNTING_STANDARD_OVERRIDE",$G$7,"Fill=--")</f>
        <v>1056</v>
      </c>
      <c r="D117" s="109"/>
      <c r="E117" s="195">
        <f>_xll.BDP(Ticker,"BS_PURCHASE_OBLIGATIONS","EQY_FUND_RELATIVE_PERIOD",E$11,"EQY_FUND_CRNCY",$K$7,"EQY_CONSOLIDATED",$G$9,"ACCOUNTING_STANDARD_OVERRIDE",$G$7,"Fill=--")</f>
        <v>1020</v>
      </c>
      <c r="F117" s="109"/>
      <c r="G117" s="195">
        <f>_xll.BDP(Ticker,"BS_PURCHASE_OBLIGATIONS","EQY_FUND_RELATIVE_PERIOD",G$11,"EQY_FUND_CRNCY",$K$7,"EQY_CONSOLIDATED",$G$9,"ACCOUNTING_STANDARD_OVERRIDE",$G$7,"Fill=--")</f>
        <v>853</v>
      </c>
      <c r="H117" s="109"/>
      <c r="I117" s="195">
        <f>_xll.BDP(Ticker,"BS_PURCHASE_OBLIGATIONS","EQY_FUND_RELATIVE_PERIOD",I$11,"EQY_FUND_CRNCY",$K$7,"EQY_CONSOLIDATED",$G$9,"ACCOUNTING_STANDARD_OVERRIDE",$G$7,"Fill=--")</f>
        <v>1144</v>
      </c>
      <c r="J117" s="109"/>
      <c r="K117" s="195">
        <f>_xll.BDP(Ticker,"BS_PURCHASE_OBLIGATIONS","EQY_FUND_RELATIVE_PERIOD",K$11,"EQY_FUND_CRNCY",$K$7,"EQY_CONSOLIDATED",$G$9,"ACCOUNTING_STANDARD_OVERRIDE",$G$7,"Fill=--")</f>
        <v>1411</v>
      </c>
      <c r="L117" s="109"/>
      <c r="M117" s="177"/>
      <c r="N117" s="177"/>
      <c r="O117" s="177"/>
      <c r="P117" s="177"/>
      <c r="Q117" s="177"/>
      <c r="R117" s="177"/>
      <c r="S117" s="177"/>
      <c r="T117" s="177"/>
      <c r="U117" s="177"/>
      <c r="V117" s="177"/>
      <c r="W117" s="177"/>
      <c r="X117" s="177"/>
      <c r="Y117" s="177"/>
      <c r="Z117" s="177"/>
      <c r="AA117" s="177"/>
      <c r="AB117" s="177"/>
      <c r="AC117" s="177"/>
      <c r="AD117" s="177"/>
      <c r="AE117" s="177"/>
      <c r="AF117" s="177"/>
      <c r="AG117" s="177"/>
      <c r="AH117" s="177"/>
      <c r="AI117" s="177"/>
      <c r="AJ117" s="177"/>
    </row>
    <row r="118" spans="1:36" ht="15" customHeight="1">
      <c r="A118" s="112"/>
      <c r="B118" s="166"/>
      <c r="C118" s="194"/>
      <c r="D118" s="158"/>
      <c r="E118" s="194"/>
      <c r="F118" s="158"/>
      <c r="G118" s="194"/>
      <c r="H118" s="158"/>
      <c r="I118" s="194"/>
      <c r="J118" s="158"/>
      <c r="K118" s="194"/>
      <c r="L118" s="158"/>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row>
    <row r="119" spans="1:36" ht="15" customHeight="1">
      <c r="A119" s="112"/>
      <c r="B119" s="169" t="s">
        <v>225</v>
      </c>
      <c r="C119" s="194"/>
      <c r="D119" s="158"/>
      <c r="E119" s="194"/>
      <c r="F119" s="158"/>
      <c r="G119" s="194"/>
      <c r="H119" s="158"/>
      <c r="I119" s="194"/>
      <c r="J119" s="158"/>
      <c r="K119" s="194"/>
      <c r="L119" s="158"/>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row>
    <row r="120" spans="1:36" ht="15" customHeight="1">
      <c r="A120" s="112"/>
      <c r="B120" s="166" t="s">
        <v>226</v>
      </c>
      <c r="C120" s="195">
        <f>_xll.BDP(Ticker,"BS_WTD_AVG_INT_RATE_ST_LT_DEBT","EQY_FUND_RELATIVE_PERIOD",C$11,"EQY_FUND_CRNCY",$K$7,"EQY_CONSOLIDATED",$G$9,"ACCOUNTING_STANDARD_OVERRIDE",$G$7,"Fill=--")</f>
        <v>2.9</v>
      </c>
      <c r="D120" s="158"/>
      <c r="E120" s="195" t="str">
        <f>_xll.BDP(Ticker,"BS_WTD_AVG_INT_RATE_ST_LT_DEBT","EQY_FUND_RELATIVE_PERIOD",E$11,"EQY_FUND_CRNCY",$K$7,"EQY_CONSOLIDATED",$G$9,"ACCOUNTING_STANDARD_OVERRIDE",$G$7,"Fill=--")</f>
        <v>--</v>
      </c>
      <c r="F120" s="158"/>
      <c r="G120" s="195" t="str">
        <f>_xll.BDP(Ticker,"BS_WTD_AVG_INT_RATE_ST_LT_DEBT","EQY_FUND_RELATIVE_PERIOD",G$11,"EQY_FUND_CRNCY",$K$7,"EQY_CONSOLIDATED",$G$9,"ACCOUNTING_STANDARD_OVERRIDE",$G$7,"Fill=--")</f>
        <v>--</v>
      </c>
      <c r="H120" s="158"/>
      <c r="I120" s="195" t="str">
        <f>_xll.BDP(Ticker,"BS_WTD_AVG_INT_RATE_ST_LT_DEBT","EQY_FUND_RELATIVE_PERIOD",I$11,"EQY_FUND_CRNCY",$K$7,"EQY_CONSOLIDATED",$G$9,"ACCOUNTING_STANDARD_OVERRIDE",$G$7,"Fill=--")</f>
        <v>--</v>
      </c>
      <c r="J120" s="158"/>
      <c r="K120" s="195" t="str">
        <f>_xll.BDP(Ticker,"BS_WTD_AVG_INT_RATE_ST_LT_DEBT","EQY_FUND_RELATIVE_PERIOD",K$11,"EQY_FUND_CRNCY",$K$7,"EQY_CONSOLIDATED",$G$9,"ACCOUNTING_STANDARD_OVERRIDE",$G$7,"Fill=--")</f>
        <v>--</v>
      </c>
      <c r="L120" s="158"/>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row>
    <row r="121" spans="1:36" ht="15" customHeight="1">
      <c r="A121" s="112"/>
      <c r="B121" s="112"/>
      <c r="C121" s="189"/>
      <c r="D121" s="158"/>
      <c r="E121" s="190"/>
      <c r="F121" s="190"/>
      <c r="G121" s="190"/>
      <c r="H121" s="190"/>
      <c r="I121" s="190"/>
      <c r="J121" s="190"/>
      <c r="K121" s="190"/>
      <c r="L121" s="190"/>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row>
    <row r="122" spans="1:36" ht="15" customHeight="1">
      <c r="A122" s="112"/>
      <c r="B122" s="112"/>
      <c r="C122" s="190"/>
      <c r="D122" s="190"/>
      <c r="E122" s="190"/>
      <c r="F122" s="190"/>
      <c r="G122" s="190"/>
      <c r="H122" s="190"/>
      <c r="I122" s="190"/>
      <c r="J122" s="190"/>
      <c r="K122" s="190"/>
      <c r="L122" s="190"/>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row>
    <row r="123" spans="1:36" ht="15" customHeight="1">
      <c r="A123" s="112"/>
      <c r="B123" s="112"/>
      <c r="C123" s="190"/>
      <c r="D123" s="190"/>
      <c r="E123" s="190"/>
      <c r="F123" s="190"/>
      <c r="G123" s="190"/>
      <c r="H123" s="190"/>
      <c r="I123" s="190"/>
      <c r="J123" s="190"/>
      <c r="K123" s="190"/>
      <c r="L123" s="190"/>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row>
    <row r="124" spans="1:36" ht="15" customHeight="1">
      <c r="A124" s="112"/>
      <c r="B124" s="112"/>
      <c r="C124" s="190"/>
      <c r="D124" s="190"/>
      <c r="E124" s="190"/>
      <c r="F124" s="190"/>
      <c r="G124" s="190"/>
      <c r="H124" s="190"/>
      <c r="I124" s="190"/>
      <c r="J124" s="190"/>
      <c r="K124" s="190"/>
      <c r="L124" s="190"/>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row>
    <row r="125" spans="1:36" ht="15" customHeight="1">
      <c r="A125" s="112"/>
      <c r="B125" s="112"/>
      <c r="C125" s="190"/>
      <c r="D125" s="190"/>
      <c r="E125" s="190"/>
      <c r="F125" s="190"/>
      <c r="G125" s="190"/>
      <c r="H125" s="190"/>
      <c r="I125" s="190"/>
      <c r="J125" s="190"/>
      <c r="K125" s="190"/>
      <c r="L125" s="190"/>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row>
    <row r="126" spans="1:36" ht="15" customHeight="1">
      <c r="A126" s="112"/>
      <c r="B126" s="112"/>
      <c r="C126" s="190"/>
      <c r="D126" s="190"/>
      <c r="E126" s="190"/>
      <c r="F126" s="190"/>
      <c r="G126" s="190"/>
      <c r="H126" s="190"/>
      <c r="I126" s="190"/>
      <c r="J126" s="190"/>
      <c r="K126" s="190"/>
      <c r="L126" s="190"/>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row>
    <row r="127" spans="1:36" ht="15" customHeight="1">
      <c r="A127" s="112"/>
      <c r="B127" s="112"/>
      <c r="C127" s="190"/>
      <c r="D127" s="190"/>
      <c r="E127" s="190"/>
      <c r="F127" s="190"/>
      <c r="G127" s="190"/>
      <c r="H127" s="190"/>
      <c r="I127" s="190"/>
      <c r="J127" s="190"/>
      <c r="K127" s="190"/>
      <c r="L127" s="190"/>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row>
    <row r="128" spans="1:36" ht="15" customHeight="1">
      <c r="A128" s="112"/>
      <c r="B128" s="112"/>
      <c r="C128" s="190"/>
      <c r="D128" s="190"/>
      <c r="E128" s="190"/>
      <c r="F128" s="190"/>
      <c r="G128" s="190"/>
      <c r="H128" s="190"/>
      <c r="I128" s="190"/>
      <c r="J128" s="190"/>
      <c r="K128" s="190"/>
      <c r="L128" s="190"/>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row>
    <row r="129" spans="1:36" ht="15" customHeight="1">
      <c r="A129" s="112"/>
      <c r="B129" s="112"/>
      <c r="C129" s="190"/>
      <c r="D129" s="190"/>
      <c r="E129" s="190"/>
      <c r="F129" s="190"/>
      <c r="G129" s="190"/>
      <c r="H129" s="190"/>
      <c r="I129" s="190"/>
      <c r="J129" s="190"/>
      <c r="K129" s="190"/>
      <c r="L129" s="190"/>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row>
    <row r="130" spans="1:36" ht="15" customHeight="1">
      <c r="A130" s="112"/>
      <c r="B130" s="112"/>
      <c r="C130" s="190"/>
      <c r="D130" s="190"/>
      <c r="E130" s="190"/>
      <c r="F130" s="190"/>
      <c r="G130" s="190"/>
      <c r="H130" s="190"/>
      <c r="I130" s="190"/>
      <c r="J130" s="190"/>
      <c r="K130" s="190"/>
      <c r="L130" s="190"/>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row>
    <row r="131" spans="1:36" ht="15" customHeight="1">
      <c r="A131" s="112"/>
      <c r="B131" s="112"/>
      <c r="C131" s="190"/>
      <c r="D131" s="190"/>
      <c r="E131" s="190"/>
      <c r="F131" s="190"/>
      <c r="G131" s="190"/>
      <c r="H131" s="190"/>
      <c r="I131" s="190"/>
      <c r="J131" s="190"/>
      <c r="K131" s="190"/>
      <c r="L131" s="190"/>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row>
    <row r="132" spans="1:36" ht="15" customHeight="1">
      <c r="A132" s="112"/>
      <c r="B132" s="112"/>
      <c r="C132" s="190"/>
      <c r="D132" s="190"/>
      <c r="E132" s="190"/>
      <c r="F132" s="190"/>
      <c r="G132" s="190"/>
      <c r="H132" s="190"/>
      <c r="I132" s="190"/>
      <c r="J132" s="190"/>
      <c r="K132" s="190"/>
      <c r="L132" s="190"/>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row>
    <row r="133" spans="1:36" ht="15" customHeight="1">
      <c r="A133" s="112"/>
      <c r="B133" s="112"/>
      <c r="C133" s="190"/>
      <c r="D133" s="190"/>
      <c r="E133" s="190"/>
      <c r="F133" s="190"/>
      <c r="G133" s="190"/>
      <c r="H133" s="190"/>
      <c r="I133" s="190"/>
      <c r="J133" s="190"/>
      <c r="K133" s="190"/>
      <c r="L133" s="190"/>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row>
    <row r="134" spans="1:36" ht="15" customHeight="1">
      <c r="A134" s="112"/>
      <c r="B134" s="112"/>
      <c r="C134" s="190"/>
      <c r="D134" s="190"/>
      <c r="E134" s="190"/>
      <c r="F134" s="190"/>
      <c r="G134" s="190"/>
      <c r="H134" s="190"/>
      <c r="I134" s="190"/>
      <c r="J134" s="190"/>
      <c r="K134" s="190"/>
      <c r="L134" s="190"/>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row>
    <row r="135" spans="1:36" ht="15" customHeight="1">
      <c r="A135" s="112"/>
      <c r="B135" s="112"/>
      <c r="C135" s="190"/>
      <c r="D135" s="190"/>
      <c r="E135" s="190"/>
      <c r="F135" s="190"/>
      <c r="G135" s="190"/>
      <c r="H135" s="190"/>
      <c r="I135" s="190"/>
      <c r="J135" s="190"/>
      <c r="K135" s="190"/>
      <c r="L135" s="190"/>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row>
    <row r="136" spans="1:36" ht="15" customHeight="1">
      <c r="A136" s="112"/>
      <c r="B136" s="112"/>
      <c r="C136" s="190"/>
      <c r="D136" s="190"/>
      <c r="E136" s="190"/>
      <c r="F136" s="190"/>
      <c r="G136" s="190"/>
      <c r="H136" s="190"/>
      <c r="I136" s="190"/>
      <c r="J136" s="190"/>
      <c r="K136" s="190"/>
      <c r="L136" s="190"/>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row>
    <row r="137" spans="1:36" ht="15" customHeight="1">
      <c r="A137" s="112"/>
      <c r="B137" s="112"/>
      <c r="C137" s="190"/>
      <c r="D137" s="190"/>
      <c r="E137" s="190"/>
      <c r="F137" s="190"/>
      <c r="G137" s="190"/>
      <c r="H137" s="190"/>
      <c r="I137" s="190"/>
      <c r="J137" s="190"/>
      <c r="K137" s="190"/>
      <c r="L137" s="190"/>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row>
    <row r="138" spans="1:36" ht="15" customHeight="1">
      <c r="A138" s="112"/>
      <c r="B138" s="112"/>
      <c r="C138" s="190"/>
      <c r="D138" s="190"/>
      <c r="E138" s="190"/>
      <c r="F138" s="190"/>
      <c r="G138" s="190"/>
      <c r="H138" s="190"/>
      <c r="I138" s="190"/>
      <c r="J138" s="190"/>
      <c r="K138" s="190"/>
      <c r="L138" s="190"/>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row>
    <row r="139" spans="1:36" ht="15" customHeight="1">
      <c r="A139" s="112"/>
      <c r="B139" s="112"/>
      <c r="C139" s="190"/>
      <c r="D139" s="190"/>
      <c r="E139" s="190"/>
      <c r="F139" s="190"/>
      <c r="G139" s="190"/>
      <c r="H139" s="190"/>
      <c r="I139" s="190"/>
      <c r="J139" s="190"/>
      <c r="K139" s="190"/>
      <c r="L139" s="190"/>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row>
    <row r="140" spans="1:36" ht="15" customHeight="1">
      <c r="A140" s="112"/>
      <c r="B140" s="112"/>
      <c r="C140" s="190"/>
      <c r="D140" s="190"/>
      <c r="E140" s="190"/>
      <c r="F140" s="190"/>
      <c r="G140" s="190"/>
      <c r="H140" s="190"/>
      <c r="I140" s="190"/>
      <c r="J140" s="190"/>
      <c r="K140" s="190"/>
      <c r="L140" s="190"/>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row>
    <row r="141" spans="1:36" ht="15" customHeight="1">
      <c r="A141" s="112"/>
      <c r="B141" s="112"/>
      <c r="C141" s="190"/>
      <c r="D141" s="190"/>
      <c r="E141" s="190"/>
      <c r="F141" s="190"/>
      <c r="G141" s="190"/>
      <c r="H141" s="190"/>
      <c r="I141" s="190"/>
      <c r="J141" s="190"/>
      <c r="K141" s="190"/>
      <c r="L141" s="190"/>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row>
    <row r="142" spans="1:36" ht="15" customHeight="1">
      <c r="A142" s="112"/>
      <c r="B142" s="112"/>
      <c r="C142" s="190"/>
      <c r="D142" s="190"/>
      <c r="E142" s="190"/>
      <c r="F142" s="190"/>
      <c r="G142" s="190"/>
      <c r="H142" s="190"/>
      <c r="I142" s="190"/>
      <c r="J142" s="190"/>
      <c r="K142" s="190"/>
      <c r="L142" s="190"/>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row>
    <row r="143" spans="1:36" ht="15" customHeight="1">
      <c r="A143" s="112"/>
      <c r="B143" s="112"/>
      <c r="C143" s="190"/>
      <c r="D143" s="190"/>
      <c r="E143" s="190"/>
      <c r="F143" s="190"/>
      <c r="G143" s="190"/>
      <c r="H143" s="190"/>
      <c r="I143" s="190"/>
      <c r="J143" s="190"/>
      <c r="K143" s="190"/>
      <c r="L143" s="190"/>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row>
    <row r="144" spans="1:36" ht="15" customHeight="1">
      <c r="A144" s="112"/>
      <c r="B144" s="112"/>
      <c r="C144" s="190"/>
      <c r="D144" s="190"/>
      <c r="E144" s="190"/>
      <c r="F144" s="190"/>
      <c r="G144" s="190"/>
      <c r="H144" s="190"/>
      <c r="I144" s="190"/>
      <c r="J144" s="190"/>
      <c r="K144" s="190"/>
      <c r="L144" s="190"/>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row>
    <row r="145" spans="1:36" ht="15" customHeight="1">
      <c r="A145" s="112"/>
      <c r="B145" s="112"/>
      <c r="C145" s="190"/>
      <c r="D145" s="190"/>
      <c r="E145" s="190"/>
      <c r="F145" s="190"/>
      <c r="G145" s="190"/>
      <c r="H145" s="190"/>
      <c r="I145" s="190"/>
      <c r="J145" s="190"/>
      <c r="K145" s="190"/>
      <c r="L145" s="190"/>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row>
    <row r="146" spans="1:36" ht="15" customHeight="1">
      <c r="A146" s="112"/>
      <c r="B146" s="112"/>
      <c r="C146" s="190"/>
      <c r="D146" s="190"/>
      <c r="E146" s="190"/>
      <c r="F146" s="190"/>
      <c r="G146" s="190"/>
      <c r="H146" s="190"/>
      <c r="I146" s="190"/>
      <c r="J146" s="190"/>
      <c r="K146" s="190"/>
      <c r="L146" s="190"/>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row>
    <row r="147" spans="1:36" ht="15" customHeight="1">
      <c r="A147" s="112"/>
      <c r="B147" s="112"/>
      <c r="C147" s="190"/>
      <c r="D147" s="190"/>
      <c r="E147" s="190"/>
      <c r="F147" s="190"/>
      <c r="G147" s="190"/>
      <c r="H147" s="190"/>
      <c r="I147" s="190"/>
      <c r="J147" s="190"/>
      <c r="K147" s="190"/>
      <c r="L147" s="190"/>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row>
    <row r="148" spans="1:36" ht="15" customHeight="1">
      <c r="A148" s="112"/>
      <c r="B148" s="112"/>
      <c r="C148" s="190"/>
      <c r="D148" s="190"/>
      <c r="E148" s="190"/>
      <c r="F148" s="190"/>
      <c r="G148" s="190"/>
      <c r="H148" s="190"/>
      <c r="I148" s="190"/>
      <c r="J148" s="190"/>
      <c r="K148" s="190"/>
      <c r="L148" s="190"/>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row>
    <row r="149" spans="1:36" ht="15" customHeight="1">
      <c r="A149" s="112"/>
      <c r="B149" s="112"/>
      <c r="C149" s="190"/>
      <c r="D149" s="190"/>
      <c r="E149" s="190"/>
      <c r="F149" s="190"/>
      <c r="G149" s="190"/>
      <c r="H149" s="190"/>
      <c r="I149" s="190"/>
      <c r="J149" s="190"/>
      <c r="K149" s="190"/>
      <c r="L149" s="190"/>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row>
    <row r="150" spans="1:36" ht="15" customHeight="1">
      <c r="A150" s="112"/>
      <c r="B150" s="112"/>
      <c r="C150" s="190"/>
      <c r="D150" s="190"/>
      <c r="E150" s="190"/>
      <c r="F150" s="190"/>
      <c r="G150" s="190"/>
      <c r="H150" s="190"/>
      <c r="I150" s="190"/>
      <c r="J150" s="190"/>
      <c r="K150" s="190"/>
      <c r="L150" s="190"/>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row>
    <row r="151" spans="1:36" ht="15" customHeight="1">
      <c r="A151" s="112"/>
      <c r="B151" s="112"/>
      <c r="C151" s="190"/>
      <c r="D151" s="190"/>
      <c r="E151" s="190"/>
      <c r="F151" s="190"/>
      <c r="G151" s="190"/>
      <c r="H151" s="190"/>
      <c r="I151" s="190"/>
      <c r="J151" s="190"/>
      <c r="K151" s="190"/>
      <c r="L151" s="190"/>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row>
    <row r="152" spans="1:36" ht="15" customHeight="1">
      <c r="A152" s="112"/>
      <c r="B152" s="112"/>
      <c r="C152" s="190"/>
      <c r="D152" s="190"/>
      <c r="E152" s="190"/>
      <c r="F152" s="190"/>
      <c r="G152" s="190"/>
      <c r="H152" s="190"/>
      <c r="I152" s="190"/>
      <c r="J152" s="190"/>
      <c r="K152" s="190"/>
      <c r="L152" s="190"/>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row>
    <row r="153" spans="1:36" ht="15" customHeight="1">
      <c r="A153" s="112"/>
      <c r="B153" s="112"/>
      <c r="C153" s="190"/>
      <c r="D153" s="190"/>
      <c r="E153" s="190"/>
      <c r="F153" s="190"/>
      <c r="G153" s="190"/>
      <c r="H153" s="190"/>
      <c r="I153" s="190"/>
      <c r="J153" s="190"/>
      <c r="K153" s="190"/>
      <c r="L153" s="190"/>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row>
    <row r="154" spans="1:36" ht="11.85" customHeight="1">
      <c r="A154" s="112"/>
      <c r="B154" s="112"/>
      <c r="C154" s="190"/>
      <c r="D154" s="190"/>
      <c r="E154" s="190"/>
      <c r="F154" s="190"/>
      <c r="G154" s="190"/>
      <c r="H154" s="190"/>
      <c r="I154" s="190"/>
      <c r="J154" s="190"/>
      <c r="K154" s="190"/>
      <c r="L154" s="190"/>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row>
    <row r="155" spans="1:36" ht="11.85" customHeight="1">
      <c r="A155" s="112"/>
      <c r="B155" s="112"/>
      <c r="C155" s="190"/>
      <c r="D155" s="190"/>
      <c r="E155" s="190"/>
      <c r="F155" s="190"/>
      <c r="G155" s="190"/>
      <c r="H155" s="190"/>
      <c r="I155" s="190"/>
      <c r="J155" s="190"/>
      <c r="K155" s="190"/>
      <c r="L155" s="190"/>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row>
    <row r="156" spans="1:36" ht="11.85" customHeight="1">
      <c r="A156" s="112"/>
      <c r="B156" s="112"/>
      <c r="C156" s="190"/>
      <c r="D156" s="190"/>
      <c r="E156" s="190"/>
      <c r="F156" s="190"/>
      <c r="G156" s="190"/>
      <c r="H156" s="190"/>
      <c r="I156" s="190"/>
      <c r="J156" s="190"/>
      <c r="K156" s="190"/>
      <c r="L156" s="190"/>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row>
    <row r="157" spans="1:36" ht="11.85" customHeight="1">
      <c r="A157" s="112"/>
      <c r="B157" s="112"/>
      <c r="C157" s="190"/>
      <c r="D157" s="190"/>
      <c r="E157" s="190"/>
      <c r="F157" s="190"/>
      <c r="G157" s="190"/>
      <c r="H157" s="190"/>
      <c r="I157" s="190"/>
      <c r="J157" s="190"/>
      <c r="K157" s="190"/>
      <c r="L157" s="190"/>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row>
    <row r="158" spans="1:36" ht="11.85" customHeight="1">
      <c r="A158" s="112"/>
      <c r="B158" s="112"/>
      <c r="C158" s="190"/>
      <c r="D158" s="190"/>
      <c r="E158" s="190"/>
      <c r="F158" s="190"/>
      <c r="G158" s="190"/>
      <c r="H158" s="190"/>
      <c r="I158" s="190"/>
      <c r="J158" s="190"/>
      <c r="K158" s="190"/>
      <c r="L158" s="190"/>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row>
    <row r="159" spans="1:36" ht="11.85" customHeight="1">
      <c r="A159" s="112"/>
      <c r="B159" s="112"/>
      <c r="C159" s="190"/>
      <c r="D159" s="190"/>
      <c r="E159" s="190"/>
      <c r="F159" s="190"/>
      <c r="G159" s="190"/>
      <c r="H159" s="190"/>
      <c r="I159" s="190"/>
      <c r="J159" s="190"/>
      <c r="K159" s="190"/>
      <c r="L159" s="190"/>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row>
    <row r="160" spans="1:36" ht="11.85" customHeight="1">
      <c r="A160" s="112"/>
      <c r="B160" s="112"/>
      <c r="C160" s="190"/>
      <c r="D160" s="190"/>
      <c r="E160" s="190"/>
      <c r="F160" s="190"/>
      <c r="G160" s="190"/>
      <c r="H160" s="190"/>
      <c r="I160" s="190"/>
      <c r="J160" s="190"/>
      <c r="K160" s="190"/>
      <c r="L160" s="190"/>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row>
    <row r="161" spans="1:36" ht="11.85" customHeight="1">
      <c r="A161" s="112"/>
      <c r="B161" s="112"/>
      <c r="C161" s="190"/>
      <c r="D161" s="190"/>
      <c r="E161" s="190"/>
      <c r="F161" s="190"/>
      <c r="G161" s="190"/>
      <c r="H161" s="190"/>
      <c r="I161" s="190"/>
      <c r="J161" s="190"/>
      <c r="K161" s="190"/>
      <c r="L161" s="190"/>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row>
    <row r="162" spans="1:36" ht="11.85" customHeight="1">
      <c r="A162" s="112"/>
      <c r="B162" s="112"/>
      <c r="C162" s="190"/>
      <c r="D162" s="190"/>
      <c r="E162" s="190"/>
      <c r="F162" s="190"/>
      <c r="G162" s="190"/>
      <c r="H162" s="190"/>
      <c r="I162" s="190"/>
      <c r="J162" s="190"/>
      <c r="K162" s="190"/>
      <c r="L162" s="190"/>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row>
    <row r="163" spans="1:36" ht="11.85" customHeight="1">
      <c r="A163" s="112"/>
      <c r="B163" s="112"/>
      <c r="C163" s="190"/>
      <c r="D163" s="190"/>
      <c r="E163" s="190"/>
      <c r="F163" s="190"/>
      <c r="G163" s="190"/>
      <c r="H163" s="190"/>
      <c r="I163" s="190"/>
      <c r="J163" s="190"/>
      <c r="K163" s="190"/>
      <c r="L163" s="190"/>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row>
    <row r="164" spans="1:36" ht="11.85" customHeight="1">
      <c r="A164" s="112"/>
      <c r="B164" s="112"/>
      <c r="C164" s="190"/>
      <c r="D164" s="190"/>
      <c r="E164" s="190"/>
      <c r="F164" s="190"/>
      <c r="G164" s="190"/>
      <c r="H164" s="190"/>
      <c r="I164" s="190"/>
      <c r="J164" s="190"/>
      <c r="K164" s="190"/>
      <c r="L164" s="190"/>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row>
    <row r="165" spans="1:36" ht="11.85" customHeight="1">
      <c r="A165" s="112"/>
      <c r="B165" s="112"/>
      <c r="C165" s="190"/>
      <c r="D165" s="190"/>
      <c r="E165" s="190"/>
      <c r="F165" s="190"/>
      <c r="G165" s="190"/>
      <c r="H165" s="190"/>
      <c r="I165" s="190"/>
      <c r="J165" s="190"/>
      <c r="K165" s="190"/>
      <c r="L165" s="190"/>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row>
    <row r="166" spans="1:36" ht="11.85" customHeight="1">
      <c r="A166" s="112"/>
      <c r="B166" s="112"/>
      <c r="C166" s="190"/>
      <c r="D166" s="190"/>
      <c r="E166" s="190"/>
      <c r="F166" s="190"/>
      <c r="G166" s="190"/>
      <c r="H166" s="190"/>
      <c r="I166" s="190"/>
      <c r="J166" s="190"/>
      <c r="K166" s="190"/>
      <c r="L166" s="190"/>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row>
    <row r="167" spans="1:36" ht="11.85" customHeight="1">
      <c r="A167" s="112"/>
      <c r="B167" s="112"/>
      <c r="C167" s="190"/>
      <c r="D167" s="190"/>
      <c r="E167" s="190"/>
      <c r="F167" s="190"/>
      <c r="G167" s="190"/>
      <c r="H167" s="190"/>
      <c r="I167" s="190"/>
      <c r="J167" s="190"/>
      <c r="K167" s="190"/>
      <c r="L167" s="190"/>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row>
    <row r="168" spans="1:36" ht="11.85" customHeight="1">
      <c r="A168" s="112"/>
      <c r="B168" s="112"/>
      <c r="C168" s="190"/>
      <c r="D168" s="190"/>
      <c r="E168" s="190"/>
      <c r="F168" s="190"/>
      <c r="G168" s="190"/>
      <c r="H168" s="190"/>
      <c r="I168" s="190"/>
      <c r="J168" s="190"/>
      <c r="K168" s="190"/>
      <c r="L168" s="190"/>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row>
    <row r="169" spans="1:36" ht="11.85" customHeight="1">
      <c r="A169" s="112"/>
      <c r="B169" s="112"/>
      <c r="C169" s="190"/>
      <c r="D169" s="190"/>
      <c r="E169" s="190"/>
      <c r="F169" s="190"/>
      <c r="G169" s="190"/>
      <c r="H169" s="190"/>
      <c r="I169" s="190"/>
      <c r="J169" s="190"/>
      <c r="K169" s="190"/>
      <c r="L169" s="190"/>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row>
    <row r="170" spans="1:36" ht="11.85" customHeight="1">
      <c r="A170" s="112"/>
      <c r="B170" s="112"/>
      <c r="C170" s="190"/>
      <c r="D170" s="190"/>
      <c r="E170" s="190"/>
      <c r="F170" s="190"/>
      <c r="G170" s="190"/>
      <c r="H170" s="190"/>
      <c r="I170" s="190"/>
      <c r="J170" s="190"/>
      <c r="K170" s="190"/>
      <c r="L170" s="190"/>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row>
    <row r="171" spans="1:36" ht="11.85" customHeight="1">
      <c r="A171" s="112"/>
      <c r="B171" s="112"/>
      <c r="C171" s="190"/>
      <c r="D171" s="190"/>
      <c r="E171" s="190"/>
      <c r="F171" s="190"/>
      <c r="G171" s="190"/>
      <c r="H171" s="190"/>
      <c r="I171" s="190"/>
      <c r="J171" s="190"/>
      <c r="K171" s="190"/>
      <c r="L171" s="190"/>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row>
    <row r="172" spans="1:36" ht="11.85" customHeight="1">
      <c r="A172" s="112"/>
      <c r="B172" s="112"/>
      <c r="C172" s="190"/>
      <c r="D172" s="190"/>
      <c r="E172" s="190"/>
      <c r="F172" s="190"/>
      <c r="G172" s="190"/>
      <c r="H172" s="190"/>
      <c r="I172" s="190"/>
      <c r="J172" s="190"/>
      <c r="K172" s="190"/>
      <c r="L172" s="190"/>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row>
    <row r="173" spans="1:36" ht="11.85" customHeight="1">
      <c r="A173" s="112"/>
      <c r="B173" s="112"/>
      <c r="C173" s="190"/>
      <c r="D173" s="190"/>
      <c r="E173" s="190"/>
      <c r="F173" s="190"/>
      <c r="G173" s="190"/>
      <c r="H173" s="190"/>
      <c r="I173" s="190"/>
      <c r="J173" s="190"/>
      <c r="K173" s="190"/>
      <c r="L173" s="190"/>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row>
    <row r="174" spans="1:36" ht="11.85" customHeight="1">
      <c r="A174" s="112"/>
      <c r="B174" s="112"/>
      <c r="C174" s="190"/>
      <c r="D174" s="190"/>
      <c r="E174" s="190"/>
      <c r="F174" s="190"/>
      <c r="G174" s="190"/>
      <c r="H174" s="190"/>
      <c r="I174" s="190"/>
      <c r="J174" s="190"/>
      <c r="K174" s="190"/>
      <c r="L174" s="190"/>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row>
    <row r="175" spans="1:36" ht="11.85" customHeight="1">
      <c r="A175" s="112"/>
      <c r="B175" s="112"/>
      <c r="C175" s="190"/>
      <c r="D175" s="190"/>
      <c r="E175" s="190"/>
      <c r="F175" s="190"/>
      <c r="G175" s="190"/>
      <c r="H175" s="190"/>
      <c r="I175" s="190"/>
      <c r="J175" s="190"/>
      <c r="K175" s="190"/>
      <c r="L175" s="190"/>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row>
    <row r="176" spans="1:36" ht="11.85" customHeight="1">
      <c r="A176" s="112"/>
      <c r="B176" s="112"/>
      <c r="C176" s="190"/>
      <c r="D176" s="190"/>
      <c r="E176" s="190"/>
      <c r="F176" s="190"/>
      <c r="G176" s="190"/>
      <c r="H176" s="190"/>
      <c r="I176" s="190"/>
      <c r="J176" s="190"/>
      <c r="K176" s="190"/>
      <c r="L176" s="190"/>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row>
    <row r="177" spans="1:36" ht="11.85" customHeight="1">
      <c r="A177" s="112"/>
      <c r="B177" s="112"/>
      <c r="C177" s="190"/>
      <c r="D177" s="190"/>
      <c r="E177" s="190"/>
      <c r="F177" s="190"/>
      <c r="G177" s="190"/>
      <c r="H177" s="190"/>
      <c r="I177" s="190"/>
      <c r="J177" s="190"/>
      <c r="K177" s="190"/>
      <c r="L177" s="190"/>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row>
    <row r="178" spans="1:36" ht="11.85" customHeight="1">
      <c r="A178" s="112"/>
      <c r="B178" s="112"/>
      <c r="C178" s="190"/>
      <c r="D178" s="190"/>
      <c r="E178" s="190"/>
      <c r="F178" s="190"/>
      <c r="G178" s="190"/>
      <c r="H178" s="190"/>
      <c r="I178" s="190"/>
      <c r="J178" s="190"/>
      <c r="K178" s="190"/>
      <c r="L178" s="190"/>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row>
    <row r="179" spans="1:36" ht="11.85" customHeight="1">
      <c r="A179" s="112"/>
      <c r="B179" s="112"/>
      <c r="C179" s="190"/>
      <c r="D179" s="190"/>
      <c r="E179" s="190"/>
      <c r="F179" s="190"/>
      <c r="G179" s="190"/>
      <c r="H179" s="190"/>
      <c r="I179" s="190"/>
      <c r="J179" s="190"/>
      <c r="K179" s="190"/>
      <c r="L179" s="190"/>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row>
    <row r="180" spans="1:36" ht="11.85" customHeight="1">
      <c r="A180" s="112"/>
      <c r="B180" s="112"/>
      <c r="C180" s="190"/>
      <c r="D180" s="190"/>
      <c r="E180" s="190"/>
      <c r="F180" s="190"/>
      <c r="G180" s="190"/>
      <c r="H180" s="190"/>
      <c r="I180" s="190"/>
      <c r="J180" s="190"/>
      <c r="K180" s="190"/>
      <c r="L180" s="190"/>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row>
    <row r="181" spans="1:36" ht="11.85" customHeight="1">
      <c r="A181" s="112"/>
      <c r="B181" s="112"/>
      <c r="C181" s="190"/>
      <c r="D181" s="190"/>
      <c r="E181" s="190"/>
      <c r="F181" s="190"/>
      <c r="G181" s="190"/>
      <c r="H181" s="190"/>
      <c r="I181" s="190"/>
      <c r="J181" s="190"/>
      <c r="K181" s="190"/>
      <c r="L181" s="190"/>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row>
    <row r="182" spans="1:36" ht="11.85" customHeight="1">
      <c r="A182" s="112"/>
      <c r="B182" s="112"/>
      <c r="C182" s="190"/>
      <c r="D182" s="190"/>
      <c r="E182" s="190"/>
      <c r="F182" s="190"/>
      <c r="G182" s="190"/>
      <c r="H182" s="190"/>
      <c r="I182" s="190"/>
      <c r="J182" s="190"/>
      <c r="K182" s="190"/>
      <c r="L182" s="190"/>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row>
    <row r="183" spans="1:36" ht="11.85" customHeight="1">
      <c r="A183" s="112"/>
      <c r="B183" s="112"/>
      <c r="C183" s="190"/>
      <c r="D183" s="190"/>
      <c r="E183" s="190"/>
      <c r="F183" s="190"/>
      <c r="G183" s="190"/>
      <c r="H183" s="190"/>
      <c r="I183" s="190"/>
      <c r="J183" s="190"/>
      <c r="K183" s="190"/>
      <c r="L183" s="190"/>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row>
    <row r="184" spans="1:36" ht="11.85" customHeight="1">
      <c r="A184" s="112"/>
      <c r="B184" s="112"/>
      <c r="C184" s="190"/>
      <c r="D184" s="190"/>
      <c r="E184" s="190"/>
      <c r="F184" s="190"/>
      <c r="G184" s="190"/>
      <c r="H184" s="190"/>
      <c r="I184" s="190"/>
      <c r="J184" s="190"/>
      <c r="K184" s="190"/>
      <c r="L184" s="190"/>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row>
    <row r="185" spans="1:36" ht="11.85" customHeight="1">
      <c r="A185" s="112"/>
      <c r="B185" s="112"/>
      <c r="C185" s="190"/>
      <c r="D185" s="190"/>
      <c r="E185" s="190"/>
      <c r="F185" s="190"/>
      <c r="G185" s="190"/>
      <c r="H185" s="190"/>
      <c r="I185" s="190"/>
      <c r="J185" s="190"/>
      <c r="K185" s="190"/>
      <c r="L185" s="190"/>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row>
    <row r="186" spans="1:36" ht="11.85" customHeight="1">
      <c r="A186" s="112"/>
      <c r="B186" s="112"/>
      <c r="C186" s="190"/>
      <c r="D186" s="190"/>
      <c r="E186" s="190"/>
      <c r="F186" s="190"/>
      <c r="G186" s="190"/>
      <c r="H186" s="190"/>
      <c r="I186" s="190"/>
      <c r="J186" s="190"/>
      <c r="K186" s="190"/>
      <c r="L186" s="190"/>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row>
    <row r="187" spans="1:36" ht="11.85" customHeight="1">
      <c r="A187" s="112"/>
      <c r="B187" s="112"/>
      <c r="C187" s="190"/>
      <c r="D187" s="190"/>
      <c r="E187" s="190"/>
      <c r="F187" s="190"/>
      <c r="G187" s="190"/>
      <c r="H187" s="190"/>
      <c r="I187" s="190"/>
      <c r="J187" s="190"/>
      <c r="K187" s="190"/>
      <c r="L187" s="190"/>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row>
    <row r="188" spans="1:36" ht="11.85" customHeight="1">
      <c r="A188" s="112"/>
      <c r="B188" s="112"/>
      <c r="C188" s="190"/>
      <c r="D188" s="190"/>
      <c r="E188" s="190"/>
      <c r="F188" s="190"/>
      <c r="G188" s="190"/>
      <c r="H188" s="190"/>
      <c r="I188" s="190"/>
      <c r="J188" s="190"/>
      <c r="K188" s="190"/>
      <c r="L188" s="190"/>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row>
    <row r="189" spans="1:36" ht="11.85" customHeight="1">
      <c r="A189" s="112"/>
      <c r="B189" s="112"/>
      <c r="C189" s="190"/>
      <c r="D189" s="190"/>
      <c r="E189" s="190"/>
      <c r="F189" s="190"/>
      <c r="G189" s="190"/>
      <c r="H189" s="190"/>
      <c r="I189" s="190"/>
      <c r="J189" s="190"/>
      <c r="K189" s="190"/>
      <c r="L189" s="190"/>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row>
    <row r="190" spans="1:36" ht="11.85" customHeight="1">
      <c r="A190" s="112"/>
      <c r="B190" s="112"/>
      <c r="C190" s="190"/>
      <c r="D190" s="190"/>
      <c r="E190" s="190"/>
      <c r="F190" s="190"/>
      <c r="G190" s="190"/>
      <c r="H190" s="190"/>
      <c r="I190" s="190"/>
      <c r="J190" s="190"/>
      <c r="K190" s="190"/>
      <c r="L190" s="190"/>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row>
    <row r="191" spans="1:36" ht="11.85" customHeight="1">
      <c r="A191" s="112"/>
      <c r="B191" s="112"/>
      <c r="C191" s="190"/>
      <c r="D191" s="190"/>
      <c r="E191" s="190"/>
      <c r="F191" s="190"/>
      <c r="G191" s="190"/>
      <c r="H191" s="190"/>
      <c r="I191" s="190"/>
      <c r="J191" s="190"/>
      <c r="K191" s="190"/>
      <c r="L191" s="190"/>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row>
    <row r="192" spans="1:36" ht="11.85" customHeight="1">
      <c r="A192" s="112"/>
      <c r="B192" s="112"/>
      <c r="C192" s="190"/>
      <c r="D192" s="190"/>
      <c r="E192" s="190"/>
      <c r="F192" s="190"/>
      <c r="G192" s="190"/>
      <c r="H192" s="190"/>
      <c r="I192" s="190"/>
      <c r="J192" s="190"/>
      <c r="K192" s="190"/>
      <c r="L192" s="190"/>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row>
    <row r="193" spans="1:36" ht="11.85" customHeight="1">
      <c r="A193" s="112"/>
      <c r="B193" s="112"/>
      <c r="C193" s="190"/>
      <c r="D193" s="190"/>
      <c r="E193" s="190"/>
      <c r="F193" s="190"/>
      <c r="G193" s="190"/>
      <c r="H193" s="190"/>
      <c r="I193" s="190"/>
      <c r="J193" s="190"/>
      <c r="K193" s="190"/>
      <c r="L193" s="190"/>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row>
    <row r="194" spans="1:36" ht="11.85" customHeight="1">
      <c r="A194" s="112"/>
      <c r="B194" s="112"/>
      <c r="C194" s="190"/>
      <c r="D194" s="190"/>
      <c r="E194" s="190"/>
      <c r="F194" s="190"/>
      <c r="G194" s="190"/>
      <c r="H194" s="190"/>
      <c r="I194" s="190"/>
      <c r="J194" s="190"/>
      <c r="K194" s="190"/>
      <c r="L194" s="190"/>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row>
    <row r="195" spans="1:36" ht="11.85" customHeight="1">
      <c r="A195" s="112"/>
      <c r="B195" s="112"/>
      <c r="C195" s="190"/>
      <c r="D195" s="190"/>
      <c r="E195" s="190"/>
      <c r="F195" s="190"/>
      <c r="G195" s="190"/>
      <c r="H195" s="190"/>
      <c r="I195" s="190"/>
      <c r="J195" s="190"/>
      <c r="K195" s="190"/>
      <c r="L195" s="190"/>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row>
    <row r="196" spans="1:36" ht="11.85" customHeight="1">
      <c r="A196" s="112"/>
      <c r="B196" s="112"/>
      <c r="C196" s="190"/>
      <c r="D196" s="190"/>
      <c r="E196" s="190"/>
      <c r="F196" s="190"/>
      <c r="G196" s="190"/>
      <c r="H196" s="190"/>
      <c r="I196" s="190"/>
      <c r="J196" s="190"/>
      <c r="K196" s="190"/>
      <c r="L196" s="190"/>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row>
    <row r="197" spans="1:36" ht="11.85" customHeight="1">
      <c r="A197" s="112"/>
      <c r="B197" s="112"/>
      <c r="C197" s="190"/>
      <c r="D197" s="190"/>
      <c r="E197" s="190"/>
      <c r="F197" s="190"/>
      <c r="G197" s="190"/>
      <c r="H197" s="190"/>
      <c r="I197" s="190"/>
      <c r="J197" s="190"/>
      <c r="K197" s="190"/>
      <c r="L197" s="190"/>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row>
    <row r="198" spans="1:36" ht="11.85" customHeight="1">
      <c r="A198" s="112"/>
      <c r="B198" s="112"/>
      <c r="C198" s="190"/>
      <c r="D198" s="190"/>
      <c r="E198" s="190"/>
      <c r="F198" s="190"/>
      <c r="G198" s="190"/>
      <c r="H198" s="190"/>
      <c r="I198" s="190"/>
      <c r="J198" s="190"/>
      <c r="K198" s="190"/>
      <c r="L198" s="190"/>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row>
    <row r="199" spans="1:36" ht="11.85" customHeight="1">
      <c r="A199" s="112"/>
      <c r="B199" s="112"/>
      <c r="C199" s="190"/>
      <c r="D199" s="190"/>
      <c r="E199" s="190"/>
      <c r="F199" s="190"/>
      <c r="G199" s="190"/>
      <c r="H199" s="190"/>
      <c r="I199" s="190"/>
      <c r="J199" s="190"/>
      <c r="K199" s="190"/>
      <c r="L199" s="190"/>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row>
    <row r="200" spans="1:36" ht="11.85" customHeight="1">
      <c r="A200" s="112"/>
      <c r="B200" s="112"/>
      <c r="C200" s="190"/>
      <c r="D200" s="190"/>
      <c r="E200" s="190"/>
      <c r="F200" s="190"/>
      <c r="G200" s="190"/>
      <c r="H200" s="190"/>
      <c r="I200" s="190"/>
      <c r="J200" s="190"/>
      <c r="K200" s="190"/>
      <c r="L200" s="190"/>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row>
    <row r="201" spans="1:36" ht="11.85" customHeight="1">
      <c r="A201" s="112"/>
      <c r="B201" s="112"/>
      <c r="C201" s="190"/>
      <c r="D201" s="190"/>
      <c r="E201" s="190"/>
      <c r="F201" s="190"/>
      <c r="G201" s="190"/>
      <c r="H201" s="190"/>
      <c r="I201" s="190"/>
      <c r="J201" s="190"/>
      <c r="K201" s="190"/>
      <c r="L201" s="190"/>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row>
    <row r="202" spans="1:36" ht="11.85" customHeight="1">
      <c r="A202" s="112"/>
      <c r="B202" s="112"/>
      <c r="C202" s="190"/>
      <c r="D202" s="190"/>
      <c r="E202" s="190"/>
      <c r="F202" s="190"/>
      <c r="G202" s="190"/>
      <c r="H202" s="190"/>
      <c r="I202" s="190"/>
      <c r="J202" s="190"/>
      <c r="K202" s="190"/>
      <c r="L202" s="190"/>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row>
    <row r="203" spans="1:36" ht="11.85" customHeight="1">
      <c r="A203" s="112"/>
      <c r="B203" s="112"/>
      <c r="C203" s="190"/>
      <c r="D203" s="190"/>
      <c r="E203" s="190"/>
      <c r="F203" s="190"/>
      <c r="G203" s="190"/>
      <c r="H203" s="190"/>
      <c r="I203" s="190"/>
      <c r="J203" s="190"/>
      <c r="K203" s="190"/>
      <c r="L203" s="190"/>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row>
    <row r="204" spans="1:36" ht="11.85" customHeight="1">
      <c r="A204" s="112"/>
      <c r="B204" s="112"/>
      <c r="C204" s="190"/>
      <c r="D204" s="190"/>
      <c r="E204" s="190"/>
      <c r="F204" s="190"/>
      <c r="G204" s="190"/>
      <c r="H204" s="190"/>
      <c r="I204" s="190"/>
      <c r="J204" s="190"/>
      <c r="K204" s="190"/>
      <c r="L204" s="190"/>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row>
    <row r="205" spans="1:36" ht="11.85" customHeight="1">
      <c r="A205" s="112"/>
      <c r="B205" s="112"/>
      <c r="C205" s="190"/>
      <c r="D205" s="190"/>
      <c r="E205" s="190"/>
      <c r="F205" s="190"/>
      <c r="G205" s="190"/>
      <c r="H205" s="190"/>
      <c r="I205" s="190"/>
      <c r="J205" s="190"/>
      <c r="K205" s="190"/>
      <c r="L205" s="190"/>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row>
    <row r="206" spans="1:36" ht="11.85" customHeight="1">
      <c r="A206" s="112"/>
      <c r="B206" s="112"/>
      <c r="C206" s="190"/>
      <c r="D206" s="190"/>
      <c r="E206" s="190"/>
      <c r="F206" s="190"/>
      <c r="G206" s="190"/>
      <c r="H206" s="190"/>
      <c r="I206" s="190"/>
      <c r="J206" s="190"/>
      <c r="K206" s="190"/>
      <c r="L206" s="190"/>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row>
    <row r="207" spans="1:36" ht="11.85" customHeight="1">
      <c r="A207" s="112"/>
      <c r="B207" s="112"/>
      <c r="C207" s="190"/>
      <c r="D207" s="190"/>
      <c r="E207" s="190"/>
      <c r="F207" s="190"/>
      <c r="G207" s="190"/>
      <c r="H207" s="190"/>
      <c r="I207" s="190"/>
      <c r="J207" s="190"/>
      <c r="K207" s="190"/>
      <c r="L207" s="190"/>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row>
    <row r="208" spans="1:36" ht="11.85" customHeight="1">
      <c r="A208" s="112"/>
      <c r="B208" s="112"/>
      <c r="C208" s="190"/>
      <c r="D208" s="190"/>
      <c r="E208" s="190"/>
      <c r="F208" s="190"/>
      <c r="G208" s="190"/>
      <c r="H208" s="190"/>
      <c r="I208" s="190"/>
      <c r="J208" s="190"/>
      <c r="K208" s="190"/>
      <c r="L208" s="190"/>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row>
    <row r="209" spans="1:36" ht="11.85" customHeight="1">
      <c r="A209" s="112"/>
      <c r="B209" s="112"/>
      <c r="C209" s="190"/>
      <c r="D209" s="190"/>
      <c r="E209" s="190"/>
      <c r="F209" s="190"/>
      <c r="G209" s="190"/>
      <c r="H209" s="190"/>
      <c r="I209" s="190"/>
      <c r="J209" s="190"/>
      <c r="K209" s="190"/>
      <c r="L209" s="190"/>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row>
    <row r="210" spans="1:36" ht="11.85" customHeight="1">
      <c r="A210" s="112"/>
      <c r="B210" s="112"/>
      <c r="C210" s="190"/>
      <c r="D210" s="190"/>
      <c r="E210" s="190"/>
      <c r="F210" s="190"/>
      <c r="G210" s="190"/>
      <c r="H210" s="190"/>
      <c r="I210" s="190"/>
      <c r="J210" s="190"/>
      <c r="K210" s="190"/>
      <c r="L210" s="190"/>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row>
    <row r="211" spans="1:36" ht="11.85" customHeight="1">
      <c r="A211" s="112"/>
      <c r="B211" s="112"/>
      <c r="C211" s="190"/>
      <c r="D211" s="190"/>
      <c r="E211" s="190"/>
      <c r="F211" s="190"/>
      <c r="G211" s="190"/>
      <c r="H211" s="190"/>
      <c r="I211" s="190"/>
      <c r="J211" s="190"/>
      <c r="K211" s="190"/>
      <c r="L211" s="190"/>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row>
    <row r="212" spans="1:36" ht="11.85" customHeight="1">
      <c r="A212" s="112"/>
      <c r="B212" s="112"/>
      <c r="C212" s="190"/>
      <c r="D212" s="190"/>
      <c r="E212" s="190"/>
      <c r="F212" s="190"/>
      <c r="G212" s="190"/>
      <c r="H212" s="190"/>
      <c r="I212" s="190"/>
      <c r="J212" s="190"/>
      <c r="K212" s="190"/>
      <c r="L212" s="190"/>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row>
    <row r="213" spans="1:36" ht="11.85" customHeight="1">
      <c r="A213" s="112"/>
      <c r="B213" s="112"/>
      <c r="C213" s="190"/>
      <c r="D213" s="190"/>
      <c r="E213" s="190"/>
      <c r="F213" s="190"/>
      <c r="G213" s="190"/>
      <c r="H213" s="190"/>
      <c r="I213" s="190"/>
      <c r="J213" s="190"/>
      <c r="K213" s="190"/>
      <c r="L213" s="190"/>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row>
    <row r="214" spans="1:36" ht="11.85" customHeight="1">
      <c r="A214" s="112"/>
      <c r="B214" s="112"/>
      <c r="C214" s="190"/>
      <c r="D214" s="190"/>
      <c r="E214" s="190"/>
      <c r="F214" s="190"/>
      <c r="G214" s="190"/>
      <c r="H214" s="190"/>
      <c r="I214" s="190"/>
      <c r="J214" s="190"/>
      <c r="K214" s="190"/>
      <c r="L214" s="190"/>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row>
    <row r="215" spans="1:36" ht="11.85" customHeight="1">
      <c r="A215" s="112"/>
      <c r="B215" s="112"/>
      <c r="C215" s="190"/>
      <c r="D215" s="190"/>
      <c r="E215" s="190"/>
      <c r="F215" s="190"/>
      <c r="G215" s="190"/>
      <c r="H215" s="190"/>
      <c r="I215" s="190"/>
      <c r="J215" s="190"/>
      <c r="K215" s="190"/>
      <c r="L215" s="190"/>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row>
    <row r="216" spans="1:36" ht="11.85" customHeight="1">
      <c r="A216" s="112"/>
      <c r="B216" s="112"/>
      <c r="C216" s="190"/>
      <c r="D216" s="190"/>
      <c r="E216" s="190"/>
      <c r="F216" s="190"/>
      <c r="G216" s="190"/>
      <c r="H216" s="190"/>
      <c r="I216" s="190"/>
      <c r="J216" s="190"/>
      <c r="K216" s="190"/>
      <c r="L216" s="190"/>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row>
    <row r="217" spans="1:36" ht="11.85" customHeight="1">
      <c r="A217" s="112"/>
      <c r="B217" s="112"/>
      <c r="C217" s="190"/>
      <c r="D217" s="190"/>
      <c r="E217" s="190"/>
      <c r="F217" s="190"/>
      <c r="G217" s="190"/>
      <c r="H217" s="190"/>
      <c r="I217" s="190"/>
      <c r="J217" s="190"/>
      <c r="K217" s="190"/>
      <c r="L217" s="190"/>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row>
    <row r="218" spans="1:36" ht="11.85" customHeight="1">
      <c r="A218" s="112"/>
      <c r="B218" s="112"/>
      <c r="C218" s="190"/>
      <c r="D218" s="190"/>
      <c r="E218" s="190"/>
      <c r="F218" s="190"/>
      <c r="G218" s="190"/>
      <c r="H218" s="190"/>
      <c r="I218" s="190"/>
      <c r="J218" s="190"/>
      <c r="K218" s="190"/>
      <c r="L218" s="190"/>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row>
    <row r="219" spans="1:36" ht="11.85" customHeight="1">
      <c r="A219" s="112"/>
      <c r="B219" s="112"/>
      <c r="C219" s="190"/>
      <c r="D219" s="190"/>
      <c r="E219" s="190"/>
      <c r="F219" s="190"/>
      <c r="G219" s="190"/>
      <c r="H219" s="190"/>
      <c r="I219" s="190"/>
      <c r="J219" s="190"/>
      <c r="K219" s="190"/>
      <c r="L219" s="190"/>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row>
    <row r="220" spans="1:36" ht="11.85" customHeight="1">
      <c r="A220" s="112"/>
      <c r="B220" s="112"/>
      <c r="C220" s="190"/>
      <c r="D220" s="190"/>
      <c r="E220" s="190"/>
      <c r="F220" s="190"/>
      <c r="G220" s="190"/>
      <c r="H220" s="190"/>
      <c r="I220" s="190"/>
      <c r="J220" s="190"/>
      <c r="K220" s="190"/>
      <c r="L220" s="190"/>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row>
    <row r="221" spans="1:36" ht="11.85" customHeight="1">
      <c r="A221" s="112"/>
      <c r="B221" s="112"/>
      <c r="C221" s="190"/>
      <c r="D221" s="190"/>
      <c r="E221" s="190"/>
      <c r="F221" s="190"/>
      <c r="G221" s="190"/>
      <c r="H221" s="190"/>
      <c r="I221" s="190"/>
      <c r="J221" s="190"/>
      <c r="K221" s="190"/>
      <c r="L221" s="190"/>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row>
    <row r="222" spans="1:36" ht="11.85" customHeight="1">
      <c r="A222" s="112"/>
      <c r="B222" s="112"/>
      <c r="C222" s="190"/>
      <c r="D222" s="190"/>
      <c r="E222" s="190"/>
      <c r="F222" s="190"/>
      <c r="G222" s="190"/>
      <c r="H222" s="190"/>
      <c r="I222" s="190"/>
      <c r="J222" s="190"/>
      <c r="K222" s="190"/>
      <c r="L222" s="190"/>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row>
    <row r="223" spans="1:36" ht="11.85" customHeight="1">
      <c r="A223" s="112"/>
      <c r="B223" s="112"/>
      <c r="C223" s="190"/>
      <c r="D223" s="190"/>
      <c r="E223" s="190"/>
      <c r="F223" s="190"/>
      <c r="G223" s="190"/>
      <c r="H223" s="190"/>
      <c r="I223" s="190"/>
      <c r="J223" s="190"/>
      <c r="K223" s="190"/>
      <c r="L223" s="190"/>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row>
    <row r="224" spans="1:36" ht="11.85" customHeight="1">
      <c r="A224" s="112"/>
      <c r="B224" s="112"/>
      <c r="C224" s="190"/>
      <c r="D224" s="190"/>
      <c r="E224" s="190"/>
      <c r="F224" s="190"/>
      <c r="G224" s="190"/>
      <c r="H224" s="190"/>
      <c r="I224" s="190"/>
      <c r="J224" s="190"/>
      <c r="K224" s="190"/>
      <c r="L224" s="190"/>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row>
    <row r="225" spans="1:36" ht="11.85" customHeight="1">
      <c r="A225" s="112"/>
      <c r="B225" s="112"/>
      <c r="C225" s="190"/>
      <c r="D225" s="190"/>
      <c r="E225" s="190"/>
      <c r="F225" s="190"/>
      <c r="G225" s="190"/>
      <c r="H225" s="190"/>
      <c r="I225" s="190"/>
      <c r="J225" s="190"/>
      <c r="K225" s="190"/>
      <c r="L225" s="190"/>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row>
    <row r="226" spans="1:36" ht="11.85" customHeight="1">
      <c r="A226" s="112"/>
      <c r="B226" s="112"/>
      <c r="C226" s="190"/>
      <c r="D226" s="190"/>
      <c r="E226" s="190"/>
      <c r="F226" s="190"/>
      <c r="G226" s="190"/>
      <c r="H226" s="190"/>
      <c r="I226" s="190"/>
      <c r="J226" s="190"/>
      <c r="K226" s="190"/>
      <c r="L226" s="190"/>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row>
    <row r="227" spans="1:36" ht="11.85" customHeight="1">
      <c r="A227" s="112"/>
      <c r="B227" s="112"/>
      <c r="C227" s="190"/>
      <c r="D227" s="190"/>
      <c r="E227" s="190"/>
      <c r="F227" s="190"/>
      <c r="G227" s="190"/>
      <c r="H227" s="190"/>
      <c r="I227" s="190"/>
      <c r="J227" s="190"/>
      <c r="K227" s="190"/>
      <c r="L227" s="190"/>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row>
    <row r="228" spans="1:36" ht="11.85" customHeight="1">
      <c r="A228" s="112"/>
      <c r="B228" s="112"/>
      <c r="C228" s="190"/>
      <c r="D228" s="190"/>
      <c r="E228" s="190"/>
      <c r="F228" s="190"/>
      <c r="G228" s="190"/>
      <c r="H228" s="190"/>
      <c r="I228" s="190"/>
      <c r="J228" s="190"/>
      <c r="K228" s="190"/>
      <c r="L228" s="190"/>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row>
    <row r="229" spans="1:36" ht="11.85" customHeight="1">
      <c r="A229" s="112"/>
      <c r="B229" s="112"/>
      <c r="C229" s="190"/>
      <c r="D229" s="190"/>
      <c r="E229" s="190"/>
      <c r="F229" s="190"/>
      <c r="G229" s="190"/>
      <c r="H229" s="190"/>
      <c r="I229" s="190"/>
      <c r="J229" s="190"/>
      <c r="K229" s="190"/>
      <c r="L229" s="190"/>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row>
    <row r="230" spans="1:36" ht="11.85" customHeight="1">
      <c r="A230" s="112"/>
      <c r="B230" s="112"/>
      <c r="C230" s="190"/>
      <c r="D230" s="190"/>
      <c r="E230" s="190"/>
      <c r="F230" s="190"/>
      <c r="G230" s="190"/>
      <c r="H230" s="190"/>
      <c r="I230" s="190"/>
      <c r="J230" s="190"/>
      <c r="K230" s="190"/>
      <c r="L230" s="190"/>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row>
    <row r="231" spans="1:36" ht="11.85" customHeight="1">
      <c r="A231" s="112"/>
      <c r="B231" s="112"/>
      <c r="C231" s="190"/>
      <c r="D231" s="190"/>
      <c r="E231" s="190"/>
      <c r="F231" s="190"/>
      <c r="G231" s="190"/>
      <c r="H231" s="190"/>
      <c r="I231" s="190"/>
      <c r="J231" s="190"/>
      <c r="K231" s="190"/>
      <c r="L231" s="190"/>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row>
    <row r="232" spans="1:36" ht="11.85" customHeight="1">
      <c r="A232" s="112"/>
      <c r="B232" s="112"/>
      <c r="C232" s="190"/>
      <c r="D232" s="190"/>
      <c r="E232" s="190"/>
      <c r="F232" s="190"/>
      <c r="G232" s="190"/>
      <c r="H232" s="190"/>
      <c r="I232" s="190"/>
      <c r="J232" s="190"/>
      <c r="K232" s="190"/>
      <c r="L232" s="190"/>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row>
    <row r="233" spans="1:36" ht="11.85" customHeight="1">
      <c r="A233" s="112"/>
      <c r="B233" s="112"/>
      <c r="C233" s="190"/>
      <c r="D233" s="190"/>
      <c r="E233" s="190"/>
      <c r="F233" s="190"/>
      <c r="G233" s="190"/>
      <c r="H233" s="190"/>
      <c r="I233" s="190"/>
      <c r="J233" s="190"/>
      <c r="K233" s="190"/>
      <c r="L233" s="190"/>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row>
    <row r="234" spans="1:36" ht="11.85" customHeight="1">
      <c r="A234" s="112"/>
      <c r="B234" s="112"/>
      <c r="C234" s="190"/>
      <c r="D234" s="190"/>
      <c r="E234" s="190"/>
      <c r="F234" s="190"/>
      <c r="G234" s="190"/>
      <c r="H234" s="190"/>
      <c r="I234" s="190"/>
      <c r="J234" s="190"/>
      <c r="K234" s="190"/>
      <c r="L234" s="190"/>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row>
    <row r="235" spans="1:36" ht="11.85" customHeight="1">
      <c r="A235" s="112"/>
      <c r="B235" s="112"/>
      <c r="C235" s="190"/>
      <c r="D235" s="190"/>
      <c r="E235" s="190"/>
      <c r="F235" s="190"/>
      <c r="G235" s="190"/>
      <c r="H235" s="190"/>
      <c r="I235" s="190"/>
      <c r="J235" s="190"/>
      <c r="K235" s="190"/>
      <c r="L235" s="190"/>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row>
    <row r="236" spans="1:36" ht="11.85" customHeight="1">
      <c r="B236" s="112"/>
      <c r="C236" s="190"/>
      <c r="D236" s="190"/>
      <c r="E236" s="190"/>
      <c r="F236" s="190"/>
      <c r="G236" s="190"/>
      <c r="H236" s="190"/>
      <c r="I236" s="190"/>
      <c r="J236" s="190"/>
      <c r="K236" s="190"/>
      <c r="L236" s="190"/>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row>
    <row r="237" spans="1:36" ht="11.85" customHeight="1">
      <c r="B237" s="112"/>
      <c r="C237" s="190"/>
      <c r="D237" s="190"/>
      <c r="E237" s="190"/>
      <c r="F237" s="190"/>
      <c r="G237" s="190"/>
      <c r="H237" s="190"/>
      <c r="I237" s="190"/>
      <c r="J237" s="190"/>
      <c r="K237" s="190"/>
      <c r="L237" s="190"/>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row>
    <row r="238" spans="1:36" ht="11.85" customHeight="1">
      <c r="B238" s="112"/>
      <c r="C238" s="190"/>
      <c r="D238" s="190"/>
      <c r="E238" s="190"/>
      <c r="F238" s="190"/>
      <c r="G238" s="190"/>
      <c r="H238" s="190"/>
      <c r="I238" s="190"/>
      <c r="J238" s="190"/>
      <c r="K238" s="190"/>
      <c r="L238" s="190"/>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row>
    <row r="239" spans="1:36" ht="11.85" customHeight="1">
      <c r="B239" s="112"/>
      <c r="C239" s="190"/>
      <c r="D239" s="190"/>
      <c r="E239" s="190"/>
      <c r="F239" s="190"/>
      <c r="G239" s="190"/>
      <c r="H239" s="190"/>
      <c r="I239" s="190"/>
      <c r="J239" s="190"/>
      <c r="K239" s="190"/>
      <c r="L239" s="190"/>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row>
    <row r="240" spans="1:36" ht="11.85" customHeight="1">
      <c r="B240" s="112"/>
      <c r="C240" s="190"/>
      <c r="D240" s="190"/>
      <c r="E240" s="190"/>
      <c r="F240" s="190"/>
      <c r="G240" s="190"/>
      <c r="H240" s="190"/>
      <c r="I240" s="190"/>
      <c r="J240" s="190"/>
      <c r="K240" s="190"/>
      <c r="L240" s="190"/>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row>
    <row r="241" spans="2:36" ht="11.85" customHeight="1">
      <c r="B241" s="112"/>
      <c r="C241" s="190"/>
      <c r="D241" s="190"/>
      <c r="E241" s="190"/>
      <c r="F241" s="190"/>
      <c r="G241" s="190"/>
      <c r="H241" s="190"/>
      <c r="I241" s="190"/>
      <c r="J241" s="190"/>
      <c r="K241" s="190"/>
      <c r="L241" s="190"/>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row>
    <row r="242" spans="2:36" ht="11.85" customHeight="1">
      <c r="B242" s="112"/>
      <c r="C242" s="190"/>
      <c r="D242" s="190"/>
      <c r="E242" s="190"/>
      <c r="F242" s="190"/>
      <c r="G242" s="190"/>
      <c r="H242" s="190"/>
      <c r="I242" s="190"/>
      <c r="J242" s="190"/>
      <c r="K242" s="190"/>
      <c r="L242" s="190"/>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row>
    <row r="243" spans="2:36" ht="11.85" customHeight="1">
      <c r="B243" s="112"/>
      <c r="C243" s="190"/>
      <c r="D243" s="190"/>
      <c r="E243" s="190"/>
      <c r="F243" s="190"/>
      <c r="G243" s="190"/>
      <c r="H243" s="190"/>
      <c r="I243" s="190"/>
      <c r="J243" s="190"/>
      <c r="K243" s="190"/>
      <c r="L243" s="190"/>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row>
    <row r="244" spans="2:36" ht="11.85" customHeight="1">
      <c r="B244" s="112"/>
      <c r="C244" s="190"/>
      <c r="D244" s="190"/>
      <c r="E244" s="190"/>
      <c r="F244" s="190"/>
      <c r="G244" s="190"/>
      <c r="H244" s="190"/>
      <c r="I244" s="190"/>
      <c r="J244" s="190"/>
      <c r="K244" s="190"/>
      <c r="L244" s="190"/>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row>
    <row r="245" spans="2:36" ht="11.85" customHeight="1">
      <c r="B245" s="112"/>
      <c r="C245" s="190"/>
      <c r="D245" s="190"/>
      <c r="E245" s="190"/>
      <c r="F245" s="190"/>
      <c r="G245" s="190"/>
      <c r="H245" s="190"/>
      <c r="I245" s="190"/>
      <c r="J245" s="190"/>
      <c r="K245" s="190"/>
      <c r="L245" s="190"/>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row>
    <row r="246" spans="2:36" ht="11.85" customHeight="1">
      <c r="B246" s="112"/>
      <c r="C246" s="190"/>
      <c r="D246" s="190"/>
      <c r="E246" s="190"/>
      <c r="F246" s="190"/>
      <c r="G246" s="190"/>
      <c r="H246" s="190"/>
      <c r="I246" s="190"/>
      <c r="J246" s="190"/>
      <c r="K246" s="190"/>
      <c r="L246" s="190"/>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row>
    <row r="247" spans="2:36" ht="11.85" customHeight="1">
      <c r="B247" s="112"/>
      <c r="C247" s="190"/>
      <c r="D247" s="190"/>
      <c r="E247" s="190"/>
      <c r="F247" s="190"/>
      <c r="G247" s="190"/>
      <c r="H247" s="190"/>
      <c r="I247" s="190"/>
      <c r="J247" s="190"/>
      <c r="K247" s="190"/>
      <c r="L247" s="190"/>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row>
    <row r="248" spans="2:36" ht="11.85" customHeight="1">
      <c r="B248" s="112"/>
      <c r="C248" s="190"/>
      <c r="D248" s="190"/>
      <c r="E248" s="190"/>
      <c r="F248" s="190"/>
      <c r="G248" s="190"/>
      <c r="H248" s="190"/>
      <c r="I248" s="190"/>
      <c r="J248" s="190"/>
      <c r="K248" s="190"/>
      <c r="L248" s="190"/>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c r="AH248" s="112"/>
      <c r="AI248" s="112"/>
      <c r="AJ248" s="112"/>
    </row>
    <row r="249" spans="2:36" ht="11.85" customHeight="1">
      <c r="B249" s="112"/>
      <c r="C249" s="190"/>
      <c r="D249" s="190"/>
      <c r="E249" s="190"/>
      <c r="F249" s="190"/>
      <c r="G249" s="190"/>
      <c r="H249" s="190"/>
      <c r="I249" s="190"/>
      <c r="J249" s="190"/>
      <c r="K249" s="190"/>
      <c r="L249" s="190"/>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row>
    <row r="250" spans="2:36" ht="11.85" customHeight="1">
      <c r="B250" s="112"/>
      <c r="C250" s="190"/>
      <c r="D250" s="190"/>
      <c r="E250" s="190"/>
      <c r="F250" s="190"/>
      <c r="G250" s="190"/>
      <c r="H250" s="190"/>
      <c r="I250" s="190"/>
      <c r="J250" s="190"/>
      <c r="K250" s="190"/>
      <c r="L250" s="190"/>
      <c r="M250" s="112"/>
      <c r="N250" s="112"/>
      <c r="O250" s="112"/>
      <c r="P250" s="112"/>
      <c r="Q250" s="112"/>
      <c r="R250" s="112"/>
      <c r="S250" s="112"/>
      <c r="T250" s="112"/>
      <c r="U250" s="112"/>
      <c r="V250" s="112"/>
      <c r="W250" s="112"/>
      <c r="X250" s="112"/>
      <c r="Y250" s="112"/>
      <c r="Z250" s="112"/>
      <c r="AA250" s="112"/>
      <c r="AB250" s="112"/>
      <c r="AC250" s="112"/>
      <c r="AD250" s="112"/>
      <c r="AE250" s="112"/>
      <c r="AF250" s="112"/>
      <c r="AG250" s="112"/>
      <c r="AH250" s="112"/>
      <c r="AI250" s="112"/>
      <c r="AJ250" s="112"/>
    </row>
    <row r="251" spans="2:36" ht="11.85" customHeight="1">
      <c r="B251" s="112"/>
      <c r="C251" s="190"/>
      <c r="D251" s="190"/>
      <c r="E251" s="190"/>
      <c r="F251" s="190"/>
      <c r="G251" s="190"/>
      <c r="H251" s="190"/>
      <c r="I251" s="190"/>
      <c r="J251" s="190"/>
      <c r="K251" s="190"/>
      <c r="L251" s="190"/>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c r="AH251" s="112"/>
      <c r="AI251" s="112"/>
      <c r="AJ251" s="112"/>
    </row>
    <row r="252" spans="2:36" ht="11.85" customHeight="1">
      <c r="B252" s="112"/>
      <c r="C252" s="190"/>
      <c r="D252" s="190"/>
      <c r="E252" s="190"/>
      <c r="F252" s="190"/>
      <c r="G252" s="190"/>
      <c r="H252" s="190"/>
      <c r="I252" s="190"/>
      <c r="J252" s="190"/>
      <c r="K252" s="190"/>
      <c r="L252" s="190"/>
      <c r="M252" s="112"/>
      <c r="N252" s="112"/>
      <c r="O252" s="112"/>
      <c r="P252" s="112"/>
      <c r="Q252" s="112"/>
      <c r="R252" s="112"/>
      <c r="S252" s="112"/>
      <c r="T252" s="112"/>
      <c r="U252" s="112"/>
      <c r="V252" s="112"/>
      <c r="W252" s="112"/>
      <c r="X252" s="112"/>
      <c r="Y252" s="112"/>
      <c r="Z252" s="112"/>
      <c r="AA252" s="112"/>
      <c r="AB252" s="112"/>
      <c r="AC252" s="112"/>
      <c r="AD252" s="112"/>
      <c r="AE252" s="112"/>
      <c r="AF252" s="112"/>
      <c r="AG252" s="112"/>
      <c r="AH252" s="112"/>
      <c r="AI252" s="112"/>
      <c r="AJ252" s="112"/>
    </row>
    <row r="253" spans="2:36" ht="11.85" customHeight="1">
      <c r="B253" s="112"/>
      <c r="C253" s="190"/>
      <c r="D253" s="190"/>
      <c r="E253" s="190"/>
      <c r="F253" s="190"/>
      <c r="G253" s="190"/>
      <c r="H253" s="190"/>
      <c r="I253" s="190"/>
      <c r="J253" s="190"/>
      <c r="K253" s="190"/>
      <c r="L253" s="190"/>
      <c r="M253" s="112"/>
      <c r="N253" s="112"/>
      <c r="O253" s="112"/>
      <c r="P253" s="112"/>
      <c r="Q253" s="112"/>
      <c r="R253" s="112"/>
      <c r="S253" s="112"/>
      <c r="T253" s="112"/>
      <c r="U253" s="112"/>
      <c r="V253" s="112"/>
      <c r="W253" s="112"/>
      <c r="X253" s="112"/>
      <c r="Y253" s="112"/>
      <c r="Z253" s="112"/>
      <c r="AA253" s="112"/>
      <c r="AB253" s="112"/>
      <c r="AC253" s="112"/>
      <c r="AD253" s="112"/>
      <c r="AE253" s="112"/>
      <c r="AF253" s="112"/>
      <c r="AG253" s="112"/>
      <c r="AH253" s="112"/>
      <c r="AI253" s="112"/>
      <c r="AJ253" s="112"/>
    </row>
    <row r="254" spans="2:36" ht="11.85" customHeight="1">
      <c r="B254" s="112"/>
      <c r="C254" s="190"/>
      <c r="D254" s="190"/>
      <c r="E254" s="190"/>
      <c r="F254" s="190"/>
      <c r="G254" s="190"/>
      <c r="H254" s="190"/>
      <c r="I254" s="190"/>
      <c r="J254" s="190"/>
      <c r="K254" s="190"/>
      <c r="L254" s="190"/>
      <c r="M254" s="112"/>
      <c r="N254" s="112"/>
      <c r="O254" s="112"/>
      <c r="P254" s="112"/>
      <c r="Q254" s="112"/>
      <c r="R254" s="112"/>
      <c r="S254" s="112"/>
      <c r="T254" s="112"/>
      <c r="U254" s="112"/>
      <c r="V254" s="112"/>
      <c r="W254" s="112"/>
      <c r="X254" s="112"/>
      <c r="Y254" s="112"/>
      <c r="Z254" s="112"/>
      <c r="AA254" s="112"/>
      <c r="AB254" s="112"/>
      <c r="AC254" s="112"/>
      <c r="AD254" s="112"/>
      <c r="AE254" s="112"/>
      <c r="AF254" s="112"/>
      <c r="AG254" s="112"/>
      <c r="AH254" s="112"/>
      <c r="AI254" s="112"/>
      <c r="AJ254" s="112"/>
    </row>
    <row r="255" spans="2:36" ht="11.85" customHeight="1">
      <c r="B255" s="112"/>
      <c r="C255" s="190"/>
      <c r="D255" s="190"/>
      <c r="E255" s="190"/>
      <c r="F255" s="190"/>
      <c r="G255" s="190"/>
      <c r="H255" s="190"/>
      <c r="I255" s="190"/>
      <c r="J255" s="190"/>
      <c r="K255" s="190"/>
      <c r="L255" s="190"/>
      <c r="M255" s="112"/>
      <c r="N255" s="112"/>
      <c r="O255" s="112"/>
      <c r="P255" s="112"/>
      <c r="Q255" s="112"/>
      <c r="R255" s="112"/>
      <c r="S255" s="112"/>
      <c r="T255" s="112"/>
      <c r="U255" s="112"/>
      <c r="V255" s="112"/>
      <c r="W255" s="112"/>
      <c r="X255" s="112"/>
      <c r="Y255" s="112"/>
      <c r="Z255" s="112"/>
      <c r="AA255" s="112"/>
      <c r="AB255" s="112"/>
      <c r="AC255" s="112"/>
      <c r="AD255" s="112"/>
      <c r="AE255" s="112"/>
      <c r="AF255" s="112"/>
      <c r="AG255" s="112"/>
      <c r="AH255" s="112"/>
      <c r="AI255" s="112"/>
      <c r="AJ255" s="112"/>
    </row>
    <row r="256" spans="2:36" ht="11.85" customHeight="1">
      <c r="B256" s="112"/>
      <c r="C256" s="190"/>
      <c r="D256" s="190"/>
      <c r="E256" s="190"/>
      <c r="F256" s="190"/>
      <c r="G256" s="190"/>
      <c r="H256" s="190"/>
      <c r="I256" s="190"/>
      <c r="J256" s="190"/>
      <c r="K256" s="190"/>
      <c r="L256" s="190"/>
      <c r="M256" s="112"/>
      <c r="N256" s="112"/>
      <c r="O256" s="112"/>
      <c r="P256" s="112"/>
      <c r="Q256" s="112"/>
      <c r="R256" s="112"/>
      <c r="S256" s="112"/>
      <c r="T256" s="112"/>
      <c r="U256" s="112"/>
      <c r="V256" s="112"/>
      <c r="W256" s="112"/>
      <c r="X256" s="112"/>
      <c r="Y256" s="112"/>
      <c r="Z256" s="112"/>
      <c r="AA256" s="112"/>
      <c r="AB256" s="112"/>
      <c r="AC256" s="112"/>
      <c r="AD256" s="112"/>
      <c r="AE256" s="112"/>
      <c r="AF256" s="112"/>
      <c r="AG256" s="112"/>
      <c r="AH256" s="112"/>
      <c r="AI256" s="112"/>
      <c r="AJ256" s="112"/>
    </row>
    <row r="257" spans="2:36" ht="11.85" customHeight="1">
      <c r="B257" s="112"/>
      <c r="C257" s="190"/>
      <c r="D257" s="190"/>
      <c r="E257" s="190"/>
      <c r="F257" s="190"/>
      <c r="G257" s="190"/>
      <c r="H257" s="190"/>
      <c r="I257" s="190"/>
      <c r="J257" s="190"/>
      <c r="K257" s="190"/>
      <c r="L257" s="190"/>
      <c r="M257" s="112"/>
      <c r="N257" s="112"/>
      <c r="O257" s="112"/>
      <c r="P257" s="112"/>
      <c r="Q257" s="112"/>
      <c r="R257" s="112"/>
      <c r="S257" s="112"/>
      <c r="T257" s="112"/>
      <c r="U257" s="112"/>
      <c r="V257" s="112"/>
      <c r="W257" s="112"/>
      <c r="X257" s="112"/>
      <c r="Y257" s="112"/>
      <c r="Z257" s="112"/>
      <c r="AA257" s="112"/>
      <c r="AB257" s="112"/>
      <c r="AC257" s="112"/>
      <c r="AD257" s="112"/>
      <c r="AE257" s="112"/>
      <c r="AF257" s="112"/>
      <c r="AG257" s="112"/>
      <c r="AH257" s="112"/>
      <c r="AI257" s="112"/>
      <c r="AJ257" s="112"/>
    </row>
    <row r="258" spans="2:36" ht="11.85" customHeight="1">
      <c r="B258" s="112"/>
      <c r="C258" s="190"/>
      <c r="D258" s="190"/>
      <c r="E258" s="190"/>
      <c r="F258" s="190"/>
      <c r="G258" s="190"/>
      <c r="H258" s="190"/>
      <c r="I258" s="190"/>
      <c r="J258" s="190"/>
      <c r="K258" s="190"/>
      <c r="L258" s="190"/>
      <c r="M258" s="112"/>
      <c r="N258" s="112"/>
      <c r="O258" s="112"/>
      <c r="P258" s="112"/>
      <c r="Q258" s="112"/>
      <c r="R258" s="112"/>
      <c r="S258" s="112"/>
      <c r="T258" s="112"/>
      <c r="U258" s="112"/>
      <c r="V258" s="112"/>
      <c r="W258" s="112"/>
      <c r="X258" s="112"/>
      <c r="Y258" s="112"/>
      <c r="Z258" s="112"/>
      <c r="AA258" s="112"/>
      <c r="AB258" s="112"/>
      <c r="AC258" s="112"/>
      <c r="AD258" s="112"/>
      <c r="AE258" s="112"/>
      <c r="AF258" s="112"/>
      <c r="AG258" s="112"/>
      <c r="AH258" s="112"/>
      <c r="AI258" s="112"/>
      <c r="AJ258" s="112"/>
    </row>
    <row r="259" spans="2:36" ht="11.85" customHeight="1">
      <c r="B259" s="112"/>
      <c r="C259" s="190"/>
      <c r="D259" s="190"/>
      <c r="E259" s="190"/>
      <c r="F259" s="190"/>
      <c r="G259" s="190"/>
      <c r="H259" s="190"/>
      <c r="I259" s="190"/>
      <c r="J259" s="190"/>
      <c r="K259" s="190"/>
      <c r="L259" s="190"/>
      <c r="M259" s="112"/>
      <c r="N259" s="112"/>
      <c r="O259" s="112"/>
      <c r="P259" s="112"/>
      <c r="Q259" s="112"/>
      <c r="R259" s="112"/>
      <c r="S259" s="112"/>
      <c r="T259" s="112"/>
      <c r="U259" s="112"/>
      <c r="V259" s="112"/>
      <c r="W259" s="112"/>
      <c r="X259" s="112"/>
      <c r="Y259" s="112"/>
      <c r="Z259" s="112"/>
      <c r="AA259" s="112"/>
      <c r="AB259" s="112"/>
      <c r="AC259" s="112"/>
      <c r="AD259" s="112"/>
      <c r="AE259" s="112"/>
      <c r="AF259" s="112"/>
      <c r="AG259" s="112"/>
      <c r="AH259" s="112"/>
      <c r="AI259" s="112"/>
      <c r="AJ259" s="112"/>
    </row>
    <row r="260" spans="2:36" ht="11.85" customHeight="1">
      <c r="B260" s="112"/>
      <c r="C260" s="190"/>
      <c r="D260" s="190"/>
      <c r="E260" s="190"/>
      <c r="F260" s="190"/>
      <c r="G260" s="190"/>
      <c r="H260" s="190"/>
      <c r="I260" s="190"/>
      <c r="J260" s="190"/>
      <c r="K260" s="190"/>
      <c r="L260" s="190"/>
      <c r="M260" s="112"/>
      <c r="N260" s="112"/>
      <c r="O260" s="112"/>
      <c r="P260" s="112"/>
      <c r="Q260" s="112"/>
      <c r="R260" s="112"/>
      <c r="S260" s="112"/>
      <c r="T260" s="112"/>
      <c r="U260" s="112"/>
      <c r="V260" s="112"/>
      <c r="W260" s="112"/>
      <c r="X260" s="112"/>
      <c r="Y260" s="112"/>
      <c r="Z260" s="112"/>
      <c r="AA260" s="112"/>
      <c r="AB260" s="112"/>
      <c r="AC260" s="112"/>
      <c r="AD260" s="112"/>
      <c r="AE260" s="112"/>
      <c r="AF260" s="112"/>
      <c r="AG260" s="112"/>
      <c r="AH260" s="112"/>
      <c r="AI260" s="112"/>
      <c r="AJ260" s="112"/>
    </row>
    <row r="261" spans="2:36" ht="11.85" customHeight="1">
      <c r="B261" s="112"/>
      <c r="C261" s="190"/>
      <c r="D261" s="190"/>
      <c r="E261" s="190"/>
      <c r="F261" s="190"/>
      <c r="G261" s="190"/>
      <c r="H261" s="190"/>
      <c r="I261" s="190"/>
      <c r="J261" s="190"/>
      <c r="K261" s="190"/>
      <c r="L261" s="190"/>
      <c r="M261" s="112"/>
      <c r="N261" s="112"/>
      <c r="O261" s="112"/>
      <c r="P261" s="112"/>
      <c r="Q261" s="112"/>
      <c r="R261" s="112"/>
      <c r="S261" s="112"/>
      <c r="T261" s="112"/>
      <c r="U261" s="112"/>
      <c r="V261" s="112"/>
      <c r="W261" s="112"/>
      <c r="X261" s="112"/>
      <c r="Y261" s="112"/>
      <c r="Z261" s="112"/>
      <c r="AA261" s="112"/>
      <c r="AB261" s="112"/>
      <c r="AC261" s="112"/>
      <c r="AD261" s="112"/>
      <c r="AE261" s="112"/>
      <c r="AF261" s="112"/>
      <c r="AG261" s="112"/>
      <c r="AH261" s="112"/>
      <c r="AI261" s="112"/>
      <c r="AJ261" s="112"/>
    </row>
    <row r="262" spans="2:36" ht="11.85" customHeight="1">
      <c r="B262" s="112"/>
      <c r="C262" s="190"/>
      <c r="D262" s="190"/>
      <c r="E262" s="190"/>
      <c r="F262" s="190"/>
      <c r="G262" s="190"/>
      <c r="H262" s="190"/>
      <c r="I262" s="190"/>
      <c r="J262" s="190"/>
      <c r="K262" s="190"/>
      <c r="L262" s="190"/>
      <c r="M262" s="112"/>
      <c r="N262" s="112"/>
      <c r="O262" s="112"/>
      <c r="P262" s="112"/>
      <c r="Q262" s="112"/>
      <c r="R262" s="112"/>
      <c r="S262" s="112"/>
      <c r="T262" s="112"/>
      <c r="U262" s="112"/>
      <c r="V262" s="112"/>
      <c r="W262" s="112"/>
      <c r="X262" s="112"/>
      <c r="Y262" s="112"/>
      <c r="Z262" s="112"/>
      <c r="AA262" s="112"/>
      <c r="AB262" s="112"/>
      <c r="AC262" s="112"/>
      <c r="AD262" s="112"/>
      <c r="AE262" s="112"/>
      <c r="AF262" s="112"/>
      <c r="AG262" s="112"/>
      <c r="AH262" s="112"/>
      <c r="AI262" s="112"/>
      <c r="AJ262" s="112"/>
    </row>
    <row r="263" spans="2:36" ht="11.85" customHeight="1">
      <c r="B263" s="112"/>
      <c r="C263" s="190"/>
      <c r="D263" s="190"/>
      <c r="E263" s="190"/>
      <c r="F263" s="190"/>
      <c r="G263" s="190"/>
      <c r="H263" s="190"/>
      <c r="I263" s="190"/>
      <c r="J263" s="190"/>
      <c r="K263" s="190"/>
      <c r="L263" s="190"/>
      <c r="M263" s="112"/>
      <c r="N263" s="112"/>
      <c r="O263" s="112"/>
      <c r="P263" s="112"/>
      <c r="Q263" s="112"/>
      <c r="R263" s="112"/>
      <c r="S263" s="112"/>
      <c r="T263" s="112"/>
      <c r="U263" s="112"/>
      <c r="V263" s="112"/>
      <c r="W263" s="112"/>
      <c r="X263" s="112"/>
      <c r="Y263" s="112"/>
      <c r="Z263" s="112"/>
      <c r="AA263" s="112"/>
      <c r="AB263" s="112"/>
      <c r="AC263" s="112"/>
      <c r="AD263" s="112"/>
      <c r="AE263" s="112"/>
      <c r="AF263" s="112"/>
      <c r="AG263" s="112"/>
      <c r="AH263" s="112"/>
      <c r="AI263" s="112"/>
      <c r="AJ263" s="112"/>
    </row>
    <row r="264" spans="2:36" ht="11.85" customHeight="1">
      <c r="B264" s="112"/>
      <c r="C264" s="190"/>
      <c r="D264" s="190"/>
      <c r="E264" s="190"/>
      <c r="F264" s="190"/>
      <c r="G264" s="190"/>
      <c r="H264" s="190"/>
      <c r="I264" s="190"/>
      <c r="J264" s="190"/>
      <c r="K264" s="190"/>
      <c r="L264" s="190"/>
      <c r="M264" s="112"/>
      <c r="N264" s="112"/>
      <c r="O264" s="112"/>
      <c r="P264" s="112"/>
      <c r="Q264" s="112"/>
      <c r="R264" s="112"/>
      <c r="S264" s="112"/>
      <c r="T264" s="112"/>
      <c r="U264" s="112"/>
      <c r="V264" s="112"/>
      <c r="W264" s="112"/>
      <c r="X264" s="112"/>
      <c r="Y264" s="112"/>
      <c r="Z264" s="112"/>
      <c r="AA264" s="112"/>
      <c r="AB264" s="112"/>
      <c r="AC264" s="112"/>
      <c r="AD264" s="112"/>
      <c r="AE264" s="112"/>
      <c r="AF264" s="112"/>
      <c r="AG264" s="112"/>
      <c r="AH264" s="112"/>
      <c r="AI264" s="112"/>
      <c r="AJ264" s="112"/>
    </row>
    <row r="265" spans="2:36" ht="11.85" customHeight="1">
      <c r="B265" s="112"/>
      <c r="C265" s="190"/>
      <c r="D265" s="190"/>
      <c r="E265" s="190"/>
      <c r="F265" s="190"/>
      <c r="G265" s="190"/>
      <c r="H265" s="190"/>
      <c r="I265" s="190"/>
      <c r="J265" s="190"/>
      <c r="K265" s="190"/>
      <c r="L265" s="190"/>
      <c r="M265" s="112"/>
      <c r="N265" s="112"/>
      <c r="O265" s="112"/>
      <c r="P265" s="112"/>
      <c r="Q265" s="112"/>
      <c r="R265" s="112"/>
      <c r="S265" s="112"/>
      <c r="T265" s="112"/>
      <c r="U265" s="112"/>
      <c r="V265" s="112"/>
      <c r="W265" s="112"/>
      <c r="X265" s="112"/>
      <c r="Y265" s="112"/>
      <c r="Z265" s="112"/>
      <c r="AA265" s="112"/>
      <c r="AB265" s="112"/>
      <c r="AC265" s="112"/>
      <c r="AD265" s="112"/>
      <c r="AE265" s="112"/>
      <c r="AF265" s="112"/>
      <c r="AG265" s="112"/>
      <c r="AH265" s="112"/>
      <c r="AI265" s="112"/>
      <c r="AJ265" s="112"/>
    </row>
    <row r="266" spans="2:36" ht="11.85" customHeight="1">
      <c r="B266" s="112"/>
      <c r="C266" s="190"/>
      <c r="D266" s="190"/>
      <c r="E266" s="190"/>
      <c r="F266" s="190"/>
      <c r="G266" s="190"/>
      <c r="H266" s="190"/>
      <c r="I266" s="190"/>
      <c r="J266" s="190"/>
      <c r="K266" s="190"/>
      <c r="L266" s="190"/>
      <c r="M266" s="112"/>
      <c r="N266" s="112"/>
      <c r="O266" s="112"/>
      <c r="P266" s="112"/>
      <c r="Q266" s="112"/>
      <c r="R266" s="112"/>
      <c r="S266" s="112"/>
      <c r="T266" s="112"/>
      <c r="U266" s="112"/>
      <c r="V266" s="112"/>
      <c r="W266" s="112"/>
      <c r="X266" s="112"/>
      <c r="Y266" s="112"/>
      <c r="Z266" s="112"/>
      <c r="AA266" s="112"/>
      <c r="AB266" s="112"/>
      <c r="AC266" s="112"/>
      <c r="AD266" s="112"/>
      <c r="AE266" s="112"/>
      <c r="AF266" s="112"/>
      <c r="AG266" s="112"/>
      <c r="AH266" s="112"/>
      <c r="AI266" s="112"/>
      <c r="AJ266" s="112"/>
    </row>
    <row r="267" spans="2:36" ht="11.85" customHeight="1">
      <c r="B267" s="112"/>
      <c r="C267" s="190"/>
      <c r="D267" s="190"/>
      <c r="E267" s="190"/>
      <c r="F267" s="190"/>
      <c r="G267" s="190"/>
      <c r="H267" s="190"/>
      <c r="I267" s="190"/>
      <c r="J267" s="190"/>
      <c r="K267" s="190"/>
      <c r="L267" s="190"/>
      <c r="M267" s="112"/>
      <c r="N267" s="112"/>
      <c r="O267" s="112"/>
      <c r="P267" s="112"/>
      <c r="Q267" s="112"/>
      <c r="R267" s="112"/>
      <c r="S267" s="112"/>
      <c r="T267" s="112"/>
      <c r="U267" s="112"/>
      <c r="V267" s="112"/>
      <c r="W267" s="112"/>
      <c r="X267" s="112"/>
      <c r="Y267" s="112"/>
      <c r="Z267" s="112"/>
      <c r="AA267" s="112"/>
      <c r="AB267" s="112"/>
      <c r="AC267" s="112"/>
      <c r="AD267" s="112"/>
      <c r="AE267" s="112"/>
      <c r="AF267" s="112"/>
      <c r="AG267" s="112"/>
      <c r="AH267" s="112"/>
      <c r="AI267" s="112"/>
      <c r="AJ267" s="112"/>
    </row>
    <row r="268" spans="2:36" ht="11.85" customHeight="1">
      <c r="B268" s="112"/>
      <c r="C268" s="190"/>
      <c r="D268" s="190"/>
      <c r="E268" s="190"/>
      <c r="F268" s="190"/>
      <c r="G268" s="190"/>
      <c r="H268" s="190"/>
      <c r="I268" s="190"/>
      <c r="J268" s="190"/>
      <c r="K268" s="190"/>
      <c r="L268" s="190"/>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c r="AH268" s="112"/>
      <c r="AI268" s="112"/>
      <c r="AJ268" s="112"/>
    </row>
    <row r="269" spans="2:36" ht="11.85" customHeight="1">
      <c r="B269" s="112"/>
      <c r="C269" s="190"/>
      <c r="D269" s="190"/>
      <c r="E269" s="190"/>
      <c r="F269" s="190"/>
      <c r="G269" s="190"/>
      <c r="H269" s="190"/>
      <c r="I269" s="190"/>
      <c r="J269" s="190"/>
      <c r="K269" s="190"/>
      <c r="L269" s="190"/>
      <c r="M269" s="112"/>
      <c r="N269" s="112"/>
      <c r="O269" s="112"/>
      <c r="P269" s="112"/>
      <c r="Q269" s="112"/>
      <c r="R269" s="112"/>
      <c r="S269" s="112"/>
      <c r="T269" s="112"/>
      <c r="U269" s="112"/>
      <c r="V269" s="112"/>
      <c r="W269" s="112"/>
      <c r="X269" s="112"/>
      <c r="Y269" s="112"/>
      <c r="Z269" s="112"/>
      <c r="AA269" s="112"/>
      <c r="AB269" s="112"/>
      <c r="AC269" s="112"/>
      <c r="AD269" s="112"/>
      <c r="AE269" s="112"/>
      <c r="AF269" s="112"/>
      <c r="AG269" s="112"/>
      <c r="AH269" s="112"/>
      <c r="AI269" s="112"/>
      <c r="AJ269" s="112"/>
    </row>
    <row r="270" spans="2:36" ht="11.85" customHeight="1">
      <c r="B270" s="112"/>
      <c r="C270" s="190"/>
      <c r="D270" s="190"/>
      <c r="E270" s="190"/>
      <c r="F270" s="190"/>
      <c r="G270" s="190"/>
      <c r="H270" s="190"/>
      <c r="I270" s="190"/>
      <c r="J270" s="190"/>
      <c r="K270" s="190"/>
      <c r="L270" s="190"/>
      <c r="M270" s="112"/>
      <c r="N270" s="112"/>
      <c r="O270" s="112"/>
      <c r="P270" s="112"/>
      <c r="Q270" s="112"/>
      <c r="R270" s="112"/>
      <c r="S270" s="112"/>
      <c r="T270" s="112"/>
      <c r="U270" s="112"/>
      <c r="V270" s="112"/>
      <c r="W270" s="112"/>
      <c r="X270" s="112"/>
      <c r="Y270" s="112"/>
      <c r="Z270" s="112"/>
      <c r="AA270" s="112"/>
      <c r="AB270" s="112"/>
      <c r="AC270" s="112"/>
      <c r="AD270" s="112"/>
      <c r="AE270" s="112"/>
      <c r="AF270" s="112"/>
      <c r="AG270" s="112"/>
      <c r="AH270" s="112"/>
      <c r="AI270" s="112"/>
      <c r="AJ270" s="112"/>
    </row>
    <row r="271" spans="2:36" ht="11.85" customHeight="1">
      <c r="B271" s="112"/>
      <c r="C271" s="190"/>
      <c r="D271" s="190"/>
      <c r="E271" s="190"/>
      <c r="F271" s="190"/>
      <c r="G271" s="190"/>
      <c r="H271" s="190"/>
      <c r="I271" s="190"/>
      <c r="J271" s="190"/>
      <c r="K271" s="190"/>
      <c r="L271" s="190"/>
      <c r="M271" s="112"/>
      <c r="N271" s="112"/>
      <c r="O271" s="112"/>
      <c r="P271" s="112"/>
      <c r="Q271" s="112"/>
      <c r="R271" s="112"/>
      <c r="S271" s="112"/>
      <c r="T271" s="112"/>
      <c r="U271" s="112"/>
      <c r="V271" s="112"/>
      <c r="W271" s="112"/>
      <c r="X271" s="112"/>
      <c r="Y271" s="112"/>
      <c r="Z271" s="112"/>
      <c r="AA271" s="112"/>
      <c r="AB271" s="112"/>
      <c r="AC271" s="112"/>
      <c r="AD271" s="112"/>
      <c r="AE271" s="112"/>
      <c r="AF271" s="112"/>
      <c r="AG271" s="112"/>
      <c r="AH271" s="112"/>
      <c r="AI271" s="112"/>
      <c r="AJ271" s="112"/>
    </row>
    <row r="272" spans="2:36" ht="11.85" customHeight="1">
      <c r="B272" s="112"/>
      <c r="C272" s="190"/>
      <c r="D272" s="190"/>
      <c r="E272" s="190"/>
      <c r="F272" s="190"/>
      <c r="G272" s="190"/>
      <c r="H272" s="190"/>
      <c r="I272" s="190"/>
      <c r="J272" s="190"/>
      <c r="K272" s="190"/>
      <c r="L272" s="190"/>
      <c r="M272" s="112"/>
      <c r="N272" s="112"/>
      <c r="O272" s="112"/>
      <c r="P272" s="112"/>
      <c r="Q272" s="112"/>
      <c r="R272" s="112"/>
      <c r="S272" s="112"/>
      <c r="T272" s="112"/>
      <c r="U272" s="112"/>
      <c r="V272" s="112"/>
      <c r="W272" s="112"/>
      <c r="X272" s="112"/>
      <c r="Y272" s="112"/>
      <c r="Z272" s="112"/>
      <c r="AA272" s="112"/>
      <c r="AB272" s="112"/>
      <c r="AC272" s="112"/>
      <c r="AD272" s="112"/>
      <c r="AE272" s="112"/>
      <c r="AF272" s="112"/>
      <c r="AG272" s="112"/>
      <c r="AH272" s="112"/>
      <c r="AI272" s="112"/>
      <c r="AJ272" s="112"/>
    </row>
    <row r="273" spans="2:36" ht="11.85" customHeight="1">
      <c r="B273" s="112"/>
      <c r="C273" s="190"/>
      <c r="D273" s="190"/>
      <c r="E273" s="190"/>
      <c r="F273" s="190"/>
      <c r="G273" s="190"/>
      <c r="H273" s="190"/>
      <c r="I273" s="190"/>
      <c r="J273" s="190"/>
      <c r="K273" s="190"/>
      <c r="L273" s="190"/>
      <c r="M273" s="112"/>
      <c r="N273" s="112"/>
      <c r="O273" s="112"/>
      <c r="P273" s="112"/>
      <c r="Q273" s="112"/>
      <c r="R273" s="112"/>
      <c r="S273" s="112"/>
      <c r="T273" s="112"/>
      <c r="U273" s="112"/>
      <c r="V273" s="112"/>
      <c r="W273" s="112"/>
      <c r="X273" s="112"/>
      <c r="Y273" s="112"/>
      <c r="Z273" s="112"/>
      <c r="AA273" s="112"/>
      <c r="AB273" s="112"/>
      <c r="AC273" s="112"/>
      <c r="AD273" s="112"/>
      <c r="AE273" s="112"/>
      <c r="AF273" s="112"/>
      <c r="AG273" s="112"/>
      <c r="AH273" s="112"/>
      <c r="AI273" s="112"/>
      <c r="AJ273" s="112"/>
    </row>
    <row r="274" spans="2:36" ht="11.85" customHeight="1">
      <c r="B274" s="112"/>
      <c r="C274" s="190"/>
      <c r="D274" s="190"/>
      <c r="E274" s="190"/>
      <c r="F274" s="190"/>
      <c r="G274" s="190"/>
      <c r="H274" s="190"/>
      <c r="I274" s="190"/>
      <c r="J274" s="190"/>
      <c r="K274" s="190"/>
      <c r="L274" s="190"/>
      <c r="M274" s="112"/>
      <c r="N274" s="112"/>
      <c r="O274" s="112"/>
      <c r="P274" s="112"/>
      <c r="Q274" s="112"/>
      <c r="R274" s="112"/>
      <c r="S274" s="112"/>
      <c r="T274" s="112"/>
      <c r="U274" s="112"/>
      <c r="V274" s="112"/>
      <c r="W274" s="112"/>
      <c r="X274" s="112"/>
      <c r="Y274" s="112"/>
      <c r="Z274" s="112"/>
      <c r="AA274" s="112"/>
      <c r="AB274" s="112"/>
      <c r="AC274" s="112"/>
      <c r="AD274" s="112"/>
      <c r="AE274" s="112"/>
      <c r="AF274" s="112"/>
      <c r="AG274" s="112"/>
      <c r="AH274" s="112"/>
      <c r="AI274" s="112"/>
      <c r="AJ274" s="112"/>
    </row>
    <row r="275" spans="2:36" ht="11.85" customHeight="1">
      <c r="B275" s="112"/>
      <c r="C275" s="190"/>
      <c r="D275" s="190"/>
      <c r="E275" s="190"/>
      <c r="F275" s="190"/>
      <c r="G275" s="190"/>
      <c r="H275" s="190"/>
      <c r="I275" s="190"/>
      <c r="J275" s="190"/>
      <c r="K275" s="190"/>
      <c r="L275" s="190"/>
      <c r="M275" s="112"/>
      <c r="N275" s="112"/>
      <c r="O275" s="112"/>
      <c r="P275" s="112"/>
      <c r="Q275" s="112"/>
      <c r="R275" s="112"/>
      <c r="S275" s="112"/>
      <c r="T275" s="112"/>
      <c r="U275" s="112"/>
      <c r="V275" s="112"/>
      <c r="W275" s="112"/>
      <c r="X275" s="112"/>
      <c r="Y275" s="112"/>
      <c r="Z275" s="112"/>
      <c r="AA275" s="112"/>
      <c r="AB275" s="112"/>
      <c r="AC275" s="112"/>
      <c r="AD275" s="112"/>
      <c r="AE275" s="112"/>
      <c r="AF275" s="112"/>
      <c r="AG275" s="112"/>
      <c r="AH275" s="112"/>
      <c r="AI275" s="112"/>
      <c r="AJ275" s="112"/>
    </row>
    <row r="276" spans="2:36" ht="11.85" customHeight="1">
      <c r="B276" s="112"/>
      <c r="C276" s="190"/>
      <c r="D276" s="190"/>
      <c r="E276" s="190"/>
      <c r="F276" s="190"/>
      <c r="G276" s="190"/>
      <c r="H276" s="190"/>
      <c r="I276" s="190"/>
      <c r="J276" s="190"/>
      <c r="K276" s="190"/>
      <c r="L276" s="190"/>
      <c r="M276" s="112"/>
      <c r="N276" s="112"/>
      <c r="O276" s="112"/>
      <c r="P276" s="112"/>
      <c r="Q276" s="112"/>
      <c r="R276" s="112"/>
      <c r="S276" s="112"/>
      <c r="T276" s="112"/>
      <c r="U276" s="112"/>
      <c r="V276" s="112"/>
      <c r="W276" s="112"/>
      <c r="X276" s="112"/>
      <c r="Y276" s="112"/>
      <c r="Z276" s="112"/>
      <c r="AA276" s="112"/>
      <c r="AB276" s="112"/>
      <c r="AC276" s="112"/>
      <c r="AD276" s="112"/>
      <c r="AE276" s="112"/>
      <c r="AF276" s="112"/>
      <c r="AG276" s="112"/>
      <c r="AH276" s="112"/>
      <c r="AI276" s="112"/>
      <c r="AJ276" s="112"/>
    </row>
    <row r="277" spans="2:36" ht="11.85" customHeight="1">
      <c r="B277" s="112"/>
      <c r="C277" s="190"/>
      <c r="D277" s="190"/>
      <c r="E277" s="190"/>
      <c r="F277" s="190"/>
      <c r="G277" s="190"/>
      <c r="H277" s="190"/>
      <c r="I277" s="190"/>
      <c r="J277" s="190"/>
      <c r="K277" s="190"/>
      <c r="L277" s="190"/>
      <c r="M277" s="112"/>
      <c r="N277" s="112"/>
      <c r="O277" s="112"/>
      <c r="P277" s="112"/>
      <c r="Q277" s="112"/>
      <c r="R277" s="112"/>
      <c r="S277" s="112"/>
      <c r="T277" s="112"/>
      <c r="U277" s="112"/>
      <c r="V277" s="112"/>
      <c r="W277" s="112"/>
      <c r="X277" s="112"/>
      <c r="Y277" s="112"/>
      <c r="Z277" s="112"/>
      <c r="AA277" s="112"/>
      <c r="AB277" s="112"/>
      <c r="AC277" s="112"/>
      <c r="AD277" s="112"/>
      <c r="AE277" s="112"/>
      <c r="AF277" s="112"/>
      <c r="AG277" s="112"/>
      <c r="AH277" s="112"/>
      <c r="AI277" s="112"/>
      <c r="AJ277" s="112"/>
    </row>
    <row r="278" spans="2:36" ht="11.85" customHeight="1">
      <c r="B278" s="112"/>
      <c r="C278" s="190"/>
      <c r="D278" s="190"/>
      <c r="E278" s="190"/>
      <c r="F278" s="190"/>
      <c r="G278" s="190"/>
      <c r="H278" s="190"/>
      <c r="I278" s="190"/>
      <c r="J278" s="190"/>
      <c r="K278" s="190"/>
      <c r="L278" s="190"/>
      <c r="M278" s="112"/>
      <c r="N278" s="112"/>
      <c r="O278" s="112"/>
      <c r="P278" s="112"/>
      <c r="Q278" s="112"/>
      <c r="R278" s="112"/>
      <c r="S278" s="112"/>
      <c r="T278" s="112"/>
      <c r="U278" s="112"/>
      <c r="V278" s="112"/>
      <c r="W278" s="112"/>
      <c r="X278" s="112"/>
      <c r="Y278" s="112"/>
      <c r="Z278" s="112"/>
      <c r="AA278" s="112"/>
      <c r="AB278" s="112"/>
      <c r="AC278" s="112"/>
      <c r="AD278" s="112"/>
      <c r="AE278" s="112"/>
      <c r="AF278" s="112"/>
      <c r="AG278" s="112"/>
      <c r="AH278" s="112"/>
      <c r="AI278" s="112"/>
      <c r="AJ278" s="112"/>
    </row>
    <row r="279" spans="2:36" ht="11.85" customHeight="1">
      <c r="B279" s="112"/>
      <c r="C279" s="190"/>
      <c r="D279" s="190"/>
      <c r="E279" s="190"/>
      <c r="F279" s="190"/>
      <c r="G279" s="190"/>
      <c r="H279" s="190"/>
      <c r="I279" s="190"/>
      <c r="J279" s="190"/>
      <c r="K279" s="190"/>
      <c r="L279" s="190"/>
      <c r="M279" s="112"/>
      <c r="N279" s="112"/>
      <c r="O279" s="112"/>
      <c r="P279" s="112"/>
      <c r="Q279" s="112"/>
      <c r="R279" s="112"/>
      <c r="S279" s="112"/>
      <c r="T279" s="112"/>
      <c r="U279" s="112"/>
      <c r="V279" s="112"/>
      <c r="W279" s="112"/>
      <c r="X279" s="112"/>
      <c r="Y279" s="112"/>
      <c r="Z279" s="112"/>
      <c r="AA279" s="112"/>
      <c r="AB279" s="112"/>
      <c r="AC279" s="112"/>
      <c r="AD279" s="112"/>
      <c r="AE279" s="112"/>
      <c r="AF279" s="112"/>
      <c r="AG279" s="112"/>
      <c r="AH279" s="112"/>
      <c r="AI279" s="112"/>
      <c r="AJ279" s="112"/>
    </row>
    <row r="280" spans="2:36" ht="11.85" customHeight="1">
      <c r="B280" s="112"/>
      <c r="C280" s="190"/>
      <c r="D280" s="190"/>
      <c r="E280" s="190"/>
      <c r="F280" s="190"/>
      <c r="G280" s="190"/>
      <c r="H280" s="190"/>
      <c r="I280" s="190"/>
      <c r="J280" s="190"/>
      <c r="K280" s="190"/>
      <c r="L280" s="190"/>
      <c r="M280" s="112"/>
      <c r="N280" s="112"/>
      <c r="O280" s="112"/>
      <c r="P280" s="112"/>
      <c r="Q280" s="112"/>
      <c r="R280" s="112"/>
      <c r="S280" s="112"/>
      <c r="T280" s="112"/>
      <c r="U280" s="112"/>
      <c r="V280" s="112"/>
      <c r="W280" s="112"/>
      <c r="X280" s="112"/>
      <c r="Y280" s="112"/>
      <c r="Z280" s="112"/>
      <c r="AA280" s="112"/>
      <c r="AB280" s="112"/>
      <c r="AC280" s="112"/>
      <c r="AD280" s="112"/>
      <c r="AE280" s="112"/>
      <c r="AF280" s="112"/>
      <c r="AG280" s="112"/>
      <c r="AH280" s="112"/>
      <c r="AI280" s="112"/>
      <c r="AJ280" s="112"/>
    </row>
    <row r="281" spans="2:36" ht="11.85" customHeight="1">
      <c r="B281" s="112"/>
      <c r="C281" s="190"/>
      <c r="D281" s="190"/>
      <c r="E281" s="190"/>
      <c r="F281" s="190"/>
      <c r="G281" s="190"/>
      <c r="H281" s="190"/>
      <c r="I281" s="190"/>
      <c r="J281" s="190"/>
      <c r="K281" s="190"/>
      <c r="L281" s="190"/>
      <c r="M281" s="112"/>
      <c r="N281" s="112"/>
      <c r="O281" s="112"/>
      <c r="P281" s="112"/>
      <c r="Q281" s="112"/>
      <c r="R281" s="112"/>
      <c r="S281" s="112"/>
      <c r="T281" s="112"/>
      <c r="U281" s="112"/>
      <c r="V281" s="112"/>
      <c r="W281" s="112"/>
      <c r="X281" s="112"/>
      <c r="Y281" s="112"/>
      <c r="Z281" s="112"/>
      <c r="AA281" s="112"/>
      <c r="AB281" s="112"/>
      <c r="AC281" s="112"/>
      <c r="AD281" s="112"/>
      <c r="AE281" s="112"/>
      <c r="AF281" s="112"/>
      <c r="AG281" s="112"/>
      <c r="AH281" s="112"/>
      <c r="AI281" s="112"/>
      <c r="AJ281" s="112"/>
    </row>
    <row r="282" spans="2:36" ht="11.85" customHeight="1">
      <c r="B282" s="112"/>
      <c r="C282" s="190"/>
      <c r="D282" s="190"/>
      <c r="E282" s="190"/>
      <c r="F282" s="190"/>
      <c r="G282" s="190"/>
      <c r="H282" s="190"/>
      <c r="I282" s="190"/>
      <c r="J282" s="190"/>
      <c r="K282" s="190"/>
      <c r="L282" s="190"/>
      <c r="M282" s="112"/>
      <c r="N282" s="112"/>
      <c r="O282" s="112"/>
      <c r="P282" s="112"/>
      <c r="Q282" s="112"/>
      <c r="R282" s="112"/>
      <c r="S282" s="112"/>
      <c r="T282" s="112"/>
      <c r="U282" s="112"/>
      <c r="V282" s="112"/>
      <c r="W282" s="112"/>
      <c r="X282" s="112"/>
      <c r="Y282" s="112"/>
      <c r="Z282" s="112"/>
      <c r="AA282" s="112"/>
      <c r="AB282" s="112"/>
      <c r="AC282" s="112"/>
      <c r="AD282" s="112"/>
      <c r="AE282" s="112"/>
      <c r="AF282" s="112"/>
      <c r="AG282" s="112"/>
      <c r="AH282" s="112"/>
      <c r="AI282" s="112"/>
      <c r="AJ282" s="112"/>
    </row>
    <row r="283" spans="2:36" ht="11.85" customHeight="1">
      <c r="B283" s="112"/>
      <c r="C283" s="190"/>
      <c r="D283" s="190"/>
      <c r="E283" s="190"/>
      <c r="F283" s="190"/>
      <c r="G283" s="190"/>
      <c r="H283" s="190"/>
      <c r="I283" s="190"/>
      <c r="J283" s="190"/>
      <c r="K283" s="190"/>
      <c r="L283" s="190"/>
      <c r="M283" s="112"/>
      <c r="N283" s="112"/>
      <c r="O283" s="112"/>
      <c r="P283" s="112"/>
      <c r="Q283" s="112"/>
      <c r="R283" s="112"/>
      <c r="S283" s="112"/>
      <c r="T283" s="112"/>
      <c r="U283" s="112"/>
      <c r="V283" s="112"/>
      <c r="W283" s="112"/>
      <c r="X283" s="112"/>
      <c r="Y283" s="112"/>
      <c r="Z283" s="112"/>
      <c r="AA283" s="112"/>
      <c r="AB283" s="112"/>
      <c r="AC283" s="112"/>
      <c r="AD283" s="112"/>
      <c r="AE283" s="112"/>
      <c r="AF283" s="112"/>
      <c r="AG283" s="112"/>
      <c r="AH283" s="112"/>
      <c r="AI283" s="112"/>
      <c r="AJ283" s="112"/>
    </row>
    <row r="284" spans="2:36" ht="11.85" customHeight="1">
      <c r="B284" s="112"/>
      <c r="C284" s="190"/>
      <c r="D284" s="190"/>
      <c r="E284" s="190"/>
      <c r="F284" s="190"/>
      <c r="G284" s="190"/>
      <c r="H284" s="190"/>
      <c r="I284" s="190"/>
      <c r="J284" s="190"/>
      <c r="K284" s="190"/>
      <c r="L284" s="190"/>
      <c r="M284" s="112"/>
      <c r="N284" s="112"/>
      <c r="O284" s="112"/>
      <c r="P284" s="112"/>
      <c r="Q284" s="112"/>
      <c r="R284" s="112"/>
      <c r="S284" s="112"/>
      <c r="T284" s="112"/>
      <c r="U284" s="112"/>
      <c r="V284" s="112"/>
      <c r="W284" s="112"/>
      <c r="X284" s="112"/>
      <c r="Y284" s="112"/>
      <c r="Z284" s="112"/>
      <c r="AA284" s="112"/>
      <c r="AB284" s="112"/>
      <c r="AC284" s="112"/>
      <c r="AD284" s="112"/>
      <c r="AE284" s="112"/>
      <c r="AF284" s="112"/>
      <c r="AG284" s="112"/>
      <c r="AH284" s="112"/>
      <c r="AI284" s="112"/>
      <c r="AJ284" s="112"/>
    </row>
    <row r="285" spans="2:36" ht="11.85" customHeight="1">
      <c r="B285" s="112"/>
      <c r="C285" s="190"/>
      <c r="D285" s="190"/>
      <c r="E285" s="190"/>
      <c r="F285" s="190"/>
      <c r="G285" s="190"/>
      <c r="H285" s="190"/>
      <c r="I285" s="190"/>
      <c r="J285" s="190"/>
      <c r="K285" s="190"/>
      <c r="L285" s="190"/>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row>
    <row r="286" spans="2:36" ht="11.85" customHeight="1">
      <c r="B286" s="112"/>
      <c r="C286" s="190"/>
      <c r="D286" s="190"/>
      <c r="E286" s="190"/>
      <c r="F286" s="190"/>
      <c r="G286" s="190"/>
      <c r="H286" s="190"/>
      <c r="I286" s="190"/>
      <c r="J286" s="190"/>
      <c r="K286" s="190"/>
      <c r="L286" s="190"/>
      <c r="M286" s="112"/>
      <c r="N286" s="112"/>
      <c r="O286" s="112"/>
      <c r="P286" s="112"/>
      <c r="Q286" s="112"/>
      <c r="R286" s="112"/>
      <c r="S286" s="112"/>
      <c r="T286" s="112"/>
      <c r="U286" s="112"/>
      <c r="V286" s="112"/>
      <c r="W286" s="112"/>
      <c r="X286" s="112"/>
      <c r="Y286" s="112"/>
      <c r="Z286" s="112"/>
      <c r="AA286" s="112"/>
      <c r="AB286" s="112"/>
      <c r="AC286" s="112"/>
      <c r="AD286" s="112"/>
      <c r="AE286" s="112"/>
      <c r="AF286" s="112"/>
      <c r="AG286" s="112"/>
      <c r="AH286" s="112"/>
      <c r="AI286" s="112"/>
      <c r="AJ286" s="112"/>
    </row>
    <row r="287" spans="2:36" ht="11.85" customHeight="1">
      <c r="B287" s="112"/>
      <c r="C287" s="190"/>
      <c r="D287" s="190"/>
      <c r="E287" s="190"/>
      <c r="F287" s="190"/>
      <c r="G287" s="190"/>
      <c r="H287" s="190"/>
      <c r="I287" s="190"/>
      <c r="J287" s="190"/>
      <c r="K287" s="190"/>
      <c r="L287" s="190"/>
      <c r="M287" s="112"/>
      <c r="N287" s="112"/>
      <c r="O287" s="112"/>
      <c r="P287" s="112"/>
      <c r="Q287" s="112"/>
      <c r="R287" s="112"/>
      <c r="S287" s="112"/>
      <c r="T287" s="112"/>
      <c r="U287" s="112"/>
      <c r="V287" s="112"/>
      <c r="W287" s="112"/>
      <c r="X287" s="112"/>
      <c r="Y287" s="112"/>
      <c r="Z287" s="112"/>
      <c r="AA287" s="112"/>
      <c r="AB287" s="112"/>
      <c r="AC287" s="112"/>
      <c r="AD287" s="112"/>
      <c r="AE287" s="112"/>
      <c r="AF287" s="112"/>
      <c r="AG287" s="112"/>
      <c r="AH287" s="112"/>
      <c r="AI287" s="112"/>
      <c r="AJ287" s="112"/>
    </row>
    <row r="288" spans="2:36" ht="11.85" customHeight="1">
      <c r="B288" s="112"/>
      <c r="C288" s="190"/>
      <c r="D288" s="190"/>
      <c r="E288" s="190"/>
      <c r="F288" s="190"/>
      <c r="G288" s="190"/>
      <c r="H288" s="190"/>
      <c r="I288" s="190"/>
      <c r="J288" s="190"/>
      <c r="K288" s="190"/>
      <c r="L288" s="190"/>
      <c r="M288" s="112"/>
      <c r="N288" s="112"/>
      <c r="O288" s="112"/>
      <c r="P288" s="112"/>
      <c r="Q288" s="112"/>
      <c r="R288" s="112"/>
      <c r="S288" s="112"/>
      <c r="T288" s="112"/>
      <c r="U288" s="112"/>
      <c r="V288" s="112"/>
      <c r="W288" s="112"/>
      <c r="X288" s="112"/>
      <c r="Y288" s="112"/>
      <c r="Z288" s="112"/>
      <c r="AA288" s="112"/>
      <c r="AB288" s="112"/>
      <c r="AC288" s="112"/>
      <c r="AD288" s="112"/>
      <c r="AE288" s="112"/>
      <c r="AF288" s="112"/>
      <c r="AG288" s="112"/>
      <c r="AH288" s="112"/>
      <c r="AI288" s="112"/>
      <c r="AJ288" s="112"/>
    </row>
    <row r="289" spans="2:36" ht="11.85" customHeight="1">
      <c r="B289" s="112"/>
      <c r="C289" s="190"/>
      <c r="D289" s="190"/>
      <c r="E289" s="190"/>
      <c r="F289" s="190"/>
      <c r="G289" s="190"/>
      <c r="H289" s="190"/>
      <c r="I289" s="190"/>
      <c r="J289" s="190"/>
      <c r="K289" s="190"/>
      <c r="L289" s="190"/>
      <c r="M289" s="112"/>
      <c r="N289" s="112"/>
      <c r="O289" s="112"/>
      <c r="P289" s="112"/>
      <c r="Q289" s="112"/>
      <c r="R289" s="112"/>
      <c r="S289" s="112"/>
      <c r="T289" s="112"/>
      <c r="U289" s="112"/>
      <c r="V289" s="112"/>
      <c r="W289" s="112"/>
      <c r="X289" s="112"/>
      <c r="Y289" s="112"/>
      <c r="Z289" s="112"/>
      <c r="AA289" s="112"/>
      <c r="AB289" s="112"/>
      <c r="AC289" s="112"/>
      <c r="AD289" s="112"/>
      <c r="AE289" s="112"/>
      <c r="AF289" s="112"/>
      <c r="AG289" s="112"/>
      <c r="AH289" s="112"/>
      <c r="AI289" s="112"/>
      <c r="AJ289" s="112"/>
    </row>
    <row r="290" spans="2:36" ht="11.85" customHeight="1">
      <c r="B290" s="112"/>
      <c r="C290" s="190"/>
      <c r="D290" s="190"/>
      <c r="E290" s="190"/>
      <c r="F290" s="190"/>
      <c r="G290" s="190"/>
      <c r="H290" s="190"/>
      <c r="I290" s="190"/>
      <c r="J290" s="190"/>
      <c r="K290" s="190"/>
      <c r="L290" s="190"/>
      <c r="M290" s="112"/>
      <c r="N290" s="112"/>
      <c r="O290" s="112"/>
      <c r="P290" s="112"/>
      <c r="Q290" s="112"/>
      <c r="R290" s="112"/>
      <c r="S290" s="112"/>
      <c r="T290" s="112"/>
      <c r="U290" s="112"/>
      <c r="V290" s="112"/>
      <c r="W290" s="112"/>
      <c r="X290" s="112"/>
      <c r="Y290" s="112"/>
      <c r="Z290" s="112"/>
      <c r="AA290" s="112"/>
      <c r="AB290" s="112"/>
      <c r="AC290" s="112"/>
      <c r="AD290" s="112"/>
      <c r="AE290" s="112"/>
      <c r="AF290" s="112"/>
      <c r="AG290" s="112"/>
      <c r="AH290" s="112"/>
      <c r="AI290" s="112"/>
      <c r="AJ290" s="112"/>
    </row>
    <row r="291" spans="2:36" ht="11.85" customHeight="1">
      <c r="B291" s="112"/>
      <c r="C291" s="190"/>
      <c r="D291" s="190"/>
      <c r="E291" s="190"/>
      <c r="F291" s="190"/>
      <c r="G291" s="190"/>
      <c r="H291" s="190"/>
      <c r="I291" s="190"/>
      <c r="J291" s="190"/>
      <c r="K291" s="190"/>
      <c r="L291" s="190"/>
      <c r="M291" s="112"/>
      <c r="N291" s="112"/>
      <c r="O291" s="112"/>
      <c r="P291" s="112"/>
      <c r="Q291" s="112"/>
      <c r="R291" s="112"/>
      <c r="S291" s="112"/>
      <c r="T291" s="112"/>
      <c r="U291" s="112"/>
      <c r="V291" s="112"/>
      <c r="W291" s="112"/>
      <c r="X291" s="112"/>
      <c r="Y291" s="112"/>
      <c r="Z291" s="112"/>
      <c r="AA291" s="112"/>
      <c r="AB291" s="112"/>
      <c r="AC291" s="112"/>
      <c r="AD291" s="112"/>
      <c r="AE291" s="112"/>
      <c r="AF291" s="112"/>
      <c r="AG291" s="112"/>
      <c r="AH291" s="112"/>
      <c r="AI291" s="112"/>
      <c r="AJ291" s="112"/>
    </row>
    <row r="292" spans="2:36" ht="11.85" customHeight="1">
      <c r="B292" s="112"/>
      <c r="C292" s="190"/>
      <c r="D292" s="190"/>
      <c r="E292" s="190"/>
      <c r="F292" s="190"/>
      <c r="G292" s="190"/>
      <c r="H292" s="190"/>
      <c r="I292" s="190"/>
      <c r="J292" s="190"/>
      <c r="K292" s="190"/>
      <c r="L292" s="190"/>
      <c r="M292" s="112"/>
      <c r="N292" s="112"/>
      <c r="O292" s="112"/>
      <c r="P292" s="112"/>
      <c r="Q292" s="112"/>
      <c r="R292" s="112"/>
      <c r="S292" s="112"/>
      <c r="T292" s="112"/>
      <c r="U292" s="112"/>
      <c r="V292" s="112"/>
      <c r="W292" s="112"/>
      <c r="X292" s="112"/>
      <c r="Y292" s="112"/>
      <c r="Z292" s="112"/>
      <c r="AA292" s="112"/>
      <c r="AB292" s="112"/>
      <c r="AC292" s="112"/>
      <c r="AD292" s="112"/>
      <c r="AE292" s="112"/>
      <c r="AF292" s="112"/>
      <c r="AG292" s="112"/>
      <c r="AH292" s="112"/>
      <c r="AI292" s="112"/>
      <c r="AJ292" s="112"/>
    </row>
    <row r="293" spans="2:36" ht="11.85" customHeight="1">
      <c r="B293" s="112"/>
      <c r="C293" s="190"/>
      <c r="D293" s="190"/>
      <c r="E293" s="190"/>
      <c r="F293" s="190"/>
      <c r="G293" s="190"/>
      <c r="H293" s="190"/>
      <c r="I293" s="190"/>
      <c r="J293" s="190"/>
      <c r="K293" s="190"/>
      <c r="L293" s="190"/>
      <c r="M293" s="112"/>
      <c r="N293" s="112"/>
      <c r="O293" s="112"/>
      <c r="P293" s="112"/>
      <c r="Q293" s="112"/>
      <c r="R293" s="112"/>
      <c r="S293" s="112"/>
      <c r="T293" s="112"/>
      <c r="U293" s="112"/>
      <c r="V293" s="112"/>
      <c r="W293" s="112"/>
      <c r="X293" s="112"/>
      <c r="Y293" s="112"/>
      <c r="Z293" s="112"/>
      <c r="AA293" s="112"/>
      <c r="AB293" s="112"/>
      <c r="AC293" s="112"/>
      <c r="AD293" s="112"/>
      <c r="AE293" s="112"/>
      <c r="AF293" s="112"/>
      <c r="AG293" s="112"/>
      <c r="AH293" s="112"/>
      <c r="AI293" s="112"/>
      <c r="AJ293" s="112"/>
    </row>
    <row r="294" spans="2:36" ht="11.85" customHeight="1">
      <c r="B294" s="112"/>
      <c r="C294" s="190"/>
      <c r="D294" s="190"/>
      <c r="E294" s="190"/>
      <c r="F294" s="190"/>
      <c r="G294" s="190"/>
      <c r="H294" s="190"/>
      <c r="I294" s="190"/>
      <c r="J294" s="190"/>
      <c r="K294" s="190"/>
      <c r="L294" s="190"/>
      <c r="M294" s="112"/>
      <c r="N294" s="112"/>
      <c r="O294" s="112"/>
      <c r="P294" s="112"/>
      <c r="Q294" s="112"/>
      <c r="R294" s="112"/>
      <c r="S294" s="112"/>
      <c r="T294" s="112"/>
      <c r="U294" s="112"/>
      <c r="V294" s="112"/>
      <c r="W294" s="112"/>
      <c r="X294" s="112"/>
      <c r="Y294" s="112"/>
      <c r="Z294" s="112"/>
      <c r="AA294" s="112"/>
      <c r="AB294" s="112"/>
      <c r="AC294" s="112"/>
      <c r="AD294" s="112"/>
      <c r="AE294" s="112"/>
      <c r="AF294" s="112"/>
      <c r="AG294" s="112"/>
      <c r="AH294" s="112"/>
      <c r="AI294" s="112"/>
      <c r="AJ294" s="112"/>
    </row>
    <row r="295" spans="2:36" ht="11.85" customHeight="1">
      <c r="B295" s="112"/>
      <c r="C295" s="190"/>
      <c r="D295" s="190"/>
      <c r="E295" s="190"/>
      <c r="F295" s="190"/>
      <c r="G295" s="190"/>
      <c r="H295" s="190"/>
      <c r="I295" s="190"/>
      <c r="J295" s="190"/>
      <c r="K295" s="190"/>
      <c r="L295" s="190"/>
      <c r="M295" s="112"/>
      <c r="N295" s="112"/>
      <c r="O295" s="112"/>
      <c r="P295" s="112"/>
      <c r="Q295" s="112"/>
      <c r="R295" s="112"/>
      <c r="S295" s="112"/>
      <c r="T295" s="112"/>
      <c r="U295" s="112"/>
      <c r="V295" s="112"/>
      <c r="W295" s="112"/>
      <c r="X295" s="112"/>
      <c r="Y295" s="112"/>
      <c r="Z295" s="112"/>
      <c r="AA295" s="112"/>
      <c r="AB295" s="112"/>
      <c r="AC295" s="112"/>
      <c r="AD295" s="112"/>
      <c r="AE295" s="112"/>
      <c r="AF295" s="112"/>
      <c r="AG295" s="112"/>
      <c r="AH295" s="112"/>
      <c r="AI295" s="112"/>
      <c r="AJ295" s="112"/>
    </row>
    <row r="296" spans="2:36" ht="11.85" customHeight="1">
      <c r="B296" s="112"/>
      <c r="C296" s="190"/>
      <c r="D296" s="190"/>
      <c r="E296" s="190"/>
      <c r="F296" s="190"/>
      <c r="G296" s="190"/>
      <c r="H296" s="190"/>
      <c r="I296" s="190"/>
      <c r="J296" s="190"/>
      <c r="K296" s="190"/>
      <c r="L296" s="190"/>
      <c r="M296" s="112"/>
      <c r="N296" s="112"/>
      <c r="O296" s="112"/>
      <c r="P296" s="112"/>
      <c r="Q296" s="112"/>
      <c r="R296" s="112"/>
      <c r="S296" s="112"/>
      <c r="T296" s="112"/>
      <c r="U296" s="112"/>
      <c r="V296" s="112"/>
      <c r="W296" s="112"/>
      <c r="X296" s="112"/>
      <c r="Y296" s="112"/>
      <c r="Z296" s="112"/>
      <c r="AA296" s="112"/>
      <c r="AB296" s="112"/>
      <c r="AC296" s="112"/>
      <c r="AD296" s="112"/>
      <c r="AE296" s="112"/>
      <c r="AF296" s="112"/>
      <c r="AG296" s="112"/>
      <c r="AH296" s="112"/>
      <c r="AI296" s="112"/>
      <c r="AJ296" s="112"/>
    </row>
    <row r="297" spans="2:36" ht="11.85" customHeight="1">
      <c r="B297" s="112"/>
      <c r="C297" s="190"/>
      <c r="D297" s="190"/>
      <c r="E297" s="190"/>
      <c r="F297" s="190"/>
      <c r="G297" s="190"/>
      <c r="H297" s="190"/>
      <c r="I297" s="190"/>
      <c r="J297" s="190"/>
      <c r="K297" s="190"/>
      <c r="L297" s="190"/>
      <c r="M297" s="112"/>
      <c r="N297" s="112"/>
      <c r="O297" s="112"/>
      <c r="P297" s="112"/>
      <c r="Q297" s="112"/>
      <c r="R297" s="112"/>
      <c r="S297" s="112"/>
      <c r="T297" s="112"/>
      <c r="U297" s="112"/>
      <c r="V297" s="112"/>
      <c r="W297" s="112"/>
      <c r="X297" s="112"/>
      <c r="Y297" s="112"/>
      <c r="Z297" s="112"/>
      <c r="AA297" s="112"/>
      <c r="AB297" s="112"/>
      <c r="AC297" s="112"/>
      <c r="AD297" s="112"/>
      <c r="AE297" s="112"/>
      <c r="AF297" s="112"/>
      <c r="AG297" s="112"/>
      <c r="AH297" s="112"/>
      <c r="AI297" s="112"/>
      <c r="AJ297" s="112"/>
    </row>
    <row r="298" spans="2:36" ht="11.85" customHeight="1">
      <c r="B298" s="112"/>
      <c r="C298" s="190"/>
      <c r="D298" s="190"/>
      <c r="E298" s="190"/>
      <c r="F298" s="190"/>
      <c r="G298" s="190"/>
      <c r="H298" s="190"/>
      <c r="I298" s="190"/>
      <c r="J298" s="190"/>
      <c r="K298" s="190"/>
      <c r="L298" s="190"/>
      <c r="M298" s="112"/>
      <c r="N298" s="112"/>
      <c r="O298" s="112"/>
      <c r="P298" s="112"/>
      <c r="Q298" s="112"/>
      <c r="R298" s="112"/>
      <c r="S298" s="112"/>
      <c r="T298" s="112"/>
      <c r="U298" s="112"/>
      <c r="V298" s="112"/>
      <c r="W298" s="112"/>
      <c r="X298" s="112"/>
      <c r="Y298" s="112"/>
      <c r="Z298" s="112"/>
      <c r="AA298" s="112"/>
      <c r="AB298" s="112"/>
      <c r="AC298" s="112"/>
      <c r="AD298" s="112"/>
      <c r="AE298" s="112"/>
      <c r="AF298" s="112"/>
      <c r="AG298" s="112"/>
      <c r="AH298" s="112"/>
      <c r="AI298" s="112"/>
      <c r="AJ298" s="112"/>
    </row>
    <row r="299" spans="2:36" ht="11.85" customHeight="1">
      <c r="B299" s="112"/>
      <c r="C299" s="190"/>
      <c r="D299" s="190"/>
      <c r="E299" s="190"/>
      <c r="F299" s="190"/>
      <c r="G299" s="190"/>
      <c r="H299" s="190"/>
      <c r="I299" s="190"/>
      <c r="J299" s="190"/>
      <c r="K299" s="190"/>
      <c r="L299" s="190"/>
      <c r="M299" s="112"/>
      <c r="N299" s="112"/>
      <c r="O299" s="112"/>
      <c r="P299" s="112"/>
      <c r="Q299" s="112"/>
      <c r="R299" s="112"/>
      <c r="S299" s="112"/>
      <c r="T299" s="112"/>
      <c r="U299" s="112"/>
      <c r="V299" s="112"/>
      <c r="W299" s="112"/>
      <c r="X299" s="112"/>
      <c r="Y299" s="112"/>
      <c r="Z299" s="112"/>
      <c r="AA299" s="112"/>
      <c r="AB299" s="112"/>
      <c r="AC299" s="112"/>
      <c r="AD299" s="112"/>
      <c r="AE299" s="112"/>
      <c r="AF299" s="112"/>
      <c r="AG299" s="112"/>
      <c r="AH299" s="112"/>
      <c r="AI299" s="112"/>
      <c r="AJ299" s="112"/>
    </row>
    <row r="300" spans="2:36" ht="11.85" customHeight="1">
      <c r="B300" s="112"/>
      <c r="C300" s="190"/>
      <c r="D300" s="190"/>
      <c r="E300" s="190"/>
      <c r="F300" s="190"/>
      <c r="G300" s="190"/>
      <c r="H300" s="190"/>
      <c r="I300" s="190"/>
      <c r="J300" s="190"/>
      <c r="K300" s="190"/>
      <c r="L300" s="190"/>
      <c r="M300" s="112"/>
      <c r="N300" s="112"/>
      <c r="O300" s="112"/>
      <c r="P300" s="112"/>
      <c r="Q300" s="112"/>
      <c r="R300" s="112"/>
      <c r="S300" s="112"/>
      <c r="T300" s="112"/>
      <c r="U300" s="112"/>
      <c r="V300" s="112"/>
      <c r="W300" s="112"/>
      <c r="X300" s="112"/>
      <c r="Y300" s="112"/>
      <c r="Z300" s="112"/>
      <c r="AA300" s="112"/>
      <c r="AB300" s="112"/>
      <c r="AC300" s="112"/>
      <c r="AD300" s="112"/>
      <c r="AE300" s="112"/>
      <c r="AF300" s="112"/>
      <c r="AG300" s="112"/>
      <c r="AH300" s="112"/>
      <c r="AI300" s="112"/>
      <c r="AJ300" s="112"/>
    </row>
    <row r="301" spans="2:36" ht="11.85" customHeight="1">
      <c r="B301" s="112"/>
      <c r="C301" s="190"/>
      <c r="D301" s="190"/>
      <c r="E301" s="190"/>
      <c r="F301" s="190"/>
      <c r="G301" s="190"/>
      <c r="H301" s="190"/>
      <c r="I301" s="190"/>
      <c r="J301" s="190"/>
      <c r="K301" s="190"/>
      <c r="L301" s="190"/>
      <c r="M301" s="112"/>
      <c r="N301" s="112"/>
      <c r="O301" s="112"/>
      <c r="P301" s="112"/>
      <c r="Q301" s="112"/>
      <c r="R301" s="112"/>
      <c r="S301" s="112"/>
      <c r="T301" s="112"/>
      <c r="U301" s="112"/>
      <c r="V301" s="112"/>
      <c r="W301" s="112"/>
      <c r="X301" s="112"/>
      <c r="Y301" s="112"/>
      <c r="Z301" s="112"/>
      <c r="AA301" s="112"/>
      <c r="AB301" s="112"/>
      <c r="AC301" s="112"/>
      <c r="AD301" s="112"/>
      <c r="AE301" s="112"/>
      <c r="AF301" s="112"/>
      <c r="AG301" s="112"/>
      <c r="AH301" s="112"/>
      <c r="AI301" s="112"/>
      <c r="AJ301" s="112"/>
    </row>
    <row r="302" spans="2:36" ht="11.85" customHeight="1">
      <c r="B302" s="112"/>
      <c r="C302" s="190"/>
      <c r="D302" s="190"/>
      <c r="E302" s="190"/>
      <c r="F302" s="190"/>
      <c r="G302" s="190"/>
      <c r="H302" s="190"/>
      <c r="I302" s="190"/>
      <c r="J302" s="190"/>
      <c r="K302" s="190"/>
      <c r="L302" s="190"/>
      <c r="M302" s="112"/>
      <c r="N302" s="112"/>
      <c r="O302" s="112"/>
      <c r="P302" s="112"/>
      <c r="Q302" s="112"/>
      <c r="R302" s="112"/>
      <c r="S302" s="112"/>
      <c r="T302" s="112"/>
      <c r="U302" s="112"/>
      <c r="V302" s="112"/>
      <c r="W302" s="112"/>
      <c r="X302" s="112"/>
      <c r="Y302" s="112"/>
      <c r="Z302" s="112"/>
      <c r="AA302" s="112"/>
      <c r="AB302" s="112"/>
      <c r="AC302" s="112"/>
      <c r="AD302" s="112"/>
      <c r="AE302" s="112"/>
      <c r="AF302" s="112"/>
      <c r="AG302" s="112"/>
      <c r="AH302" s="112"/>
      <c r="AI302" s="112"/>
      <c r="AJ302" s="112"/>
    </row>
    <row r="303" spans="2:36" ht="11.85" customHeight="1">
      <c r="B303" s="112"/>
      <c r="C303" s="190"/>
      <c r="D303" s="190"/>
      <c r="E303" s="190"/>
      <c r="F303" s="190"/>
      <c r="G303" s="190"/>
      <c r="H303" s="190"/>
      <c r="I303" s="190"/>
      <c r="J303" s="190"/>
      <c r="K303" s="190"/>
      <c r="L303" s="190"/>
      <c r="M303" s="112"/>
      <c r="N303" s="112"/>
      <c r="O303" s="112"/>
      <c r="P303" s="112"/>
      <c r="Q303" s="112"/>
      <c r="R303" s="112"/>
      <c r="S303" s="112"/>
      <c r="T303" s="112"/>
      <c r="U303" s="112"/>
      <c r="V303" s="112"/>
      <c r="W303" s="112"/>
      <c r="X303" s="112"/>
      <c r="Y303" s="112"/>
      <c r="Z303" s="112"/>
      <c r="AA303" s="112"/>
      <c r="AB303" s="112"/>
      <c r="AC303" s="112"/>
      <c r="AD303" s="112"/>
      <c r="AE303" s="112"/>
      <c r="AF303" s="112"/>
      <c r="AG303" s="112"/>
      <c r="AH303" s="112"/>
      <c r="AI303" s="112"/>
      <c r="AJ303" s="112"/>
    </row>
    <row r="304" spans="2:36" ht="11.85" customHeight="1">
      <c r="B304" s="112"/>
      <c r="C304" s="190"/>
      <c r="D304" s="190"/>
      <c r="E304" s="190"/>
      <c r="F304" s="190"/>
      <c r="G304" s="190"/>
      <c r="H304" s="190"/>
      <c r="I304" s="190"/>
      <c r="J304" s="190"/>
      <c r="K304" s="190"/>
      <c r="L304" s="190"/>
      <c r="M304" s="112"/>
      <c r="N304" s="112"/>
      <c r="O304" s="112"/>
      <c r="P304" s="112"/>
      <c r="Q304" s="112"/>
      <c r="R304" s="112"/>
      <c r="S304" s="112"/>
      <c r="T304" s="112"/>
      <c r="U304" s="112"/>
      <c r="V304" s="112"/>
      <c r="W304" s="112"/>
      <c r="X304" s="112"/>
      <c r="Y304" s="112"/>
      <c r="Z304" s="112"/>
      <c r="AA304" s="112"/>
      <c r="AB304" s="112"/>
      <c r="AC304" s="112"/>
      <c r="AD304" s="112"/>
      <c r="AE304" s="112"/>
      <c r="AF304" s="112"/>
      <c r="AG304" s="112"/>
      <c r="AH304" s="112"/>
      <c r="AI304" s="112"/>
      <c r="AJ304" s="112"/>
    </row>
    <row r="305" spans="2:36" ht="11.85" customHeight="1">
      <c r="B305" s="112"/>
      <c r="C305" s="190"/>
      <c r="D305" s="190"/>
      <c r="E305" s="190"/>
      <c r="F305" s="190"/>
      <c r="G305" s="190"/>
      <c r="H305" s="190"/>
      <c r="I305" s="190"/>
      <c r="J305" s="190"/>
      <c r="K305" s="190"/>
      <c r="L305" s="190"/>
      <c r="M305" s="112"/>
      <c r="N305" s="112"/>
      <c r="O305" s="112"/>
      <c r="P305" s="112"/>
      <c r="Q305" s="112"/>
      <c r="R305" s="112"/>
      <c r="S305" s="112"/>
      <c r="T305" s="112"/>
      <c r="U305" s="112"/>
      <c r="V305" s="112"/>
      <c r="W305" s="112"/>
      <c r="X305" s="112"/>
      <c r="Y305" s="112"/>
      <c r="Z305" s="112"/>
      <c r="AA305" s="112"/>
      <c r="AB305" s="112"/>
      <c r="AC305" s="112"/>
      <c r="AD305" s="112"/>
      <c r="AE305" s="112"/>
      <c r="AF305" s="112"/>
      <c r="AG305" s="112"/>
      <c r="AH305" s="112"/>
      <c r="AI305" s="112"/>
      <c r="AJ305" s="112"/>
    </row>
    <row r="306" spans="2:36" ht="11.85" customHeight="1">
      <c r="B306" s="112"/>
      <c r="C306" s="190"/>
      <c r="D306" s="190"/>
      <c r="E306" s="190"/>
      <c r="F306" s="190"/>
      <c r="G306" s="190"/>
      <c r="H306" s="190"/>
      <c r="I306" s="190"/>
      <c r="J306" s="190"/>
      <c r="K306" s="190"/>
      <c r="L306" s="190"/>
      <c r="M306" s="112"/>
      <c r="N306" s="112"/>
      <c r="O306" s="112"/>
      <c r="P306" s="112"/>
      <c r="Q306" s="112"/>
      <c r="R306" s="112"/>
      <c r="S306" s="112"/>
      <c r="T306" s="112"/>
      <c r="U306" s="112"/>
      <c r="V306" s="112"/>
      <c r="W306" s="112"/>
      <c r="X306" s="112"/>
      <c r="Y306" s="112"/>
      <c r="Z306" s="112"/>
      <c r="AA306" s="112"/>
      <c r="AB306" s="112"/>
      <c r="AC306" s="112"/>
      <c r="AD306" s="112"/>
      <c r="AE306" s="112"/>
      <c r="AF306" s="112"/>
      <c r="AG306" s="112"/>
      <c r="AH306" s="112"/>
      <c r="AI306" s="112"/>
      <c r="AJ306" s="112"/>
    </row>
    <row r="307" spans="2:36" ht="11.85" customHeight="1">
      <c r="B307" s="112"/>
      <c r="C307" s="190"/>
      <c r="D307" s="190"/>
      <c r="E307" s="190"/>
      <c r="F307" s="190"/>
      <c r="G307" s="190"/>
      <c r="H307" s="190"/>
      <c r="I307" s="190"/>
      <c r="J307" s="190"/>
      <c r="K307" s="190"/>
      <c r="L307" s="190"/>
      <c r="M307" s="112"/>
      <c r="N307" s="112"/>
      <c r="O307" s="112"/>
      <c r="P307" s="112"/>
      <c r="Q307" s="112"/>
      <c r="R307" s="112"/>
      <c r="S307" s="112"/>
      <c r="T307" s="112"/>
      <c r="U307" s="112"/>
      <c r="V307" s="112"/>
      <c r="W307" s="112"/>
      <c r="X307" s="112"/>
      <c r="Y307" s="112"/>
      <c r="Z307" s="112"/>
      <c r="AA307" s="112"/>
      <c r="AB307" s="112"/>
      <c r="AC307" s="112"/>
      <c r="AD307" s="112"/>
      <c r="AE307" s="112"/>
      <c r="AF307" s="112"/>
      <c r="AG307" s="112"/>
      <c r="AH307" s="112"/>
      <c r="AI307" s="112"/>
      <c r="AJ307" s="112"/>
    </row>
    <row r="308" spans="2:36" ht="11.85" customHeight="1">
      <c r="B308" s="112"/>
      <c r="C308" s="190"/>
      <c r="D308" s="190"/>
      <c r="E308" s="190"/>
      <c r="F308" s="190"/>
      <c r="G308" s="190"/>
      <c r="H308" s="190"/>
      <c r="I308" s="190"/>
      <c r="J308" s="190"/>
      <c r="K308" s="190"/>
      <c r="L308" s="190"/>
      <c r="M308" s="112"/>
      <c r="N308" s="112"/>
      <c r="O308" s="112"/>
      <c r="P308" s="112"/>
      <c r="Q308" s="112"/>
      <c r="R308" s="112"/>
      <c r="S308" s="112"/>
      <c r="T308" s="112"/>
      <c r="U308" s="112"/>
      <c r="V308" s="112"/>
      <c r="W308" s="112"/>
      <c r="X308" s="112"/>
      <c r="Y308" s="112"/>
      <c r="Z308" s="112"/>
      <c r="AA308" s="112"/>
      <c r="AB308" s="112"/>
      <c r="AC308" s="112"/>
      <c r="AD308" s="112"/>
      <c r="AE308" s="112"/>
      <c r="AF308" s="112"/>
      <c r="AG308" s="112"/>
      <c r="AH308" s="112"/>
      <c r="AI308" s="112"/>
      <c r="AJ308" s="112"/>
    </row>
    <row r="309" spans="2:36" ht="11.85" customHeight="1">
      <c r="B309" s="112"/>
      <c r="C309" s="190"/>
      <c r="D309" s="190"/>
      <c r="E309" s="190"/>
      <c r="F309" s="190"/>
      <c r="G309" s="190"/>
      <c r="H309" s="190"/>
      <c r="I309" s="190"/>
      <c r="J309" s="190"/>
      <c r="K309" s="190"/>
      <c r="L309" s="190"/>
      <c r="M309" s="112"/>
      <c r="N309" s="112"/>
      <c r="O309" s="112"/>
      <c r="P309" s="112"/>
      <c r="Q309" s="112"/>
      <c r="R309" s="112"/>
      <c r="S309" s="112"/>
      <c r="T309" s="112"/>
      <c r="U309" s="112"/>
      <c r="V309" s="112"/>
      <c r="W309" s="112"/>
      <c r="X309" s="112"/>
      <c r="Y309" s="112"/>
      <c r="Z309" s="112"/>
      <c r="AA309" s="112"/>
      <c r="AB309" s="112"/>
      <c r="AC309" s="112"/>
      <c r="AD309" s="112"/>
      <c r="AE309" s="112"/>
      <c r="AF309" s="112"/>
      <c r="AG309" s="112"/>
      <c r="AH309" s="112"/>
      <c r="AI309" s="112"/>
      <c r="AJ309" s="112"/>
    </row>
    <row r="310" spans="2:36" ht="11.85" customHeight="1">
      <c r="B310" s="112"/>
      <c r="C310" s="190"/>
      <c r="D310" s="190"/>
      <c r="E310" s="190"/>
      <c r="F310" s="190"/>
      <c r="G310" s="190"/>
      <c r="H310" s="190"/>
      <c r="I310" s="190"/>
      <c r="J310" s="190"/>
      <c r="K310" s="190"/>
      <c r="L310" s="190"/>
      <c r="M310" s="112"/>
      <c r="N310" s="112"/>
      <c r="O310" s="112"/>
      <c r="P310" s="112"/>
      <c r="Q310" s="112"/>
      <c r="R310" s="112"/>
      <c r="S310" s="112"/>
      <c r="T310" s="112"/>
      <c r="U310" s="112"/>
      <c r="V310" s="112"/>
      <c r="W310" s="112"/>
      <c r="X310" s="112"/>
      <c r="Y310" s="112"/>
      <c r="Z310" s="112"/>
      <c r="AA310" s="112"/>
      <c r="AB310" s="112"/>
      <c r="AC310" s="112"/>
      <c r="AD310" s="112"/>
      <c r="AE310" s="112"/>
      <c r="AF310" s="112"/>
      <c r="AG310" s="112"/>
      <c r="AH310" s="112"/>
      <c r="AI310" s="112"/>
      <c r="AJ310" s="112"/>
    </row>
    <row r="311" spans="2:36" ht="11.85" customHeight="1">
      <c r="B311" s="112"/>
      <c r="C311" s="190"/>
      <c r="D311" s="190"/>
      <c r="E311" s="190"/>
      <c r="F311" s="190"/>
      <c r="G311" s="190"/>
      <c r="H311" s="190"/>
      <c r="I311" s="190"/>
      <c r="J311" s="190"/>
      <c r="K311" s="190"/>
      <c r="L311" s="190"/>
      <c r="M311" s="112"/>
      <c r="N311" s="112"/>
      <c r="O311" s="112"/>
      <c r="P311" s="112"/>
      <c r="Q311" s="112"/>
      <c r="R311" s="112"/>
      <c r="S311" s="112"/>
      <c r="T311" s="112"/>
      <c r="U311" s="112"/>
      <c r="V311" s="112"/>
      <c r="W311" s="112"/>
      <c r="X311" s="112"/>
      <c r="Y311" s="112"/>
      <c r="Z311" s="112"/>
      <c r="AA311" s="112"/>
      <c r="AB311" s="112"/>
      <c r="AC311" s="112"/>
      <c r="AD311" s="112"/>
      <c r="AE311" s="112"/>
      <c r="AF311" s="112"/>
      <c r="AG311" s="112"/>
      <c r="AH311" s="112"/>
      <c r="AI311" s="112"/>
      <c r="AJ311" s="112"/>
    </row>
    <row r="312" spans="2:36" ht="11.85" customHeight="1">
      <c r="B312" s="112"/>
      <c r="C312" s="190"/>
      <c r="D312" s="190"/>
      <c r="E312" s="190"/>
      <c r="F312" s="190"/>
      <c r="G312" s="190"/>
      <c r="H312" s="190"/>
      <c r="I312" s="190"/>
      <c r="J312" s="190"/>
      <c r="K312" s="190"/>
      <c r="L312" s="190"/>
      <c r="M312" s="112"/>
      <c r="N312" s="112"/>
      <c r="O312" s="112"/>
      <c r="P312" s="112"/>
      <c r="Q312" s="112"/>
      <c r="R312" s="112"/>
      <c r="S312" s="112"/>
      <c r="T312" s="112"/>
      <c r="U312" s="112"/>
      <c r="V312" s="112"/>
      <c r="W312" s="112"/>
      <c r="X312" s="112"/>
      <c r="Y312" s="112"/>
      <c r="Z312" s="112"/>
      <c r="AA312" s="112"/>
      <c r="AB312" s="112"/>
      <c r="AC312" s="112"/>
      <c r="AD312" s="112"/>
      <c r="AE312" s="112"/>
      <c r="AF312" s="112"/>
      <c r="AG312" s="112"/>
      <c r="AH312" s="112"/>
      <c r="AI312" s="112"/>
      <c r="AJ312" s="112"/>
    </row>
    <row r="313" spans="2:36" ht="11.85" customHeight="1">
      <c r="B313" s="112"/>
      <c r="C313" s="190"/>
      <c r="D313" s="190"/>
      <c r="E313" s="190"/>
      <c r="F313" s="190"/>
      <c r="G313" s="190"/>
      <c r="H313" s="190"/>
      <c r="I313" s="190"/>
      <c r="J313" s="190"/>
      <c r="K313" s="190"/>
      <c r="L313" s="190"/>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row>
    <row r="314" spans="2:36" ht="11.85" customHeight="1">
      <c r="B314" s="112"/>
      <c r="C314" s="190"/>
      <c r="D314" s="190"/>
      <c r="E314" s="190"/>
      <c r="F314" s="190"/>
      <c r="G314" s="190"/>
      <c r="H314" s="190"/>
      <c r="I314" s="190"/>
      <c r="J314" s="190"/>
      <c r="K314" s="190"/>
      <c r="L314" s="190"/>
      <c r="M314" s="112"/>
      <c r="N314" s="112"/>
      <c r="O314" s="112"/>
      <c r="P314" s="112"/>
      <c r="Q314" s="112"/>
      <c r="R314" s="112"/>
      <c r="S314" s="112"/>
      <c r="T314" s="112"/>
      <c r="U314" s="112"/>
      <c r="V314" s="112"/>
      <c r="W314" s="112"/>
      <c r="X314" s="112"/>
      <c r="Y314" s="112"/>
      <c r="Z314" s="112"/>
      <c r="AA314" s="112"/>
      <c r="AB314" s="112"/>
      <c r="AC314" s="112"/>
      <c r="AD314" s="112"/>
      <c r="AE314" s="112"/>
      <c r="AF314" s="112"/>
      <c r="AG314" s="112"/>
      <c r="AH314" s="112"/>
      <c r="AI314" s="112"/>
      <c r="AJ314" s="112"/>
    </row>
    <row r="315" spans="2:36" ht="11.85" customHeight="1">
      <c r="B315" s="112"/>
      <c r="C315" s="190"/>
      <c r="D315" s="190"/>
      <c r="E315" s="190"/>
      <c r="F315" s="190"/>
      <c r="G315" s="190"/>
      <c r="H315" s="190"/>
      <c r="I315" s="190"/>
      <c r="J315" s="190"/>
      <c r="K315" s="190"/>
      <c r="L315" s="190"/>
      <c r="M315" s="112"/>
      <c r="N315" s="112"/>
      <c r="O315" s="112"/>
      <c r="P315" s="112"/>
      <c r="Q315" s="112"/>
      <c r="R315" s="112"/>
      <c r="S315" s="112"/>
      <c r="T315" s="112"/>
      <c r="U315" s="112"/>
      <c r="V315" s="112"/>
      <c r="W315" s="112"/>
      <c r="X315" s="112"/>
      <c r="Y315" s="112"/>
      <c r="Z315" s="112"/>
      <c r="AA315" s="112"/>
      <c r="AB315" s="112"/>
      <c r="AC315" s="112"/>
      <c r="AD315" s="112"/>
      <c r="AE315" s="112"/>
      <c r="AF315" s="112"/>
      <c r="AG315" s="112"/>
      <c r="AH315" s="112"/>
      <c r="AI315" s="112"/>
      <c r="AJ315" s="112"/>
    </row>
    <row r="316" spans="2:36" ht="11.85" customHeight="1">
      <c r="B316" s="112"/>
      <c r="C316" s="190"/>
      <c r="D316" s="190"/>
      <c r="E316" s="190"/>
      <c r="F316" s="190"/>
      <c r="G316" s="190"/>
      <c r="H316" s="190"/>
      <c r="I316" s="190"/>
      <c r="J316" s="190"/>
      <c r="K316" s="190"/>
      <c r="L316" s="190"/>
      <c r="M316" s="112"/>
      <c r="N316" s="112"/>
      <c r="O316" s="112"/>
      <c r="P316" s="112"/>
      <c r="Q316" s="112"/>
      <c r="R316" s="112"/>
      <c r="S316" s="112"/>
      <c r="T316" s="112"/>
      <c r="U316" s="112"/>
      <c r="V316" s="112"/>
      <c r="W316" s="112"/>
      <c r="X316" s="112"/>
      <c r="Y316" s="112"/>
      <c r="Z316" s="112"/>
      <c r="AA316" s="112"/>
      <c r="AB316" s="112"/>
      <c r="AC316" s="112"/>
      <c r="AD316" s="112"/>
      <c r="AE316" s="112"/>
      <c r="AF316" s="112"/>
      <c r="AG316" s="112"/>
      <c r="AH316" s="112"/>
      <c r="AI316" s="112"/>
      <c r="AJ316" s="112"/>
    </row>
    <row r="317" spans="2:36" ht="11.85" customHeight="1">
      <c r="B317" s="112"/>
      <c r="C317" s="190"/>
      <c r="D317" s="190"/>
      <c r="E317" s="190"/>
      <c r="F317" s="190"/>
      <c r="G317" s="190"/>
      <c r="H317" s="190"/>
      <c r="I317" s="190"/>
      <c r="J317" s="190"/>
      <c r="K317" s="190"/>
      <c r="L317" s="190"/>
      <c r="M317" s="112"/>
      <c r="N317" s="112"/>
      <c r="O317" s="112"/>
      <c r="P317" s="112"/>
      <c r="Q317" s="112"/>
      <c r="R317" s="112"/>
      <c r="S317" s="112"/>
      <c r="T317" s="112"/>
      <c r="U317" s="112"/>
      <c r="V317" s="112"/>
      <c r="W317" s="112"/>
      <c r="X317" s="112"/>
      <c r="Y317" s="112"/>
      <c r="Z317" s="112"/>
      <c r="AA317" s="112"/>
      <c r="AB317" s="112"/>
      <c r="AC317" s="112"/>
      <c r="AD317" s="112"/>
      <c r="AE317" s="112"/>
      <c r="AF317" s="112"/>
      <c r="AG317" s="112"/>
      <c r="AH317" s="112"/>
      <c r="AI317" s="112"/>
      <c r="AJ317" s="112"/>
    </row>
    <row r="318" spans="2:36" ht="11.85" customHeight="1">
      <c r="B318" s="112"/>
      <c r="C318" s="190"/>
      <c r="D318" s="190"/>
      <c r="E318" s="190"/>
      <c r="F318" s="190"/>
      <c r="G318" s="190"/>
      <c r="H318" s="190"/>
      <c r="I318" s="190"/>
      <c r="J318" s="190"/>
      <c r="K318" s="190"/>
      <c r="L318" s="190"/>
      <c r="M318" s="112"/>
      <c r="N318" s="112"/>
      <c r="O318" s="112"/>
      <c r="P318" s="112"/>
      <c r="Q318" s="112"/>
      <c r="R318" s="112"/>
      <c r="S318" s="112"/>
      <c r="T318" s="112"/>
      <c r="U318" s="112"/>
      <c r="V318" s="112"/>
      <c r="W318" s="112"/>
      <c r="X318" s="112"/>
      <c r="Y318" s="112"/>
      <c r="Z318" s="112"/>
      <c r="AA318" s="112"/>
      <c r="AB318" s="112"/>
      <c r="AC318" s="112"/>
      <c r="AD318" s="112"/>
      <c r="AE318" s="112"/>
      <c r="AF318" s="112"/>
      <c r="AG318" s="112"/>
      <c r="AH318" s="112"/>
      <c r="AI318" s="112"/>
      <c r="AJ318" s="112"/>
    </row>
    <row r="319" spans="2:36" ht="11.85" customHeight="1">
      <c r="B319" s="112"/>
      <c r="C319" s="190"/>
      <c r="D319" s="190"/>
      <c r="E319" s="190"/>
      <c r="F319" s="190"/>
      <c r="G319" s="190"/>
      <c r="H319" s="190"/>
      <c r="I319" s="190"/>
      <c r="J319" s="190"/>
      <c r="K319" s="190"/>
      <c r="L319" s="190"/>
      <c r="M319" s="112"/>
      <c r="N319" s="112"/>
      <c r="O319" s="112"/>
      <c r="P319" s="112"/>
      <c r="Q319" s="112"/>
      <c r="R319" s="112"/>
      <c r="S319" s="112"/>
      <c r="T319" s="112"/>
      <c r="U319" s="112"/>
      <c r="V319" s="112"/>
      <c r="W319" s="112"/>
      <c r="X319" s="112"/>
      <c r="Y319" s="112"/>
      <c r="Z319" s="112"/>
      <c r="AA319" s="112"/>
      <c r="AB319" s="112"/>
      <c r="AC319" s="112"/>
      <c r="AD319" s="112"/>
      <c r="AE319" s="112"/>
      <c r="AF319" s="112"/>
      <c r="AG319" s="112"/>
      <c r="AH319" s="112"/>
      <c r="AI319" s="112"/>
      <c r="AJ319" s="112"/>
    </row>
    <row r="320" spans="2:36" ht="11.85" customHeight="1">
      <c r="B320" s="112"/>
      <c r="C320" s="190"/>
      <c r="D320" s="190"/>
      <c r="E320" s="190"/>
      <c r="F320" s="190"/>
      <c r="G320" s="190"/>
      <c r="H320" s="190"/>
      <c r="I320" s="190"/>
      <c r="J320" s="190"/>
      <c r="K320" s="190"/>
      <c r="L320" s="190"/>
      <c r="M320" s="112"/>
      <c r="N320" s="112"/>
      <c r="O320" s="112"/>
      <c r="P320" s="112"/>
      <c r="Q320" s="112"/>
      <c r="R320" s="112"/>
      <c r="S320" s="112"/>
      <c r="T320" s="112"/>
      <c r="U320" s="112"/>
      <c r="V320" s="112"/>
      <c r="W320" s="112"/>
      <c r="X320" s="112"/>
      <c r="Y320" s="112"/>
      <c r="Z320" s="112"/>
      <c r="AA320" s="112"/>
      <c r="AB320" s="112"/>
      <c r="AC320" s="112"/>
      <c r="AD320" s="112"/>
      <c r="AE320" s="112"/>
      <c r="AF320" s="112"/>
      <c r="AG320" s="112"/>
      <c r="AH320" s="112"/>
      <c r="AI320" s="112"/>
      <c r="AJ320" s="112"/>
    </row>
    <row r="321" spans="2:36" ht="11.85" customHeight="1">
      <c r="B321" s="112"/>
      <c r="C321" s="190"/>
      <c r="D321" s="190"/>
      <c r="E321" s="190"/>
      <c r="F321" s="190"/>
      <c r="G321" s="190"/>
      <c r="H321" s="190"/>
      <c r="I321" s="190"/>
      <c r="J321" s="190"/>
      <c r="K321" s="190"/>
      <c r="L321" s="190"/>
      <c r="M321" s="112"/>
      <c r="N321" s="112"/>
      <c r="O321" s="112"/>
      <c r="P321" s="112"/>
      <c r="Q321" s="112"/>
      <c r="R321" s="112"/>
      <c r="S321" s="112"/>
      <c r="T321" s="112"/>
      <c r="U321" s="112"/>
      <c r="V321" s="112"/>
      <c r="W321" s="112"/>
      <c r="X321" s="112"/>
      <c r="Y321" s="112"/>
      <c r="Z321" s="112"/>
      <c r="AA321" s="112"/>
      <c r="AB321" s="112"/>
      <c r="AC321" s="112"/>
      <c r="AD321" s="112"/>
      <c r="AE321" s="112"/>
      <c r="AF321" s="112"/>
      <c r="AG321" s="112"/>
      <c r="AH321" s="112"/>
      <c r="AI321" s="112"/>
      <c r="AJ321" s="112"/>
    </row>
    <row r="322" spans="2:36" ht="11.85" customHeight="1">
      <c r="B322" s="112"/>
      <c r="C322" s="190"/>
      <c r="D322" s="190"/>
      <c r="E322" s="190"/>
      <c r="F322" s="190"/>
      <c r="G322" s="190"/>
      <c r="H322" s="190"/>
      <c r="I322" s="190"/>
      <c r="J322" s="190"/>
      <c r="K322" s="190"/>
      <c r="L322" s="190"/>
      <c r="M322" s="112"/>
      <c r="N322" s="112"/>
      <c r="O322" s="112"/>
      <c r="P322" s="112"/>
      <c r="Q322" s="112"/>
      <c r="R322" s="112"/>
      <c r="S322" s="112"/>
      <c r="T322" s="112"/>
      <c r="U322" s="112"/>
      <c r="V322" s="112"/>
      <c r="W322" s="112"/>
      <c r="X322" s="112"/>
      <c r="Y322" s="112"/>
      <c r="Z322" s="112"/>
      <c r="AA322" s="112"/>
      <c r="AB322" s="112"/>
      <c r="AC322" s="112"/>
      <c r="AD322" s="112"/>
      <c r="AE322" s="112"/>
      <c r="AF322" s="112"/>
      <c r="AG322" s="112"/>
      <c r="AH322" s="112"/>
      <c r="AI322" s="112"/>
      <c r="AJ322" s="112"/>
    </row>
    <row r="323" spans="2:36" ht="11.85" customHeight="1">
      <c r="B323" s="112"/>
      <c r="C323" s="190"/>
      <c r="D323" s="190"/>
      <c r="E323" s="190"/>
      <c r="F323" s="190"/>
      <c r="G323" s="190"/>
      <c r="H323" s="190"/>
      <c r="I323" s="190"/>
      <c r="J323" s="190"/>
      <c r="K323" s="190"/>
      <c r="L323" s="190"/>
      <c r="M323" s="112"/>
      <c r="N323" s="112"/>
      <c r="O323" s="112"/>
      <c r="P323" s="112"/>
      <c r="Q323" s="112"/>
      <c r="R323" s="112"/>
      <c r="S323" s="112"/>
      <c r="T323" s="112"/>
      <c r="U323" s="112"/>
      <c r="V323" s="112"/>
      <c r="W323" s="112"/>
      <c r="X323" s="112"/>
      <c r="Y323" s="112"/>
      <c r="Z323" s="112"/>
      <c r="AA323" s="112"/>
      <c r="AB323" s="112"/>
      <c r="AC323" s="112"/>
      <c r="AD323" s="112"/>
      <c r="AE323" s="112"/>
      <c r="AF323" s="112"/>
      <c r="AG323" s="112"/>
      <c r="AH323" s="112"/>
      <c r="AI323" s="112"/>
      <c r="AJ323" s="112"/>
    </row>
    <row r="324" spans="2:36" ht="11.85" customHeight="1">
      <c r="B324" s="112"/>
      <c r="C324" s="190"/>
      <c r="D324" s="190"/>
      <c r="E324" s="190"/>
      <c r="F324" s="190"/>
      <c r="G324" s="190"/>
      <c r="H324" s="190"/>
      <c r="I324" s="190"/>
      <c r="J324" s="190"/>
      <c r="K324" s="190"/>
      <c r="L324" s="190"/>
      <c r="M324" s="112"/>
      <c r="N324" s="112"/>
      <c r="O324" s="112"/>
      <c r="P324" s="112"/>
      <c r="Q324" s="112"/>
      <c r="R324" s="112"/>
      <c r="S324" s="112"/>
      <c r="T324" s="112"/>
      <c r="U324" s="112"/>
      <c r="V324" s="112"/>
      <c r="W324" s="112"/>
      <c r="X324" s="112"/>
      <c r="Y324" s="112"/>
      <c r="Z324" s="112"/>
      <c r="AA324" s="112"/>
      <c r="AB324" s="112"/>
      <c r="AC324" s="112"/>
      <c r="AD324" s="112"/>
      <c r="AE324" s="112"/>
      <c r="AF324" s="112"/>
      <c r="AG324" s="112"/>
      <c r="AH324" s="112"/>
      <c r="AI324" s="112"/>
      <c r="AJ324" s="112"/>
    </row>
    <row r="325" spans="2:36" ht="11.85" customHeight="1">
      <c r="B325" s="112"/>
      <c r="C325" s="190"/>
      <c r="D325" s="190"/>
      <c r="E325" s="190"/>
      <c r="F325" s="190"/>
      <c r="G325" s="190"/>
      <c r="H325" s="190"/>
      <c r="I325" s="190"/>
      <c r="J325" s="190"/>
      <c r="K325" s="190"/>
      <c r="L325" s="190"/>
      <c r="M325" s="112"/>
      <c r="N325" s="112"/>
      <c r="O325" s="112"/>
      <c r="P325" s="112"/>
      <c r="Q325" s="112"/>
      <c r="R325" s="112"/>
      <c r="S325" s="112"/>
      <c r="T325" s="112"/>
      <c r="U325" s="112"/>
      <c r="V325" s="112"/>
      <c r="W325" s="112"/>
      <c r="X325" s="112"/>
      <c r="Y325" s="112"/>
      <c r="Z325" s="112"/>
      <c r="AA325" s="112"/>
      <c r="AB325" s="112"/>
      <c r="AC325" s="112"/>
      <c r="AD325" s="112"/>
      <c r="AE325" s="112"/>
      <c r="AF325" s="112"/>
      <c r="AG325" s="112"/>
      <c r="AH325" s="112"/>
      <c r="AI325" s="112"/>
      <c r="AJ325" s="112"/>
    </row>
    <row r="326" spans="2:36" ht="11.85" customHeight="1">
      <c r="B326" s="112"/>
      <c r="C326" s="190"/>
      <c r="D326" s="190"/>
      <c r="E326" s="190"/>
      <c r="F326" s="190"/>
      <c r="G326" s="190"/>
      <c r="H326" s="190"/>
      <c r="I326" s="190"/>
      <c r="J326" s="190"/>
      <c r="K326" s="190"/>
      <c r="L326" s="190"/>
      <c r="M326" s="112"/>
      <c r="N326" s="112"/>
      <c r="O326" s="112"/>
      <c r="P326" s="112"/>
      <c r="Q326" s="112"/>
      <c r="R326" s="112"/>
      <c r="S326" s="112"/>
      <c r="T326" s="112"/>
      <c r="U326" s="112"/>
      <c r="V326" s="112"/>
      <c r="W326" s="112"/>
      <c r="X326" s="112"/>
      <c r="Y326" s="112"/>
      <c r="Z326" s="112"/>
      <c r="AA326" s="112"/>
      <c r="AB326" s="112"/>
      <c r="AC326" s="112"/>
      <c r="AD326" s="112"/>
      <c r="AE326" s="112"/>
      <c r="AF326" s="112"/>
      <c r="AG326" s="112"/>
      <c r="AH326" s="112"/>
      <c r="AI326" s="112"/>
      <c r="AJ326" s="112"/>
    </row>
    <row r="327" spans="2:36" ht="11.85" customHeight="1">
      <c r="B327" s="112"/>
      <c r="C327" s="190"/>
      <c r="D327" s="190"/>
      <c r="E327" s="190"/>
      <c r="F327" s="190"/>
      <c r="G327" s="190"/>
      <c r="H327" s="190"/>
      <c r="I327" s="190"/>
      <c r="J327" s="190"/>
      <c r="K327" s="190"/>
      <c r="L327" s="190"/>
      <c r="M327" s="112"/>
      <c r="N327" s="112"/>
      <c r="O327" s="112"/>
      <c r="P327" s="112"/>
      <c r="Q327" s="112"/>
      <c r="R327" s="112"/>
      <c r="S327" s="112"/>
      <c r="T327" s="112"/>
      <c r="U327" s="112"/>
      <c r="V327" s="112"/>
      <c r="W327" s="112"/>
      <c r="X327" s="112"/>
      <c r="Y327" s="112"/>
      <c r="Z327" s="112"/>
      <c r="AA327" s="112"/>
      <c r="AB327" s="112"/>
      <c r="AC327" s="112"/>
      <c r="AD327" s="112"/>
      <c r="AE327" s="112"/>
      <c r="AF327" s="112"/>
      <c r="AG327" s="112"/>
      <c r="AH327" s="112"/>
      <c r="AI327" s="112"/>
      <c r="AJ327" s="112"/>
    </row>
    <row r="328" spans="2:36" ht="11.85" customHeight="1">
      <c r="B328" s="112"/>
      <c r="C328" s="190"/>
      <c r="D328" s="190"/>
      <c r="E328" s="190"/>
      <c r="F328" s="190"/>
      <c r="G328" s="190"/>
      <c r="H328" s="190"/>
      <c r="I328" s="190"/>
      <c r="J328" s="190"/>
      <c r="K328" s="190"/>
      <c r="L328" s="190"/>
      <c r="M328" s="112"/>
      <c r="N328" s="112"/>
      <c r="O328" s="112"/>
      <c r="P328" s="112"/>
      <c r="Q328" s="112"/>
      <c r="R328" s="112"/>
      <c r="S328" s="112"/>
      <c r="T328" s="112"/>
      <c r="U328" s="112"/>
      <c r="V328" s="112"/>
      <c r="W328" s="112"/>
      <c r="X328" s="112"/>
      <c r="Y328" s="112"/>
      <c r="Z328" s="112"/>
      <c r="AA328" s="112"/>
      <c r="AB328" s="112"/>
      <c r="AC328" s="112"/>
      <c r="AD328" s="112"/>
      <c r="AE328" s="112"/>
      <c r="AF328" s="112"/>
      <c r="AG328" s="112"/>
      <c r="AH328" s="112"/>
      <c r="AI328" s="112"/>
      <c r="AJ328" s="112"/>
    </row>
    <row r="329" spans="2:36" ht="11.85" customHeight="1">
      <c r="B329" s="112"/>
      <c r="C329" s="190"/>
      <c r="D329" s="190"/>
      <c r="E329" s="190"/>
      <c r="F329" s="190"/>
      <c r="G329" s="190"/>
      <c r="H329" s="190"/>
      <c r="I329" s="190"/>
      <c r="J329" s="190"/>
      <c r="K329" s="190"/>
      <c r="L329" s="190"/>
      <c r="M329" s="112"/>
      <c r="N329" s="112"/>
      <c r="O329" s="112"/>
      <c r="P329" s="112"/>
      <c r="Q329" s="112"/>
      <c r="R329" s="112"/>
      <c r="S329" s="112"/>
      <c r="T329" s="112"/>
      <c r="U329" s="112"/>
      <c r="V329" s="112"/>
      <c r="W329" s="112"/>
      <c r="X329" s="112"/>
      <c r="Y329" s="112"/>
      <c r="Z329" s="112"/>
      <c r="AA329" s="112"/>
      <c r="AB329" s="112"/>
      <c r="AC329" s="112"/>
      <c r="AD329" s="112"/>
      <c r="AE329" s="112"/>
      <c r="AF329" s="112"/>
      <c r="AG329" s="112"/>
      <c r="AH329" s="112"/>
      <c r="AI329" s="112"/>
      <c r="AJ329" s="112"/>
    </row>
    <row r="330" spans="2:36" ht="11.85" customHeight="1">
      <c r="B330" s="112"/>
      <c r="C330" s="190"/>
      <c r="D330" s="190"/>
      <c r="E330" s="190"/>
      <c r="F330" s="190"/>
      <c r="G330" s="190"/>
      <c r="H330" s="190"/>
      <c r="I330" s="190"/>
      <c r="J330" s="190"/>
      <c r="K330" s="190"/>
      <c r="L330" s="190"/>
      <c r="M330" s="112"/>
      <c r="N330" s="112"/>
      <c r="O330" s="112"/>
      <c r="P330" s="112"/>
      <c r="Q330" s="112"/>
      <c r="R330" s="112"/>
      <c r="S330" s="112"/>
      <c r="T330" s="112"/>
      <c r="U330" s="112"/>
      <c r="V330" s="112"/>
      <c r="W330" s="112"/>
      <c r="X330" s="112"/>
      <c r="Y330" s="112"/>
      <c r="Z330" s="112"/>
      <c r="AA330" s="112"/>
      <c r="AB330" s="112"/>
      <c r="AC330" s="112"/>
      <c r="AD330" s="112"/>
      <c r="AE330" s="112"/>
      <c r="AF330" s="112"/>
      <c r="AG330" s="112"/>
      <c r="AH330" s="112"/>
      <c r="AI330" s="112"/>
      <c r="AJ330" s="112"/>
    </row>
    <row r="331" spans="2:36" ht="11.85" customHeight="1">
      <c r="B331" s="112"/>
      <c r="C331" s="190"/>
      <c r="D331" s="190"/>
      <c r="E331" s="190"/>
      <c r="F331" s="190"/>
      <c r="G331" s="190"/>
      <c r="H331" s="190"/>
      <c r="I331" s="190"/>
      <c r="J331" s="190"/>
      <c r="K331" s="190"/>
      <c r="L331" s="190"/>
      <c r="M331" s="112"/>
      <c r="N331" s="112"/>
      <c r="O331" s="112"/>
      <c r="P331" s="112"/>
      <c r="Q331" s="112"/>
      <c r="R331" s="112"/>
      <c r="S331" s="112"/>
      <c r="T331" s="112"/>
      <c r="U331" s="112"/>
      <c r="V331" s="112"/>
      <c r="W331" s="112"/>
      <c r="X331" s="112"/>
      <c r="Y331" s="112"/>
      <c r="Z331" s="112"/>
      <c r="AA331" s="112"/>
      <c r="AB331" s="112"/>
      <c r="AC331" s="112"/>
      <c r="AD331" s="112"/>
      <c r="AE331" s="112"/>
      <c r="AF331" s="112"/>
      <c r="AG331" s="112"/>
      <c r="AH331" s="112"/>
      <c r="AI331" s="112"/>
      <c r="AJ331" s="112"/>
    </row>
    <row r="332" spans="2:36" ht="11.85" customHeight="1">
      <c r="B332" s="112"/>
      <c r="C332" s="190"/>
      <c r="D332" s="190"/>
      <c r="E332" s="190"/>
      <c r="F332" s="190"/>
      <c r="G332" s="190"/>
      <c r="H332" s="190"/>
      <c r="I332" s="190"/>
      <c r="J332" s="190"/>
      <c r="K332" s="190"/>
      <c r="L332" s="190"/>
      <c r="M332" s="112"/>
      <c r="N332" s="112"/>
      <c r="O332" s="112"/>
      <c r="P332" s="112"/>
      <c r="Q332" s="112"/>
      <c r="R332" s="112"/>
      <c r="S332" s="112"/>
      <c r="T332" s="112"/>
      <c r="U332" s="112"/>
      <c r="V332" s="112"/>
      <c r="W332" s="112"/>
      <c r="X332" s="112"/>
      <c r="Y332" s="112"/>
      <c r="Z332" s="112"/>
      <c r="AA332" s="112"/>
      <c r="AB332" s="112"/>
      <c r="AC332" s="112"/>
      <c r="AD332" s="112"/>
      <c r="AE332" s="112"/>
      <c r="AF332" s="112"/>
      <c r="AG332" s="112"/>
      <c r="AH332" s="112"/>
      <c r="AI332" s="112"/>
      <c r="AJ332" s="112"/>
    </row>
    <row r="333" spans="2:36" ht="11.85" customHeight="1">
      <c r="B333" s="112"/>
      <c r="C333" s="190"/>
      <c r="D333" s="190"/>
      <c r="E333" s="190"/>
      <c r="F333" s="190"/>
      <c r="G333" s="190"/>
      <c r="H333" s="190"/>
      <c r="I333" s="190"/>
      <c r="J333" s="190"/>
      <c r="K333" s="190"/>
      <c r="L333" s="190"/>
      <c r="M333" s="112"/>
      <c r="N333" s="112"/>
      <c r="O333" s="112"/>
      <c r="P333" s="112"/>
      <c r="Q333" s="112"/>
      <c r="R333" s="112"/>
      <c r="S333" s="112"/>
      <c r="T333" s="112"/>
      <c r="U333" s="112"/>
      <c r="V333" s="112"/>
      <c r="W333" s="112"/>
      <c r="X333" s="112"/>
      <c r="Y333" s="112"/>
      <c r="Z333" s="112"/>
      <c r="AA333" s="112"/>
      <c r="AB333" s="112"/>
      <c r="AC333" s="112"/>
      <c r="AD333" s="112"/>
      <c r="AE333" s="112"/>
      <c r="AF333" s="112"/>
      <c r="AG333" s="112"/>
      <c r="AH333" s="112"/>
      <c r="AI333" s="112"/>
      <c r="AJ333" s="112"/>
    </row>
    <row r="334" spans="2:36" ht="11.85" customHeight="1">
      <c r="B334" s="112"/>
      <c r="C334" s="190"/>
      <c r="D334" s="190"/>
      <c r="E334" s="190"/>
      <c r="F334" s="190"/>
      <c r="G334" s="190"/>
      <c r="H334" s="190"/>
      <c r="I334" s="190"/>
      <c r="J334" s="190"/>
      <c r="K334" s="190"/>
      <c r="L334" s="190"/>
      <c r="M334" s="112"/>
      <c r="N334" s="112"/>
      <c r="O334" s="112"/>
      <c r="P334" s="112"/>
      <c r="Q334" s="112"/>
      <c r="R334" s="112"/>
      <c r="S334" s="112"/>
      <c r="T334" s="112"/>
      <c r="U334" s="112"/>
      <c r="V334" s="112"/>
      <c r="W334" s="112"/>
      <c r="X334" s="112"/>
      <c r="Y334" s="112"/>
      <c r="Z334" s="112"/>
      <c r="AA334" s="112"/>
      <c r="AB334" s="112"/>
      <c r="AC334" s="112"/>
      <c r="AD334" s="112"/>
      <c r="AE334" s="112"/>
      <c r="AF334" s="112"/>
      <c r="AG334" s="112"/>
      <c r="AH334" s="112"/>
      <c r="AI334" s="112"/>
      <c r="AJ334" s="112"/>
    </row>
    <row r="335" spans="2:36" ht="11.85" customHeight="1">
      <c r="B335" s="112"/>
      <c r="C335" s="190"/>
      <c r="D335" s="190"/>
      <c r="E335" s="190"/>
      <c r="F335" s="190"/>
      <c r="G335" s="190"/>
      <c r="H335" s="190"/>
      <c r="I335" s="190"/>
      <c r="J335" s="190"/>
      <c r="K335" s="190"/>
      <c r="L335" s="190"/>
      <c r="M335" s="112"/>
      <c r="N335" s="112"/>
      <c r="O335" s="112"/>
      <c r="P335" s="112"/>
      <c r="Q335" s="112"/>
      <c r="R335" s="112"/>
      <c r="S335" s="112"/>
      <c r="T335" s="112"/>
      <c r="U335" s="112"/>
      <c r="V335" s="112"/>
      <c r="W335" s="112"/>
      <c r="X335" s="112"/>
      <c r="Y335" s="112"/>
      <c r="Z335" s="112"/>
      <c r="AA335" s="112"/>
      <c r="AB335" s="112"/>
      <c r="AC335" s="112"/>
      <c r="AD335" s="112"/>
      <c r="AE335" s="112"/>
      <c r="AF335" s="112"/>
      <c r="AG335" s="112"/>
      <c r="AH335" s="112"/>
      <c r="AI335" s="112"/>
      <c r="AJ335" s="112"/>
    </row>
    <row r="336" spans="2:36" ht="11.85" customHeight="1">
      <c r="B336" s="112"/>
      <c r="C336" s="190"/>
      <c r="D336" s="190"/>
      <c r="E336" s="190"/>
      <c r="F336" s="190"/>
      <c r="G336" s="190"/>
      <c r="H336" s="190"/>
      <c r="I336" s="190"/>
      <c r="J336" s="190"/>
      <c r="K336" s="190"/>
      <c r="L336" s="190"/>
      <c r="M336" s="112"/>
      <c r="N336" s="112"/>
      <c r="O336" s="112"/>
      <c r="P336" s="112"/>
      <c r="Q336" s="112"/>
      <c r="R336" s="112"/>
      <c r="S336" s="112"/>
      <c r="T336" s="112"/>
      <c r="U336" s="112"/>
      <c r="V336" s="112"/>
      <c r="W336" s="112"/>
      <c r="X336" s="112"/>
      <c r="Y336" s="112"/>
      <c r="Z336" s="112"/>
      <c r="AA336" s="112"/>
      <c r="AB336" s="112"/>
      <c r="AC336" s="112"/>
      <c r="AD336" s="112"/>
      <c r="AE336" s="112"/>
      <c r="AF336" s="112"/>
      <c r="AG336" s="112"/>
      <c r="AH336" s="112"/>
      <c r="AI336" s="112"/>
      <c r="AJ336" s="112"/>
    </row>
    <row r="337" spans="2:36" ht="11.85" customHeight="1">
      <c r="B337" s="112"/>
      <c r="C337" s="190"/>
      <c r="D337" s="190"/>
      <c r="E337" s="190"/>
      <c r="F337" s="190"/>
      <c r="G337" s="190"/>
      <c r="H337" s="190"/>
      <c r="I337" s="190"/>
      <c r="J337" s="190"/>
      <c r="K337" s="190"/>
      <c r="L337" s="190"/>
      <c r="M337" s="112"/>
      <c r="N337" s="112"/>
      <c r="O337" s="112"/>
      <c r="P337" s="112"/>
      <c r="Q337" s="112"/>
      <c r="R337" s="112"/>
      <c r="S337" s="112"/>
      <c r="T337" s="112"/>
      <c r="U337" s="112"/>
      <c r="V337" s="112"/>
      <c r="W337" s="112"/>
      <c r="X337" s="112"/>
      <c r="Y337" s="112"/>
      <c r="Z337" s="112"/>
      <c r="AA337" s="112"/>
      <c r="AB337" s="112"/>
      <c r="AC337" s="112"/>
      <c r="AD337" s="112"/>
      <c r="AE337" s="112"/>
      <c r="AF337" s="112"/>
      <c r="AG337" s="112"/>
      <c r="AH337" s="112"/>
      <c r="AI337" s="112"/>
      <c r="AJ337" s="112"/>
    </row>
    <row r="338" spans="2:36" ht="11.85" customHeight="1">
      <c r="B338" s="112"/>
      <c r="C338" s="190"/>
      <c r="D338" s="190"/>
      <c r="E338" s="190"/>
      <c r="F338" s="190"/>
      <c r="G338" s="190"/>
      <c r="H338" s="190"/>
      <c r="I338" s="190"/>
      <c r="J338" s="190"/>
      <c r="K338" s="190"/>
      <c r="L338" s="190"/>
      <c r="M338" s="112"/>
      <c r="N338" s="112"/>
      <c r="O338" s="112"/>
      <c r="P338" s="112"/>
      <c r="Q338" s="112"/>
      <c r="R338" s="112"/>
      <c r="S338" s="112"/>
      <c r="T338" s="112"/>
      <c r="U338" s="112"/>
      <c r="V338" s="112"/>
      <c r="W338" s="112"/>
      <c r="X338" s="112"/>
      <c r="Y338" s="112"/>
      <c r="Z338" s="112"/>
      <c r="AA338" s="112"/>
      <c r="AB338" s="112"/>
      <c r="AC338" s="112"/>
      <c r="AD338" s="112"/>
      <c r="AE338" s="112"/>
      <c r="AF338" s="112"/>
      <c r="AG338" s="112"/>
      <c r="AH338" s="112"/>
      <c r="AI338" s="112"/>
      <c r="AJ338" s="112"/>
    </row>
    <row r="339" spans="2:36" ht="11.85" customHeight="1">
      <c r="B339" s="112"/>
      <c r="C339" s="190"/>
      <c r="D339" s="190"/>
      <c r="E339" s="190"/>
      <c r="F339" s="190"/>
      <c r="G339" s="190"/>
      <c r="H339" s="190"/>
      <c r="I339" s="190"/>
      <c r="J339" s="190"/>
      <c r="K339" s="190"/>
      <c r="L339" s="190"/>
      <c r="M339" s="112"/>
      <c r="N339" s="112"/>
      <c r="O339" s="112"/>
      <c r="P339" s="112"/>
      <c r="Q339" s="112"/>
      <c r="R339" s="112"/>
      <c r="S339" s="112"/>
      <c r="T339" s="112"/>
      <c r="U339" s="112"/>
      <c r="V339" s="112"/>
      <c r="W339" s="112"/>
      <c r="X339" s="112"/>
      <c r="Y339" s="112"/>
      <c r="Z339" s="112"/>
      <c r="AA339" s="112"/>
      <c r="AB339" s="112"/>
      <c r="AC339" s="112"/>
      <c r="AD339" s="112"/>
      <c r="AE339" s="112"/>
      <c r="AF339" s="112"/>
      <c r="AG339" s="112"/>
      <c r="AH339" s="112"/>
      <c r="AI339" s="112"/>
      <c r="AJ339" s="112"/>
    </row>
    <row r="340" spans="2:36" ht="11.85" customHeight="1">
      <c r="B340" s="112"/>
      <c r="C340" s="190"/>
      <c r="D340" s="190"/>
      <c r="E340" s="190"/>
      <c r="F340" s="190"/>
      <c r="G340" s="190"/>
      <c r="H340" s="190"/>
      <c r="I340" s="190"/>
      <c r="J340" s="190"/>
      <c r="K340" s="190"/>
      <c r="L340" s="190"/>
      <c r="M340" s="112"/>
      <c r="N340" s="112"/>
      <c r="O340" s="112"/>
      <c r="P340" s="112"/>
      <c r="Q340" s="112"/>
      <c r="R340" s="112"/>
      <c r="S340" s="112"/>
      <c r="T340" s="112"/>
      <c r="U340" s="112"/>
      <c r="V340" s="112"/>
      <c r="W340" s="112"/>
      <c r="X340" s="112"/>
      <c r="Y340" s="112"/>
      <c r="Z340" s="112"/>
      <c r="AA340" s="112"/>
      <c r="AB340" s="112"/>
      <c r="AC340" s="112"/>
      <c r="AD340" s="112"/>
      <c r="AE340" s="112"/>
      <c r="AF340" s="112"/>
      <c r="AG340" s="112"/>
      <c r="AH340" s="112"/>
      <c r="AI340" s="112"/>
      <c r="AJ340" s="112"/>
    </row>
    <row r="341" spans="2:36" ht="11.85" customHeight="1">
      <c r="B341" s="112"/>
      <c r="C341" s="190"/>
      <c r="D341" s="190"/>
      <c r="E341" s="190"/>
      <c r="F341" s="190"/>
      <c r="G341" s="190"/>
      <c r="H341" s="190"/>
      <c r="I341" s="190"/>
      <c r="J341" s="190"/>
      <c r="K341" s="190"/>
      <c r="L341" s="190"/>
      <c r="M341" s="112"/>
      <c r="N341" s="112"/>
      <c r="O341" s="112"/>
      <c r="P341" s="112"/>
      <c r="Q341" s="112"/>
      <c r="R341" s="112"/>
      <c r="S341" s="112"/>
      <c r="T341" s="112"/>
      <c r="U341" s="112"/>
      <c r="V341" s="112"/>
      <c r="W341" s="112"/>
      <c r="X341" s="112"/>
      <c r="Y341" s="112"/>
      <c r="Z341" s="112"/>
      <c r="AA341" s="112"/>
      <c r="AB341" s="112"/>
      <c r="AC341" s="112"/>
      <c r="AD341" s="112"/>
      <c r="AE341" s="112"/>
      <c r="AF341" s="112"/>
      <c r="AG341" s="112"/>
      <c r="AH341" s="112"/>
      <c r="AI341" s="112"/>
      <c r="AJ341" s="112"/>
    </row>
    <row r="342" spans="2:36" ht="11.85" customHeight="1">
      <c r="B342" s="112"/>
      <c r="C342" s="190"/>
      <c r="D342" s="190"/>
      <c r="E342" s="190"/>
      <c r="F342" s="190"/>
      <c r="G342" s="190"/>
      <c r="H342" s="190"/>
      <c r="I342" s="190"/>
      <c r="J342" s="190"/>
      <c r="K342" s="190"/>
      <c r="L342" s="190"/>
      <c r="M342" s="112"/>
      <c r="N342" s="112"/>
      <c r="O342" s="112"/>
      <c r="P342" s="112"/>
      <c r="Q342" s="112"/>
      <c r="R342" s="112"/>
      <c r="S342" s="112"/>
      <c r="T342" s="112"/>
      <c r="U342" s="112"/>
      <c r="V342" s="112"/>
      <c r="W342" s="112"/>
      <c r="X342" s="112"/>
      <c r="Y342" s="112"/>
      <c r="Z342" s="112"/>
      <c r="AA342" s="112"/>
      <c r="AB342" s="112"/>
      <c r="AC342" s="112"/>
      <c r="AD342" s="112"/>
      <c r="AE342" s="112"/>
      <c r="AF342" s="112"/>
      <c r="AG342" s="112"/>
      <c r="AH342" s="112"/>
      <c r="AI342" s="112"/>
      <c r="AJ342" s="112"/>
    </row>
    <row r="343" spans="2:36" ht="11.85" customHeight="1">
      <c r="B343" s="112"/>
      <c r="C343" s="190"/>
      <c r="D343" s="190"/>
      <c r="E343" s="190"/>
      <c r="F343" s="190"/>
      <c r="G343" s="190"/>
      <c r="H343" s="190"/>
      <c r="I343" s="190"/>
      <c r="J343" s="190"/>
      <c r="K343" s="190"/>
      <c r="L343" s="190"/>
      <c r="M343" s="112"/>
      <c r="N343" s="112"/>
      <c r="O343" s="112"/>
      <c r="P343" s="112"/>
      <c r="Q343" s="112"/>
      <c r="R343" s="112"/>
      <c r="S343" s="112"/>
      <c r="T343" s="112"/>
      <c r="U343" s="112"/>
      <c r="V343" s="112"/>
      <c r="W343" s="112"/>
      <c r="X343" s="112"/>
      <c r="Y343" s="112"/>
      <c r="Z343" s="112"/>
      <c r="AA343" s="112"/>
      <c r="AB343" s="112"/>
      <c r="AC343" s="112"/>
      <c r="AD343" s="112"/>
      <c r="AE343" s="112"/>
      <c r="AF343" s="112"/>
      <c r="AG343" s="112"/>
      <c r="AH343" s="112"/>
      <c r="AI343" s="112"/>
      <c r="AJ343" s="112"/>
    </row>
    <row r="344" spans="2:36" ht="11.85" customHeight="1">
      <c r="B344" s="112"/>
      <c r="C344" s="190"/>
      <c r="D344" s="190"/>
      <c r="E344" s="190"/>
      <c r="F344" s="190"/>
      <c r="G344" s="190"/>
      <c r="H344" s="190"/>
      <c r="I344" s="190"/>
      <c r="J344" s="190"/>
      <c r="K344" s="190"/>
      <c r="L344" s="190"/>
      <c r="M344" s="112"/>
      <c r="N344" s="112"/>
      <c r="O344" s="112"/>
      <c r="P344" s="112"/>
      <c r="Q344" s="112"/>
      <c r="R344" s="112"/>
      <c r="S344" s="112"/>
      <c r="T344" s="112"/>
      <c r="U344" s="112"/>
      <c r="V344" s="112"/>
      <c r="W344" s="112"/>
      <c r="X344" s="112"/>
      <c r="Y344" s="112"/>
      <c r="Z344" s="112"/>
      <c r="AA344" s="112"/>
      <c r="AB344" s="112"/>
      <c r="AC344" s="112"/>
      <c r="AD344" s="112"/>
      <c r="AE344" s="112"/>
      <c r="AF344" s="112"/>
      <c r="AG344" s="112"/>
      <c r="AH344" s="112"/>
      <c r="AI344" s="112"/>
      <c r="AJ344" s="112"/>
    </row>
    <row r="345" spans="2:36" ht="11.85" customHeight="1">
      <c r="B345" s="112"/>
      <c r="C345" s="190"/>
      <c r="D345" s="190"/>
      <c r="E345" s="190"/>
      <c r="F345" s="190"/>
      <c r="G345" s="190"/>
      <c r="H345" s="190"/>
      <c r="I345" s="190"/>
      <c r="J345" s="190"/>
      <c r="K345" s="190"/>
      <c r="L345" s="190"/>
      <c r="M345" s="112"/>
      <c r="N345" s="112"/>
      <c r="O345" s="112"/>
      <c r="P345" s="112"/>
      <c r="Q345" s="112"/>
      <c r="R345" s="112"/>
      <c r="S345" s="112"/>
      <c r="T345" s="112"/>
      <c r="U345" s="112"/>
      <c r="V345" s="112"/>
      <c r="W345" s="112"/>
      <c r="X345" s="112"/>
      <c r="Y345" s="112"/>
      <c r="Z345" s="112"/>
      <c r="AA345" s="112"/>
      <c r="AB345" s="112"/>
      <c r="AC345" s="112"/>
      <c r="AD345" s="112"/>
      <c r="AE345" s="112"/>
      <c r="AF345" s="112"/>
      <c r="AG345" s="112"/>
      <c r="AH345" s="112"/>
      <c r="AI345" s="112"/>
      <c r="AJ345" s="112"/>
    </row>
    <row r="346" spans="2:36" ht="11.85" customHeight="1">
      <c r="B346" s="112"/>
      <c r="C346" s="190"/>
      <c r="D346" s="190"/>
      <c r="E346" s="190"/>
      <c r="F346" s="190"/>
      <c r="G346" s="190"/>
      <c r="H346" s="190"/>
      <c r="I346" s="190"/>
      <c r="J346" s="190"/>
      <c r="K346" s="190"/>
      <c r="L346" s="190"/>
      <c r="M346" s="112"/>
      <c r="N346" s="112"/>
      <c r="O346" s="112"/>
      <c r="P346" s="112"/>
      <c r="Q346" s="112"/>
      <c r="R346" s="112"/>
      <c r="S346" s="112"/>
      <c r="T346" s="112"/>
      <c r="U346" s="112"/>
      <c r="V346" s="112"/>
      <c r="W346" s="112"/>
      <c r="X346" s="112"/>
      <c r="Y346" s="112"/>
      <c r="Z346" s="112"/>
      <c r="AA346" s="112"/>
      <c r="AB346" s="112"/>
      <c r="AC346" s="112"/>
      <c r="AD346" s="112"/>
      <c r="AE346" s="112"/>
      <c r="AF346" s="112"/>
      <c r="AG346" s="112"/>
      <c r="AH346" s="112"/>
      <c r="AI346" s="112"/>
      <c r="AJ346" s="112"/>
    </row>
    <row r="347" spans="2:36" ht="11.85" customHeight="1">
      <c r="B347" s="112"/>
      <c r="C347" s="190"/>
      <c r="D347" s="190"/>
      <c r="E347" s="190"/>
      <c r="F347" s="190"/>
      <c r="G347" s="190"/>
      <c r="H347" s="190"/>
      <c r="I347" s="190"/>
      <c r="J347" s="190"/>
      <c r="K347" s="190"/>
      <c r="L347" s="190"/>
      <c r="M347" s="112"/>
      <c r="N347" s="112"/>
      <c r="O347" s="112"/>
      <c r="P347" s="112"/>
      <c r="Q347" s="112"/>
      <c r="R347" s="112"/>
      <c r="S347" s="112"/>
      <c r="T347" s="112"/>
      <c r="U347" s="112"/>
      <c r="V347" s="112"/>
      <c r="W347" s="112"/>
      <c r="X347" s="112"/>
      <c r="Y347" s="112"/>
      <c r="Z347" s="112"/>
      <c r="AA347" s="112"/>
      <c r="AB347" s="112"/>
      <c r="AC347" s="112"/>
      <c r="AD347" s="112"/>
      <c r="AE347" s="112"/>
      <c r="AF347" s="112"/>
      <c r="AG347" s="112"/>
      <c r="AH347" s="112"/>
      <c r="AI347" s="112"/>
      <c r="AJ347" s="112"/>
    </row>
    <row r="348" spans="2:36" ht="11.85" customHeight="1">
      <c r="B348" s="112"/>
      <c r="C348" s="190"/>
      <c r="D348" s="190"/>
      <c r="E348" s="190"/>
      <c r="F348" s="190"/>
      <c r="G348" s="190"/>
      <c r="H348" s="190"/>
      <c r="I348" s="190"/>
      <c r="J348" s="190"/>
      <c r="K348" s="190"/>
      <c r="L348" s="190"/>
      <c r="M348" s="112"/>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row>
    <row r="349" spans="2:36" ht="11.85" customHeight="1">
      <c r="B349" s="112"/>
      <c r="C349" s="190"/>
      <c r="D349" s="190"/>
      <c r="E349" s="190"/>
      <c r="F349" s="190"/>
      <c r="G349" s="190"/>
      <c r="H349" s="190"/>
      <c r="I349" s="190"/>
      <c r="J349" s="190"/>
      <c r="K349" s="190"/>
      <c r="L349" s="190"/>
      <c r="M349" s="112"/>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row>
    <row r="350" spans="2:36" ht="11.85" customHeight="1">
      <c r="B350" s="112"/>
      <c r="C350" s="190"/>
      <c r="D350" s="190"/>
      <c r="E350" s="190"/>
      <c r="F350" s="190"/>
      <c r="G350" s="190"/>
      <c r="H350" s="190"/>
      <c r="I350" s="190"/>
      <c r="J350" s="190"/>
      <c r="K350" s="190"/>
      <c r="L350" s="190"/>
      <c r="M350" s="112"/>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row>
    <row r="351" spans="2:36" ht="11.85" customHeight="1">
      <c r="B351" s="112"/>
      <c r="C351" s="190"/>
      <c r="D351" s="190"/>
      <c r="E351" s="190"/>
      <c r="F351" s="190"/>
      <c r="G351" s="190"/>
      <c r="H351" s="190"/>
      <c r="I351" s="190"/>
      <c r="J351" s="190"/>
      <c r="K351" s="190"/>
      <c r="L351" s="190"/>
      <c r="M351" s="112"/>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row>
    <row r="352" spans="2:36" ht="11.85" customHeight="1">
      <c r="B352" s="112"/>
      <c r="C352" s="190"/>
      <c r="D352" s="190"/>
      <c r="E352" s="190"/>
      <c r="F352" s="190"/>
      <c r="G352" s="190"/>
      <c r="H352" s="190"/>
      <c r="I352" s="190"/>
      <c r="J352" s="190"/>
      <c r="K352" s="190"/>
      <c r="L352" s="190"/>
      <c r="M352" s="112"/>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row>
    <row r="353" spans="2:36" ht="11.85" customHeight="1">
      <c r="B353" s="112"/>
      <c r="C353" s="190"/>
      <c r="D353" s="190"/>
      <c r="E353" s="190"/>
      <c r="F353" s="190"/>
      <c r="G353" s="190"/>
      <c r="H353" s="190"/>
      <c r="I353" s="190"/>
      <c r="J353" s="190"/>
      <c r="K353" s="190"/>
      <c r="L353" s="190"/>
      <c r="M353" s="112"/>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row>
    <row r="354" spans="2:36" ht="11.85" customHeight="1">
      <c r="B354" s="112"/>
      <c r="C354" s="190"/>
      <c r="D354" s="190"/>
      <c r="E354" s="190"/>
      <c r="F354" s="190"/>
      <c r="G354" s="190"/>
      <c r="H354" s="190"/>
      <c r="I354" s="190"/>
      <c r="J354" s="190"/>
      <c r="K354" s="190"/>
      <c r="L354" s="190"/>
      <c r="M354" s="112"/>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row>
    <row r="355" spans="2:36" ht="11.85" customHeight="1">
      <c r="B355" s="112"/>
      <c r="C355" s="190"/>
      <c r="D355" s="190"/>
      <c r="E355" s="190"/>
      <c r="F355" s="190"/>
      <c r="G355" s="190"/>
      <c r="H355" s="190"/>
      <c r="I355" s="190"/>
      <c r="J355" s="190"/>
      <c r="K355" s="190"/>
      <c r="L355" s="190"/>
      <c r="M355" s="112"/>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row>
    <row r="356" spans="2:36" ht="11.85" customHeight="1">
      <c r="B356" s="112"/>
      <c r="C356" s="190"/>
      <c r="D356" s="190"/>
      <c r="E356" s="190"/>
      <c r="F356" s="190"/>
      <c r="G356" s="190"/>
      <c r="H356" s="190"/>
      <c r="I356" s="190"/>
      <c r="J356" s="190"/>
      <c r="K356" s="190"/>
      <c r="L356" s="190"/>
      <c r="M356" s="112"/>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row>
    <row r="357" spans="2:36" ht="11.85" customHeight="1">
      <c r="B357" s="112"/>
      <c r="C357" s="190"/>
      <c r="D357" s="190"/>
      <c r="E357" s="190"/>
      <c r="F357" s="190"/>
      <c r="G357" s="190"/>
      <c r="H357" s="190"/>
      <c r="I357" s="190"/>
      <c r="J357" s="190"/>
      <c r="K357" s="190"/>
      <c r="L357" s="190"/>
      <c r="M357" s="112"/>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row>
    <row r="358" spans="2:36" ht="11.85" customHeight="1">
      <c r="B358" s="112"/>
      <c r="C358" s="190"/>
      <c r="D358" s="190"/>
      <c r="E358" s="190"/>
      <c r="F358" s="190"/>
      <c r="G358" s="190"/>
      <c r="H358" s="190"/>
      <c r="I358" s="190"/>
      <c r="J358" s="190"/>
      <c r="K358" s="190"/>
      <c r="L358" s="190"/>
      <c r="M358" s="112"/>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row>
    <row r="359" spans="2:36" ht="11.85" customHeight="1">
      <c r="B359" s="112"/>
      <c r="C359" s="190"/>
      <c r="D359" s="190"/>
      <c r="E359" s="190"/>
      <c r="F359" s="190"/>
      <c r="G359" s="190"/>
      <c r="H359" s="190"/>
      <c r="I359" s="190"/>
      <c r="J359" s="190"/>
      <c r="K359" s="190"/>
      <c r="L359" s="190"/>
      <c r="M359" s="112"/>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row>
    <row r="360" spans="2:36" ht="11.85" customHeight="1">
      <c r="B360" s="112"/>
      <c r="C360" s="190"/>
      <c r="D360" s="190"/>
      <c r="E360" s="190"/>
      <c r="F360" s="190"/>
      <c r="G360" s="190"/>
      <c r="H360" s="190"/>
      <c r="I360" s="190"/>
      <c r="J360" s="190"/>
      <c r="K360" s="190"/>
      <c r="L360" s="190"/>
      <c r="M360" s="112"/>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row>
    <row r="361" spans="2:36" ht="11.85" customHeight="1">
      <c r="B361" s="112"/>
      <c r="C361" s="190"/>
      <c r="D361" s="190"/>
      <c r="E361" s="190"/>
      <c r="F361" s="190"/>
      <c r="G361" s="190"/>
      <c r="H361" s="190"/>
      <c r="I361" s="190"/>
      <c r="J361" s="190"/>
      <c r="K361" s="190"/>
      <c r="L361" s="190"/>
      <c r="M361" s="112"/>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row>
    <row r="362" spans="2:36" ht="11.85" customHeight="1">
      <c r="B362" s="112"/>
      <c r="C362" s="190"/>
      <c r="D362" s="190"/>
      <c r="E362" s="190"/>
      <c r="F362" s="190"/>
      <c r="G362" s="190"/>
      <c r="H362" s="190"/>
      <c r="I362" s="190"/>
      <c r="J362" s="190"/>
      <c r="K362" s="190"/>
      <c r="L362" s="190"/>
      <c r="M362" s="112"/>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row>
    <row r="363" spans="2:36" ht="11.85" customHeight="1">
      <c r="B363" s="112"/>
      <c r="C363" s="190"/>
      <c r="D363" s="190"/>
      <c r="E363" s="190"/>
      <c r="F363" s="190"/>
      <c r="G363" s="190"/>
      <c r="H363" s="190"/>
      <c r="I363" s="190"/>
      <c r="J363" s="190"/>
      <c r="K363" s="190"/>
      <c r="L363" s="190"/>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row>
    <row r="364" spans="2:36" ht="11.85" customHeight="1">
      <c r="B364" s="112"/>
      <c r="C364" s="190"/>
      <c r="D364" s="190"/>
      <c r="E364" s="190"/>
      <c r="F364" s="190"/>
      <c r="G364" s="190"/>
      <c r="H364" s="190"/>
      <c r="I364" s="190"/>
      <c r="J364" s="190"/>
      <c r="K364" s="190"/>
      <c r="L364" s="190"/>
      <c r="M364" s="112"/>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row>
    <row r="365" spans="2:36" ht="11.85" customHeight="1">
      <c r="B365" s="112"/>
      <c r="C365" s="190"/>
      <c r="D365" s="190"/>
      <c r="E365" s="190"/>
      <c r="F365" s="190"/>
      <c r="G365" s="190"/>
      <c r="H365" s="190"/>
      <c r="I365" s="190"/>
      <c r="J365" s="190"/>
      <c r="K365" s="190"/>
      <c r="L365" s="190"/>
      <c r="M365" s="112"/>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row>
    <row r="366" spans="2:36" ht="11.85" customHeight="1">
      <c r="B366" s="112"/>
      <c r="C366" s="190"/>
      <c r="D366" s="190"/>
      <c r="E366" s="190"/>
      <c r="F366" s="190"/>
      <c r="G366" s="190"/>
      <c r="H366" s="190"/>
      <c r="I366" s="190"/>
      <c r="J366" s="190"/>
      <c r="K366" s="190"/>
      <c r="L366" s="190"/>
      <c r="M366" s="112"/>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row>
    <row r="367" spans="2:36" ht="11.85" customHeight="1">
      <c r="B367" s="112"/>
      <c r="C367" s="190"/>
      <c r="D367" s="190"/>
      <c r="E367" s="190"/>
      <c r="F367" s="190"/>
      <c r="G367" s="190"/>
      <c r="H367" s="190"/>
      <c r="I367" s="190"/>
      <c r="J367" s="190"/>
      <c r="K367" s="190"/>
      <c r="L367" s="190"/>
      <c r="M367" s="112"/>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row>
    <row r="368" spans="2:36" ht="11.85" customHeight="1">
      <c r="B368" s="112"/>
      <c r="C368" s="190"/>
      <c r="D368" s="190"/>
      <c r="E368" s="190"/>
      <c r="F368" s="190"/>
      <c r="G368" s="190"/>
      <c r="H368" s="190"/>
      <c r="I368" s="190"/>
      <c r="J368" s="190"/>
      <c r="K368" s="190"/>
      <c r="L368" s="190"/>
      <c r="M368" s="112"/>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row>
    <row r="369" spans="2:36" ht="11.85" customHeight="1">
      <c r="B369" s="112"/>
      <c r="C369" s="190"/>
      <c r="D369" s="190"/>
      <c r="E369" s="190"/>
      <c r="F369" s="190"/>
      <c r="G369" s="190"/>
      <c r="H369" s="190"/>
      <c r="I369" s="190"/>
      <c r="J369" s="190"/>
      <c r="K369" s="190"/>
      <c r="L369" s="190"/>
      <c r="M369" s="112"/>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row>
    <row r="370" spans="2:36" ht="11.85" customHeight="1">
      <c r="B370" s="112"/>
      <c r="C370" s="190"/>
      <c r="D370" s="190"/>
      <c r="E370" s="190"/>
      <c r="F370" s="190"/>
      <c r="G370" s="190"/>
      <c r="H370" s="190"/>
      <c r="I370" s="190"/>
      <c r="J370" s="190"/>
      <c r="K370" s="190"/>
      <c r="L370" s="190"/>
      <c r="M370" s="112"/>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row>
    <row r="371" spans="2:36" ht="11.85" customHeight="1">
      <c r="B371" s="112"/>
      <c r="C371" s="190"/>
      <c r="D371" s="190"/>
      <c r="E371" s="190"/>
      <c r="F371" s="190"/>
      <c r="G371" s="190"/>
      <c r="H371" s="190"/>
      <c r="I371" s="190"/>
      <c r="J371" s="190"/>
      <c r="K371" s="190"/>
      <c r="L371" s="190"/>
      <c r="M371" s="112"/>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row>
    <row r="372" spans="2:36" ht="11.85" customHeight="1">
      <c r="B372" s="112"/>
      <c r="C372" s="190"/>
      <c r="D372" s="190"/>
      <c r="E372" s="190"/>
      <c r="F372" s="190"/>
      <c r="G372" s="190"/>
      <c r="H372" s="190"/>
      <c r="I372" s="190"/>
      <c r="J372" s="190"/>
      <c r="K372" s="190"/>
      <c r="L372" s="190"/>
      <c r="M372" s="112"/>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row>
    <row r="373" spans="2:36" ht="11.85" customHeight="1">
      <c r="B373" s="112"/>
      <c r="C373" s="190"/>
      <c r="D373" s="190"/>
      <c r="E373" s="190"/>
      <c r="F373" s="190"/>
      <c r="G373" s="190"/>
      <c r="H373" s="190"/>
      <c r="I373" s="190"/>
      <c r="J373" s="190"/>
      <c r="K373" s="190"/>
      <c r="L373" s="190"/>
      <c r="M373" s="112"/>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row>
    <row r="374" spans="2:36" ht="11.85" customHeight="1">
      <c r="B374" s="112"/>
      <c r="C374" s="190"/>
      <c r="D374" s="190"/>
      <c r="E374" s="190"/>
      <c r="F374" s="190"/>
      <c r="G374" s="190"/>
      <c r="H374" s="190"/>
      <c r="I374" s="190"/>
      <c r="J374" s="190"/>
      <c r="K374" s="190"/>
      <c r="L374" s="190"/>
      <c r="M374" s="112"/>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row>
    <row r="375" spans="2:36" ht="11.85" customHeight="1">
      <c r="B375" s="112"/>
      <c r="C375" s="190"/>
      <c r="D375" s="190"/>
      <c r="E375" s="190"/>
      <c r="F375" s="190"/>
      <c r="G375" s="190"/>
      <c r="H375" s="190"/>
      <c r="I375" s="190"/>
      <c r="J375" s="190"/>
      <c r="K375" s="190"/>
      <c r="L375" s="190"/>
      <c r="M375" s="112"/>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row>
    <row r="376" spans="2:36" ht="11.85" customHeight="1">
      <c r="B376" s="112"/>
      <c r="C376" s="190"/>
      <c r="D376" s="190"/>
      <c r="E376" s="190"/>
      <c r="F376" s="190"/>
      <c r="G376" s="190"/>
      <c r="H376" s="190"/>
      <c r="I376" s="190"/>
      <c r="J376" s="190"/>
      <c r="K376" s="190"/>
      <c r="L376" s="190"/>
      <c r="M376" s="112"/>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row>
    <row r="377" spans="2:36" ht="11.85" customHeight="1">
      <c r="B377" s="112"/>
      <c r="C377" s="190"/>
      <c r="D377" s="190"/>
      <c r="E377" s="190"/>
      <c r="F377" s="190"/>
      <c r="G377" s="190"/>
      <c r="H377" s="190"/>
      <c r="I377" s="190"/>
      <c r="J377" s="190"/>
      <c r="K377" s="190"/>
      <c r="L377" s="190"/>
      <c r="M377" s="112"/>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row>
    <row r="378" spans="2:36" ht="11.85" customHeight="1">
      <c r="B378" s="112"/>
      <c r="C378" s="190"/>
      <c r="D378" s="190"/>
      <c r="E378" s="190"/>
      <c r="F378" s="190"/>
      <c r="G378" s="190"/>
      <c r="H378" s="190"/>
      <c r="I378" s="190"/>
      <c r="J378" s="190"/>
      <c r="K378" s="190"/>
      <c r="L378" s="190"/>
      <c r="M378" s="112"/>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row>
    <row r="379" spans="2:36" ht="11.85" customHeight="1">
      <c r="B379" s="112"/>
      <c r="C379" s="190"/>
      <c r="D379" s="190"/>
      <c r="E379" s="190"/>
      <c r="F379" s="190"/>
      <c r="G379" s="190"/>
      <c r="H379" s="190"/>
      <c r="I379" s="190"/>
      <c r="J379" s="190"/>
      <c r="K379" s="190"/>
      <c r="L379" s="190"/>
      <c r="M379" s="112"/>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row>
    <row r="380" spans="2:36" ht="11.85" customHeight="1">
      <c r="B380" s="112"/>
      <c r="C380" s="190"/>
      <c r="D380" s="190"/>
      <c r="E380" s="190"/>
      <c r="F380" s="190"/>
      <c r="G380" s="190"/>
      <c r="H380" s="190"/>
      <c r="I380" s="190"/>
      <c r="J380" s="190"/>
      <c r="K380" s="190"/>
      <c r="L380" s="190"/>
      <c r="M380" s="112"/>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row>
    <row r="381" spans="2:36" ht="11.85" customHeight="1">
      <c r="B381" s="112"/>
      <c r="C381" s="190"/>
      <c r="D381" s="190"/>
      <c r="E381" s="190"/>
      <c r="F381" s="190"/>
      <c r="G381" s="190"/>
      <c r="H381" s="190"/>
      <c r="I381" s="190"/>
      <c r="J381" s="190"/>
      <c r="K381" s="190"/>
      <c r="L381" s="190"/>
      <c r="M381" s="112"/>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row>
    <row r="382" spans="2:36" ht="11.85" customHeight="1">
      <c r="B382" s="112"/>
      <c r="C382" s="190"/>
      <c r="D382" s="190"/>
      <c r="E382" s="190"/>
      <c r="F382" s="190"/>
      <c r="G382" s="190"/>
      <c r="H382" s="190"/>
      <c r="I382" s="190"/>
      <c r="J382" s="190"/>
      <c r="K382" s="190"/>
      <c r="L382" s="190"/>
      <c r="M382" s="112"/>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row>
    <row r="383" spans="2:36" ht="11.85" customHeight="1">
      <c r="B383" s="112"/>
      <c r="C383" s="190"/>
      <c r="D383" s="190"/>
      <c r="E383" s="190"/>
      <c r="F383" s="190"/>
      <c r="G383" s="190"/>
      <c r="H383" s="190"/>
      <c r="I383" s="190"/>
      <c r="J383" s="190"/>
      <c r="K383" s="190"/>
      <c r="L383" s="190"/>
      <c r="M383" s="112"/>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row>
    <row r="384" spans="2:36" ht="11.85" customHeight="1">
      <c r="B384" s="112"/>
      <c r="C384" s="190"/>
      <c r="D384" s="190"/>
      <c r="E384" s="190"/>
      <c r="F384" s="190"/>
      <c r="G384" s="190"/>
      <c r="H384" s="190"/>
      <c r="I384" s="190"/>
      <c r="J384" s="190"/>
      <c r="K384" s="190"/>
      <c r="L384" s="190"/>
      <c r="M384" s="112"/>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row>
    <row r="385" spans="2:36" ht="11.85" customHeight="1">
      <c r="B385" s="112"/>
      <c r="C385" s="190"/>
      <c r="D385" s="190"/>
      <c r="E385" s="190"/>
      <c r="F385" s="190"/>
      <c r="G385" s="190"/>
      <c r="H385" s="190"/>
      <c r="I385" s="190"/>
      <c r="J385" s="190"/>
      <c r="K385" s="190"/>
      <c r="L385" s="190"/>
      <c r="M385" s="112"/>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row>
    <row r="386" spans="2:36" ht="11.85" customHeight="1">
      <c r="B386" s="112"/>
      <c r="C386" s="190"/>
      <c r="D386" s="190"/>
      <c r="E386" s="190"/>
      <c r="F386" s="190"/>
      <c r="G386" s="190"/>
      <c r="H386" s="190"/>
      <c r="I386" s="190"/>
      <c r="J386" s="190"/>
      <c r="K386" s="190"/>
      <c r="L386" s="190"/>
      <c r="M386" s="112"/>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row>
    <row r="387" spans="2:36" ht="11.85" customHeight="1">
      <c r="B387" s="112"/>
      <c r="C387" s="190"/>
      <c r="D387" s="190"/>
      <c r="E387" s="190"/>
      <c r="F387" s="190"/>
      <c r="G387" s="190"/>
      <c r="H387" s="190"/>
      <c r="I387" s="190"/>
      <c r="J387" s="190"/>
      <c r="K387" s="190"/>
      <c r="L387" s="190"/>
      <c r="M387" s="112"/>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row>
    <row r="388" spans="2:36" ht="11.85" customHeight="1">
      <c r="B388" s="112"/>
      <c r="C388" s="190"/>
      <c r="D388" s="190"/>
      <c r="E388" s="190"/>
      <c r="F388" s="190"/>
      <c r="G388" s="190"/>
      <c r="H388" s="190"/>
      <c r="I388" s="190"/>
      <c r="J388" s="190"/>
      <c r="K388" s="190"/>
      <c r="L388" s="190"/>
      <c r="M388" s="112"/>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row>
    <row r="389" spans="2:36" ht="11.85" customHeight="1">
      <c r="B389" s="112"/>
      <c r="C389" s="190"/>
      <c r="D389" s="190"/>
      <c r="E389" s="190"/>
      <c r="F389" s="190"/>
      <c r="G389" s="190"/>
      <c r="H389" s="190"/>
      <c r="I389" s="190"/>
      <c r="J389" s="190"/>
      <c r="K389" s="190"/>
      <c r="L389" s="190"/>
      <c r="M389" s="112"/>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row>
    <row r="390" spans="2:36" ht="11.85" customHeight="1"/>
    <row r="391" spans="2:36" ht="11.85" customHeight="1"/>
    <row r="392" spans="2:36" ht="11.85" customHeight="1"/>
    <row r="393" spans="2:36" ht="11.85" customHeight="1"/>
    <row r="394" spans="2:36" ht="11.85" customHeight="1"/>
    <row r="395" spans="2:36" ht="11.85" customHeight="1"/>
    <row r="396" spans="2:36" ht="11.85" customHeight="1"/>
    <row r="397" spans="2:36" ht="11.85" customHeight="1"/>
    <row r="398" spans="2:36" ht="11.85" customHeight="1"/>
    <row r="399" spans="2:36" ht="11.85" customHeight="1"/>
    <row r="400" spans="2:36"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row r="577" ht="11.85" customHeight="1"/>
    <row r="578" ht="11.85" customHeight="1"/>
    <row r="579" ht="11.85" customHeight="1"/>
    <row r="580" ht="11.85" customHeight="1"/>
    <row r="581" ht="11.85" customHeight="1"/>
    <row r="582" ht="11.85" customHeight="1"/>
    <row r="583" ht="11.85" customHeight="1"/>
    <row r="584" ht="11.85" customHeight="1"/>
    <row r="585" ht="11.85" customHeight="1"/>
    <row r="586" ht="11.85" customHeight="1"/>
    <row r="587" ht="11.85" customHeight="1"/>
  </sheetData>
  <mergeCells count="77">
    <mergeCell ref="B26:B28"/>
    <mergeCell ref="C36:D36"/>
    <mergeCell ref="E36:F36"/>
    <mergeCell ref="G36:H36"/>
    <mergeCell ref="I36:J36"/>
    <mergeCell ref="B36:B38"/>
    <mergeCell ref="E27:F27"/>
    <mergeCell ref="G27:H27"/>
    <mergeCell ref="I27:J27"/>
    <mergeCell ref="C27:D27"/>
    <mergeCell ref="C37:D37"/>
    <mergeCell ref="G37:H37"/>
    <mergeCell ref="I37:J37"/>
    <mergeCell ref="E37:F37"/>
    <mergeCell ref="B12:B13"/>
    <mergeCell ref="C26:D26"/>
    <mergeCell ref="E26:F26"/>
    <mergeCell ref="G26:H26"/>
    <mergeCell ref="E7:F7"/>
    <mergeCell ref="E9:F9"/>
    <mergeCell ref="G21:H21"/>
    <mergeCell ref="C22:D22"/>
    <mergeCell ref="E22:F22"/>
    <mergeCell ref="G22:H22"/>
    <mergeCell ref="C24:D24"/>
    <mergeCell ref="E24:F24"/>
    <mergeCell ref="C21:D21"/>
    <mergeCell ref="E21:F21"/>
    <mergeCell ref="C13:D13"/>
    <mergeCell ref="E13:F13"/>
    <mergeCell ref="L8:L9"/>
    <mergeCell ref="I7:J7"/>
    <mergeCell ref="C12:D12"/>
    <mergeCell ref="E12:F12"/>
    <mergeCell ref="G12:H12"/>
    <mergeCell ref="I12:J12"/>
    <mergeCell ref="K12:L12"/>
    <mergeCell ref="K11:L11"/>
    <mergeCell ref="C11:D11"/>
    <mergeCell ref="E11:F11"/>
    <mergeCell ref="G11:H11"/>
    <mergeCell ref="I11:J11"/>
    <mergeCell ref="C15:D15"/>
    <mergeCell ref="E15:F15"/>
    <mergeCell ref="G15:H15"/>
    <mergeCell ref="C18:D18"/>
    <mergeCell ref="E18:F18"/>
    <mergeCell ref="G18:H18"/>
    <mergeCell ref="C16:D16"/>
    <mergeCell ref="E16:F16"/>
    <mergeCell ref="G24:H24"/>
    <mergeCell ref="C19:D19"/>
    <mergeCell ref="E19:F19"/>
    <mergeCell ref="G19:H19"/>
    <mergeCell ref="I19:J19"/>
    <mergeCell ref="K13:L13"/>
    <mergeCell ref="G13:H13"/>
    <mergeCell ref="I15:J15"/>
    <mergeCell ref="I13:J13"/>
    <mergeCell ref="G16:H16"/>
    <mergeCell ref="K15:L15"/>
    <mergeCell ref="K27:L27"/>
    <mergeCell ref="K37:L37"/>
    <mergeCell ref="I21:J21"/>
    <mergeCell ref="K21:L21"/>
    <mergeCell ref="I16:J16"/>
    <mergeCell ref="I26:J26"/>
    <mergeCell ref="K18:L18"/>
    <mergeCell ref="K24:L24"/>
    <mergeCell ref="K22:L22"/>
    <mergeCell ref="I18:J18"/>
    <mergeCell ref="I24:J24"/>
    <mergeCell ref="I22:J22"/>
    <mergeCell ref="K16:L16"/>
    <mergeCell ref="K19:L19"/>
    <mergeCell ref="K26:L26"/>
    <mergeCell ref="K36:L36"/>
  </mergeCells>
  <phoneticPr fontId="0" type="noConversion"/>
  <dataValidations count="3">
    <dataValidation type="list" allowBlank="1" showInputMessage="1" showErrorMessage="1" sqref="C9">
      <formula1>"Annuals, Quarters, Semi-Annuals"</formula1>
    </dataValidation>
    <dataValidation type="list" allowBlank="1" showInputMessage="1" showErrorMessage="1" sqref="G7">
      <formula1>"Mixed, Local, IFRS, US"</formula1>
    </dataValidation>
    <dataValidation type="list" allowBlank="1" showInputMessage="1" showErrorMessage="1" sqref="G9">
      <formula1>"Yes, No"</formula1>
    </dataValidation>
  </dataValidations>
  <pageMargins left="0.7" right="0.7" top="0.75" bottom="0.75" header="0.3" footer="0.3"/>
  <pageSetup scale="47" orientation="portrait" r:id="rId1"/>
  <ignoredErrors>
    <ignoredError sqref="D81:D82 J81:J82 F81:F82 F57:F70 F56 E171:K263 H81:H82 D29:D33 F33 H33 J33 E33 G33 I33 K33:K34 H57:H70 H56:I56 J57:J70 E121:F170 H121:K170 G121:G170 G44 I57 D44:D47 E44 I44 K44 F44:F47 H44:H47 J44:J47 E46:E47 G46:G47 I46:I47 K46:K47 E56:E57 G56:G57 K56:K57 E63 G63 I63 K63 E69:E70 G69:G70 I69:I70 K69:K70 E81:E82 G81:G82 I81:I82 K81:K82 E95:E96 G95:G96 I95:I96 K95:K96 J29:J32 H29:H32 F29:F32 J43 H43 F43 D43 F39:F41 H39:H41 J39:J41 D39:D41 C42:K42 J56 J48:J55 H48:H55 F48:F55 D48:D55 D94:D96 J94:J96 F94:F96 H94:H96 H83:H93 F83:F93 J83:J93 D83:D93 H97:H119 F97:F119 J97:J120 D97:D119 K118:K119 I118:I119 G118:G119 K116 I116 G116 K108:K109 I108:I109 G108:G109 E108:E109 F120 H120 D120 C108:C109 C116 C118:C119 E116 E118:E119 H71:H80 F71:F80 J71:J80 D71:D80"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egments">
    <pageSetUpPr fitToPage="1"/>
  </sheetPr>
  <dimension ref="A2:AG187"/>
  <sheetViews>
    <sheetView showGridLines="0" showRowColHeaders="0" topLeftCell="A6" zoomScale="87" zoomScaleNormal="87" workbookViewId="0"/>
  </sheetViews>
  <sheetFormatPr defaultColWidth="9.140625" defaultRowHeight="15" outlineLevelRow="1"/>
  <cols>
    <col min="1" max="1" width="1.7109375" style="65" customWidth="1"/>
    <col min="2" max="2" width="3.28515625" style="65" hidden="1" customWidth="1"/>
    <col min="3" max="3" width="30.7109375" style="65" customWidth="1"/>
    <col min="4" max="14" width="11.7109375" style="65" customWidth="1"/>
    <col min="15" max="17" width="14.85546875" style="65" customWidth="1"/>
    <col min="18" max="21" width="9.140625" style="65"/>
    <col min="22" max="22" width="11.42578125" style="65" bestFit="1" customWidth="1"/>
    <col min="23" max="16384" width="9.140625" style="65"/>
  </cols>
  <sheetData>
    <row r="2" spans="2:33" ht="5.0999999999999996" customHeight="1"/>
    <row r="3" spans="2:33" ht="15" customHeight="1"/>
    <row r="4" spans="2:33" ht="15" customHeight="1"/>
    <row r="5" spans="2:33" ht="15" customHeight="1"/>
    <row r="6" spans="2:33" ht="15" customHeight="1"/>
    <row r="7" spans="2:33" ht="15" customHeight="1">
      <c r="C7" s="198" t="s">
        <v>353</v>
      </c>
      <c r="D7" s="68" t="str">
        <f>Tick</f>
        <v>SYK US</v>
      </c>
      <c r="E7" s="69"/>
      <c r="F7" s="714" t="s">
        <v>344</v>
      </c>
      <c r="G7" s="715"/>
      <c r="H7" s="26" t="s">
        <v>345</v>
      </c>
      <c r="I7" s="200" t="b">
        <v>0</v>
      </c>
      <c r="J7" s="714" t="s">
        <v>0</v>
      </c>
      <c r="K7" s="715"/>
      <c r="L7" s="27" t="str">
        <f>_xll.BDP(Ticker,"EQY FUND CRNCY")</f>
        <v>USD</v>
      </c>
      <c r="M7" s="83"/>
      <c r="N7" s="221"/>
      <c r="AA7" s="67"/>
      <c r="AB7" s="67"/>
      <c r="AC7" s="67"/>
      <c r="AD7" s="67"/>
      <c r="AE7" s="67"/>
      <c r="AF7" s="67"/>
      <c r="AG7" s="67"/>
    </row>
    <row r="8" spans="2:33" ht="5.0999999999999996" customHeight="1">
      <c r="E8" s="69"/>
      <c r="F8" s="69"/>
      <c r="G8" s="69"/>
      <c r="H8" s="69"/>
      <c r="I8" s="69"/>
      <c r="J8" s="69"/>
      <c r="K8" s="69"/>
      <c r="L8" s="69"/>
      <c r="M8" s="69"/>
      <c r="N8" s="722"/>
    </row>
    <row r="9" spans="2:33" ht="15" customHeight="1">
      <c r="C9" s="198" t="s">
        <v>352</v>
      </c>
      <c r="D9" s="26" t="s">
        <v>339</v>
      </c>
      <c r="E9" s="70" t="s">
        <v>343</v>
      </c>
      <c r="F9" s="714" t="s">
        <v>342</v>
      </c>
      <c r="G9" s="715"/>
      <c r="H9" s="26" t="s">
        <v>343</v>
      </c>
      <c r="I9" s="70" t="s">
        <v>345</v>
      </c>
      <c r="J9" s="724"/>
      <c r="K9" s="724"/>
      <c r="L9" s="71"/>
      <c r="M9" s="71"/>
      <c r="N9" s="723"/>
    </row>
    <row r="10" spans="2:33" s="72" customFormat="1" ht="15" customHeight="1">
      <c r="C10" s="64"/>
      <c r="D10" s="73"/>
      <c r="E10" s="81"/>
      <c r="F10" s="81"/>
      <c r="G10" s="81"/>
      <c r="H10" s="81"/>
      <c r="I10" s="81"/>
      <c r="J10" s="81"/>
      <c r="K10" s="81"/>
      <c r="L10" s="81"/>
      <c r="M10" s="81"/>
      <c r="N10" s="81"/>
    </row>
    <row r="11" spans="2:33" s="67" customFormat="1" hidden="1" outlineLevel="1">
      <c r="B11" s="212" t="str">
        <f>IF($D$9="Annuals","FY",IF($D$9="Quarters","FQ",IF($D$9="Semi-Annuals","FS","")))</f>
        <v>FY</v>
      </c>
      <c r="D11" s="217" t="str">
        <f>"-10"&amp;$B$11</f>
        <v>-10FY</v>
      </c>
      <c r="E11" s="217" t="str">
        <f>"-9"&amp;$B$11</f>
        <v>-9FY</v>
      </c>
      <c r="F11" s="217" t="str">
        <f>"-8"&amp;$B$11</f>
        <v>-8FY</v>
      </c>
      <c r="G11" s="217" t="str">
        <f>"-7"&amp;$B$11</f>
        <v>-7FY</v>
      </c>
      <c r="H11" s="217" t="str">
        <f>"-6"&amp;$B$11</f>
        <v>-6FY</v>
      </c>
      <c r="I11" s="217" t="str">
        <f>"-5"&amp;$B$11</f>
        <v>-5FY</v>
      </c>
      <c r="J11" s="217" t="str">
        <f>"-4"&amp;$B$11</f>
        <v>-4FY</v>
      </c>
      <c r="K11" s="217" t="str">
        <f>"-3"&amp;$B$11</f>
        <v>-3FY</v>
      </c>
      <c r="L11" s="217" t="str">
        <f>"-2"&amp;$B$11</f>
        <v>-2FY</v>
      </c>
      <c r="M11" s="217" t="str">
        <f>"-1"&amp;$B$11</f>
        <v>-1FY</v>
      </c>
      <c r="N11" s="217" t="str">
        <f>"-0"&amp;$B$11</f>
        <v>-0FY</v>
      </c>
    </row>
    <row r="12" spans="2:33" s="67" customFormat="1" hidden="1" outlineLevel="1">
      <c r="B12" s="212" t="s">
        <v>355</v>
      </c>
      <c r="C12" s="217">
        <v>1</v>
      </c>
      <c r="D12" s="217">
        <v>13</v>
      </c>
      <c r="E12" s="217">
        <f>D12-1</f>
        <v>12</v>
      </c>
      <c r="F12" s="217">
        <f t="shared" ref="F12:N12" si="0">E12-1</f>
        <v>11</v>
      </c>
      <c r="G12" s="217">
        <f t="shared" si="0"/>
        <v>10</v>
      </c>
      <c r="H12" s="217">
        <f t="shared" si="0"/>
        <v>9</v>
      </c>
      <c r="I12" s="217">
        <f t="shared" si="0"/>
        <v>8</v>
      </c>
      <c r="J12" s="217">
        <f t="shared" si="0"/>
        <v>7</v>
      </c>
      <c r="K12" s="217">
        <f t="shared" si="0"/>
        <v>6</v>
      </c>
      <c r="L12" s="217">
        <f t="shared" si="0"/>
        <v>5</v>
      </c>
      <c r="M12" s="217">
        <f t="shared" si="0"/>
        <v>4</v>
      </c>
      <c r="N12" s="217">
        <f t="shared" si="0"/>
        <v>3</v>
      </c>
    </row>
    <row r="13" spans="2:33" s="67" customFormat="1" collapsed="1">
      <c r="B13" s="212"/>
      <c r="C13" s="226" t="s">
        <v>186</v>
      </c>
      <c r="D13" s="227"/>
      <c r="E13" s="227"/>
      <c r="F13" s="227"/>
      <c r="G13" s="227"/>
      <c r="H13" s="227"/>
      <c r="I13" s="227"/>
      <c r="J13" s="227"/>
      <c r="K13" s="227"/>
      <c r="L13" s="227"/>
      <c r="M13" s="227"/>
      <c r="N13" s="228"/>
    </row>
    <row r="14" spans="2:33" outlineLevel="1">
      <c r="B14" s="223"/>
      <c r="C14" s="233" t="s">
        <v>11</v>
      </c>
      <c r="D14"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4"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4"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4"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4"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4"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4"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4"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4"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4"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4"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5" spans="2:33" ht="15" customHeight="1" outlineLevel="1">
      <c r="B15" s="222"/>
      <c r="C15" s="233" t="s">
        <v>356</v>
      </c>
      <c r="D15" s="231" t="str">
        <f>IF(LEFT(_xll.BDP(Ticker,"LATEST_PERIOD_END_DT_FULL_RECORD","EQY_FUND_RELATIVE_PERIOD",D$11,"EQY_CONSOLIDATED",$H$9),1)="#","--",_xll.BDP(Ticker,"LATEST_PERIOD_END_DT_FULL_RECORD","EQY_FUND_RELATIVE_PERIOD",D$11,"EQY_CONSOLIDATED",$H$9))</f>
        <v>12/31/2008</v>
      </c>
      <c r="E15" s="231" t="str">
        <f>IF(LEFT(_xll.BDP(Ticker,"LATEST_PERIOD_END_DT_FULL_RECORD","EQY_FUND_RELATIVE_PERIOD",E$11,"EQY_CONSOLIDATED",$H$9),1)="#","--",_xll.BDP(Ticker,"LATEST_PERIOD_END_DT_FULL_RECORD","EQY_FUND_RELATIVE_PERIOD",E$11,"EQY_CONSOLIDATED",$H$9))</f>
        <v>12/31/2009</v>
      </c>
      <c r="F15" s="231" t="str">
        <f>IF(LEFT(_xll.BDP(Ticker,"LATEST_PERIOD_END_DT_FULL_RECORD","EQY_FUND_RELATIVE_PERIOD",F$11,"EQY_CONSOLIDATED",$H$9),1)="#","--",_xll.BDP(Ticker,"LATEST_PERIOD_END_DT_FULL_RECORD","EQY_FUND_RELATIVE_PERIOD",F$11,"EQY_CONSOLIDATED",$H$9))</f>
        <v>12/31/2010</v>
      </c>
      <c r="G15" s="231" t="str">
        <f>IF(LEFT(_xll.BDP(Ticker,"LATEST_PERIOD_END_DT_FULL_RECORD","EQY_FUND_RELATIVE_PERIOD",G$11,"EQY_CONSOLIDATED",$H$9),1)="#","--",_xll.BDP(Ticker,"LATEST_PERIOD_END_DT_FULL_RECORD","EQY_FUND_RELATIVE_PERIOD",G$11,"EQY_CONSOLIDATED",$H$9))</f>
        <v>12/31/2011</v>
      </c>
      <c r="H15" s="231" t="str">
        <f>IF(LEFT(_xll.BDP(Ticker,"LATEST_PERIOD_END_DT_FULL_RECORD","EQY_FUND_RELATIVE_PERIOD",H$11,"EQY_CONSOLIDATED",$H$9),1)="#","--",_xll.BDP(Ticker,"LATEST_PERIOD_END_DT_FULL_RECORD","EQY_FUND_RELATIVE_PERIOD",H$11,"EQY_CONSOLIDATED",$H$9))</f>
        <v>12/31/2012</v>
      </c>
      <c r="I15" s="231" t="str">
        <f>IF(LEFT(_xll.BDP(Ticker,"LATEST_PERIOD_END_DT_FULL_RECORD","EQY_FUND_RELATIVE_PERIOD",I$11,"EQY_CONSOLIDATED",$H$9),1)="#","--",_xll.BDP(Ticker,"LATEST_PERIOD_END_DT_FULL_RECORD","EQY_FUND_RELATIVE_PERIOD",I$11,"EQY_CONSOLIDATED",$H$9))</f>
        <v>12/31/2013</v>
      </c>
      <c r="J15" s="231" t="str">
        <f>IF(LEFT(_xll.BDP(Ticker,"LATEST_PERIOD_END_DT_FULL_RECORD","EQY_FUND_RELATIVE_PERIOD",J$11,"EQY_CONSOLIDATED",$H$9),1)="#","--",_xll.BDP(Ticker,"LATEST_PERIOD_END_DT_FULL_RECORD","EQY_FUND_RELATIVE_PERIOD",J$11,"EQY_CONSOLIDATED",$H$9))</f>
        <v>12/31/2014</v>
      </c>
      <c r="K15" s="231" t="str">
        <f>IF(LEFT(_xll.BDP(Ticker,"LATEST_PERIOD_END_DT_FULL_RECORD","EQY_FUND_RELATIVE_PERIOD",K$11,"EQY_CONSOLIDATED",$H$9),1)="#","--",_xll.BDP(Ticker,"LATEST_PERIOD_END_DT_FULL_RECORD","EQY_FUND_RELATIVE_PERIOD",K$11,"EQY_CONSOLIDATED",$H$9))</f>
        <v>12/31/2015</v>
      </c>
      <c r="L15" s="231" t="str">
        <f>IF(LEFT(_xll.BDP(Ticker,"LATEST_PERIOD_END_DT_FULL_RECORD","EQY_FUND_RELATIVE_PERIOD",L$11,"EQY_CONSOLIDATED",$H$9),1)="#","--",_xll.BDP(Ticker,"LATEST_PERIOD_END_DT_FULL_RECORD","EQY_FUND_RELATIVE_PERIOD",L$11,"EQY_CONSOLIDATED",$H$9))</f>
        <v>12/31/2016</v>
      </c>
      <c r="M15" s="231" t="str">
        <f>IF(LEFT(_xll.BDP(Ticker,"LATEST_PERIOD_END_DT_FULL_RECORD","EQY_FUND_RELATIVE_PERIOD",M$11,"EQY_CONSOLIDATED",$H$9),1)="#","--",_xll.BDP(Ticker,"LATEST_PERIOD_END_DT_FULL_RECORD","EQY_FUND_RELATIVE_PERIOD",M$11,"EQY_CONSOLIDATED",$H$9))</f>
        <v>12/31/2017</v>
      </c>
      <c r="N15" s="231" t="str">
        <f>IF(LEFT(_xll.BDP(Ticker,"LATEST_PERIOD_END_DT_FULL_RECORD","EQY_FUND_RELATIVE_PERIOD",N$11,"EQY_CONSOLIDATED",$H$9),1)="#","--",_xll.BDP(Ticker,"LATEST_PERIOD_END_DT_FULL_RECORD","EQY_FUND_RELATIVE_PERIOD",N$11,"EQY_CONSOLIDATED",$H$9))</f>
        <v>12/31/2018</v>
      </c>
    </row>
    <row r="16" spans="2:33" outlineLevel="1">
      <c r="B16" s="213"/>
      <c r="C16" s="203" t="s">
        <v>11</v>
      </c>
      <c r="D16" s="276">
        <f>_xll.BDP(Ticker,"SALES_REV_TURN","EQY_FUND_RELATIVE_PERIOD",D$11,"ACCOUNTING_STANDARD_OVERRIDE",$H$7,"EQY_CONSOLIDATED",$H$9,"EQY_FUND_CRNCY",$L$7,"Fill=B")</f>
        <v>6718.2</v>
      </c>
      <c r="E16" s="276">
        <f>_xll.BDP(Ticker,"SALES_REV_TURN","EQY_FUND_RELATIVE_PERIOD",E$11,"ACCOUNTING_STANDARD_OVERRIDE",$H$7,"EQY_CONSOLIDATED",$H$9,"EQY_FUND_CRNCY",$L$7,"Fill=B")</f>
        <v>6723</v>
      </c>
      <c r="F16" s="276">
        <f>_xll.BDP(Ticker,"SALES_REV_TURN","EQY_FUND_RELATIVE_PERIOD",F$11,"ACCOUNTING_STANDARD_OVERRIDE",$H$7,"EQY_CONSOLIDATED",$H$9,"EQY_FUND_CRNCY",$L$7,"Fill=B")</f>
        <v>7320</v>
      </c>
      <c r="G16" s="276">
        <f>_xll.BDP(Ticker,"SALES_REV_TURN","EQY_FUND_RELATIVE_PERIOD",G$11,"ACCOUNTING_STANDARD_OVERRIDE",$H$7,"EQY_CONSOLIDATED",$H$9,"EQY_FUND_CRNCY",$L$7,"Fill=B")</f>
        <v>8307</v>
      </c>
      <c r="H16" s="276">
        <f>_xll.BDP(Ticker,"SALES_REV_TURN","EQY_FUND_RELATIVE_PERIOD",H$11,"ACCOUNTING_STANDARD_OVERRIDE",$H$7,"EQY_CONSOLIDATED",$H$9,"EQY_FUND_CRNCY",$L$7,"Fill=B")</f>
        <v>8657</v>
      </c>
      <c r="I16" s="276">
        <f>_xll.BDP(Ticker,"SALES_REV_TURN","EQY_FUND_RELATIVE_PERIOD",I$11,"ACCOUNTING_STANDARD_OVERRIDE",$H$7,"EQY_CONSOLIDATED",$H$9,"EQY_FUND_CRNCY",$L$7,"Fill=B")</f>
        <v>9021</v>
      </c>
      <c r="J16" s="276">
        <f>_xll.BDP(Ticker,"SALES_REV_TURN","EQY_FUND_RELATIVE_PERIOD",J$11,"ACCOUNTING_STANDARD_OVERRIDE",$H$7,"EQY_CONSOLIDATED",$H$9,"EQY_FUND_CRNCY",$L$7,"Fill=B")</f>
        <v>9675</v>
      </c>
      <c r="K16" s="276">
        <f>_xll.BDP(Ticker,"SALES_REV_TURN","EQY_FUND_RELATIVE_PERIOD",K$11,"ACCOUNTING_STANDARD_OVERRIDE",$H$7,"EQY_CONSOLIDATED",$H$9,"EQY_FUND_CRNCY",$L$7,"Fill=B")</f>
        <v>9946</v>
      </c>
      <c r="L16" s="276">
        <f>_xll.BDP(Ticker,"SALES_REV_TURN","EQY_FUND_RELATIVE_PERIOD",L$11,"ACCOUNTING_STANDARD_OVERRIDE",$H$7,"EQY_CONSOLIDATED",$H$9,"EQY_FUND_CRNCY",$L$7,"Fill=B")</f>
        <v>11325</v>
      </c>
      <c r="M16" s="276">
        <f>_xll.BDP(Ticker,"SALES_REV_TURN","EQY_FUND_RELATIVE_PERIOD",M$11,"ACCOUNTING_STANDARD_OVERRIDE",$H$7,"EQY_CONSOLIDATED",$H$9,"EQY_FUND_CRNCY",$L$7,"Fill=B")</f>
        <v>12444</v>
      </c>
      <c r="N16" s="276">
        <f>_xll.BDP(Ticker,"SALES_REV_TURN","EQY_FUND_RELATIVE_PERIOD",N$11,"ACCOUNTING_STANDARD_OVERRIDE",$H$7,"EQY_CONSOLIDATED",$H$9,"EQY_FUND_CRNCY",$L$7,"Fill=B")</f>
        <v>13601</v>
      </c>
    </row>
    <row r="17" spans="2:15" outlineLevel="1">
      <c r="B17" s="214">
        <v>1</v>
      </c>
      <c r="C17" s="216" t="str">
        <f>IF(LEFT(_xll.BDS(Ticker,"PG_REVENUE","PG_HIERARCHY_LEVEL=1","NUMBER_OF_PERIODS=-11","REVERSE_PERIOD_ORDER=N","PRODUCT_GEO_OVERRIDE=P","FUND_PER",RIGHT($B$11,1),"ACCOUNTING_STANDARD_OVERRIDE",$H$7,"EQY_CONSOLIDATED",$H$9,"EQY_FUND_CRNCY",$L$7,"StartCol",C$12,"EndCol",C$12,"StartRow",$B17,"EndRow",$B17),1)="#","",_xll.BDS(Ticker,"PG_REVENUE","PG_HIERARCHY_LEVEL=1","NUMBER_OF_PERIODS=-11","REVERSE_PERIOD_ORDER=N","PRODUCT_GEO_OVERRIDE=P","FUND_PER",RIGHT($B$11,1),"ACCOUNTING_STANDARD_OVERRIDE",$H$7,"EQY_CONSOLIDATED",$H$9,"EQY_FUND_CRNCY",$L$7,"StartCol",C$12,"EndCol",C$12,"StartRow",$B17,"EndRow",$B17))</f>
        <v>Orthopaedics</v>
      </c>
      <c r="D17" s="218" t="str">
        <f>IF(LEFT(_xll.BDS(Ticker,"PG_REVENUE","PG_HIERARCHY_LEVEL=1","NUMBER_OF_PERIODS=-11","REVERSE_PERIOD_ORDER=N","PRODUCT_GEO_OVERRIDE=P","FUND_PER",RIGHT($B$11,1),"ACCOUNTING_STANDARD_OVERRIDE",$H$7,"EQY_CONSOLIDATED",$H$9,"EQY_FUND_CRNCY",$L$7,"StartCol",D$12,"EndCol",D$12,"StartRow",$B17,"EndRow",$B17),1)="#","",_xll.BDS(Ticker,"PG_REVENUE","PG_HIERARCHY_LEVEL=1","NUMBER_OF_PERIODS=-11","REVERSE_PERIOD_ORDER=N","PRODUCT_GEO_OVERRIDE=P","FUND_PER",RIGHT($B$11,1),"ACCOUNTING_STANDARD_OVERRIDE",$H$7,"EQY_CONSOLIDATED",$H$9,"EQY_FUND_CRNCY",$L$7,"StartCol",D$12,"EndCol",D$12,"StartRow",$B17,"EndRow",$B17))</f>
        <v/>
      </c>
      <c r="E17" s="218" t="str">
        <f>IF(LEFT(_xll.BDS(Ticker,"PG_REVENUE","PG_HIERARCHY_LEVEL=1","NUMBER_OF_PERIODS=-11","REVERSE_PERIOD_ORDER=N","PRODUCT_GEO_OVERRIDE=P","FUND_PER",RIGHT($B$11,1),"ACCOUNTING_STANDARD_OVERRIDE",$H$7,"EQY_CONSOLIDATED",$H$9,"EQY_FUND_CRNCY",$L$7,"StartCol",E$12,"EndCol",E$12,"StartRow",$B17,"EndRow",$B17),1)="#","",_xll.BDS(Ticker,"PG_REVENUE","PG_HIERARCHY_LEVEL=1","NUMBER_OF_PERIODS=-11","REVERSE_PERIOD_ORDER=N","PRODUCT_GEO_OVERRIDE=P","FUND_PER",RIGHT($B$11,1),"ACCOUNTING_STANDARD_OVERRIDE",$H$7,"EQY_CONSOLIDATED",$H$9,"EQY_FUND_CRNCY",$L$7,"StartCol",E$12,"EndCol",E$12,"StartRow",$B17,"EndRow",$B17))</f>
        <v/>
      </c>
      <c r="F17" s="218">
        <f>IF(LEFT(_xll.BDS(Ticker,"PG_REVENUE","PG_HIERARCHY_LEVEL=1","NUMBER_OF_PERIODS=-11","REVERSE_PERIOD_ORDER=N","PRODUCT_GEO_OVERRIDE=P","FUND_PER",RIGHT($B$11,1),"ACCOUNTING_STANDARD_OVERRIDE",$H$7,"EQY_CONSOLIDATED",$H$9,"EQY_FUND_CRNCY",$L$7,"StartCol",F$12,"EndCol",F$12,"StartRow",$B17,"EndRow",$B17),1)="#","",_xll.BDS(Ticker,"PG_REVENUE","PG_HIERARCHY_LEVEL=1","NUMBER_OF_PERIODS=-11","REVERSE_PERIOD_ORDER=N","PRODUCT_GEO_OVERRIDE=P","FUND_PER",RIGHT($B$11,1),"ACCOUNTING_STANDARD_OVERRIDE",$H$7,"EQY_CONSOLIDATED",$H$9,"EQY_FUND_CRNCY",$L$7,"StartCol",F$12,"EndCol",F$12,"StartRow",$B17,"EndRow",$B17))</f>
        <v>3549</v>
      </c>
      <c r="G17" s="218">
        <f>IF(LEFT(_xll.BDS(Ticker,"PG_REVENUE","PG_HIERARCHY_LEVEL=1","NUMBER_OF_PERIODS=-11","REVERSE_PERIOD_ORDER=N","PRODUCT_GEO_OVERRIDE=P","FUND_PER",RIGHT($B$11,1),"ACCOUNTING_STANDARD_OVERRIDE",$H$7,"EQY_CONSOLIDATED",$H$9,"EQY_FUND_CRNCY",$L$7,"StartCol",G$12,"EndCol",G$12,"StartRow",$B17,"EndRow",$B17),1)="#","",_xll.BDS(Ticker,"PG_REVENUE","PG_HIERARCHY_LEVEL=1","NUMBER_OF_PERIODS=-11","REVERSE_PERIOD_ORDER=N","PRODUCT_GEO_OVERRIDE=P","FUND_PER",RIGHT($B$11,1),"ACCOUNTING_STANDARD_OVERRIDE",$H$7,"EQY_CONSOLIDATED",$H$9,"EQY_FUND_CRNCY",$L$7,"StartCol",G$12,"EndCol",G$12,"StartRow",$B17,"EndRow",$B17))</f>
        <v>3710</v>
      </c>
      <c r="H17" s="218">
        <f>IF(LEFT(_xll.BDS(Ticker,"PG_REVENUE","PG_HIERARCHY_LEVEL=1","NUMBER_OF_PERIODS=-11","REVERSE_PERIOD_ORDER=N","PRODUCT_GEO_OVERRIDE=P","FUND_PER",RIGHT($B$11,1),"ACCOUNTING_STANDARD_OVERRIDE",$H$7,"EQY_CONSOLIDATED",$H$9,"EQY_FUND_CRNCY",$L$7,"StartCol",H$12,"EndCol",H$12,"StartRow",$B17,"EndRow",$B17),1)="#","",_xll.BDS(Ticker,"PG_REVENUE","PG_HIERARCHY_LEVEL=1","NUMBER_OF_PERIODS=-11","REVERSE_PERIOD_ORDER=N","PRODUCT_GEO_OVERRIDE=P","FUND_PER",RIGHT($B$11,1),"ACCOUNTING_STANDARD_OVERRIDE",$H$7,"EQY_CONSOLIDATED",$H$9,"EQY_FUND_CRNCY",$L$7,"StartCol",H$12,"EndCol",H$12,"StartRow",$B17,"EndRow",$B17))</f>
        <v>3823</v>
      </c>
      <c r="I17" s="218">
        <f>IF(LEFT(_xll.BDS(Ticker,"PG_REVENUE","PG_HIERARCHY_LEVEL=1","NUMBER_OF_PERIODS=-11","REVERSE_PERIOD_ORDER=N","PRODUCT_GEO_OVERRIDE=P","FUND_PER",RIGHT($B$11,1),"ACCOUNTING_STANDARD_OVERRIDE",$H$7,"EQY_CONSOLIDATED",$H$9,"EQY_FUND_CRNCY",$L$7,"StartCol",I$12,"EndCol",I$12,"StartRow",$B17,"EndRow",$B17),1)="#","",_xll.BDS(Ticker,"PG_REVENUE","PG_HIERARCHY_LEVEL=1","NUMBER_OF_PERIODS=-11","REVERSE_PERIOD_ORDER=N","PRODUCT_GEO_OVERRIDE=P","FUND_PER",RIGHT($B$11,1),"ACCOUNTING_STANDARD_OVERRIDE",$H$7,"EQY_CONSOLIDATED",$H$9,"EQY_FUND_CRNCY",$L$7,"StartCol",I$12,"EndCol",I$12,"StartRow",$B17,"EndRow",$B17))</f>
        <v>3949</v>
      </c>
      <c r="J17" s="218">
        <f>IF(LEFT(_xll.BDS(Ticker,"PG_REVENUE","PG_HIERARCHY_LEVEL=1","NUMBER_OF_PERIODS=-11","REVERSE_PERIOD_ORDER=N","PRODUCT_GEO_OVERRIDE=P","FUND_PER",RIGHT($B$11,1),"ACCOUNTING_STANDARD_OVERRIDE",$H$7,"EQY_CONSOLIDATED",$H$9,"EQY_FUND_CRNCY",$L$7,"StartCol",J$12,"EndCol",J$12,"StartRow",$B17,"EndRow",$B17),1)="#","",_xll.BDS(Ticker,"PG_REVENUE","PG_HIERARCHY_LEVEL=1","NUMBER_OF_PERIODS=-11","REVERSE_PERIOD_ORDER=N","PRODUCT_GEO_OVERRIDE=P","FUND_PER",RIGHT($B$11,1),"ACCOUNTING_STANDARD_OVERRIDE",$H$7,"EQY_CONSOLIDATED",$H$9,"EQY_FUND_CRNCY",$L$7,"StartCol",J$12,"EndCol",J$12,"StartRow",$B17,"EndRow",$B17))</f>
        <v>4153</v>
      </c>
      <c r="K17" s="218">
        <f>IF(LEFT(_xll.BDS(Ticker,"PG_REVENUE","PG_HIERARCHY_LEVEL=1","NUMBER_OF_PERIODS=-11","REVERSE_PERIOD_ORDER=N","PRODUCT_GEO_OVERRIDE=P","FUND_PER",RIGHT($B$11,1),"ACCOUNTING_STANDARD_OVERRIDE",$H$7,"EQY_CONSOLIDATED",$H$9,"EQY_FUND_CRNCY",$L$7,"StartCol",K$12,"EndCol",K$12,"StartRow",$B17,"EndRow",$B17),1)="#","",_xll.BDS(Ticker,"PG_REVENUE","PG_HIERARCHY_LEVEL=1","NUMBER_OF_PERIODS=-11","REVERSE_PERIOD_ORDER=N","PRODUCT_GEO_OVERRIDE=P","FUND_PER",RIGHT($B$11,1),"ACCOUNTING_STANDARD_OVERRIDE",$H$7,"EQY_CONSOLIDATED",$H$9,"EQY_FUND_CRNCY",$L$7,"StartCol",K$12,"EndCol",K$12,"StartRow",$B17,"EndRow",$B17))</f>
        <v>4223</v>
      </c>
      <c r="L17" s="218">
        <f>IF(LEFT(_xll.BDS(Ticker,"PG_REVENUE","PG_HIERARCHY_LEVEL=1","NUMBER_OF_PERIODS=-11","REVERSE_PERIOD_ORDER=N","PRODUCT_GEO_OVERRIDE=P","FUND_PER",RIGHT($B$11,1),"ACCOUNTING_STANDARD_OVERRIDE",$H$7,"EQY_CONSOLIDATED",$H$9,"EQY_FUND_CRNCY",$L$7,"StartCol",L$12,"EndCol",L$12,"StartRow",$B17,"EndRow",$B17),1)="#","",_xll.BDS(Ticker,"PG_REVENUE","PG_HIERARCHY_LEVEL=1","NUMBER_OF_PERIODS=-11","REVERSE_PERIOD_ORDER=N","PRODUCT_GEO_OVERRIDE=P","FUND_PER",RIGHT($B$11,1),"ACCOUNTING_STANDARD_OVERRIDE",$H$7,"EQY_CONSOLIDATED",$H$9,"EQY_FUND_CRNCY",$L$7,"StartCol",L$12,"EndCol",L$12,"StartRow",$B17,"EndRow",$B17))</f>
        <v>4422</v>
      </c>
      <c r="M17" s="218">
        <f>IF(LEFT(_xll.BDS(Ticker,"PG_REVENUE","PG_HIERARCHY_LEVEL=1","NUMBER_OF_PERIODS=-11","REVERSE_PERIOD_ORDER=N","PRODUCT_GEO_OVERRIDE=P","FUND_PER",RIGHT($B$11,1),"ACCOUNTING_STANDARD_OVERRIDE",$H$7,"EQY_CONSOLIDATED",$H$9,"EQY_FUND_CRNCY",$L$7,"StartCol",M$12,"EndCol",M$12,"StartRow",$B17,"EndRow",$B17),1)="#","",_xll.BDS(Ticker,"PG_REVENUE","PG_HIERARCHY_LEVEL=1","NUMBER_OF_PERIODS=-11","REVERSE_PERIOD_ORDER=N","PRODUCT_GEO_OVERRIDE=P","FUND_PER",RIGHT($B$11,1),"ACCOUNTING_STANDARD_OVERRIDE",$H$7,"EQY_CONSOLIDATED",$H$9,"EQY_FUND_CRNCY",$L$7,"StartCol",M$12,"EndCol",M$12,"StartRow",$B17,"EndRow",$B17))</f>
        <v>4713</v>
      </c>
      <c r="N17" s="218">
        <f>IF(LEFT(_xll.BDS(Ticker,"PG_REVENUE","PG_HIERARCHY_LEVEL=1","NUMBER_OF_PERIODS=-11","REVERSE_PERIOD_ORDER=N","PRODUCT_GEO_OVERRIDE=P","FUND_PER",RIGHT($B$11,1),"ACCOUNTING_STANDARD_OVERRIDE",$H$7,"EQY_CONSOLIDATED",$H$9,"EQY_FUND_CRNCY",$L$7,"StartCol",N$12,"EndCol",N$12,"StartRow",$B17,"EndRow",$B17),1)="#","",_xll.BDS(Ticker,"PG_REVENUE","PG_HIERARCHY_LEVEL=1","NUMBER_OF_PERIODS=-11","REVERSE_PERIOD_ORDER=N","PRODUCT_GEO_OVERRIDE=P","FUND_PER",RIGHT($B$11,1),"ACCOUNTING_STANDARD_OVERRIDE",$H$7,"EQY_CONSOLIDATED",$H$9,"EQY_FUND_CRNCY",$L$7,"StartCol",N$12,"EndCol",N$12,"StartRow",$B17,"EndRow",$B17))</f>
        <v>4991</v>
      </c>
    </row>
    <row r="18" spans="2:15" outlineLevel="1">
      <c r="B18" s="214">
        <v>2</v>
      </c>
      <c r="C18" s="216" t="str">
        <f>IF(LEFT(_xll.BDS(Ticker,"PG_REVENUE","PG_HIERARCHY_LEVEL=1","NUMBER_OF_PERIODS=-11","REVERSE_PERIOD_ORDER=N","PRODUCT_GEO_OVERRIDE=P","FUND_PER",RIGHT($B$11,1),"ACCOUNTING_STANDARD_OVERRIDE",$H$7,"EQY_CONSOLIDATED",$H$9,"EQY_FUND_CRNCY",$L$7,"StartCol",C$12,"EndCol",C$12,"StartRow",$B18,"EndRow",$B18),1)="#","",_xll.BDS(Ticker,"PG_REVENUE","PG_HIERARCHY_LEVEL=1","NUMBER_OF_PERIODS=-11","REVERSE_PERIOD_ORDER=N","PRODUCT_GEO_OVERRIDE=P","FUND_PER",RIGHT($B$11,1),"ACCOUNTING_STANDARD_OVERRIDE",$H$7,"EQY_CONSOLIDATED",$H$9,"EQY_FUND_CRNCY",$L$7,"StartCol",C$12,"EndCol",C$12,"StartRow",$B18,"EndRow",$B18))</f>
        <v>Neurotech and Spine</v>
      </c>
      <c r="D18" s="218" t="str">
        <f>IF(LEFT(_xll.BDS(Ticker,"PG_REVENUE","PG_HIERARCHY_LEVEL=1","NUMBER_OF_PERIODS=-11","REVERSE_PERIOD_ORDER=N","PRODUCT_GEO_OVERRIDE=P","FUND_PER",RIGHT($B$11,1),"ACCOUNTING_STANDARD_OVERRIDE",$H$7,"EQY_CONSOLIDATED",$H$9,"EQY_FUND_CRNCY",$L$7,"StartCol",D$12,"EndCol",D$12,"StartRow",$B18,"EndRow",$B18),1)="#","",_xll.BDS(Ticker,"PG_REVENUE","PG_HIERARCHY_LEVEL=1","NUMBER_OF_PERIODS=-11","REVERSE_PERIOD_ORDER=N","PRODUCT_GEO_OVERRIDE=P","FUND_PER",RIGHT($B$11,1),"ACCOUNTING_STANDARD_OVERRIDE",$H$7,"EQY_CONSOLIDATED",$H$9,"EQY_FUND_CRNCY",$L$7,"StartCol",D$12,"EndCol",D$12,"StartRow",$B18,"EndRow",$B18))</f>
        <v/>
      </c>
      <c r="E18" s="218">
        <f>IF(LEFT(_xll.BDS(Ticker,"PG_REVENUE","PG_HIERARCHY_LEVEL=1","NUMBER_OF_PERIODS=-11","REVERSE_PERIOD_ORDER=N","PRODUCT_GEO_OVERRIDE=P","FUND_PER",RIGHT($B$11,1),"ACCOUNTING_STANDARD_OVERRIDE",$H$7,"EQY_CONSOLIDATED",$H$9,"EQY_FUND_CRNCY",$L$7,"StartCol",E$12,"EndCol",E$12,"StartRow",$B18,"EndRow",$B18),1)="#","",_xll.BDS(Ticker,"PG_REVENUE","PG_HIERARCHY_LEVEL=1","NUMBER_OF_PERIODS=-11","REVERSE_PERIOD_ORDER=N","PRODUCT_GEO_OVERRIDE=P","FUND_PER",RIGHT($B$11,1),"ACCOUNTING_STANDARD_OVERRIDE",$H$7,"EQY_CONSOLIDATED",$H$9,"EQY_FUND_CRNCY",$L$7,"StartCol",E$12,"EndCol",E$12,"StartRow",$B18,"EndRow",$B18))</f>
        <v>912</v>
      </c>
      <c r="F18" s="218">
        <f>IF(LEFT(_xll.BDS(Ticker,"PG_REVENUE","PG_HIERARCHY_LEVEL=1","NUMBER_OF_PERIODS=-11","REVERSE_PERIOD_ORDER=N","PRODUCT_GEO_OVERRIDE=P","FUND_PER",RIGHT($B$11,1),"ACCOUNTING_STANDARD_OVERRIDE",$H$7,"EQY_CONSOLIDATED",$H$9,"EQY_FUND_CRNCY",$L$7,"StartCol",F$12,"EndCol",F$12,"StartRow",$B18,"EndRow",$B18),1)="#","",_xll.BDS(Ticker,"PG_REVENUE","PG_HIERARCHY_LEVEL=1","NUMBER_OF_PERIODS=-11","REVERSE_PERIOD_ORDER=N","PRODUCT_GEO_OVERRIDE=P","FUND_PER",RIGHT($B$11,1),"ACCOUNTING_STANDARD_OVERRIDE",$H$7,"EQY_CONSOLIDATED",$H$9,"EQY_FUND_CRNCY",$L$7,"StartCol",F$12,"EndCol",F$12,"StartRow",$B18,"EndRow",$B18))</f>
        <v>968</v>
      </c>
      <c r="G18" s="218">
        <f>IF(LEFT(_xll.BDS(Ticker,"PG_REVENUE","PG_HIERARCHY_LEVEL=1","NUMBER_OF_PERIODS=-11","REVERSE_PERIOD_ORDER=N","PRODUCT_GEO_OVERRIDE=P","FUND_PER",RIGHT($B$11,1),"ACCOUNTING_STANDARD_OVERRIDE",$H$7,"EQY_CONSOLIDATED",$H$9,"EQY_FUND_CRNCY",$L$7,"StartCol",G$12,"EndCol",G$12,"StartRow",$B18,"EndRow",$B18),1)="#","",_xll.BDS(Ticker,"PG_REVENUE","PG_HIERARCHY_LEVEL=1","NUMBER_OF_PERIODS=-11","REVERSE_PERIOD_ORDER=N","PRODUCT_GEO_OVERRIDE=P","FUND_PER",RIGHT($B$11,1),"ACCOUNTING_STANDARD_OVERRIDE",$H$7,"EQY_CONSOLIDATED",$H$9,"EQY_FUND_CRNCY",$L$7,"StartCol",G$12,"EndCol",G$12,"StartRow",$B18,"EndRow",$B18))</f>
        <v>1437</v>
      </c>
      <c r="H18" s="218">
        <f>IF(LEFT(_xll.BDS(Ticker,"PG_REVENUE","PG_HIERARCHY_LEVEL=1","NUMBER_OF_PERIODS=-11","REVERSE_PERIOD_ORDER=N","PRODUCT_GEO_OVERRIDE=P","FUND_PER",RIGHT($B$11,1),"ACCOUNTING_STANDARD_OVERRIDE",$H$7,"EQY_CONSOLIDATED",$H$9,"EQY_FUND_CRNCY",$L$7,"StartCol",H$12,"EndCol",H$12,"StartRow",$B18,"EndRow",$B18),1)="#","",_xll.BDS(Ticker,"PG_REVENUE","PG_HIERARCHY_LEVEL=1","NUMBER_OF_PERIODS=-11","REVERSE_PERIOD_ORDER=N","PRODUCT_GEO_OVERRIDE=P","FUND_PER",RIGHT($B$11,1),"ACCOUNTING_STANDARD_OVERRIDE",$H$7,"EQY_CONSOLIDATED",$H$9,"EQY_FUND_CRNCY",$L$7,"StartCol",H$12,"EndCol",H$12,"StartRow",$B18,"EndRow",$B18))</f>
        <v>1569</v>
      </c>
      <c r="I18" s="218">
        <f>IF(LEFT(_xll.BDS(Ticker,"PG_REVENUE","PG_HIERARCHY_LEVEL=1","NUMBER_OF_PERIODS=-11","REVERSE_PERIOD_ORDER=N","PRODUCT_GEO_OVERRIDE=P","FUND_PER",RIGHT($B$11,1),"ACCOUNTING_STANDARD_OVERRIDE",$H$7,"EQY_CONSOLIDATED",$H$9,"EQY_FUND_CRNCY",$L$7,"StartCol",I$12,"EndCol",I$12,"StartRow",$B18,"EndRow",$B18),1)="#","",_xll.BDS(Ticker,"PG_REVENUE","PG_HIERARCHY_LEVEL=1","NUMBER_OF_PERIODS=-11","REVERSE_PERIOD_ORDER=N","PRODUCT_GEO_OVERRIDE=P","FUND_PER",RIGHT($B$11,1),"ACCOUNTING_STANDARD_OVERRIDE",$H$7,"EQY_CONSOLIDATED",$H$9,"EQY_FUND_CRNCY",$L$7,"StartCol",I$12,"EndCol",I$12,"StartRow",$B18,"EndRow",$B18))</f>
        <v>1658</v>
      </c>
      <c r="J18" s="218">
        <f>IF(LEFT(_xll.BDS(Ticker,"PG_REVENUE","PG_HIERARCHY_LEVEL=1","NUMBER_OF_PERIODS=-11","REVERSE_PERIOD_ORDER=N","PRODUCT_GEO_OVERRIDE=P","FUND_PER",RIGHT($B$11,1),"ACCOUNTING_STANDARD_OVERRIDE",$H$7,"EQY_CONSOLIDATED",$H$9,"EQY_FUND_CRNCY",$L$7,"StartCol",J$12,"EndCol",J$12,"StartRow",$B18,"EndRow",$B18),1)="#","",_xll.BDS(Ticker,"PG_REVENUE","PG_HIERARCHY_LEVEL=1","NUMBER_OF_PERIODS=-11","REVERSE_PERIOD_ORDER=N","PRODUCT_GEO_OVERRIDE=P","FUND_PER",RIGHT($B$11,1),"ACCOUNTING_STANDARD_OVERRIDE",$H$7,"EQY_CONSOLIDATED",$H$9,"EQY_FUND_CRNCY",$L$7,"StartCol",J$12,"EndCol",J$12,"StartRow",$B18,"EndRow",$B18))</f>
        <v>1741</v>
      </c>
      <c r="K18" s="218">
        <f>IF(LEFT(_xll.BDS(Ticker,"PG_REVENUE","PG_HIERARCHY_LEVEL=1","NUMBER_OF_PERIODS=-11","REVERSE_PERIOD_ORDER=N","PRODUCT_GEO_OVERRIDE=P","FUND_PER",RIGHT($B$11,1),"ACCOUNTING_STANDARD_OVERRIDE",$H$7,"EQY_CONSOLIDATED",$H$9,"EQY_FUND_CRNCY",$L$7,"StartCol",K$12,"EndCol",K$12,"StartRow",$B18,"EndRow",$B18),1)="#","",_xll.BDS(Ticker,"PG_REVENUE","PG_HIERARCHY_LEVEL=1","NUMBER_OF_PERIODS=-11","REVERSE_PERIOD_ORDER=N","PRODUCT_GEO_OVERRIDE=P","FUND_PER",RIGHT($B$11,1),"ACCOUNTING_STANDARD_OVERRIDE",$H$7,"EQY_CONSOLIDATED",$H$9,"EQY_FUND_CRNCY",$L$7,"StartCol",K$12,"EndCol",K$12,"StartRow",$B18,"EndRow",$B18))</f>
        <v>1828</v>
      </c>
      <c r="L18" s="218">
        <f>IF(LEFT(_xll.BDS(Ticker,"PG_REVENUE","PG_HIERARCHY_LEVEL=1","NUMBER_OF_PERIODS=-11","REVERSE_PERIOD_ORDER=N","PRODUCT_GEO_OVERRIDE=P","FUND_PER",RIGHT($B$11,1),"ACCOUNTING_STANDARD_OVERRIDE",$H$7,"EQY_CONSOLIDATED",$H$9,"EQY_FUND_CRNCY",$L$7,"StartCol",L$12,"EndCol",L$12,"StartRow",$B18,"EndRow",$B18),1)="#","",_xll.BDS(Ticker,"PG_REVENUE","PG_HIERARCHY_LEVEL=1","NUMBER_OF_PERIODS=-11","REVERSE_PERIOD_ORDER=N","PRODUCT_GEO_OVERRIDE=P","FUND_PER",RIGHT($B$11,1),"ACCOUNTING_STANDARD_OVERRIDE",$H$7,"EQY_CONSOLIDATED",$H$9,"EQY_FUND_CRNCY",$L$7,"StartCol",L$12,"EndCol",L$12,"StartRow",$B18,"EndRow",$B18))</f>
        <v>2009</v>
      </c>
      <c r="M18" s="218">
        <f>IF(LEFT(_xll.BDS(Ticker,"PG_REVENUE","PG_HIERARCHY_LEVEL=1","NUMBER_OF_PERIODS=-11","REVERSE_PERIOD_ORDER=N","PRODUCT_GEO_OVERRIDE=P","FUND_PER",RIGHT($B$11,1),"ACCOUNTING_STANDARD_OVERRIDE",$H$7,"EQY_CONSOLIDATED",$H$9,"EQY_FUND_CRNCY",$L$7,"StartCol",M$12,"EndCol",M$12,"StartRow",$B18,"EndRow",$B18),1)="#","",_xll.BDS(Ticker,"PG_REVENUE","PG_HIERARCHY_LEVEL=1","NUMBER_OF_PERIODS=-11","REVERSE_PERIOD_ORDER=N","PRODUCT_GEO_OVERRIDE=P","FUND_PER",RIGHT($B$11,1),"ACCOUNTING_STANDARD_OVERRIDE",$H$7,"EQY_CONSOLIDATED",$H$9,"EQY_FUND_CRNCY",$L$7,"StartCol",M$12,"EndCol",M$12,"StartRow",$B18,"EndRow",$B18))</f>
        <v>2174</v>
      </c>
      <c r="N18" s="218">
        <f>IF(LEFT(_xll.BDS(Ticker,"PG_REVENUE","PG_HIERARCHY_LEVEL=1","NUMBER_OF_PERIODS=-11","REVERSE_PERIOD_ORDER=N","PRODUCT_GEO_OVERRIDE=P","FUND_PER",RIGHT($B$11,1),"ACCOUNTING_STANDARD_OVERRIDE",$H$7,"EQY_CONSOLIDATED",$H$9,"EQY_FUND_CRNCY",$L$7,"StartCol",N$12,"EndCol",N$12,"StartRow",$B18,"EndRow",$B18),1)="#","",_xll.BDS(Ticker,"PG_REVENUE","PG_HIERARCHY_LEVEL=1","NUMBER_OF_PERIODS=-11","REVERSE_PERIOD_ORDER=N","PRODUCT_GEO_OVERRIDE=P","FUND_PER",RIGHT($B$11,1),"ACCOUNTING_STANDARD_OVERRIDE",$H$7,"EQY_CONSOLIDATED",$H$9,"EQY_FUND_CRNCY",$L$7,"StartCol",N$12,"EndCol",N$12,"StartRow",$B18,"EndRow",$B18))</f>
        <v>2565</v>
      </c>
    </row>
    <row r="19" spans="2:15" outlineLevel="1">
      <c r="B19" s="214">
        <v>3</v>
      </c>
      <c r="C19" s="216" t="str">
        <f>IF(LEFT(_xll.BDS(Ticker,"PG_REVENUE","PG_HIERARCHY_LEVEL=1","NUMBER_OF_PERIODS=-11","REVERSE_PERIOD_ORDER=N","PRODUCT_GEO_OVERRIDE=P","FUND_PER",RIGHT($B$11,1),"ACCOUNTING_STANDARD_OVERRIDE",$H$7,"EQY_CONSOLIDATED",$H$9,"EQY_FUND_CRNCY",$L$7,"StartCol",C$12,"EndCol",C$12,"StartRow",$B19,"EndRow",$B19),1)="#","",_xll.BDS(Ticker,"PG_REVENUE","PG_HIERARCHY_LEVEL=1","NUMBER_OF_PERIODS=-11","REVERSE_PERIOD_ORDER=N","PRODUCT_GEO_OVERRIDE=P","FUND_PER",RIGHT($B$11,1),"ACCOUNTING_STANDARD_OVERRIDE",$H$7,"EQY_CONSOLIDATED",$H$9,"EQY_FUND_CRNCY",$L$7,"StartCol",C$12,"EndCol",C$12,"StartRow",$B19,"EndRow",$B19))</f>
        <v>Medical</v>
      </c>
      <c r="D19" s="218" t="str">
        <f>IF(LEFT(_xll.BDS(Ticker,"PG_REVENUE","PG_HIERARCHY_LEVEL=1","NUMBER_OF_PERIODS=-11","REVERSE_PERIOD_ORDER=N","PRODUCT_GEO_OVERRIDE=P","FUND_PER",RIGHT($B$11,1),"ACCOUNTING_STANDARD_OVERRIDE",$H$7,"EQY_CONSOLIDATED",$H$9,"EQY_FUND_CRNCY",$L$7,"StartCol",D$12,"EndCol",D$12,"StartRow",$B19,"EndRow",$B19),1)="#","",_xll.BDS(Ticker,"PG_REVENUE","PG_HIERARCHY_LEVEL=1","NUMBER_OF_PERIODS=-11","REVERSE_PERIOD_ORDER=N","PRODUCT_GEO_OVERRIDE=P","FUND_PER",RIGHT($B$11,1),"ACCOUNTING_STANDARD_OVERRIDE",$H$7,"EQY_CONSOLIDATED",$H$9,"EQY_FUND_CRNCY",$L$7,"StartCol",D$12,"EndCol",D$12,"StartRow",$B19,"EndRow",$B19))</f>
        <v/>
      </c>
      <c r="E19" s="218">
        <f>IF(LEFT(_xll.BDS(Ticker,"PG_REVENUE","PG_HIERARCHY_LEVEL=1","NUMBER_OF_PERIODS=-11","REVERSE_PERIOD_ORDER=N","PRODUCT_GEO_OVERRIDE=P","FUND_PER",RIGHT($B$11,1),"ACCOUNTING_STANDARD_OVERRIDE",$H$7,"EQY_CONSOLIDATED",$H$9,"EQY_FUND_CRNCY",$L$7,"StartCol",E$12,"EndCol",E$12,"StartRow",$B19,"EndRow",$B19),1)="#","",_xll.BDS(Ticker,"PG_REVENUE","PG_HIERARCHY_LEVEL=1","NUMBER_OF_PERIODS=-11","REVERSE_PERIOD_ORDER=N","PRODUCT_GEO_OVERRIDE=P","FUND_PER",RIGHT($B$11,1),"ACCOUNTING_STANDARD_OVERRIDE",$H$7,"EQY_CONSOLIDATED",$H$9,"EQY_FUND_CRNCY",$L$7,"StartCol",E$12,"EndCol",E$12,"StartRow",$B19,"EndRow",$B19))</f>
        <v>487.3</v>
      </c>
      <c r="F19" s="218">
        <f>IF(LEFT(_xll.BDS(Ticker,"PG_REVENUE","PG_HIERARCHY_LEVEL=1","NUMBER_OF_PERIODS=-11","REVERSE_PERIOD_ORDER=N","PRODUCT_GEO_OVERRIDE=P","FUND_PER",RIGHT($B$11,1),"ACCOUNTING_STANDARD_OVERRIDE",$H$7,"EQY_CONSOLIDATED",$H$9,"EQY_FUND_CRNCY",$L$7,"StartCol",F$12,"EndCol",F$12,"StartRow",$B19,"EndRow",$B19),1)="#","",_xll.BDS(Ticker,"PG_REVENUE","PG_HIERARCHY_LEVEL=1","NUMBER_OF_PERIODS=-11","REVERSE_PERIOD_ORDER=N","PRODUCT_GEO_OVERRIDE=P","FUND_PER",RIGHT($B$11,1),"ACCOUNTING_STANDARD_OVERRIDE",$H$7,"EQY_CONSOLIDATED",$H$9,"EQY_FUND_CRNCY",$L$7,"StartCol",F$12,"EndCol",F$12,"StartRow",$B19,"EndRow",$B19))</f>
        <v>583</v>
      </c>
      <c r="G19" s="218">
        <f>IF(LEFT(_xll.BDS(Ticker,"PG_REVENUE","PG_HIERARCHY_LEVEL=1","NUMBER_OF_PERIODS=-11","REVERSE_PERIOD_ORDER=N","PRODUCT_GEO_OVERRIDE=P","FUND_PER",RIGHT($B$11,1),"ACCOUNTING_STANDARD_OVERRIDE",$H$7,"EQY_CONSOLIDATED",$H$9,"EQY_FUND_CRNCY",$L$7,"StartCol",G$12,"EndCol",G$12,"StartRow",$B19,"EndRow",$B19),1)="#","",_xll.BDS(Ticker,"PG_REVENUE","PG_HIERARCHY_LEVEL=1","NUMBER_OF_PERIODS=-11","REVERSE_PERIOD_ORDER=N","PRODUCT_GEO_OVERRIDE=P","FUND_PER",RIGHT($B$11,1),"ACCOUNTING_STANDARD_OVERRIDE",$H$7,"EQY_CONSOLIDATED",$H$9,"EQY_FUND_CRNCY",$L$7,"StartCol",G$12,"EndCol",G$12,"StartRow",$B19,"EndRow",$B19))</f>
        <v>722</v>
      </c>
      <c r="H19" s="218">
        <f>IF(LEFT(_xll.BDS(Ticker,"PG_REVENUE","PG_HIERARCHY_LEVEL=1","NUMBER_OF_PERIODS=-11","REVERSE_PERIOD_ORDER=N","PRODUCT_GEO_OVERRIDE=P","FUND_PER",RIGHT($B$11,1),"ACCOUNTING_STANDARD_OVERRIDE",$H$7,"EQY_CONSOLIDATED",$H$9,"EQY_FUND_CRNCY",$L$7,"StartCol",H$12,"EndCol",H$12,"StartRow",$B19,"EndRow",$B19),1)="#","",_xll.BDS(Ticker,"PG_REVENUE","PG_HIERARCHY_LEVEL=1","NUMBER_OF_PERIODS=-11","REVERSE_PERIOD_ORDER=N","PRODUCT_GEO_OVERRIDE=P","FUND_PER",RIGHT($B$11,1),"ACCOUNTING_STANDARD_OVERRIDE",$H$7,"EQY_CONSOLIDATED",$H$9,"EQY_FUND_CRNCY",$L$7,"StartCol",H$12,"EndCol",H$12,"StartRow",$B19,"EndRow",$B19))</f>
        <v>691</v>
      </c>
      <c r="I19" s="218">
        <f>IF(LEFT(_xll.BDS(Ticker,"PG_REVENUE","PG_HIERARCHY_LEVEL=1","NUMBER_OF_PERIODS=-11","REVERSE_PERIOD_ORDER=N","PRODUCT_GEO_OVERRIDE=P","FUND_PER",RIGHT($B$11,1),"ACCOUNTING_STANDARD_OVERRIDE",$H$7,"EQY_CONSOLIDATED",$H$9,"EQY_FUND_CRNCY",$L$7,"StartCol",I$12,"EndCol",I$12,"StartRow",$B19,"EndRow",$B19),1)="#","",_xll.BDS(Ticker,"PG_REVENUE","PG_HIERARCHY_LEVEL=1","NUMBER_OF_PERIODS=-11","REVERSE_PERIOD_ORDER=N","PRODUCT_GEO_OVERRIDE=P","FUND_PER",RIGHT($B$11,1),"ACCOUNTING_STANDARD_OVERRIDE",$H$7,"EQY_CONSOLIDATED",$H$9,"EQY_FUND_CRNCY",$L$7,"StartCol",I$12,"EndCol",I$12,"StartRow",$B19,"EndRow",$B19))</f>
        <v>710</v>
      </c>
      <c r="J19" s="218">
        <f>IF(LEFT(_xll.BDS(Ticker,"PG_REVENUE","PG_HIERARCHY_LEVEL=1","NUMBER_OF_PERIODS=-11","REVERSE_PERIOD_ORDER=N","PRODUCT_GEO_OVERRIDE=P","FUND_PER",RIGHT($B$11,1),"ACCOUNTING_STANDARD_OVERRIDE",$H$7,"EQY_CONSOLIDATED",$H$9,"EQY_FUND_CRNCY",$L$7,"StartCol",J$12,"EndCol",J$12,"StartRow",$B19,"EndRow",$B19),1)="#","",_xll.BDS(Ticker,"PG_REVENUE","PG_HIERARCHY_LEVEL=1","NUMBER_OF_PERIODS=-11","REVERSE_PERIOD_ORDER=N","PRODUCT_GEO_OVERRIDE=P","FUND_PER",RIGHT($B$11,1),"ACCOUNTING_STANDARD_OVERRIDE",$H$7,"EQY_CONSOLIDATED",$H$9,"EQY_FUND_CRNCY",$L$7,"StartCol",J$12,"EndCol",J$12,"StartRow",$B19,"EndRow",$B19))</f>
        <v>766</v>
      </c>
      <c r="K19" s="218">
        <f>IF(LEFT(_xll.BDS(Ticker,"PG_REVENUE","PG_HIERARCHY_LEVEL=1","NUMBER_OF_PERIODS=-11","REVERSE_PERIOD_ORDER=N","PRODUCT_GEO_OVERRIDE=P","FUND_PER",RIGHT($B$11,1),"ACCOUNTING_STANDARD_OVERRIDE",$H$7,"EQY_CONSOLIDATED",$H$9,"EQY_FUND_CRNCY",$L$7,"StartCol",K$12,"EndCol",K$12,"StartRow",$B19,"EndRow",$B19),1)="#","",_xll.BDS(Ticker,"PG_REVENUE","PG_HIERARCHY_LEVEL=1","NUMBER_OF_PERIODS=-11","REVERSE_PERIOD_ORDER=N","PRODUCT_GEO_OVERRIDE=P","FUND_PER",RIGHT($B$11,1),"ACCOUNTING_STANDARD_OVERRIDE",$H$7,"EQY_CONSOLIDATED",$H$9,"EQY_FUND_CRNCY",$L$7,"StartCol",K$12,"EndCol",K$12,"StartRow",$B19,"EndRow",$B19))</f>
        <v>823</v>
      </c>
      <c r="L19" s="218">
        <f>IF(LEFT(_xll.BDS(Ticker,"PG_REVENUE","PG_HIERARCHY_LEVEL=1","NUMBER_OF_PERIODS=-11","REVERSE_PERIOD_ORDER=N","PRODUCT_GEO_OVERRIDE=P","FUND_PER",RIGHT($B$11,1),"ACCOUNTING_STANDARD_OVERRIDE",$H$7,"EQY_CONSOLIDATED",$H$9,"EQY_FUND_CRNCY",$L$7,"StartCol",L$12,"EndCol",L$12,"StartRow",$B19,"EndRow",$B19),1)="#","",_xll.BDS(Ticker,"PG_REVENUE","PG_HIERARCHY_LEVEL=1","NUMBER_OF_PERIODS=-11","REVERSE_PERIOD_ORDER=N","PRODUCT_GEO_OVERRIDE=P","FUND_PER",RIGHT($B$11,1),"ACCOUNTING_STANDARD_OVERRIDE",$H$7,"EQY_CONSOLIDATED",$H$9,"EQY_FUND_CRNCY",$L$7,"StartCol",L$12,"EndCol",L$12,"StartRow",$B19,"EndRow",$B19))</f>
        <v>1633</v>
      </c>
      <c r="M19" s="218">
        <f>IF(LEFT(_xll.BDS(Ticker,"PG_REVENUE","PG_HIERARCHY_LEVEL=1","NUMBER_OF_PERIODS=-11","REVERSE_PERIOD_ORDER=N","PRODUCT_GEO_OVERRIDE=P","FUND_PER",RIGHT($B$11,1),"ACCOUNTING_STANDARD_OVERRIDE",$H$7,"EQY_CONSOLIDATED",$H$9,"EQY_FUND_CRNCY",$L$7,"StartCol",M$12,"EndCol",M$12,"StartRow",$B19,"EndRow",$B19),1)="#","",_xll.BDS(Ticker,"PG_REVENUE","PG_HIERARCHY_LEVEL=1","NUMBER_OF_PERIODS=-11","REVERSE_PERIOD_ORDER=N","PRODUCT_GEO_OVERRIDE=P","FUND_PER",RIGHT($B$11,1),"ACCOUNTING_STANDARD_OVERRIDE",$H$7,"EQY_CONSOLIDATED",$H$9,"EQY_FUND_CRNCY",$L$7,"StartCol",M$12,"EndCol",M$12,"StartRow",$B19,"EndRow",$B19))</f>
        <v>1969</v>
      </c>
      <c r="N19" s="218">
        <f>IF(LEFT(_xll.BDS(Ticker,"PG_REVENUE","PG_HIERARCHY_LEVEL=1","NUMBER_OF_PERIODS=-11","REVERSE_PERIOD_ORDER=N","PRODUCT_GEO_OVERRIDE=P","FUND_PER",RIGHT($B$11,1),"ACCOUNTING_STANDARD_OVERRIDE",$H$7,"EQY_CONSOLIDATED",$H$9,"EQY_FUND_CRNCY",$L$7,"StartCol",N$12,"EndCol",N$12,"StartRow",$B19,"EndRow",$B19),1)="#","",_xll.BDS(Ticker,"PG_REVENUE","PG_HIERARCHY_LEVEL=1","NUMBER_OF_PERIODS=-11","REVERSE_PERIOD_ORDER=N","PRODUCT_GEO_OVERRIDE=P","FUND_PER",RIGHT($B$11,1),"ACCOUNTING_STANDARD_OVERRIDE",$H$7,"EQY_CONSOLIDATED",$H$9,"EQY_FUND_CRNCY",$L$7,"StartCol",N$12,"EndCol",N$12,"StartRow",$B19,"EndRow",$B19))</f>
        <v>2118</v>
      </c>
    </row>
    <row r="20" spans="2:15" outlineLevel="1">
      <c r="B20" s="214">
        <v>4</v>
      </c>
      <c r="C20" s="216" t="str">
        <f>IF(LEFT(_xll.BDS(Ticker,"PG_REVENUE","PG_HIERARCHY_LEVEL=1","NUMBER_OF_PERIODS=-11","REVERSE_PERIOD_ORDER=N","PRODUCT_GEO_OVERRIDE=P","FUND_PER",RIGHT($B$11,1),"ACCOUNTING_STANDARD_OVERRIDE",$H$7,"EQY_CONSOLIDATED",$H$9,"EQY_FUND_CRNCY",$L$7,"StartCol",C$12,"EndCol",C$12,"StartRow",$B20,"EndRow",$B20),1)="#","",_xll.BDS(Ticker,"PG_REVENUE","PG_HIERARCHY_LEVEL=1","NUMBER_OF_PERIODS=-11","REVERSE_PERIOD_ORDER=N","PRODUCT_GEO_OVERRIDE=P","FUND_PER",RIGHT($B$11,1),"ACCOUNTING_STANDARD_OVERRIDE",$H$7,"EQY_CONSOLIDATED",$H$9,"EQY_FUND_CRNCY",$L$7,"StartCol",C$12,"EndCol",C$12,"StartRow",$B20,"EndRow",$B20))</f>
        <v>MedSurg</v>
      </c>
      <c r="D20" s="218">
        <f>IF(LEFT(_xll.BDS(Ticker,"PG_REVENUE","PG_HIERARCHY_LEVEL=1","NUMBER_OF_PERIODS=-11","REVERSE_PERIOD_ORDER=N","PRODUCT_GEO_OVERRIDE=P","FUND_PER",RIGHT($B$11,1),"ACCOUNTING_STANDARD_OVERRIDE",$H$7,"EQY_CONSOLIDATED",$H$9,"EQY_FUND_CRNCY",$L$7,"StartCol",D$12,"EndCol",D$12,"StartRow",$B20,"EndRow",$B20),1)="#","",_xll.BDS(Ticker,"PG_REVENUE","PG_HIERARCHY_LEVEL=1","NUMBER_OF_PERIODS=-11","REVERSE_PERIOD_ORDER=N","PRODUCT_GEO_OVERRIDE=P","FUND_PER",RIGHT($B$11,1),"ACCOUNTING_STANDARD_OVERRIDE",$H$7,"EQY_CONSOLIDATED",$H$9,"EQY_FUND_CRNCY",$L$7,"StartCol",D$12,"EndCol",D$12,"StartRow",$B20,"EndRow",$B20))</f>
        <v>2750.7</v>
      </c>
      <c r="E20" s="218">
        <f>IF(LEFT(_xll.BDS(Ticker,"PG_REVENUE","PG_HIERARCHY_LEVEL=1","NUMBER_OF_PERIODS=-11","REVERSE_PERIOD_ORDER=N","PRODUCT_GEO_OVERRIDE=P","FUND_PER",RIGHT($B$11,1),"ACCOUNTING_STANDARD_OVERRIDE",$H$7,"EQY_CONSOLIDATED",$H$9,"EQY_FUND_CRNCY",$L$7,"StartCol",E$12,"EndCol",E$12,"StartRow",$B20,"EndRow",$B20),1)="#","",_xll.BDS(Ticker,"PG_REVENUE","PG_HIERARCHY_LEVEL=1","NUMBER_OF_PERIODS=-11","REVERSE_PERIOD_ORDER=N","PRODUCT_GEO_OVERRIDE=P","FUND_PER",RIGHT($B$11,1),"ACCOUNTING_STANDARD_OVERRIDE",$H$7,"EQY_CONSOLIDATED",$H$9,"EQY_FUND_CRNCY",$L$7,"StartCol",E$12,"EndCol",E$12,"StartRow",$B20,"EndRow",$B20))</f>
        <v>2427.6</v>
      </c>
      <c r="F20" s="218">
        <f>IF(LEFT(_xll.BDS(Ticker,"PG_REVENUE","PG_HIERARCHY_LEVEL=1","NUMBER_OF_PERIODS=-11","REVERSE_PERIOD_ORDER=N","PRODUCT_GEO_OVERRIDE=P","FUND_PER",RIGHT($B$11,1),"ACCOUNTING_STANDARD_OVERRIDE",$H$7,"EQY_CONSOLIDATED",$H$9,"EQY_FUND_CRNCY",$L$7,"StartCol",F$12,"EndCol",F$12,"StartRow",$B20,"EndRow",$B20),1)="#","",_xll.BDS(Ticker,"PG_REVENUE","PG_HIERARCHY_LEVEL=1","NUMBER_OF_PERIODS=-11","REVERSE_PERIOD_ORDER=N","PRODUCT_GEO_OVERRIDE=P","FUND_PER",RIGHT($B$11,1),"ACCOUNTING_STANDARD_OVERRIDE",$H$7,"EQY_CONSOLIDATED",$H$9,"EQY_FUND_CRNCY",$L$7,"StartCol",F$12,"EndCol",F$12,"StartRow",$B20,"EndRow",$B20))</f>
        <v>2803</v>
      </c>
      <c r="G20" s="218">
        <f>IF(LEFT(_xll.BDS(Ticker,"PG_REVENUE","PG_HIERARCHY_LEVEL=1","NUMBER_OF_PERIODS=-11","REVERSE_PERIOD_ORDER=N","PRODUCT_GEO_OVERRIDE=P","FUND_PER",RIGHT($B$11,1),"ACCOUNTING_STANDARD_OVERRIDE",$H$7,"EQY_CONSOLIDATED",$H$9,"EQY_FUND_CRNCY",$L$7,"StartCol",G$12,"EndCol",G$12,"StartRow",$B20,"EndRow",$B20),1)="#","",_xll.BDS(Ticker,"PG_REVENUE","PG_HIERARCHY_LEVEL=1","NUMBER_OF_PERIODS=-11","REVERSE_PERIOD_ORDER=N","PRODUCT_GEO_OVERRIDE=P","FUND_PER",RIGHT($B$11,1),"ACCOUNTING_STANDARD_OVERRIDE",$H$7,"EQY_CONSOLIDATED",$H$9,"EQY_FUND_CRNCY",$L$7,"StartCol",G$12,"EndCol",G$12,"StartRow",$B20,"EndRow",$B20))</f>
        <v>3160</v>
      </c>
      <c r="H20" s="218">
        <f>IF(LEFT(_xll.BDS(Ticker,"PG_REVENUE","PG_HIERARCHY_LEVEL=1","NUMBER_OF_PERIODS=-11","REVERSE_PERIOD_ORDER=N","PRODUCT_GEO_OVERRIDE=P","FUND_PER",RIGHT($B$11,1),"ACCOUNTING_STANDARD_OVERRIDE",$H$7,"EQY_CONSOLIDATED",$H$9,"EQY_FUND_CRNCY",$L$7,"StartCol",H$12,"EndCol",H$12,"StartRow",$B20,"EndRow",$B20),1)="#","",_xll.BDS(Ticker,"PG_REVENUE","PG_HIERARCHY_LEVEL=1","NUMBER_OF_PERIODS=-11","REVERSE_PERIOD_ORDER=N","PRODUCT_GEO_OVERRIDE=P","FUND_PER",RIGHT($B$11,1),"ACCOUNTING_STANDARD_OVERRIDE",$H$7,"EQY_CONSOLIDATED",$H$9,"EQY_FUND_CRNCY",$L$7,"StartCol",H$12,"EndCol",H$12,"StartRow",$B20,"EndRow",$B20))</f>
        <v>3265</v>
      </c>
      <c r="I20" s="218">
        <f>IF(LEFT(_xll.BDS(Ticker,"PG_REVENUE","PG_HIERARCHY_LEVEL=1","NUMBER_OF_PERIODS=-11","REVERSE_PERIOD_ORDER=N","PRODUCT_GEO_OVERRIDE=P","FUND_PER",RIGHT($B$11,1),"ACCOUNTING_STANDARD_OVERRIDE",$H$7,"EQY_CONSOLIDATED",$H$9,"EQY_FUND_CRNCY",$L$7,"StartCol",I$12,"EndCol",I$12,"StartRow",$B20,"EndRow",$B20),1)="#","",_xll.BDS(Ticker,"PG_REVENUE","PG_HIERARCHY_LEVEL=1","NUMBER_OF_PERIODS=-11","REVERSE_PERIOD_ORDER=N","PRODUCT_GEO_OVERRIDE=P","FUND_PER",RIGHT($B$11,1),"ACCOUNTING_STANDARD_OVERRIDE",$H$7,"EQY_CONSOLIDATED",$H$9,"EQY_FUND_CRNCY",$L$7,"StartCol",I$12,"EndCol",I$12,"StartRow",$B20,"EndRow",$B20))</f>
        <v>1482</v>
      </c>
      <c r="J20" s="218">
        <f>IF(LEFT(_xll.BDS(Ticker,"PG_REVENUE","PG_HIERARCHY_LEVEL=1","NUMBER_OF_PERIODS=-11","REVERSE_PERIOD_ORDER=N","PRODUCT_GEO_OVERRIDE=P","FUND_PER",RIGHT($B$11,1),"ACCOUNTING_STANDARD_OVERRIDE",$H$7,"EQY_CONSOLIDATED",$H$9,"EQY_FUND_CRNCY",$L$7,"StartCol",J$12,"EndCol",J$12,"StartRow",$B20,"EndRow",$B20),1)="#","",_xll.BDS(Ticker,"PG_REVENUE","PG_HIERARCHY_LEVEL=1","NUMBER_OF_PERIODS=-11","REVERSE_PERIOD_ORDER=N","PRODUCT_GEO_OVERRIDE=P","FUND_PER",RIGHT($B$11,1),"ACCOUNTING_STANDARD_OVERRIDE",$H$7,"EQY_CONSOLIDATED",$H$9,"EQY_FUND_CRNCY",$L$7,"StartCol",J$12,"EndCol",J$12,"StartRow",$B20,"EndRow",$B20))</f>
        <v>1633</v>
      </c>
      <c r="K20" s="218">
        <f>IF(LEFT(_xll.BDS(Ticker,"PG_REVENUE","PG_HIERARCHY_LEVEL=1","NUMBER_OF_PERIODS=-11","REVERSE_PERIOD_ORDER=N","PRODUCT_GEO_OVERRIDE=P","FUND_PER",RIGHT($B$11,1),"ACCOUNTING_STANDARD_OVERRIDE",$H$7,"EQY_CONSOLIDATED",$H$9,"EQY_FUND_CRNCY",$L$7,"StartCol",K$12,"EndCol",K$12,"StartRow",$B20,"EndRow",$B20),1)="#","",_xll.BDS(Ticker,"PG_REVENUE","PG_HIERARCHY_LEVEL=1","NUMBER_OF_PERIODS=-11","REVERSE_PERIOD_ORDER=N","PRODUCT_GEO_OVERRIDE=P","FUND_PER",RIGHT($B$11,1),"ACCOUNTING_STANDARD_OVERRIDE",$H$7,"EQY_CONSOLIDATED",$H$9,"EQY_FUND_CRNCY",$L$7,"StartCol",K$12,"EndCol",K$12,"StartRow",$B20,"EndRow",$B20))</f>
        <v>1682</v>
      </c>
      <c r="L20" s="218">
        <f>IF(LEFT(_xll.BDS(Ticker,"PG_REVENUE","PG_HIERARCHY_LEVEL=1","NUMBER_OF_PERIODS=-11","REVERSE_PERIOD_ORDER=N","PRODUCT_GEO_OVERRIDE=P","FUND_PER",RIGHT($B$11,1),"ACCOUNTING_STANDARD_OVERRIDE",$H$7,"EQY_CONSOLIDATED",$H$9,"EQY_FUND_CRNCY",$L$7,"StartCol",L$12,"EndCol",L$12,"StartRow",$B20,"EndRow",$B20),1)="#","",_xll.BDS(Ticker,"PG_REVENUE","PG_HIERARCHY_LEVEL=1","NUMBER_OF_PERIODS=-11","REVERSE_PERIOD_ORDER=N","PRODUCT_GEO_OVERRIDE=P","FUND_PER",RIGHT($B$11,1),"ACCOUNTING_STANDARD_OVERRIDE",$H$7,"EQY_CONSOLIDATED",$H$9,"EQY_FUND_CRNCY",$L$7,"StartCol",L$12,"EndCol",L$12,"StartRow",$B20,"EndRow",$B20))</f>
        <v>1791</v>
      </c>
      <c r="M20" s="218">
        <f>IF(LEFT(_xll.BDS(Ticker,"PG_REVENUE","PG_HIERARCHY_LEVEL=1","NUMBER_OF_PERIODS=-11","REVERSE_PERIOD_ORDER=N","PRODUCT_GEO_OVERRIDE=P","FUND_PER",RIGHT($B$11,1),"ACCOUNTING_STANDARD_OVERRIDE",$H$7,"EQY_CONSOLIDATED",$H$9,"EQY_FUND_CRNCY",$L$7,"StartCol",M$12,"EndCol",M$12,"StartRow",$B20,"EndRow",$B20),1)="#","",_xll.BDS(Ticker,"PG_REVENUE","PG_HIERARCHY_LEVEL=1","NUMBER_OF_PERIODS=-11","REVERSE_PERIOD_ORDER=N","PRODUCT_GEO_OVERRIDE=P","FUND_PER",RIGHT($B$11,1),"ACCOUNTING_STANDARD_OVERRIDE",$H$7,"EQY_CONSOLIDATED",$H$9,"EQY_FUND_CRNCY",$L$7,"StartCol",M$12,"EndCol",M$12,"StartRow",$B20,"EndRow",$B20))</f>
        <v>1936</v>
      </c>
      <c r="N20" s="218">
        <f>IF(LEFT(_xll.BDS(Ticker,"PG_REVENUE","PG_HIERARCHY_LEVEL=1","NUMBER_OF_PERIODS=-11","REVERSE_PERIOD_ORDER=N","PRODUCT_GEO_OVERRIDE=P","FUND_PER",RIGHT($B$11,1),"ACCOUNTING_STANDARD_OVERRIDE",$H$7,"EQY_CONSOLIDATED",$H$9,"EQY_FUND_CRNCY",$L$7,"StartCol",N$12,"EndCol",N$12,"StartRow",$B20,"EndRow",$B20),1)="#","",_xll.BDS(Ticker,"PG_REVENUE","PG_HIERARCHY_LEVEL=1","NUMBER_OF_PERIODS=-11","REVERSE_PERIOD_ORDER=N","PRODUCT_GEO_OVERRIDE=P","FUND_PER",RIGHT($B$11,1),"ACCOUNTING_STANDARD_OVERRIDE",$H$7,"EQY_CONSOLIDATED",$H$9,"EQY_FUND_CRNCY",$L$7,"StartCol",N$12,"EndCol",N$12,"StartRow",$B20,"EndRow",$B20))</f>
        <v>2081</v>
      </c>
    </row>
    <row r="21" spans="2:15" outlineLevel="1">
      <c r="B21" s="214">
        <v>5</v>
      </c>
      <c r="C21" s="216" t="str">
        <f>IF(LEFT(_xll.BDS(Ticker,"PG_REVENUE","PG_HIERARCHY_LEVEL=1","NUMBER_OF_PERIODS=-11","REVERSE_PERIOD_ORDER=N","PRODUCT_GEO_OVERRIDE=P","FUND_PER",RIGHT($B$11,1),"ACCOUNTING_STANDARD_OVERRIDE",$H$7,"EQY_CONSOLIDATED",$H$9,"EQY_FUND_CRNCY",$L$7,"StartCol",C$12,"EndCol",C$12,"StartRow",$B21,"EndRow",$B21),1)="#","",_xll.BDS(Ticker,"PG_REVENUE","PG_HIERARCHY_LEVEL=1","NUMBER_OF_PERIODS=-11","REVERSE_PERIOD_ORDER=N","PRODUCT_GEO_OVERRIDE=P","FUND_PER",RIGHT($B$11,1),"ACCOUNTING_STANDARD_OVERRIDE",$H$7,"EQY_CONSOLIDATED",$H$9,"EQY_FUND_CRNCY",$L$7,"StartCol",C$12,"EndCol",C$12,"StartRow",$B21,"EndRow",$B21))</f>
        <v>Endoscopy</v>
      </c>
      <c r="D21" s="218" t="str">
        <f>IF(LEFT(_xll.BDS(Ticker,"PG_REVENUE","PG_HIERARCHY_LEVEL=1","NUMBER_OF_PERIODS=-11","REVERSE_PERIOD_ORDER=N","PRODUCT_GEO_OVERRIDE=P","FUND_PER",RIGHT($B$11,1),"ACCOUNTING_STANDARD_OVERRIDE",$H$7,"EQY_CONSOLIDATED",$H$9,"EQY_FUND_CRNCY",$L$7,"StartCol",D$12,"EndCol",D$12,"StartRow",$B21,"EndRow",$B21),1)="#","",_xll.BDS(Ticker,"PG_REVENUE","PG_HIERARCHY_LEVEL=1","NUMBER_OF_PERIODS=-11","REVERSE_PERIOD_ORDER=N","PRODUCT_GEO_OVERRIDE=P","FUND_PER",RIGHT($B$11,1),"ACCOUNTING_STANDARD_OVERRIDE",$H$7,"EQY_CONSOLIDATED",$H$9,"EQY_FUND_CRNCY",$L$7,"StartCol",D$12,"EndCol",D$12,"StartRow",$B21,"EndRow",$B21))</f>
        <v/>
      </c>
      <c r="E21" s="218">
        <f>IF(LEFT(_xll.BDS(Ticker,"PG_REVENUE","PG_HIERARCHY_LEVEL=1","NUMBER_OF_PERIODS=-11","REVERSE_PERIOD_ORDER=N","PRODUCT_GEO_OVERRIDE=P","FUND_PER",RIGHT($B$11,1),"ACCOUNTING_STANDARD_OVERRIDE",$H$7,"EQY_CONSOLIDATED",$H$9,"EQY_FUND_CRNCY",$L$7,"StartCol",E$12,"EndCol",E$12,"StartRow",$B21,"EndRow",$B21),1)="#","",_xll.BDS(Ticker,"PG_REVENUE","PG_HIERARCHY_LEVEL=1","NUMBER_OF_PERIODS=-11","REVERSE_PERIOD_ORDER=N","PRODUCT_GEO_OVERRIDE=P","FUND_PER",RIGHT($B$11,1),"ACCOUNTING_STANDARD_OVERRIDE",$H$7,"EQY_CONSOLIDATED",$H$9,"EQY_FUND_CRNCY",$L$7,"StartCol",E$12,"EndCol",E$12,"StartRow",$B21,"EndRow",$B21))</f>
        <v>920.3</v>
      </c>
      <c r="F21" s="218">
        <f>IF(LEFT(_xll.BDS(Ticker,"PG_REVENUE","PG_HIERARCHY_LEVEL=1","NUMBER_OF_PERIODS=-11","REVERSE_PERIOD_ORDER=N","PRODUCT_GEO_OVERRIDE=P","FUND_PER",RIGHT($B$11,1),"ACCOUNTING_STANDARD_OVERRIDE",$H$7,"EQY_CONSOLIDATED",$H$9,"EQY_FUND_CRNCY",$L$7,"StartCol",F$12,"EndCol",F$12,"StartRow",$B21,"EndRow",$B21),1)="#","",_xll.BDS(Ticker,"PG_REVENUE","PG_HIERARCHY_LEVEL=1","NUMBER_OF_PERIODS=-11","REVERSE_PERIOD_ORDER=N","PRODUCT_GEO_OVERRIDE=P","FUND_PER",RIGHT($B$11,1),"ACCOUNTING_STANDARD_OVERRIDE",$H$7,"EQY_CONSOLIDATED",$H$9,"EQY_FUND_CRNCY",$L$7,"StartCol",F$12,"EndCol",F$12,"StartRow",$B21,"EndRow",$B21))</f>
        <v>985</v>
      </c>
      <c r="G21" s="218">
        <f>IF(LEFT(_xll.BDS(Ticker,"PG_REVENUE","PG_HIERARCHY_LEVEL=1","NUMBER_OF_PERIODS=-11","REVERSE_PERIOD_ORDER=N","PRODUCT_GEO_OVERRIDE=P","FUND_PER",RIGHT($B$11,1),"ACCOUNTING_STANDARD_OVERRIDE",$H$7,"EQY_CONSOLIDATED",$H$9,"EQY_FUND_CRNCY",$L$7,"StartCol",G$12,"EndCol",G$12,"StartRow",$B21,"EndRow",$B21),1)="#","",_xll.BDS(Ticker,"PG_REVENUE","PG_HIERARCHY_LEVEL=1","NUMBER_OF_PERIODS=-11","REVERSE_PERIOD_ORDER=N","PRODUCT_GEO_OVERRIDE=P","FUND_PER",RIGHT($B$11,1),"ACCOUNTING_STANDARD_OVERRIDE",$H$7,"EQY_CONSOLIDATED",$H$9,"EQY_FUND_CRNCY",$L$7,"StartCol",G$12,"EndCol",G$12,"StartRow",$B21,"EndRow",$B21))</f>
        <v>1080</v>
      </c>
      <c r="H21" s="218">
        <f>IF(LEFT(_xll.BDS(Ticker,"PG_REVENUE","PG_HIERARCHY_LEVEL=1","NUMBER_OF_PERIODS=-11","REVERSE_PERIOD_ORDER=N","PRODUCT_GEO_OVERRIDE=P","FUND_PER",RIGHT($B$11,1),"ACCOUNTING_STANDARD_OVERRIDE",$H$7,"EQY_CONSOLIDATED",$H$9,"EQY_FUND_CRNCY",$L$7,"StartCol",H$12,"EndCol",H$12,"StartRow",$B21,"EndRow",$B21),1)="#","",_xll.BDS(Ticker,"PG_REVENUE","PG_HIERARCHY_LEVEL=1","NUMBER_OF_PERIODS=-11","REVERSE_PERIOD_ORDER=N","PRODUCT_GEO_OVERRIDE=P","FUND_PER",RIGHT($B$11,1),"ACCOUNTING_STANDARD_OVERRIDE",$H$7,"EQY_CONSOLIDATED",$H$9,"EQY_FUND_CRNCY",$L$7,"StartCol",H$12,"EndCol",H$12,"StartRow",$B21,"EndRow",$B21))</f>
        <v>1111</v>
      </c>
      <c r="I21" s="218">
        <f>IF(LEFT(_xll.BDS(Ticker,"PG_REVENUE","PG_HIERARCHY_LEVEL=1","NUMBER_OF_PERIODS=-11","REVERSE_PERIOD_ORDER=N","PRODUCT_GEO_OVERRIDE=P","FUND_PER",RIGHT($B$11,1),"ACCOUNTING_STANDARD_OVERRIDE",$H$7,"EQY_CONSOLIDATED",$H$9,"EQY_FUND_CRNCY",$L$7,"StartCol",I$12,"EndCol",I$12,"StartRow",$B21,"EndRow",$B21),1)="#","",_xll.BDS(Ticker,"PG_REVENUE","PG_HIERARCHY_LEVEL=1","NUMBER_OF_PERIODS=-11","REVERSE_PERIOD_ORDER=N","PRODUCT_GEO_OVERRIDE=P","FUND_PER",RIGHT($B$11,1),"ACCOUNTING_STANDARD_OVERRIDE",$H$7,"EQY_CONSOLIDATED",$H$9,"EQY_FUND_CRNCY",$L$7,"StartCol",I$12,"EndCol",I$12,"StartRow",$B21,"EndRow",$B21))</f>
        <v>1222</v>
      </c>
      <c r="J21" s="218">
        <f>IF(LEFT(_xll.BDS(Ticker,"PG_REVENUE","PG_HIERARCHY_LEVEL=1","NUMBER_OF_PERIODS=-11","REVERSE_PERIOD_ORDER=N","PRODUCT_GEO_OVERRIDE=P","FUND_PER",RIGHT($B$11,1),"ACCOUNTING_STANDARD_OVERRIDE",$H$7,"EQY_CONSOLIDATED",$H$9,"EQY_FUND_CRNCY",$L$7,"StartCol",J$12,"EndCol",J$12,"StartRow",$B21,"EndRow",$B21),1)="#","",_xll.BDS(Ticker,"PG_REVENUE","PG_HIERARCHY_LEVEL=1","NUMBER_OF_PERIODS=-11","REVERSE_PERIOD_ORDER=N","PRODUCT_GEO_OVERRIDE=P","FUND_PER",RIGHT($B$11,1),"ACCOUNTING_STANDARD_OVERRIDE",$H$7,"EQY_CONSOLIDATED",$H$9,"EQY_FUND_CRNCY",$L$7,"StartCol",J$12,"EndCol",J$12,"StartRow",$B21,"EndRow",$B21))</f>
        <v>1382</v>
      </c>
      <c r="K21" s="218">
        <f>IF(LEFT(_xll.BDS(Ticker,"PG_REVENUE","PG_HIERARCHY_LEVEL=1","NUMBER_OF_PERIODS=-11","REVERSE_PERIOD_ORDER=N","PRODUCT_GEO_OVERRIDE=P","FUND_PER",RIGHT($B$11,1),"ACCOUNTING_STANDARD_OVERRIDE",$H$7,"EQY_CONSOLIDATED",$H$9,"EQY_FUND_CRNCY",$L$7,"StartCol",K$12,"EndCol",K$12,"StartRow",$B21,"EndRow",$B21),1)="#","",_xll.BDS(Ticker,"PG_REVENUE","PG_HIERARCHY_LEVEL=1","NUMBER_OF_PERIODS=-11","REVERSE_PERIOD_ORDER=N","PRODUCT_GEO_OVERRIDE=P","FUND_PER",RIGHT($B$11,1),"ACCOUNTING_STANDARD_OVERRIDE",$H$7,"EQY_CONSOLIDATED",$H$9,"EQY_FUND_CRNCY",$L$7,"StartCol",K$12,"EndCol",K$12,"StartRow",$B21,"EndRow",$B21))</f>
        <v>1390</v>
      </c>
      <c r="L21" s="218">
        <f>IF(LEFT(_xll.BDS(Ticker,"PG_REVENUE","PG_HIERARCHY_LEVEL=1","NUMBER_OF_PERIODS=-11","REVERSE_PERIOD_ORDER=N","PRODUCT_GEO_OVERRIDE=P","FUND_PER",RIGHT($B$11,1),"ACCOUNTING_STANDARD_OVERRIDE",$H$7,"EQY_CONSOLIDATED",$H$9,"EQY_FUND_CRNCY",$L$7,"StartCol",L$12,"EndCol",L$12,"StartRow",$B21,"EndRow",$B21),1)="#","",_xll.BDS(Ticker,"PG_REVENUE","PG_HIERARCHY_LEVEL=1","NUMBER_OF_PERIODS=-11","REVERSE_PERIOD_ORDER=N","PRODUCT_GEO_OVERRIDE=P","FUND_PER",RIGHT($B$11,1),"ACCOUNTING_STANDARD_OVERRIDE",$H$7,"EQY_CONSOLIDATED",$H$9,"EQY_FUND_CRNCY",$L$7,"StartCol",L$12,"EndCol",L$12,"StartRow",$B21,"EndRow",$B21))</f>
        <v>1470</v>
      </c>
      <c r="M21" s="218">
        <f>IF(LEFT(_xll.BDS(Ticker,"PG_REVENUE","PG_HIERARCHY_LEVEL=1","NUMBER_OF_PERIODS=-11","REVERSE_PERIOD_ORDER=N","PRODUCT_GEO_OVERRIDE=P","FUND_PER",RIGHT($B$11,1),"ACCOUNTING_STANDARD_OVERRIDE",$H$7,"EQY_CONSOLIDATED",$H$9,"EQY_FUND_CRNCY",$L$7,"StartCol",M$12,"EndCol",M$12,"StartRow",$B21,"EndRow",$B21),1)="#","",_xll.BDS(Ticker,"PG_REVENUE","PG_HIERARCHY_LEVEL=1","NUMBER_OF_PERIODS=-11","REVERSE_PERIOD_ORDER=N","PRODUCT_GEO_OVERRIDE=P","FUND_PER",RIGHT($B$11,1),"ACCOUNTING_STANDARD_OVERRIDE",$H$7,"EQY_CONSOLIDATED",$H$9,"EQY_FUND_CRNCY",$L$7,"StartCol",M$12,"EndCol",M$12,"StartRow",$B21,"EndRow",$B21))</f>
        <v>1652</v>
      </c>
      <c r="N21" s="218">
        <f>IF(LEFT(_xll.BDS(Ticker,"PG_REVENUE","PG_HIERARCHY_LEVEL=1","NUMBER_OF_PERIODS=-11","REVERSE_PERIOD_ORDER=N","PRODUCT_GEO_OVERRIDE=P","FUND_PER",RIGHT($B$11,1),"ACCOUNTING_STANDARD_OVERRIDE",$H$7,"EQY_CONSOLIDATED",$H$9,"EQY_FUND_CRNCY",$L$7,"StartCol",N$12,"EndCol",N$12,"StartRow",$B21,"EndRow",$B21),1)="#","",_xll.BDS(Ticker,"PG_REVENUE","PG_HIERARCHY_LEVEL=1","NUMBER_OF_PERIODS=-11","REVERSE_PERIOD_ORDER=N","PRODUCT_GEO_OVERRIDE=P","FUND_PER",RIGHT($B$11,1),"ACCOUNTING_STANDARD_OVERRIDE",$H$7,"EQY_CONSOLIDATED",$H$9,"EQY_FUND_CRNCY",$L$7,"StartCol",N$12,"EndCol",N$12,"StartRow",$B21,"EndRow",$B21))</f>
        <v>1846</v>
      </c>
    </row>
    <row r="22" spans="2:15" outlineLevel="1">
      <c r="B22" s="214">
        <v>6</v>
      </c>
      <c r="C22" s="216" t="str">
        <f>IF(LEFT(_xll.BDS(Ticker,"PG_REVENUE","PG_HIERARCHY_LEVEL=1","NUMBER_OF_PERIODS=-11","REVERSE_PERIOD_ORDER=N","PRODUCT_GEO_OVERRIDE=P","FUND_PER",RIGHT($B$11,1),"ACCOUNTING_STANDARD_OVERRIDE",$H$7,"EQY_CONSOLIDATED",$H$9,"EQY_FUND_CRNCY",$L$7,"StartCol",C$12,"EndCol",C$12,"StartRow",$B22,"EndRow",$B22),1)="#","",_xll.BDS(Ticker,"PG_REVENUE","PG_HIERARCHY_LEVEL=1","NUMBER_OF_PERIODS=-11","REVERSE_PERIOD_ORDER=N","PRODUCT_GEO_OVERRIDE=P","FUND_PER",RIGHT($B$11,1),"ACCOUNTING_STANDARD_OVERRIDE",$H$7,"EQY_CONSOLIDATED",$H$9,"EQY_FUND_CRNCY",$L$7,"StartCol",C$12,"EndCol",C$12,"StartRow",$B22,"EndRow",$B22))</f>
        <v>Others</v>
      </c>
      <c r="D22" s="218">
        <f>IF(LEFT(_xll.BDS(Ticker,"PG_REVENUE","PG_HIERARCHY_LEVEL=1","NUMBER_OF_PERIODS=-11","REVERSE_PERIOD_ORDER=N","PRODUCT_GEO_OVERRIDE=P","FUND_PER",RIGHT($B$11,1),"ACCOUNTING_STANDARD_OVERRIDE",$H$7,"EQY_CONSOLIDATED",$H$9,"EQY_FUND_CRNCY",$L$7,"StartCol",D$12,"EndCol",D$12,"StartRow",$B22,"EndRow",$B22),1)="#","",_xll.BDS(Ticker,"PG_REVENUE","PG_HIERARCHY_LEVEL=1","NUMBER_OF_PERIODS=-11","REVERSE_PERIOD_ORDER=N","PRODUCT_GEO_OVERRIDE=P","FUND_PER",RIGHT($B$11,1),"ACCOUNTING_STANDARD_OVERRIDE",$H$7,"EQY_CONSOLIDATED",$H$9,"EQY_FUND_CRNCY",$L$7,"StartCol",D$12,"EndCol",D$12,"StartRow",$B22,"EndRow",$B22))</f>
        <v>0</v>
      </c>
      <c r="E22" s="218" t="str">
        <f>IF(LEFT(_xll.BDS(Ticker,"PG_REVENUE","PG_HIERARCHY_LEVEL=1","NUMBER_OF_PERIODS=-11","REVERSE_PERIOD_ORDER=N","PRODUCT_GEO_OVERRIDE=P","FUND_PER",RIGHT($B$11,1),"ACCOUNTING_STANDARD_OVERRIDE",$H$7,"EQY_CONSOLIDATED",$H$9,"EQY_FUND_CRNCY",$L$7,"StartCol",E$12,"EndCol",E$12,"StartRow",$B22,"EndRow",$B22),1)="#","",_xll.BDS(Ticker,"PG_REVENUE","PG_HIERARCHY_LEVEL=1","NUMBER_OF_PERIODS=-11","REVERSE_PERIOD_ORDER=N","PRODUCT_GEO_OVERRIDE=P","FUND_PER",RIGHT($B$11,1),"ACCOUNTING_STANDARD_OVERRIDE",$H$7,"EQY_CONSOLIDATED",$H$9,"EQY_FUND_CRNCY",$L$7,"StartCol",E$12,"EndCol",E$12,"StartRow",$B22,"EndRow",$B22))</f>
        <v/>
      </c>
      <c r="F22" s="218" t="str">
        <f>IF(LEFT(_xll.BDS(Ticker,"PG_REVENUE","PG_HIERARCHY_LEVEL=1","NUMBER_OF_PERIODS=-11","REVERSE_PERIOD_ORDER=N","PRODUCT_GEO_OVERRIDE=P","FUND_PER",RIGHT($B$11,1),"ACCOUNTING_STANDARD_OVERRIDE",$H$7,"EQY_CONSOLIDATED",$H$9,"EQY_FUND_CRNCY",$L$7,"StartCol",F$12,"EndCol",F$12,"StartRow",$B22,"EndRow",$B22),1)="#","",_xll.BDS(Ticker,"PG_REVENUE","PG_HIERARCHY_LEVEL=1","NUMBER_OF_PERIODS=-11","REVERSE_PERIOD_ORDER=N","PRODUCT_GEO_OVERRIDE=P","FUND_PER",RIGHT($B$11,1),"ACCOUNTING_STANDARD_OVERRIDE",$H$7,"EQY_CONSOLIDATED",$H$9,"EQY_FUND_CRNCY",$L$7,"StartCol",F$12,"EndCol",F$12,"StartRow",$B22,"EndRow",$B22))</f>
        <v/>
      </c>
      <c r="G22" s="218" t="str">
        <f>IF(LEFT(_xll.BDS(Ticker,"PG_REVENUE","PG_HIERARCHY_LEVEL=1","NUMBER_OF_PERIODS=-11","REVERSE_PERIOD_ORDER=N","PRODUCT_GEO_OVERRIDE=P","FUND_PER",RIGHT($B$11,1),"ACCOUNTING_STANDARD_OVERRIDE",$H$7,"EQY_CONSOLIDATED",$H$9,"EQY_FUND_CRNCY",$L$7,"StartCol",G$12,"EndCol",G$12,"StartRow",$B22,"EndRow",$B22),1)="#","",_xll.BDS(Ticker,"PG_REVENUE","PG_HIERARCHY_LEVEL=1","NUMBER_OF_PERIODS=-11","REVERSE_PERIOD_ORDER=N","PRODUCT_GEO_OVERRIDE=P","FUND_PER",RIGHT($B$11,1),"ACCOUNTING_STANDARD_OVERRIDE",$H$7,"EQY_CONSOLIDATED",$H$9,"EQY_FUND_CRNCY",$L$7,"StartCol",G$12,"EndCol",G$12,"StartRow",$B22,"EndRow",$B22))</f>
        <v/>
      </c>
      <c r="H22" s="218" t="str">
        <f>IF(LEFT(_xll.BDS(Ticker,"PG_REVENUE","PG_HIERARCHY_LEVEL=1","NUMBER_OF_PERIODS=-11","REVERSE_PERIOD_ORDER=N","PRODUCT_GEO_OVERRIDE=P","FUND_PER",RIGHT($B$11,1),"ACCOUNTING_STANDARD_OVERRIDE",$H$7,"EQY_CONSOLIDATED",$H$9,"EQY_FUND_CRNCY",$L$7,"StartCol",H$12,"EndCol",H$12,"StartRow",$B22,"EndRow",$B22),1)="#","",_xll.BDS(Ticker,"PG_REVENUE","PG_HIERARCHY_LEVEL=1","NUMBER_OF_PERIODS=-11","REVERSE_PERIOD_ORDER=N","PRODUCT_GEO_OVERRIDE=P","FUND_PER",RIGHT($B$11,1),"ACCOUNTING_STANDARD_OVERRIDE",$H$7,"EQY_CONSOLIDATED",$H$9,"EQY_FUND_CRNCY",$L$7,"StartCol",H$12,"EndCol",H$12,"StartRow",$B22,"EndRow",$B22))</f>
        <v/>
      </c>
      <c r="I22" s="218" t="str">
        <f>IF(LEFT(_xll.BDS(Ticker,"PG_REVENUE","PG_HIERARCHY_LEVEL=1","NUMBER_OF_PERIODS=-11","REVERSE_PERIOD_ORDER=N","PRODUCT_GEO_OVERRIDE=P","FUND_PER",RIGHT($B$11,1),"ACCOUNTING_STANDARD_OVERRIDE",$H$7,"EQY_CONSOLIDATED",$H$9,"EQY_FUND_CRNCY",$L$7,"StartCol",I$12,"EndCol",I$12,"StartRow",$B22,"EndRow",$B22),1)="#","",_xll.BDS(Ticker,"PG_REVENUE","PG_HIERARCHY_LEVEL=1","NUMBER_OF_PERIODS=-11","REVERSE_PERIOD_ORDER=N","PRODUCT_GEO_OVERRIDE=P","FUND_PER",RIGHT($B$11,1),"ACCOUNTING_STANDARD_OVERRIDE",$H$7,"EQY_CONSOLIDATED",$H$9,"EQY_FUND_CRNCY",$L$7,"StartCol",I$12,"EndCol",I$12,"StartRow",$B22,"EndRow",$B22))</f>
        <v/>
      </c>
      <c r="J22" s="218" t="str">
        <f>IF(LEFT(_xll.BDS(Ticker,"PG_REVENUE","PG_HIERARCHY_LEVEL=1","NUMBER_OF_PERIODS=-11","REVERSE_PERIOD_ORDER=N","PRODUCT_GEO_OVERRIDE=P","FUND_PER",RIGHT($B$11,1),"ACCOUNTING_STANDARD_OVERRIDE",$H$7,"EQY_CONSOLIDATED",$H$9,"EQY_FUND_CRNCY",$L$7,"StartCol",J$12,"EndCol",J$12,"StartRow",$B22,"EndRow",$B22),1)="#","",_xll.BDS(Ticker,"PG_REVENUE","PG_HIERARCHY_LEVEL=1","NUMBER_OF_PERIODS=-11","REVERSE_PERIOD_ORDER=N","PRODUCT_GEO_OVERRIDE=P","FUND_PER",RIGHT($B$11,1),"ACCOUNTING_STANDARD_OVERRIDE",$H$7,"EQY_CONSOLIDATED",$H$9,"EQY_FUND_CRNCY",$L$7,"StartCol",J$12,"EndCol",J$12,"StartRow",$B22,"EndRow",$B22))</f>
        <v/>
      </c>
      <c r="K22" s="218" t="str">
        <f>IF(LEFT(_xll.BDS(Ticker,"PG_REVENUE","PG_HIERARCHY_LEVEL=1","NUMBER_OF_PERIODS=-11","REVERSE_PERIOD_ORDER=N","PRODUCT_GEO_OVERRIDE=P","FUND_PER",RIGHT($B$11,1),"ACCOUNTING_STANDARD_OVERRIDE",$H$7,"EQY_CONSOLIDATED",$H$9,"EQY_FUND_CRNCY",$L$7,"StartCol",K$12,"EndCol",K$12,"StartRow",$B22,"EndRow",$B22),1)="#","",_xll.BDS(Ticker,"PG_REVENUE","PG_HIERARCHY_LEVEL=1","NUMBER_OF_PERIODS=-11","REVERSE_PERIOD_ORDER=N","PRODUCT_GEO_OVERRIDE=P","FUND_PER",RIGHT($B$11,1),"ACCOUNTING_STANDARD_OVERRIDE",$H$7,"EQY_CONSOLIDATED",$H$9,"EQY_FUND_CRNCY",$L$7,"StartCol",K$12,"EndCol",K$12,"StartRow",$B22,"EndRow",$B22))</f>
        <v/>
      </c>
      <c r="L22" s="218" t="str">
        <f>IF(LEFT(_xll.BDS(Ticker,"PG_REVENUE","PG_HIERARCHY_LEVEL=1","NUMBER_OF_PERIODS=-11","REVERSE_PERIOD_ORDER=N","PRODUCT_GEO_OVERRIDE=P","FUND_PER",RIGHT($B$11,1),"ACCOUNTING_STANDARD_OVERRIDE",$H$7,"EQY_CONSOLIDATED",$H$9,"EQY_FUND_CRNCY",$L$7,"StartCol",L$12,"EndCol",L$12,"StartRow",$B22,"EndRow",$B22),1)="#","",_xll.BDS(Ticker,"PG_REVENUE","PG_HIERARCHY_LEVEL=1","NUMBER_OF_PERIODS=-11","REVERSE_PERIOD_ORDER=N","PRODUCT_GEO_OVERRIDE=P","FUND_PER",RIGHT($B$11,1),"ACCOUNTING_STANDARD_OVERRIDE",$H$7,"EQY_CONSOLIDATED",$H$9,"EQY_FUND_CRNCY",$L$7,"StartCol",L$12,"EndCol",L$12,"StartRow",$B22,"EndRow",$B22))</f>
        <v/>
      </c>
      <c r="M22" s="218" t="str">
        <f>IF(LEFT(_xll.BDS(Ticker,"PG_REVENUE","PG_HIERARCHY_LEVEL=1","NUMBER_OF_PERIODS=-11","REVERSE_PERIOD_ORDER=N","PRODUCT_GEO_OVERRIDE=P","FUND_PER",RIGHT($B$11,1),"ACCOUNTING_STANDARD_OVERRIDE",$H$7,"EQY_CONSOLIDATED",$H$9,"EQY_FUND_CRNCY",$L$7,"StartCol",M$12,"EndCol",M$12,"StartRow",$B22,"EndRow",$B22),1)="#","",_xll.BDS(Ticker,"PG_REVENUE","PG_HIERARCHY_LEVEL=1","NUMBER_OF_PERIODS=-11","REVERSE_PERIOD_ORDER=N","PRODUCT_GEO_OVERRIDE=P","FUND_PER",RIGHT($B$11,1),"ACCOUNTING_STANDARD_OVERRIDE",$H$7,"EQY_CONSOLIDATED",$H$9,"EQY_FUND_CRNCY",$L$7,"StartCol",M$12,"EndCol",M$12,"StartRow",$B22,"EndRow",$B22))</f>
        <v/>
      </c>
      <c r="N22" s="218" t="str">
        <f>IF(LEFT(_xll.BDS(Ticker,"PG_REVENUE","PG_HIERARCHY_LEVEL=1","NUMBER_OF_PERIODS=-11","REVERSE_PERIOD_ORDER=N","PRODUCT_GEO_OVERRIDE=P","FUND_PER",RIGHT($B$11,1),"ACCOUNTING_STANDARD_OVERRIDE",$H$7,"EQY_CONSOLIDATED",$H$9,"EQY_FUND_CRNCY",$L$7,"StartCol",N$12,"EndCol",N$12,"StartRow",$B22,"EndRow",$B22),1)="#","",_xll.BDS(Ticker,"PG_REVENUE","PG_HIERARCHY_LEVEL=1","NUMBER_OF_PERIODS=-11","REVERSE_PERIOD_ORDER=N","PRODUCT_GEO_OVERRIDE=P","FUND_PER",RIGHT($B$11,1),"ACCOUNTING_STANDARD_OVERRIDE",$H$7,"EQY_CONSOLIDATED",$H$9,"EQY_FUND_CRNCY",$L$7,"StartCol",N$12,"EndCol",N$12,"StartRow",$B22,"EndRow",$B22))</f>
        <v/>
      </c>
      <c r="O22" s="350"/>
    </row>
    <row r="23" spans="2:15" outlineLevel="1">
      <c r="B23" s="214">
        <v>7</v>
      </c>
      <c r="C23" s="216" t="str">
        <f>IF(LEFT(_xll.BDS(Ticker,"PG_REVENUE","PG_HIERARCHY_LEVEL=1","NUMBER_OF_PERIODS=-11","REVERSE_PERIOD_ORDER=N","PRODUCT_GEO_OVERRIDE=P","FUND_PER",RIGHT($B$11,1),"ACCOUNTING_STANDARD_OVERRIDE",$H$7,"EQY_CONSOLIDATED",$H$9,"EQY_FUND_CRNCY",$L$7,"StartCol",C$12,"EndCol",C$12,"StartRow",$B23,"EndRow",$B23),1)="#","",_xll.BDS(Ticker,"PG_REVENUE","PG_HIERARCHY_LEVEL=1","NUMBER_OF_PERIODS=-11","REVERSE_PERIOD_ORDER=N","PRODUCT_GEO_OVERRIDE=P","FUND_PER",RIGHT($B$11,1),"ACCOUNTING_STANDARD_OVERRIDE",$H$7,"EQY_CONSOLIDATED",$H$9,"EQY_FUND_CRNCY",$L$7,"StartCol",C$12,"EndCol",C$12,"StartRow",$B23,"EndRow",$B23))</f>
        <v>Orthopedic Implants</v>
      </c>
      <c r="D23" s="218">
        <f>IF(LEFT(_xll.BDS(Ticker,"PG_REVENUE","PG_HIERARCHY_LEVEL=1","NUMBER_OF_PERIODS=-11","REVERSE_PERIOD_ORDER=N","PRODUCT_GEO_OVERRIDE=P","FUND_PER",RIGHT($B$11,1),"ACCOUNTING_STANDARD_OVERRIDE",$H$7,"EQY_CONSOLIDATED",$H$9,"EQY_FUND_CRNCY",$L$7,"StartCol",D$12,"EndCol",D$12,"StartRow",$B23,"EndRow",$B23),1)="#","",_xll.BDS(Ticker,"PG_REVENUE","PG_HIERARCHY_LEVEL=1","NUMBER_OF_PERIODS=-11","REVERSE_PERIOD_ORDER=N","PRODUCT_GEO_OVERRIDE=P","FUND_PER",RIGHT($B$11,1),"ACCOUNTING_STANDARD_OVERRIDE",$H$7,"EQY_CONSOLIDATED",$H$9,"EQY_FUND_CRNCY",$L$7,"StartCol",D$12,"EndCol",D$12,"StartRow",$B23,"EndRow",$B23))</f>
        <v>3967.5</v>
      </c>
      <c r="E23" s="218" t="str">
        <f>IF(LEFT(_xll.BDS(Ticker,"PG_REVENUE","PG_HIERARCHY_LEVEL=1","NUMBER_OF_PERIODS=-11","REVERSE_PERIOD_ORDER=N","PRODUCT_GEO_OVERRIDE=P","FUND_PER",RIGHT($B$11,1),"ACCOUNTING_STANDARD_OVERRIDE",$H$7,"EQY_CONSOLIDATED",$H$9,"EQY_FUND_CRNCY",$L$7,"StartCol",E$12,"EndCol",E$12,"StartRow",$B23,"EndRow",$B23),1)="#","",_xll.BDS(Ticker,"PG_REVENUE","PG_HIERARCHY_LEVEL=1","NUMBER_OF_PERIODS=-11","REVERSE_PERIOD_ORDER=N","PRODUCT_GEO_OVERRIDE=P","FUND_PER",RIGHT($B$11,1),"ACCOUNTING_STANDARD_OVERRIDE",$H$7,"EQY_CONSOLIDATED",$H$9,"EQY_FUND_CRNCY",$L$7,"StartCol",E$12,"EndCol",E$12,"StartRow",$B23,"EndRow",$B23))</f>
        <v/>
      </c>
      <c r="F23" s="218" t="str">
        <f>IF(LEFT(_xll.BDS(Ticker,"PG_REVENUE","PG_HIERARCHY_LEVEL=1","NUMBER_OF_PERIODS=-11","REVERSE_PERIOD_ORDER=N","PRODUCT_GEO_OVERRIDE=P","FUND_PER",RIGHT($B$11,1),"ACCOUNTING_STANDARD_OVERRIDE",$H$7,"EQY_CONSOLIDATED",$H$9,"EQY_FUND_CRNCY",$L$7,"StartCol",F$12,"EndCol",F$12,"StartRow",$B23,"EndRow",$B23),1)="#","",_xll.BDS(Ticker,"PG_REVENUE","PG_HIERARCHY_LEVEL=1","NUMBER_OF_PERIODS=-11","REVERSE_PERIOD_ORDER=N","PRODUCT_GEO_OVERRIDE=P","FUND_PER",RIGHT($B$11,1),"ACCOUNTING_STANDARD_OVERRIDE",$H$7,"EQY_CONSOLIDATED",$H$9,"EQY_FUND_CRNCY",$L$7,"StartCol",F$12,"EndCol",F$12,"StartRow",$B23,"EndRow",$B23))</f>
        <v/>
      </c>
      <c r="G23" s="218" t="str">
        <f>IF(LEFT(_xll.BDS(Ticker,"PG_REVENUE","PG_HIERARCHY_LEVEL=1","NUMBER_OF_PERIODS=-11","REVERSE_PERIOD_ORDER=N","PRODUCT_GEO_OVERRIDE=P","FUND_PER",RIGHT($B$11,1),"ACCOUNTING_STANDARD_OVERRIDE",$H$7,"EQY_CONSOLIDATED",$H$9,"EQY_FUND_CRNCY",$L$7,"StartCol",G$12,"EndCol",G$12,"StartRow",$B23,"EndRow",$B23),1)="#","",_xll.BDS(Ticker,"PG_REVENUE","PG_HIERARCHY_LEVEL=1","NUMBER_OF_PERIODS=-11","REVERSE_PERIOD_ORDER=N","PRODUCT_GEO_OVERRIDE=P","FUND_PER",RIGHT($B$11,1),"ACCOUNTING_STANDARD_OVERRIDE",$H$7,"EQY_CONSOLIDATED",$H$9,"EQY_FUND_CRNCY",$L$7,"StartCol",G$12,"EndCol",G$12,"StartRow",$B23,"EndRow",$B23))</f>
        <v/>
      </c>
      <c r="H23" s="218" t="str">
        <f>IF(LEFT(_xll.BDS(Ticker,"PG_REVENUE","PG_HIERARCHY_LEVEL=1","NUMBER_OF_PERIODS=-11","REVERSE_PERIOD_ORDER=N","PRODUCT_GEO_OVERRIDE=P","FUND_PER",RIGHT($B$11,1),"ACCOUNTING_STANDARD_OVERRIDE",$H$7,"EQY_CONSOLIDATED",$H$9,"EQY_FUND_CRNCY",$L$7,"StartCol",H$12,"EndCol",H$12,"StartRow",$B23,"EndRow",$B23),1)="#","",_xll.BDS(Ticker,"PG_REVENUE","PG_HIERARCHY_LEVEL=1","NUMBER_OF_PERIODS=-11","REVERSE_PERIOD_ORDER=N","PRODUCT_GEO_OVERRIDE=P","FUND_PER",RIGHT($B$11,1),"ACCOUNTING_STANDARD_OVERRIDE",$H$7,"EQY_CONSOLIDATED",$H$9,"EQY_FUND_CRNCY",$L$7,"StartCol",H$12,"EndCol",H$12,"StartRow",$B23,"EndRow",$B23))</f>
        <v/>
      </c>
      <c r="I23" s="218" t="str">
        <f>IF(LEFT(_xll.BDS(Ticker,"PG_REVENUE","PG_HIERARCHY_LEVEL=1","NUMBER_OF_PERIODS=-11","REVERSE_PERIOD_ORDER=N","PRODUCT_GEO_OVERRIDE=P","FUND_PER",RIGHT($B$11,1),"ACCOUNTING_STANDARD_OVERRIDE",$H$7,"EQY_CONSOLIDATED",$H$9,"EQY_FUND_CRNCY",$L$7,"StartCol",I$12,"EndCol",I$12,"StartRow",$B23,"EndRow",$B23),1)="#","",_xll.BDS(Ticker,"PG_REVENUE","PG_HIERARCHY_LEVEL=1","NUMBER_OF_PERIODS=-11","REVERSE_PERIOD_ORDER=N","PRODUCT_GEO_OVERRIDE=P","FUND_PER",RIGHT($B$11,1),"ACCOUNTING_STANDARD_OVERRIDE",$H$7,"EQY_CONSOLIDATED",$H$9,"EQY_FUND_CRNCY",$L$7,"StartCol",I$12,"EndCol",I$12,"StartRow",$B23,"EndRow",$B23))</f>
        <v/>
      </c>
      <c r="J23" s="218" t="str">
        <f>IF(LEFT(_xll.BDS(Ticker,"PG_REVENUE","PG_HIERARCHY_LEVEL=1","NUMBER_OF_PERIODS=-11","REVERSE_PERIOD_ORDER=N","PRODUCT_GEO_OVERRIDE=P","FUND_PER",RIGHT($B$11,1),"ACCOUNTING_STANDARD_OVERRIDE",$H$7,"EQY_CONSOLIDATED",$H$9,"EQY_FUND_CRNCY",$L$7,"StartCol",J$12,"EndCol",J$12,"StartRow",$B23,"EndRow",$B23),1)="#","",_xll.BDS(Ticker,"PG_REVENUE","PG_HIERARCHY_LEVEL=1","NUMBER_OF_PERIODS=-11","REVERSE_PERIOD_ORDER=N","PRODUCT_GEO_OVERRIDE=P","FUND_PER",RIGHT($B$11,1),"ACCOUNTING_STANDARD_OVERRIDE",$H$7,"EQY_CONSOLIDATED",$H$9,"EQY_FUND_CRNCY",$L$7,"StartCol",J$12,"EndCol",J$12,"StartRow",$B23,"EndRow",$B23))</f>
        <v/>
      </c>
      <c r="K23" s="218" t="str">
        <f>IF(LEFT(_xll.BDS(Ticker,"PG_REVENUE","PG_HIERARCHY_LEVEL=1","NUMBER_OF_PERIODS=-11","REVERSE_PERIOD_ORDER=N","PRODUCT_GEO_OVERRIDE=P","FUND_PER",RIGHT($B$11,1),"ACCOUNTING_STANDARD_OVERRIDE",$H$7,"EQY_CONSOLIDATED",$H$9,"EQY_FUND_CRNCY",$L$7,"StartCol",K$12,"EndCol",K$12,"StartRow",$B23,"EndRow",$B23),1)="#","",_xll.BDS(Ticker,"PG_REVENUE","PG_HIERARCHY_LEVEL=1","NUMBER_OF_PERIODS=-11","REVERSE_PERIOD_ORDER=N","PRODUCT_GEO_OVERRIDE=P","FUND_PER",RIGHT($B$11,1),"ACCOUNTING_STANDARD_OVERRIDE",$H$7,"EQY_CONSOLIDATED",$H$9,"EQY_FUND_CRNCY",$L$7,"StartCol",K$12,"EndCol",K$12,"StartRow",$B23,"EndRow",$B23))</f>
        <v/>
      </c>
      <c r="L23" s="218" t="str">
        <f>IF(LEFT(_xll.BDS(Ticker,"PG_REVENUE","PG_HIERARCHY_LEVEL=1","NUMBER_OF_PERIODS=-11","REVERSE_PERIOD_ORDER=N","PRODUCT_GEO_OVERRIDE=P","FUND_PER",RIGHT($B$11,1),"ACCOUNTING_STANDARD_OVERRIDE",$H$7,"EQY_CONSOLIDATED",$H$9,"EQY_FUND_CRNCY",$L$7,"StartCol",L$12,"EndCol",L$12,"StartRow",$B23,"EndRow",$B23),1)="#","",_xll.BDS(Ticker,"PG_REVENUE","PG_HIERARCHY_LEVEL=1","NUMBER_OF_PERIODS=-11","REVERSE_PERIOD_ORDER=N","PRODUCT_GEO_OVERRIDE=P","FUND_PER",RIGHT($B$11,1),"ACCOUNTING_STANDARD_OVERRIDE",$H$7,"EQY_CONSOLIDATED",$H$9,"EQY_FUND_CRNCY",$L$7,"StartCol",L$12,"EndCol",L$12,"StartRow",$B23,"EndRow",$B23))</f>
        <v/>
      </c>
      <c r="M23" s="218" t="str">
        <f>IF(LEFT(_xll.BDS(Ticker,"PG_REVENUE","PG_HIERARCHY_LEVEL=1","NUMBER_OF_PERIODS=-11","REVERSE_PERIOD_ORDER=N","PRODUCT_GEO_OVERRIDE=P","FUND_PER",RIGHT($B$11,1),"ACCOUNTING_STANDARD_OVERRIDE",$H$7,"EQY_CONSOLIDATED",$H$9,"EQY_FUND_CRNCY",$L$7,"StartCol",M$12,"EndCol",M$12,"StartRow",$B23,"EndRow",$B23),1)="#","",_xll.BDS(Ticker,"PG_REVENUE","PG_HIERARCHY_LEVEL=1","NUMBER_OF_PERIODS=-11","REVERSE_PERIOD_ORDER=N","PRODUCT_GEO_OVERRIDE=P","FUND_PER",RIGHT($B$11,1),"ACCOUNTING_STANDARD_OVERRIDE",$H$7,"EQY_CONSOLIDATED",$H$9,"EQY_FUND_CRNCY",$L$7,"StartCol",M$12,"EndCol",M$12,"StartRow",$B23,"EndRow",$B23))</f>
        <v/>
      </c>
      <c r="N23" s="218" t="str">
        <f>IF(LEFT(_xll.BDS(Ticker,"PG_REVENUE","PG_HIERARCHY_LEVEL=1","NUMBER_OF_PERIODS=-11","REVERSE_PERIOD_ORDER=N","PRODUCT_GEO_OVERRIDE=P","FUND_PER",RIGHT($B$11,1),"ACCOUNTING_STANDARD_OVERRIDE",$H$7,"EQY_CONSOLIDATED",$H$9,"EQY_FUND_CRNCY",$L$7,"StartCol",N$12,"EndCol",N$12,"StartRow",$B23,"EndRow",$B23),1)="#","",_xll.BDS(Ticker,"PG_REVENUE","PG_HIERARCHY_LEVEL=1","NUMBER_OF_PERIODS=-11","REVERSE_PERIOD_ORDER=N","PRODUCT_GEO_OVERRIDE=P","FUND_PER",RIGHT($B$11,1),"ACCOUNTING_STANDARD_OVERRIDE",$H$7,"EQY_CONSOLIDATED",$H$9,"EQY_FUND_CRNCY",$L$7,"StartCol",N$12,"EndCol",N$12,"StartRow",$B23,"EndRow",$B23))</f>
        <v/>
      </c>
    </row>
    <row r="24" spans="2:15" outlineLevel="1">
      <c r="B24" s="214">
        <v>8</v>
      </c>
      <c r="C24" s="216" t="str">
        <f>IF(LEFT(_xll.BDS(Ticker,"PG_REVENUE","PG_HIERARCHY_LEVEL=1","NUMBER_OF_PERIODS=-11","REVERSE_PERIOD_ORDER=N","PRODUCT_GEO_OVERRIDE=P","FUND_PER",RIGHT($B$11,1),"ACCOUNTING_STANDARD_OVERRIDE",$H$7,"EQY_CONSOLIDATED",$H$9,"EQY_FUND_CRNCY",$L$7,"StartCol",C$12,"EndCol",C$12,"StartRow",$B24,"EndRow",$B24),1)="#","",_xll.BDS(Ticker,"PG_REVENUE","PG_HIERARCHY_LEVEL=1","NUMBER_OF_PERIODS=-11","REVERSE_PERIOD_ORDER=N","PRODUCT_GEO_OVERRIDE=P","FUND_PER",RIGHT($B$11,1),"ACCOUNTING_STANDARD_OVERRIDE",$H$7,"EQY_CONSOLIDATED",$H$9,"EQY_FUND_CRNCY",$L$7,"StartCol",C$12,"EndCol",C$12,"StartRow",$B24,"EndRow",$B24))</f>
        <v>Reconstructive_orthopaedics</v>
      </c>
      <c r="D24" s="218" t="str">
        <f>IF(LEFT(_xll.BDS(Ticker,"PG_REVENUE","PG_HIERARCHY_LEVEL=1","NUMBER_OF_PERIODS=-11","REVERSE_PERIOD_ORDER=N","PRODUCT_GEO_OVERRIDE=P","FUND_PER",RIGHT($B$11,1),"ACCOUNTING_STANDARD_OVERRIDE",$H$7,"EQY_CONSOLIDATED",$H$9,"EQY_FUND_CRNCY",$L$7,"StartCol",D$12,"EndCol",D$12,"StartRow",$B24,"EndRow",$B24),1)="#","",_xll.BDS(Ticker,"PG_REVENUE","PG_HIERARCHY_LEVEL=1","NUMBER_OF_PERIODS=-11","REVERSE_PERIOD_ORDER=N","PRODUCT_GEO_OVERRIDE=P","FUND_PER",RIGHT($B$11,1),"ACCOUNTING_STANDARD_OVERRIDE",$H$7,"EQY_CONSOLIDATED",$H$9,"EQY_FUND_CRNCY",$L$7,"StartCol",D$12,"EndCol",D$12,"StartRow",$B24,"EndRow",$B24))</f>
        <v/>
      </c>
      <c r="E24" s="218">
        <f>IF(LEFT(_xll.BDS(Ticker,"PG_REVENUE","PG_HIERARCHY_LEVEL=1","NUMBER_OF_PERIODS=-11","REVERSE_PERIOD_ORDER=N","PRODUCT_GEO_OVERRIDE=P","FUND_PER",RIGHT($B$11,1),"ACCOUNTING_STANDARD_OVERRIDE",$H$7,"EQY_CONSOLIDATED",$H$9,"EQY_FUND_CRNCY",$L$7,"StartCol",E$12,"EndCol",E$12,"StartRow",$B24,"EndRow",$B24),1)="#","",_xll.BDS(Ticker,"PG_REVENUE","PG_HIERARCHY_LEVEL=1","NUMBER_OF_PERIODS=-11","REVERSE_PERIOD_ORDER=N","PRODUCT_GEO_OVERRIDE=P","FUND_PER",RIGHT($B$11,1),"ACCOUNTING_STANDARD_OVERRIDE",$H$7,"EQY_CONSOLIDATED",$H$9,"EQY_FUND_CRNCY",$L$7,"StartCol",E$12,"EndCol",E$12,"StartRow",$B24,"EndRow",$B24))</f>
        <v>3383.5</v>
      </c>
      <c r="F24" s="218" t="str">
        <f>IF(LEFT(_xll.BDS(Ticker,"PG_REVENUE","PG_HIERARCHY_LEVEL=1","NUMBER_OF_PERIODS=-11","REVERSE_PERIOD_ORDER=N","PRODUCT_GEO_OVERRIDE=P","FUND_PER",RIGHT($B$11,1),"ACCOUNTING_STANDARD_OVERRIDE",$H$7,"EQY_CONSOLIDATED",$H$9,"EQY_FUND_CRNCY",$L$7,"StartCol",F$12,"EndCol",F$12,"StartRow",$B24,"EndRow",$B24),1)="#","",_xll.BDS(Ticker,"PG_REVENUE","PG_HIERARCHY_LEVEL=1","NUMBER_OF_PERIODS=-11","REVERSE_PERIOD_ORDER=N","PRODUCT_GEO_OVERRIDE=P","FUND_PER",RIGHT($B$11,1),"ACCOUNTING_STANDARD_OVERRIDE",$H$7,"EQY_CONSOLIDATED",$H$9,"EQY_FUND_CRNCY",$L$7,"StartCol",F$12,"EndCol",F$12,"StartRow",$B24,"EndRow",$B24))</f>
        <v/>
      </c>
      <c r="G24" s="218" t="str">
        <f>IF(LEFT(_xll.BDS(Ticker,"PG_REVENUE","PG_HIERARCHY_LEVEL=1","NUMBER_OF_PERIODS=-11","REVERSE_PERIOD_ORDER=N","PRODUCT_GEO_OVERRIDE=P","FUND_PER",RIGHT($B$11,1),"ACCOUNTING_STANDARD_OVERRIDE",$H$7,"EQY_CONSOLIDATED",$H$9,"EQY_FUND_CRNCY",$L$7,"StartCol",G$12,"EndCol",G$12,"StartRow",$B24,"EndRow",$B24),1)="#","",_xll.BDS(Ticker,"PG_REVENUE","PG_HIERARCHY_LEVEL=1","NUMBER_OF_PERIODS=-11","REVERSE_PERIOD_ORDER=N","PRODUCT_GEO_OVERRIDE=P","FUND_PER",RIGHT($B$11,1),"ACCOUNTING_STANDARD_OVERRIDE",$H$7,"EQY_CONSOLIDATED",$H$9,"EQY_FUND_CRNCY",$L$7,"StartCol",G$12,"EndCol",G$12,"StartRow",$B24,"EndRow",$B24))</f>
        <v/>
      </c>
      <c r="H24" s="218" t="str">
        <f>IF(LEFT(_xll.BDS(Ticker,"PG_REVENUE","PG_HIERARCHY_LEVEL=1","NUMBER_OF_PERIODS=-11","REVERSE_PERIOD_ORDER=N","PRODUCT_GEO_OVERRIDE=P","FUND_PER",RIGHT($B$11,1),"ACCOUNTING_STANDARD_OVERRIDE",$H$7,"EQY_CONSOLIDATED",$H$9,"EQY_FUND_CRNCY",$L$7,"StartCol",H$12,"EndCol",H$12,"StartRow",$B24,"EndRow",$B24),1)="#","",_xll.BDS(Ticker,"PG_REVENUE","PG_HIERARCHY_LEVEL=1","NUMBER_OF_PERIODS=-11","REVERSE_PERIOD_ORDER=N","PRODUCT_GEO_OVERRIDE=P","FUND_PER",RIGHT($B$11,1),"ACCOUNTING_STANDARD_OVERRIDE",$H$7,"EQY_CONSOLIDATED",$H$9,"EQY_FUND_CRNCY",$L$7,"StartCol",H$12,"EndCol",H$12,"StartRow",$B24,"EndRow",$B24))</f>
        <v/>
      </c>
      <c r="I24" s="218" t="str">
        <f>IF(LEFT(_xll.BDS(Ticker,"PG_REVENUE","PG_HIERARCHY_LEVEL=1","NUMBER_OF_PERIODS=-11","REVERSE_PERIOD_ORDER=N","PRODUCT_GEO_OVERRIDE=P","FUND_PER",RIGHT($B$11,1),"ACCOUNTING_STANDARD_OVERRIDE",$H$7,"EQY_CONSOLIDATED",$H$9,"EQY_FUND_CRNCY",$L$7,"StartCol",I$12,"EndCol",I$12,"StartRow",$B24,"EndRow",$B24),1)="#","",_xll.BDS(Ticker,"PG_REVENUE","PG_HIERARCHY_LEVEL=1","NUMBER_OF_PERIODS=-11","REVERSE_PERIOD_ORDER=N","PRODUCT_GEO_OVERRIDE=P","FUND_PER",RIGHT($B$11,1),"ACCOUNTING_STANDARD_OVERRIDE",$H$7,"EQY_CONSOLIDATED",$H$9,"EQY_FUND_CRNCY",$L$7,"StartCol",I$12,"EndCol",I$12,"StartRow",$B24,"EndRow",$B24))</f>
        <v/>
      </c>
      <c r="J24" s="218" t="str">
        <f>IF(LEFT(_xll.BDS(Ticker,"PG_REVENUE","PG_HIERARCHY_LEVEL=1","NUMBER_OF_PERIODS=-11","REVERSE_PERIOD_ORDER=N","PRODUCT_GEO_OVERRIDE=P","FUND_PER",RIGHT($B$11,1),"ACCOUNTING_STANDARD_OVERRIDE",$H$7,"EQY_CONSOLIDATED",$H$9,"EQY_FUND_CRNCY",$L$7,"StartCol",J$12,"EndCol",J$12,"StartRow",$B24,"EndRow",$B24),1)="#","",_xll.BDS(Ticker,"PG_REVENUE","PG_HIERARCHY_LEVEL=1","NUMBER_OF_PERIODS=-11","REVERSE_PERIOD_ORDER=N","PRODUCT_GEO_OVERRIDE=P","FUND_PER",RIGHT($B$11,1),"ACCOUNTING_STANDARD_OVERRIDE",$H$7,"EQY_CONSOLIDATED",$H$9,"EQY_FUND_CRNCY",$L$7,"StartCol",J$12,"EndCol",J$12,"StartRow",$B24,"EndRow",$B24))</f>
        <v/>
      </c>
      <c r="K24" s="218" t="str">
        <f>IF(LEFT(_xll.BDS(Ticker,"PG_REVENUE","PG_HIERARCHY_LEVEL=1","NUMBER_OF_PERIODS=-11","REVERSE_PERIOD_ORDER=N","PRODUCT_GEO_OVERRIDE=P","FUND_PER",RIGHT($B$11,1),"ACCOUNTING_STANDARD_OVERRIDE",$H$7,"EQY_CONSOLIDATED",$H$9,"EQY_FUND_CRNCY",$L$7,"StartCol",K$12,"EndCol",K$12,"StartRow",$B24,"EndRow",$B24),1)="#","",_xll.BDS(Ticker,"PG_REVENUE","PG_HIERARCHY_LEVEL=1","NUMBER_OF_PERIODS=-11","REVERSE_PERIOD_ORDER=N","PRODUCT_GEO_OVERRIDE=P","FUND_PER",RIGHT($B$11,1),"ACCOUNTING_STANDARD_OVERRIDE",$H$7,"EQY_CONSOLIDATED",$H$9,"EQY_FUND_CRNCY",$L$7,"StartCol",K$12,"EndCol",K$12,"StartRow",$B24,"EndRow",$B24))</f>
        <v/>
      </c>
      <c r="L24" s="218" t="str">
        <f>IF(LEFT(_xll.BDS(Ticker,"PG_REVENUE","PG_HIERARCHY_LEVEL=1","NUMBER_OF_PERIODS=-11","REVERSE_PERIOD_ORDER=N","PRODUCT_GEO_OVERRIDE=P","FUND_PER",RIGHT($B$11,1),"ACCOUNTING_STANDARD_OVERRIDE",$H$7,"EQY_CONSOLIDATED",$H$9,"EQY_FUND_CRNCY",$L$7,"StartCol",L$12,"EndCol",L$12,"StartRow",$B24,"EndRow",$B24),1)="#","",_xll.BDS(Ticker,"PG_REVENUE","PG_HIERARCHY_LEVEL=1","NUMBER_OF_PERIODS=-11","REVERSE_PERIOD_ORDER=N","PRODUCT_GEO_OVERRIDE=P","FUND_PER",RIGHT($B$11,1),"ACCOUNTING_STANDARD_OVERRIDE",$H$7,"EQY_CONSOLIDATED",$H$9,"EQY_FUND_CRNCY",$L$7,"StartCol",L$12,"EndCol",L$12,"StartRow",$B24,"EndRow",$B24))</f>
        <v/>
      </c>
      <c r="M24" s="218" t="str">
        <f>IF(LEFT(_xll.BDS(Ticker,"PG_REVENUE","PG_HIERARCHY_LEVEL=1","NUMBER_OF_PERIODS=-11","REVERSE_PERIOD_ORDER=N","PRODUCT_GEO_OVERRIDE=P","FUND_PER",RIGHT($B$11,1),"ACCOUNTING_STANDARD_OVERRIDE",$H$7,"EQY_CONSOLIDATED",$H$9,"EQY_FUND_CRNCY",$L$7,"StartCol",M$12,"EndCol",M$12,"StartRow",$B24,"EndRow",$B24),1)="#","",_xll.BDS(Ticker,"PG_REVENUE","PG_HIERARCHY_LEVEL=1","NUMBER_OF_PERIODS=-11","REVERSE_PERIOD_ORDER=N","PRODUCT_GEO_OVERRIDE=P","FUND_PER",RIGHT($B$11,1),"ACCOUNTING_STANDARD_OVERRIDE",$H$7,"EQY_CONSOLIDATED",$H$9,"EQY_FUND_CRNCY",$L$7,"StartCol",M$12,"EndCol",M$12,"StartRow",$B24,"EndRow",$B24))</f>
        <v/>
      </c>
      <c r="N24" s="218" t="str">
        <f>IF(LEFT(_xll.BDS(Ticker,"PG_REVENUE","PG_HIERARCHY_LEVEL=1","NUMBER_OF_PERIODS=-11","REVERSE_PERIOD_ORDER=N","PRODUCT_GEO_OVERRIDE=P","FUND_PER",RIGHT($B$11,1),"ACCOUNTING_STANDARD_OVERRIDE",$H$7,"EQY_CONSOLIDATED",$H$9,"EQY_FUND_CRNCY",$L$7,"StartCol",N$12,"EndCol",N$12,"StartRow",$B24,"EndRow",$B24),1)="#","",_xll.BDS(Ticker,"PG_REVENUE","PG_HIERARCHY_LEVEL=1","NUMBER_OF_PERIODS=-11","REVERSE_PERIOD_ORDER=N","PRODUCT_GEO_OVERRIDE=P","FUND_PER",RIGHT($B$11,1),"ACCOUNTING_STANDARD_OVERRIDE",$H$7,"EQY_CONSOLIDATED",$H$9,"EQY_FUND_CRNCY",$L$7,"StartCol",N$12,"EndCol",N$12,"StartRow",$B24,"EndRow",$B24))</f>
        <v/>
      </c>
    </row>
    <row r="25" spans="2:15" outlineLevel="1">
      <c r="B25" s="214">
        <v>9</v>
      </c>
      <c r="C25" s="216" t="str">
        <f>IF(LEFT(_xll.BDS(Ticker,"PG_REVENUE","PG_HIERARCHY_LEVEL=1","NUMBER_OF_PERIODS=-11","REVERSE_PERIOD_ORDER=N","PRODUCT_GEO_OVERRIDE=P","FUND_PER",RIGHT($B$11,1),"ACCOUNTING_STANDARD_OVERRIDE",$H$7,"EQY_CONSOLIDATED",$H$9,"EQY_FUND_CRNCY",$L$7,"StartCol",C$12,"EndCol",C$12,"StartRow",$B25,"EndRow",$B25),1)="#","",_xll.BDS(Ticker,"PG_REVENUE","PG_HIERARCHY_LEVEL=1","NUMBER_OF_PERIODS=-11","REVERSE_PERIOD_ORDER=N","PRODUCT_GEO_OVERRIDE=P","FUND_PER",RIGHT($B$11,1),"ACCOUNTING_STANDARD_OVERRIDE",$H$7,"EQY_CONSOLIDATED",$H$9,"EQY_FUND_CRNCY",$L$7,"StartCol",C$12,"EndCol",C$12,"StartRow",$B25,"EndRow",$B25))</f>
        <v/>
      </c>
      <c r="D25" s="218" t="str">
        <f>IF(LEFT(_xll.BDS(Ticker,"PG_REVENUE","PG_HIERARCHY_LEVEL=1","NUMBER_OF_PERIODS=-11","REVERSE_PERIOD_ORDER=N","PRODUCT_GEO_OVERRIDE=P","FUND_PER",RIGHT($B$11,1),"ACCOUNTING_STANDARD_OVERRIDE",$H$7,"EQY_CONSOLIDATED",$H$9,"EQY_FUND_CRNCY",$L$7,"StartCol",D$12,"EndCol",D$12,"StartRow",$B25,"EndRow",$B25),1)="#","",_xll.BDS(Ticker,"PG_REVENUE","PG_HIERARCHY_LEVEL=1","NUMBER_OF_PERIODS=-11","REVERSE_PERIOD_ORDER=N","PRODUCT_GEO_OVERRIDE=P","FUND_PER",RIGHT($B$11,1),"ACCOUNTING_STANDARD_OVERRIDE",$H$7,"EQY_CONSOLIDATED",$H$9,"EQY_FUND_CRNCY",$L$7,"StartCol",D$12,"EndCol",D$12,"StartRow",$B25,"EndRow",$B25))</f>
        <v/>
      </c>
      <c r="E25" s="218" t="str">
        <f>IF(LEFT(_xll.BDS(Ticker,"PG_REVENUE","PG_HIERARCHY_LEVEL=1","NUMBER_OF_PERIODS=-11","REVERSE_PERIOD_ORDER=N","PRODUCT_GEO_OVERRIDE=P","FUND_PER",RIGHT($B$11,1),"ACCOUNTING_STANDARD_OVERRIDE",$H$7,"EQY_CONSOLIDATED",$H$9,"EQY_FUND_CRNCY",$L$7,"StartCol",E$12,"EndCol",E$12,"StartRow",$B25,"EndRow",$B25),1)="#","",_xll.BDS(Ticker,"PG_REVENUE","PG_HIERARCHY_LEVEL=1","NUMBER_OF_PERIODS=-11","REVERSE_PERIOD_ORDER=N","PRODUCT_GEO_OVERRIDE=P","FUND_PER",RIGHT($B$11,1),"ACCOUNTING_STANDARD_OVERRIDE",$H$7,"EQY_CONSOLIDATED",$H$9,"EQY_FUND_CRNCY",$L$7,"StartCol",E$12,"EndCol",E$12,"StartRow",$B25,"EndRow",$B25))</f>
        <v/>
      </c>
      <c r="F25" s="218" t="str">
        <f>IF(LEFT(_xll.BDS(Ticker,"PG_REVENUE","PG_HIERARCHY_LEVEL=1","NUMBER_OF_PERIODS=-11","REVERSE_PERIOD_ORDER=N","PRODUCT_GEO_OVERRIDE=P","FUND_PER",RIGHT($B$11,1),"ACCOUNTING_STANDARD_OVERRIDE",$H$7,"EQY_CONSOLIDATED",$H$9,"EQY_FUND_CRNCY",$L$7,"StartCol",F$12,"EndCol",F$12,"StartRow",$B25,"EndRow",$B25),1)="#","",_xll.BDS(Ticker,"PG_REVENUE","PG_HIERARCHY_LEVEL=1","NUMBER_OF_PERIODS=-11","REVERSE_PERIOD_ORDER=N","PRODUCT_GEO_OVERRIDE=P","FUND_PER",RIGHT($B$11,1),"ACCOUNTING_STANDARD_OVERRIDE",$H$7,"EQY_CONSOLIDATED",$H$9,"EQY_FUND_CRNCY",$L$7,"StartCol",F$12,"EndCol",F$12,"StartRow",$B25,"EndRow",$B25))</f>
        <v/>
      </c>
      <c r="G25" s="218" t="str">
        <f>IF(LEFT(_xll.BDS(Ticker,"PG_REVENUE","PG_HIERARCHY_LEVEL=1","NUMBER_OF_PERIODS=-11","REVERSE_PERIOD_ORDER=N","PRODUCT_GEO_OVERRIDE=P","FUND_PER",RIGHT($B$11,1),"ACCOUNTING_STANDARD_OVERRIDE",$H$7,"EQY_CONSOLIDATED",$H$9,"EQY_FUND_CRNCY",$L$7,"StartCol",G$12,"EndCol",G$12,"StartRow",$B25,"EndRow",$B25),1)="#","",_xll.BDS(Ticker,"PG_REVENUE","PG_HIERARCHY_LEVEL=1","NUMBER_OF_PERIODS=-11","REVERSE_PERIOD_ORDER=N","PRODUCT_GEO_OVERRIDE=P","FUND_PER",RIGHT($B$11,1),"ACCOUNTING_STANDARD_OVERRIDE",$H$7,"EQY_CONSOLIDATED",$H$9,"EQY_FUND_CRNCY",$L$7,"StartCol",G$12,"EndCol",G$12,"StartRow",$B25,"EndRow",$B25))</f>
        <v/>
      </c>
      <c r="H25" s="218" t="str">
        <f>IF(LEFT(_xll.BDS(Ticker,"PG_REVENUE","PG_HIERARCHY_LEVEL=1","NUMBER_OF_PERIODS=-11","REVERSE_PERIOD_ORDER=N","PRODUCT_GEO_OVERRIDE=P","FUND_PER",RIGHT($B$11,1),"ACCOUNTING_STANDARD_OVERRIDE",$H$7,"EQY_CONSOLIDATED",$H$9,"EQY_FUND_CRNCY",$L$7,"StartCol",H$12,"EndCol",H$12,"StartRow",$B25,"EndRow",$B25),1)="#","",_xll.BDS(Ticker,"PG_REVENUE","PG_HIERARCHY_LEVEL=1","NUMBER_OF_PERIODS=-11","REVERSE_PERIOD_ORDER=N","PRODUCT_GEO_OVERRIDE=P","FUND_PER",RIGHT($B$11,1),"ACCOUNTING_STANDARD_OVERRIDE",$H$7,"EQY_CONSOLIDATED",$H$9,"EQY_FUND_CRNCY",$L$7,"StartCol",H$12,"EndCol",H$12,"StartRow",$B25,"EndRow",$B25))</f>
        <v/>
      </c>
      <c r="I25" s="218" t="str">
        <f>IF(LEFT(_xll.BDS(Ticker,"PG_REVENUE","PG_HIERARCHY_LEVEL=1","NUMBER_OF_PERIODS=-11","REVERSE_PERIOD_ORDER=N","PRODUCT_GEO_OVERRIDE=P","FUND_PER",RIGHT($B$11,1),"ACCOUNTING_STANDARD_OVERRIDE",$H$7,"EQY_CONSOLIDATED",$H$9,"EQY_FUND_CRNCY",$L$7,"StartCol",I$12,"EndCol",I$12,"StartRow",$B25,"EndRow",$B25),1)="#","",_xll.BDS(Ticker,"PG_REVENUE","PG_HIERARCHY_LEVEL=1","NUMBER_OF_PERIODS=-11","REVERSE_PERIOD_ORDER=N","PRODUCT_GEO_OVERRIDE=P","FUND_PER",RIGHT($B$11,1),"ACCOUNTING_STANDARD_OVERRIDE",$H$7,"EQY_CONSOLIDATED",$H$9,"EQY_FUND_CRNCY",$L$7,"StartCol",I$12,"EndCol",I$12,"StartRow",$B25,"EndRow",$B25))</f>
        <v/>
      </c>
      <c r="J25" s="218" t="str">
        <f>IF(LEFT(_xll.BDS(Ticker,"PG_REVENUE","PG_HIERARCHY_LEVEL=1","NUMBER_OF_PERIODS=-11","REVERSE_PERIOD_ORDER=N","PRODUCT_GEO_OVERRIDE=P","FUND_PER",RIGHT($B$11,1),"ACCOUNTING_STANDARD_OVERRIDE",$H$7,"EQY_CONSOLIDATED",$H$9,"EQY_FUND_CRNCY",$L$7,"StartCol",J$12,"EndCol",J$12,"StartRow",$B25,"EndRow",$B25),1)="#","",_xll.BDS(Ticker,"PG_REVENUE","PG_HIERARCHY_LEVEL=1","NUMBER_OF_PERIODS=-11","REVERSE_PERIOD_ORDER=N","PRODUCT_GEO_OVERRIDE=P","FUND_PER",RIGHT($B$11,1),"ACCOUNTING_STANDARD_OVERRIDE",$H$7,"EQY_CONSOLIDATED",$H$9,"EQY_FUND_CRNCY",$L$7,"StartCol",J$12,"EndCol",J$12,"StartRow",$B25,"EndRow",$B25))</f>
        <v/>
      </c>
      <c r="K25" s="218" t="str">
        <f>IF(LEFT(_xll.BDS(Ticker,"PG_REVENUE","PG_HIERARCHY_LEVEL=1","NUMBER_OF_PERIODS=-11","REVERSE_PERIOD_ORDER=N","PRODUCT_GEO_OVERRIDE=P","FUND_PER",RIGHT($B$11,1),"ACCOUNTING_STANDARD_OVERRIDE",$H$7,"EQY_CONSOLIDATED",$H$9,"EQY_FUND_CRNCY",$L$7,"StartCol",K$12,"EndCol",K$12,"StartRow",$B25,"EndRow",$B25),1)="#","",_xll.BDS(Ticker,"PG_REVENUE","PG_HIERARCHY_LEVEL=1","NUMBER_OF_PERIODS=-11","REVERSE_PERIOD_ORDER=N","PRODUCT_GEO_OVERRIDE=P","FUND_PER",RIGHT($B$11,1),"ACCOUNTING_STANDARD_OVERRIDE",$H$7,"EQY_CONSOLIDATED",$H$9,"EQY_FUND_CRNCY",$L$7,"StartCol",K$12,"EndCol",K$12,"StartRow",$B25,"EndRow",$B25))</f>
        <v/>
      </c>
      <c r="L25" s="218" t="str">
        <f>IF(LEFT(_xll.BDS(Ticker,"PG_REVENUE","PG_HIERARCHY_LEVEL=1","NUMBER_OF_PERIODS=-11","REVERSE_PERIOD_ORDER=N","PRODUCT_GEO_OVERRIDE=P","FUND_PER",RIGHT($B$11,1),"ACCOUNTING_STANDARD_OVERRIDE",$H$7,"EQY_CONSOLIDATED",$H$9,"EQY_FUND_CRNCY",$L$7,"StartCol",L$12,"EndCol",L$12,"StartRow",$B25,"EndRow",$B25),1)="#","",_xll.BDS(Ticker,"PG_REVENUE","PG_HIERARCHY_LEVEL=1","NUMBER_OF_PERIODS=-11","REVERSE_PERIOD_ORDER=N","PRODUCT_GEO_OVERRIDE=P","FUND_PER",RIGHT($B$11,1),"ACCOUNTING_STANDARD_OVERRIDE",$H$7,"EQY_CONSOLIDATED",$H$9,"EQY_FUND_CRNCY",$L$7,"StartCol",L$12,"EndCol",L$12,"StartRow",$B25,"EndRow",$B25))</f>
        <v/>
      </c>
      <c r="M25" s="218" t="str">
        <f>IF(LEFT(_xll.BDS(Ticker,"PG_REVENUE","PG_HIERARCHY_LEVEL=1","NUMBER_OF_PERIODS=-11","REVERSE_PERIOD_ORDER=N","PRODUCT_GEO_OVERRIDE=P","FUND_PER",RIGHT($B$11,1),"ACCOUNTING_STANDARD_OVERRIDE",$H$7,"EQY_CONSOLIDATED",$H$9,"EQY_FUND_CRNCY",$L$7,"StartCol",M$12,"EndCol",M$12,"StartRow",$B25,"EndRow",$B25),1)="#","",_xll.BDS(Ticker,"PG_REVENUE","PG_HIERARCHY_LEVEL=1","NUMBER_OF_PERIODS=-11","REVERSE_PERIOD_ORDER=N","PRODUCT_GEO_OVERRIDE=P","FUND_PER",RIGHT($B$11,1),"ACCOUNTING_STANDARD_OVERRIDE",$H$7,"EQY_CONSOLIDATED",$H$9,"EQY_FUND_CRNCY",$L$7,"StartCol",M$12,"EndCol",M$12,"StartRow",$B25,"EndRow",$B25))</f>
        <v/>
      </c>
      <c r="N25" s="218" t="str">
        <f>IF(LEFT(_xll.BDS(Ticker,"PG_REVENUE","PG_HIERARCHY_LEVEL=1","NUMBER_OF_PERIODS=-11","REVERSE_PERIOD_ORDER=N","PRODUCT_GEO_OVERRIDE=P","FUND_PER",RIGHT($B$11,1),"ACCOUNTING_STANDARD_OVERRIDE",$H$7,"EQY_CONSOLIDATED",$H$9,"EQY_FUND_CRNCY",$L$7,"StartCol",N$12,"EndCol",N$12,"StartRow",$B25,"EndRow",$B25),1)="#","",_xll.BDS(Ticker,"PG_REVENUE","PG_HIERARCHY_LEVEL=1","NUMBER_OF_PERIODS=-11","REVERSE_PERIOD_ORDER=N","PRODUCT_GEO_OVERRIDE=P","FUND_PER",RIGHT($B$11,1),"ACCOUNTING_STANDARD_OVERRIDE",$H$7,"EQY_CONSOLIDATED",$H$9,"EQY_FUND_CRNCY",$L$7,"StartCol",N$12,"EndCol",N$12,"StartRow",$B25,"EndRow",$B25))</f>
        <v/>
      </c>
    </row>
    <row r="26" spans="2:15" outlineLevel="1">
      <c r="B26" s="214">
        <v>10</v>
      </c>
      <c r="C26" s="216" t="str">
        <f>IF(LEFT(_xll.BDS(Ticker,"PG_REVENUE","PG_HIERARCHY_LEVEL=1","NUMBER_OF_PERIODS=-11","REVERSE_PERIOD_ORDER=N","PRODUCT_GEO_OVERRIDE=P","FUND_PER",RIGHT($B$11,1),"ACCOUNTING_STANDARD_OVERRIDE",$H$7,"EQY_CONSOLIDATED",$H$9,"EQY_FUND_CRNCY",$L$7,"StartCol",C$12,"EndCol",C$12,"StartRow",$B26,"EndRow",$B26),1)="#","",_xll.BDS(Ticker,"PG_REVENUE","PG_HIERARCHY_LEVEL=1","NUMBER_OF_PERIODS=-11","REVERSE_PERIOD_ORDER=N","PRODUCT_GEO_OVERRIDE=P","FUND_PER",RIGHT($B$11,1),"ACCOUNTING_STANDARD_OVERRIDE",$H$7,"EQY_CONSOLIDATED",$H$9,"EQY_FUND_CRNCY",$L$7,"StartCol",C$12,"EndCol",C$12,"StartRow",$B26,"EndRow",$B26))</f>
        <v/>
      </c>
      <c r="D26" s="218" t="str">
        <f>IF(LEFT(_xll.BDS(Ticker,"PG_REVENUE","PG_HIERARCHY_LEVEL=1","NUMBER_OF_PERIODS=-11","REVERSE_PERIOD_ORDER=N","PRODUCT_GEO_OVERRIDE=P","FUND_PER",RIGHT($B$11,1),"ACCOUNTING_STANDARD_OVERRIDE",$H$7,"EQY_CONSOLIDATED",$H$9,"EQY_FUND_CRNCY",$L$7,"StartCol",D$12,"EndCol",D$12,"StartRow",$B26,"EndRow",$B26),1)="#","",_xll.BDS(Ticker,"PG_REVENUE","PG_HIERARCHY_LEVEL=1","NUMBER_OF_PERIODS=-11","REVERSE_PERIOD_ORDER=N","PRODUCT_GEO_OVERRIDE=P","FUND_PER",RIGHT($B$11,1),"ACCOUNTING_STANDARD_OVERRIDE",$H$7,"EQY_CONSOLIDATED",$H$9,"EQY_FUND_CRNCY",$L$7,"StartCol",D$12,"EndCol",D$12,"StartRow",$B26,"EndRow",$B26))</f>
        <v/>
      </c>
      <c r="E26" s="218" t="str">
        <f>IF(LEFT(_xll.BDS(Ticker,"PG_REVENUE","PG_HIERARCHY_LEVEL=1","NUMBER_OF_PERIODS=-11","REVERSE_PERIOD_ORDER=N","PRODUCT_GEO_OVERRIDE=P","FUND_PER",RIGHT($B$11,1),"ACCOUNTING_STANDARD_OVERRIDE",$H$7,"EQY_CONSOLIDATED",$H$9,"EQY_FUND_CRNCY",$L$7,"StartCol",E$12,"EndCol",E$12,"StartRow",$B26,"EndRow",$B26),1)="#","",_xll.BDS(Ticker,"PG_REVENUE","PG_HIERARCHY_LEVEL=1","NUMBER_OF_PERIODS=-11","REVERSE_PERIOD_ORDER=N","PRODUCT_GEO_OVERRIDE=P","FUND_PER",RIGHT($B$11,1),"ACCOUNTING_STANDARD_OVERRIDE",$H$7,"EQY_CONSOLIDATED",$H$9,"EQY_FUND_CRNCY",$L$7,"StartCol",E$12,"EndCol",E$12,"StartRow",$B26,"EndRow",$B26))</f>
        <v/>
      </c>
      <c r="F26" s="218" t="str">
        <f>IF(LEFT(_xll.BDS(Ticker,"PG_REVENUE","PG_HIERARCHY_LEVEL=1","NUMBER_OF_PERIODS=-11","REVERSE_PERIOD_ORDER=N","PRODUCT_GEO_OVERRIDE=P","FUND_PER",RIGHT($B$11,1),"ACCOUNTING_STANDARD_OVERRIDE",$H$7,"EQY_CONSOLIDATED",$H$9,"EQY_FUND_CRNCY",$L$7,"StartCol",F$12,"EndCol",F$12,"StartRow",$B26,"EndRow",$B26),1)="#","",_xll.BDS(Ticker,"PG_REVENUE","PG_HIERARCHY_LEVEL=1","NUMBER_OF_PERIODS=-11","REVERSE_PERIOD_ORDER=N","PRODUCT_GEO_OVERRIDE=P","FUND_PER",RIGHT($B$11,1),"ACCOUNTING_STANDARD_OVERRIDE",$H$7,"EQY_CONSOLIDATED",$H$9,"EQY_FUND_CRNCY",$L$7,"StartCol",F$12,"EndCol",F$12,"StartRow",$B26,"EndRow",$B26))</f>
        <v/>
      </c>
      <c r="G26" s="218" t="str">
        <f>IF(LEFT(_xll.BDS(Ticker,"PG_REVENUE","PG_HIERARCHY_LEVEL=1","NUMBER_OF_PERIODS=-11","REVERSE_PERIOD_ORDER=N","PRODUCT_GEO_OVERRIDE=P","FUND_PER",RIGHT($B$11,1),"ACCOUNTING_STANDARD_OVERRIDE",$H$7,"EQY_CONSOLIDATED",$H$9,"EQY_FUND_CRNCY",$L$7,"StartCol",G$12,"EndCol",G$12,"StartRow",$B26,"EndRow",$B26),1)="#","",_xll.BDS(Ticker,"PG_REVENUE","PG_HIERARCHY_LEVEL=1","NUMBER_OF_PERIODS=-11","REVERSE_PERIOD_ORDER=N","PRODUCT_GEO_OVERRIDE=P","FUND_PER",RIGHT($B$11,1),"ACCOUNTING_STANDARD_OVERRIDE",$H$7,"EQY_CONSOLIDATED",$H$9,"EQY_FUND_CRNCY",$L$7,"StartCol",G$12,"EndCol",G$12,"StartRow",$B26,"EndRow",$B26))</f>
        <v/>
      </c>
      <c r="H26" s="218" t="str">
        <f>IF(LEFT(_xll.BDS(Ticker,"PG_REVENUE","PG_HIERARCHY_LEVEL=1","NUMBER_OF_PERIODS=-11","REVERSE_PERIOD_ORDER=N","PRODUCT_GEO_OVERRIDE=P","FUND_PER",RIGHT($B$11,1),"ACCOUNTING_STANDARD_OVERRIDE",$H$7,"EQY_CONSOLIDATED",$H$9,"EQY_FUND_CRNCY",$L$7,"StartCol",H$12,"EndCol",H$12,"StartRow",$B26,"EndRow",$B26),1)="#","",_xll.BDS(Ticker,"PG_REVENUE","PG_HIERARCHY_LEVEL=1","NUMBER_OF_PERIODS=-11","REVERSE_PERIOD_ORDER=N","PRODUCT_GEO_OVERRIDE=P","FUND_PER",RIGHT($B$11,1),"ACCOUNTING_STANDARD_OVERRIDE",$H$7,"EQY_CONSOLIDATED",$H$9,"EQY_FUND_CRNCY",$L$7,"StartCol",H$12,"EndCol",H$12,"StartRow",$B26,"EndRow",$B26))</f>
        <v/>
      </c>
      <c r="I26" s="218" t="str">
        <f>IF(LEFT(_xll.BDS(Ticker,"PG_REVENUE","PG_HIERARCHY_LEVEL=1","NUMBER_OF_PERIODS=-11","REVERSE_PERIOD_ORDER=N","PRODUCT_GEO_OVERRIDE=P","FUND_PER",RIGHT($B$11,1),"ACCOUNTING_STANDARD_OVERRIDE",$H$7,"EQY_CONSOLIDATED",$H$9,"EQY_FUND_CRNCY",$L$7,"StartCol",I$12,"EndCol",I$12,"StartRow",$B26,"EndRow",$B26),1)="#","",_xll.BDS(Ticker,"PG_REVENUE","PG_HIERARCHY_LEVEL=1","NUMBER_OF_PERIODS=-11","REVERSE_PERIOD_ORDER=N","PRODUCT_GEO_OVERRIDE=P","FUND_PER",RIGHT($B$11,1),"ACCOUNTING_STANDARD_OVERRIDE",$H$7,"EQY_CONSOLIDATED",$H$9,"EQY_FUND_CRNCY",$L$7,"StartCol",I$12,"EndCol",I$12,"StartRow",$B26,"EndRow",$B26))</f>
        <v/>
      </c>
      <c r="J26" s="218" t="str">
        <f>IF(LEFT(_xll.BDS(Ticker,"PG_REVENUE","PG_HIERARCHY_LEVEL=1","NUMBER_OF_PERIODS=-11","REVERSE_PERIOD_ORDER=N","PRODUCT_GEO_OVERRIDE=P","FUND_PER",RIGHT($B$11,1),"ACCOUNTING_STANDARD_OVERRIDE",$H$7,"EQY_CONSOLIDATED",$H$9,"EQY_FUND_CRNCY",$L$7,"StartCol",J$12,"EndCol",J$12,"StartRow",$B26,"EndRow",$B26),1)="#","",_xll.BDS(Ticker,"PG_REVENUE","PG_HIERARCHY_LEVEL=1","NUMBER_OF_PERIODS=-11","REVERSE_PERIOD_ORDER=N","PRODUCT_GEO_OVERRIDE=P","FUND_PER",RIGHT($B$11,1),"ACCOUNTING_STANDARD_OVERRIDE",$H$7,"EQY_CONSOLIDATED",$H$9,"EQY_FUND_CRNCY",$L$7,"StartCol",J$12,"EndCol",J$12,"StartRow",$B26,"EndRow",$B26))</f>
        <v/>
      </c>
      <c r="K26" s="218" t="str">
        <f>IF(LEFT(_xll.BDS(Ticker,"PG_REVENUE","PG_HIERARCHY_LEVEL=1","NUMBER_OF_PERIODS=-11","REVERSE_PERIOD_ORDER=N","PRODUCT_GEO_OVERRIDE=P","FUND_PER",RIGHT($B$11,1),"ACCOUNTING_STANDARD_OVERRIDE",$H$7,"EQY_CONSOLIDATED",$H$9,"EQY_FUND_CRNCY",$L$7,"StartCol",K$12,"EndCol",K$12,"StartRow",$B26,"EndRow",$B26),1)="#","",_xll.BDS(Ticker,"PG_REVENUE","PG_HIERARCHY_LEVEL=1","NUMBER_OF_PERIODS=-11","REVERSE_PERIOD_ORDER=N","PRODUCT_GEO_OVERRIDE=P","FUND_PER",RIGHT($B$11,1),"ACCOUNTING_STANDARD_OVERRIDE",$H$7,"EQY_CONSOLIDATED",$H$9,"EQY_FUND_CRNCY",$L$7,"StartCol",K$12,"EndCol",K$12,"StartRow",$B26,"EndRow",$B26))</f>
        <v/>
      </c>
      <c r="L26" s="218" t="str">
        <f>IF(LEFT(_xll.BDS(Ticker,"PG_REVENUE","PG_HIERARCHY_LEVEL=1","NUMBER_OF_PERIODS=-11","REVERSE_PERIOD_ORDER=N","PRODUCT_GEO_OVERRIDE=P","FUND_PER",RIGHT($B$11,1),"ACCOUNTING_STANDARD_OVERRIDE",$H$7,"EQY_CONSOLIDATED",$H$9,"EQY_FUND_CRNCY",$L$7,"StartCol",L$12,"EndCol",L$12,"StartRow",$B26,"EndRow",$B26),1)="#","",_xll.BDS(Ticker,"PG_REVENUE","PG_HIERARCHY_LEVEL=1","NUMBER_OF_PERIODS=-11","REVERSE_PERIOD_ORDER=N","PRODUCT_GEO_OVERRIDE=P","FUND_PER",RIGHT($B$11,1),"ACCOUNTING_STANDARD_OVERRIDE",$H$7,"EQY_CONSOLIDATED",$H$9,"EQY_FUND_CRNCY",$L$7,"StartCol",L$12,"EndCol",L$12,"StartRow",$B26,"EndRow",$B26))</f>
        <v/>
      </c>
      <c r="M26" s="218" t="str">
        <f>IF(LEFT(_xll.BDS(Ticker,"PG_REVENUE","PG_HIERARCHY_LEVEL=1","NUMBER_OF_PERIODS=-11","REVERSE_PERIOD_ORDER=N","PRODUCT_GEO_OVERRIDE=P","FUND_PER",RIGHT($B$11,1),"ACCOUNTING_STANDARD_OVERRIDE",$H$7,"EQY_CONSOLIDATED",$H$9,"EQY_FUND_CRNCY",$L$7,"StartCol",M$12,"EndCol",M$12,"StartRow",$B26,"EndRow",$B26),1)="#","",_xll.BDS(Ticker,"PG_REVENUE","PG_HIERARCHY_LEVEL=1","NUMBER_OF_PERIODS=-11","REVERSE_PERIOD_ORDER=N","PRODUCT_GEO_OVERRIDE=P","FUND_PER",RIGHT($B$11,1),"ACCOUNTING_STANDARD_OVERRIDE",$H$7,"EQY_CONSOLIDATED",$H$9,"EQY_FUND_CRNCY",$L$7,"StartCol",M$12,"EndCol",M$12,"StartRow",$B26,"EndRow",$B26))</f>
        <v/>
      </c>
      <c r="N26" s="218" t="str">
        <f>IF(LEFT(_xll.BDS(Ticker,"PG_REVENUE","PG_HIERARCHY_LEVEL=1","NUMBER_OF_PERIODS=-11","REVERSE_PERIOD_ORDER=N","PRODUCT_GEO_OVERRIDE=P","FUND_PER",RIGHT($B$11,1),"ACCOUNTING_STANDARD_OVERRIDE",$H$7,"EQY_CONSOLIDATED",$H$9,"EQY_FUND_CRNCY",$L$7,"StartCol",N$12,"EndCol",N$12,"StartRow",$B26,"EndRow",$B26),1)="#","",_xll.BDS(Ticker,"PG_REVENUE","PG_HIERARCHY_LEVEL=1","NUMBER_OF_PERIODS=-11","REVERSE_PERIOD_ORDER=N","PRODUCT_GEO_OVERRIDE=P","FUND_PER",RIGHT($B$11,1),"ACCOUNTING_STANDARD_OVERRIDE",$H$7,"EQY_CONSOLIDATED",$H$9,"EQY_FUND_CRNCY",$L$7,"StartCol",N$12,"EndCol",N$12,"StartRow",$B26,"EndRow",$B26))</f>
        <v/>
      </c>
    </row>
    <row r="27" spans="2:15" outlineLevel="1">
      <c r="B27" s="214"/>
      <c r="C27" s="204"/>
      <c r="D27" s="204"/>
      <c r="E27" s="204"/>
      <c r="F27" s="204"/>
      <c r="G27" s="204"/>
      <c r="H27" s="204"/>
      <c r="I27" s="204"/>
      <c r="J27" s="204"/>
      <c r="K27" s="204"/>
      <c r="L27" s="204"/>
      <c r="M27" s="204"/>
      <c r="N27" s="204"/>
    </row>
    <row r="28" spans="2:15" outlineLevel="1">
      <c r="B28" s="220"/>
      <c r="C28" s="233" t="s">
        <v>11</v>
      </c>
      <c r="D28"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28"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28"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28"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28"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28"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28"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28"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28"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28"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28"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29" spans="2:15" outlineLevel="1">
      <c r="B29" s="222"/>
      <c r="C29" s="233" t="s">
        <v>357</v>
      </c>
      <c r="D29" s="231" t="str">
        <f>IF(LEFT(_xll.BDP(Ticker,"LATEST_PERIOD_END_DT_FULL_RECORD","EQY_FUND_RELATIVE_PERIOD",D$11,"EQY_CONSOLIDATED",$H$9),1)="#","--",_xll.BDP(Ticker,"LATEST_PERIOD_END_DT_FULL_RECORD","EQY_FUND_RELATIVE_PERIOD",D$11,"EQY_CONSOLIDATED",$H$9))</f>
        <v>12/31/2008</v>
      </c>
      <c r="E29" s="231" t="str">
        <f>IF(LEFT(_xll.BDP(Ticker,"LATEST_PERIOD_END_DT_FULL_RECORD","EQY_FUND_RELATIVE_PERIOD",E$11,"EQY_CONSOLIDATED",$H$9),1)="#","--",_xll.BDP(Ticker,"LATEST_PERIOD_END_DT_FULL_RECORD","EQY_FUND_RELATIVE_PERIOD",E$11,"EQY_CONSOLIDATED",$H$9))</f>
        <v>12/31/2009</v>
      </c>
      <c r="F29" s="231" t="str">
        <f>IF(LEFT(_xll.BDP(Ticker,"LATEST_PERIOD_END_DT_FULL_RECORD","EQY_FUND_RELATIVE_PERIOD",F$11,"EQY_CONSOLIDATED",$H$9),1)="#","--",_xll.BDP(Ticker,"LATEST_PERIOD_END_DT_FULL_RECORD","EQY_FUND_RELATIVE_PERIOD",F$11,"EQY_CONSOLIDATED",$H$9))</f>
        <v>12/31/2010</v>
      </c>
      <c r="G29" s="231" t="str">
        <f>IF(LEFT(_xll.BDP(Ticker,"LATEST_PERIOD_END_DT_FULL_RECORD","EQY_FUND_RELATIVE_PERIOD",G$11,"EQY_CONSOLIDATED",$H$9),1)="#","--",_xll.BDP(Ticker,"LATEST_PERIOD_END_DT_FULL_RECORD","EQY_FUND_RELATIVE_PERIOD",G$11,"EQY_CONSOLIDATED",$H$9))</f>
        <v>12/31/2011</v>
      </c>
      <c r="H29" s="231" t="str">
        <f>IF(LEFT(_xll.BDP(Ticker,"LATEST_PERIOD_END_DT_FULL_RECORD","EQY_FUND_RELATIVE_PERIOD",H$11,"EQY_CONSOLIDATED",$H$9),1)="#","--",_xll.BDP(Ticker,"LATEST_PERIOD_END_DT_FULL_RECORD","EQY_FUND_RELATIVE_PERIOD",H$11,"EQY_CONSOLIDATED",$H$9))</f>
        <v>12/31/2012</v>
      </c>
      <c r="I29" s="231" t="str">
        <f>IF(LEFT(_xll.BDP(Ticker,"LATEST_PERIOD_END_DT_FULL_RECORD","EQY_FUND_RELATIVE_PERIOD",I$11,"EQY_CONSOLIDATED",$H$9),1)="#","--",_xll.BDP(Ticker,"LATEST_PERIOD_END_DT_FULL_RECORD","EQY_FUND_RELATIVE_PERIOD",I$11,"EQY_CONSOLIDATED",$H$9))</f>
        <v>12/31/2013</v>
      </c>
      <c r="J29" s="231" t="str">
        <f>IF(LEFT(_xll.BDP(Ticker,"LATEST_PERIOD_END_DT_FULL_RECORD","EQY_FUND_RELATIVE_PERIOD",J$11,"EQY_CONSOLIDATED",$H$9),1)="#","--",_xll.BDP(Ticker,"LATEST_PERIOD_END_DT_FULL_RECORD","EQY_FUND_RELATIVE_PERIOD",J$11,"EQY_CONSOLIDATED",$H$9))</f>
        <v>12/31/2014</v>
      </c>
      <c r="K29" s="231" t="str">
        <f>IF(LEFT(_xll.BDP(Ticker,"LATEST_PERIOD_END_DT_FULL_RECORD","EQY_FUND_RELATIVE_PERIOD",K$11,"EQY_CONSOLIDATED",$H$9),1)="#","--",_xll.BDP(Ticker,"LATEST_PERIOD_END_DT_FULL_RECORD","EQY_FUND_RELATIVE_PERIOD",K$11,"EQY_CONSOLIDATED",$H$9))</f>
        <v>12/31/2015</v>
      </c>
      <c r="L29" s="231" t="str">
        <f>IF(LEFT(_xll.BDP(Ticker,"LATEST_PERIOD_END_DT_FULL_RECORD","EQY_FUND_RELATIVE_PERIOD",L$11,"EQY_CONSOLIDATED",$H$9),1)="#","--",_xll.BDP(Ticker,"LATEST_PERIOD_END_DT_FULL_RECORD","EQY_FUND_RELATIVE_PERIOD",L$11,"EQY_CONSOLIDATED",$H$9))</f>
        <v>12/31/2016</v>
      </c>
      <c r="M29" s="231" t="str">
        <f>IF(LEFT(_xll.BDP(Ticker,"LATEST_PERIOD_END_DT_FULL_RECORD","EQY_FUND_RELATIVE_PERIOD",M$11,"EQY_CONSOLIDATED",$H$9),1)="#","--",_xll.BDP(Ticker,"LATEST_PERIOD_END_DT_FULL_RECORD","EQY_FUND_RELATIVE_PERIOD",M$11,"EQY_CONSOLIDATED",$H$9))</f>
        <v>12/31/2017</v>
      </c>
      <c r="N29" s="231" t="str">
        <f>IF(LEFT(_xll.BDP(Ticker,"LATEST_PERIOD_END_DT_FULL_RECORD","EQY_FUND_RELATIVE_PERIOD",N$11,"EQY_CONSOLIDATED",$H$9),1)="#","--",_xll.BDP(Ticker,"LATEST_PERIOD_END_DT_FULL_RECORD","EQY_FUND_RELATIVE_PERIOD",N$11,"EQY_CONSOLIDATED",$H$9))</f>
        <v>12/31/2018</v>
      </c>
    </row>
    <row r="30" spans="2:15" outlineLevel="1">
      <c r="B30" s="215"/>
      <c r="C30" s="203" t="s">
        <v>11</v>
      </c>
      <c r="D30" s="276">
        <f>_xll.BDP(Ticker,"SALES_REV_TURN","EQY_FUND_RELATIVE_PERIOD",D$11,"ACCOUNTING_STANDARD_OVERRIDE",$H$7,"EQY_CONSOLIDATED",$H$9,"EQY_FUND_CRNCY",$L$7,"Fill=B")</f>
        <v>6718.2</v>
      </c>
      <c r="E30" s="276">
        <f>_xll.BDP(Ticker,"SALES_REV_TURN","EQY_FUND_RELATIVE_PERIOD",E$11,"ACCOUNTING_STANDARD_OVERRIDE",$H$7,"EQY_CONSOLIDATED",$H$9,"EQY_FUND_CRNCY",$L$7,"Fill=B")</f>
        <v>6723</v>
      </c>
      <c r="F30" s="276">
        <f>_xll.BDP(Ticker,"SALES_REV_TURN","EQY_FUND_RELATIVE_PERIOD",F$11,"ACCOUNTING_STANDARD_OVERRIDE",$H$7,"EQY_CONSOLIDATED",$H$9,"EQY_FUND_CRNCY",$L$7,"Fill=B")</f>
        <v>7320</v>
      </c>
      <c r="G30" s="276">
        <f>_xll.BDP(Ticker,"SALES_REV_TURN","EQY_FUND_RELATIVE_PERIOD",G$11,"ACCOUNTING_STANDARD_OVERRIDE",$H$7,"EQY_CONSOLIDATED",$H$9,"EQY_FUND_CRNCY",$L$7,"Fill=B")</f>
        <v>8307</v>
      </c>
      <c r="H30" s="276">
        <f>_xll.BDP(Ticker,"SALES_REV_TURN","EQY_FUND_RELATIVE_PERIOD",H$11,"ACCOUNTING_STANDARD_OVERRIDE",$H$7,"EQY_CONSOLIDATED",$H$9,"EQY_FUND_CRNCY",$L$7,"Fill=B")</f>
        <v>8657</v>
      </c>
      <c r="I30" s="276">
        <f>_xll.BDP(Ticker,"SALES_REV_TURN","EQY_FUND_RELATIVE_PERIOD",I$11,"ACCOUNTING_STANDARD_OVERRIDE",$H$7,"EQY_CONSOLIDATED",$H$9,"EQY_FUND_CRNCY",$L$7,"Fill=B")</f>
        <v>9021</v>
      </c>
      <c r="J30" s="276">
        <f>_xll.BDP(Ticker,"SALES_REV_TURN","EQY_FUND_RELATIVE_PERIOD",J$11,"ACCOUNTING_STANDARD_OVERRIDE",$H$7,"EQY_CONSOLIDATED",$H$9,"EQY_FUND_CRNCY",$L$7,"Fill=B")</f>
        <v>9675</v>
      </c>
      <c r="K30" s="276">
        <f>_xll.BDP(Ticker,"SALES_REV_TURN","EQY_FUND_RELATIVE_PERIOD",K$11,"ACCOUNTING_STANDARD_OVERRIDE",$H$7,"EQY_CONSOLIDATED",$H$9,"EQY_FUND_CRNCY",$L$7,"Fill=B")</f>
        <v>9946</v>
      </c>
      <c r="L30" s="276">
        <f>_xll.BDP(Ticker,"SALES_REV_TURN","EQY_FUND_RELATIVE_PERIOD",L$11,"ACCOUNTING_STANDARD_OVERRIDE",$H$7,"EQY_CONSOLIDATED",$H$9,"EQY_FUND_CRNCY",$L$7,"Fill=B")</f>
        <v>11325</v>
      </c>
      <c r="M30" s="276">
        <f>_xll.BDP(Ticker,"SALES_REV_TURN","EQY_FUND_RELATIVE_PERIOD",M$11,"ACCOUNTING_STANDARD_OVERRIDE",$H$7,"EQY_CONSOLIDATED",$H$9,"EQY_FUND_CRNCY",$L$7,"Fill=B")</f>
        <v>12444</v>
      </c>
      <c r="N30" s="276">
        <f>_xll.BDP(Ticker,"SALES_REV_TURN","EQY_FUND_RELATIVE_PERIOD",N$11,"ACCOUNTING_STANDARD_OVERRIDE",$H$7,"EQY_CONSOLIDATED",$H$9,"EQY_FUND_CRNCY",$L$7,"Fill=B")</f>
        <v>13601</v>
      </c>
    </row>
    <row r="31" spans="2:15" outlineLevel="1">
      <c r="B31" s="214">
        <v>1</v>
      </c>
      <c r="C31" s="216" t="str">
        <f>IF(LEFT(_xll.BDS(Ticker,"PG_REVENUE","PG_HIERARCHY_LEVEL=1","NUMBER_OF_PERIODS=-11","REVERSE_PERIOD_ORDER=N","PRODUCT_GEO_OVERRIDE=G","FUND_PER",RIGHT($B$11,1),"ACCOUNTING_STANDARD_OVERRIDE",$H$7,"EQY_CONSOLIDATED",$H$9,"EQY_FUND_CRNCY",$L$7,"StartCol",C$12,"EndCol",C$12,"StartRow",$B31,"EndRow",$B31),1)="#","",_xll.BDS(Ticker,"PG_REVENUE","PG_HIERARCHY_LEVEL=1","NUMBER_OF_PERIODS=-11","REVERSE_PERIOD_ORDER=N","PRODUCT_GEO_OVERRIDE=G","FUND_PER",RIGHT($B$11,1),"ACCOUNTING_STANDARD_OVERRIDE",$H$7,"EQY_CONSOLIDATED",$H$9,"EQY_FUND_CRNCY",$L$7,"StartCol",C$12,"EndCol",C$12,"StartRow",$B31,"EndRow",$B31))</f>
        <v>United States</v>
      </c>
      <c r="D31" s="218">
        <f>IF(LEFT(_xll.BDS(Ticker,"PG_REVENUE","PG_HIERARCHY_LEVEL=1","NUMBER_OF_PERIODS=-11","REVERSE_PERIOD_ORDER=N","PRODUCT_GEO_OVERRIDE=G","FUND_PER",RIGHT($B$11,1),"ACCOUNTING_STANDARD_OVERRIDE",$H$7,"EQY_CONSOLIDATED",$H$9,"EQY_FUND_CRNCY",$L$7,"StartCol",D$12,"EndCol",D$12,"StartRow",$B31,"EndRow",$B31),1)="#","",_xll.BDS(Ticker,"PG_REVENUE","PG_HIERARCHY_LEVEL=1","NUMBER_OF_PERIODS=-11","REVERSE_PERIOD_ORDER=N","PRODUCT_GEO_OVERRIDE=G","FUND_PER",RIGHT($B$11,1),"ACCOUNTING_STANDARD_OVERRIDE",$H$7,"EQY_CONSOLIDATED",$H$9,"EQY_FUND_CRNCY",$L$7,"StartCol",D$12,"EndCol",D$12,"StartRow",$B31,"EndRow",$B31))</f>
        <v>4282.2</v>
      </c>
      <c r="E31" s="218">
        <f>IF(LEFT(_xll.BDS(Ticker,"PG_REVENUE","PG_HIERARCHY_LEVEL=1","NUMBER_OF_PERIODS=-11","REVERSE_PERIOD_ORDER=N","PRODUCT_GEO_OVERRIDE=G","FUND_PER",RIGHT($B$11,1),"ACCOUNTING_STANDARD_OVERRIDE",$H$7,"EQY_CONSOLIDATED",$H$9,"EQY_FUND_CRNCY",$L$7,"StartCol",E$12,"EndCol",E$12,"StartRow",$B31,"EndRow",$B31),1)="#","",_xll.BDS(Ticker,"PG_REVENUE","PG_HIERARCHY_LEVEL=1","NUMBER_OF_PERIODS=-11","REVERSE_PERIOD_ORDER=N","PRODUCT_GEO_OVERRIDE=G","FUND_PER",RIGHT($B$11,1),"ACCOUNTING_STANDARD_OVERRIDE",$H$7,"EQY_CONSOLIDATED",$H$9,"EQY_FUND_CRNCY",$L$7,"StartCol",E$12,"EndCol",E$12,"StartRow",$B31,"EndRow",$B31))</f>
        <v>4317.3999999999996</v>
      </c>
      <c r="F31" s="218">
        <f>IF(LEFT(_xll.BDS(Ticker,"PG_REVENUE","PG_HIERARCHY_LEVEL=1","NUMBER_OF_PERIODS=-11","REVERSE_PERIOD_ORDER=N","PRODUCT_GEO_OVERRIDE=G","FUND_PER",RIGHT($B$11,1),"ACCOUNTING_STANDARD_OVERRIDE",$H$7,"EQY_CONSOLIDATED",$H$9,"EQY_FUND_CRNCY",$L$7,"StartCol",F$12,"EndCol",F$12,"StartRow",$B31,"EndRow",$B31),1)="#","",_xll.BDS(Ticker,"PG_REVENUE","PG_HIERARCHY_LEVEL=1","NUMBER_OF_PERIODS=-11","REVERSE_PERIOD_ORDER=N","PRODUCT_GEO_OVERRIDE=G","FUND_PER",RIGHT($B$11,1),"ACCOUNTING_STANDARD_OVERRIDE",$H$7,"EQY_CONSOLIDATED",$H$9,"EQY_FUND_CRNCY",$L$7,"StartCol",F$12,"EndCol",F$12,"StartRow",$B31,"EndRow",$B31))</f>
        <v>4793</v>
      </c>
      <c r="G31" s="218">
        <f>IF(LEFT(_xll.BDS(Ticker,"PG_REVENUE","PG_HIERARCHY_LEVEL=1","NUMBER_OF_PERIODS=-11","REVERSE_PERIOD_ORDER=N","PRODUCT_GEO_OVERRIDE=G","FUND_PER",RIGHT($B$11,1),"ACCOUNTING_STANDARD_OVERRIDE",$H$7,"EQY_CONSOLIDATED",$H$9,"EQY_FUND_CRNCY",$L$7,"StartCol",G$12,"EndCol",G$12,"StartRow",$B31,"EndRow",$B31),1)="#","",_xll.BDS(Ticker,"PG_REVENUE","PG_HIERARCHY_LEVEL=1","NUMBER_OF_PERIODS=-11","REVERSE_PERIOD_ORDER=N","PRODUCT_GEO_OVERRIDE=G","FUND_PER",RIGHT($B$11,1),"ACCOUNTING_STANDARD_OVERRIDE",$H$7,"EQY_CONSOLIDATED",$H$9,"EQY_FUND_CRNCY",$L$7,"StartCol",G$12,"EndCol",G$12,"StartRow",$B31,"EndRow",$B31))</f>
        <v>5269</v>
      </c>
      <c r="H31" s="218">
        <f>IF(LEFT(_xll.BDS(Ticker,"PG_REVENUE","PG_HIERARCHY_LEVEL=1","NUMBER_OF_PERIODS=-11","REVERSE_PERIOD_ORDER=N","PRODUCT_GEO_OVERRIDE=G","FUND_PER",RIGHT($B$11,1),"ACCOUNTING_STANDARD_OVERRIDE",$H$7,"EQY_CONSOLIDATED",$H$9,"EQY_FUND_CRNCY",$L$7,"StartCol",H$12,"EndCol",H$12,"StartRow",$B31,"EndRow",$B31),1)="#","",_xll.BDS(Ticker,"PG_REVENUE","PG_HIERARCHY_LEVEL=1","NUMBER_OF_PERIODS=-11","REVERSE_PERIOD_ORDER=N","PRODUCT_GEO_OVERRIDE=G","FUND_PER",RIGHT($B$11,1),"ACCOUNTING_STANDARD_OVERRIDE",$H$7,"EQY_CONSOLIDATED",$H$9,"EQY_FUND_CRNCY",$L$7,"StartCol",H$12,"EndCol",H$12,"StartRow",$B31,"EndRow",$B31))</f>
        <v>5658</v>
      </c>
      <c r="I31" s="218">
        <f>IF(LEFT(_xll.BDS(Ticker,"PG_REVENUE","PG_HIERARCHY_LEVEL=1","NUMBER_OF_PERIODS=-11","REVERSE_PERIOD_ORDER=N","PRODUCT_GEO_OVERRIDE=G","FUND_PER",RIGHT($B$11,1),"ACCOUNTING_STANDARD_OVERRIDE",$H$7,"EQY_CONSOLIDATED",$H$9,"EQY_FUND_CRNCY",$L$7,"StartCol",I$12,"EndCol",I$12,"StartRow",$B31,"EndRow",$B31),1)="#","",_xll.BDS(Ticker,"PG_REVENUE","PG_HIERARCHY_LEVEL=1","NUMBER_OF_PERIODS=-11","REVERSE_PERIOD_ORDER=N","PRODUCT_GEO_OVERRIDE=G","FUND_PER",RIGHT($B$11,1),"ACCOUNTING_STANDARD_OVERRIDE",$H$7,"EQY_CONSOLIDATED",$H$9,"EQY_FUND_CRNCY",$L$7,"StartCol",I$12,"EndCol",I$12,"StartRow",$B31,"EndRow",$B31))</f>
        <v>5984</v>
      </c>
      <c r="J31" s="218">
        <f>IF(LEFT(_xll.BDS(Ticker,"PG_REVENUE","PG_HIERARCHY_LEVEL=1","NUMBER_OF_PERIODS=-11","REVERSE_PERIOD_ORDER=N","PRODUCT_GEO_OVERRIDE=G","FUND_PER",RIGHT($B$11,1),"ACCOUNTING_STANDARD_OVERRIDE",$H$7,"EQY_CONSOLIDATED",$H$9,"EQY_FUND_CRNCY",$L$7,"StartCol",J$12,"EndCol",J$12,"StartRow",$B31,"EndRow",$B31),1)="#","",_xll.BDS(Ticker,"PG_REVENUE","PG_HIERARCHY_LEVEL=1","NUMBER_OF_PERIODS=-11","REVERSE_PERIOD_ORDER=N","PRODUCT_GEO_OVERRIDE=G","FUND_PER",RIGHT($B$11,1),"ACCOUNTING_STANDARD_OVERRIDE",$H$7,"EQY_CONSOLIDATED",$H$9,"EQY_FUND_CRNCY",$L$7,"StartCol",J$12,"EndCol",J$12,"StartRow",$B31,"EndRow",$B31))</f>
        <v>6558</v>
      </c>
      <c r="K31" s="218">
        <f>IF(LEFT(_xll.BDS(Ticker,"PG_REVENUE","PG_HIERARCHY_LEVEL=1","NUMBER_OF_PERIODS=-11","REVERSE_PERIOD_ORDER=N","PRODUCT_GEO_OVERRIDE=G","FUND_PER",RIGHT($B$11,1),"ACCOUNTING_STANDARD_OVERRIDE",$H$7,"EQY_CONSOLIDATED",$H$9,"EQY_FUND_CRNCY",$L$7,"StartCol",K$12,"EndCol",K$12,"StartRow",$B31,"EndRow",$B31),1)="#","",_xll.BDS(Ticker,"PG_REVENUE","PG_HIERARCHY_LEVEL=1","NUMBER_OF_PERIODS=-11","REVERSE_PERIOD_ORDER=N","PRODUCT_GEO_OVERRIDE=G","FUND_PER",RIGHT($B$11,1),"ACCOUNTING_STANDARD_OVERRIDE",$H$7,"EQY_CONSOLIDATED",$H$9,"EQY_FUND_CRNCY",$L$7,"StartCol",K$12,"EndCol",K$12,"StartRow",$B31,"EndRow",$B31))</f>
        <v>7116</v>
      </c>
      <c r="L31" s="218">
        <f>IF(LEFT(_xll.BDS(Ticker,"PG_REVENUE","PG_HIERARCHY_LEVEL=1","NUMBER_OF_PERIODS=-11","REVERSE_PERIOD_ORDER=N","PRODUCT_GEO_OVERRIDE=G","FUND_PER",RIGHT($B$11,1),"ACCOUNTING_STANDARD_OVERRIDE",$H$7,"EQY_CONSOLIDATED",$H$9,"EQY_FUND_CRNCY",$L$7,"StartCol",L$12,"EndCol",L$12,"StartRow",$B31,"EndRow",$B31),1)="#","",_xll.BDS(Ticker,"PG_REVENUE","PG_HIERARCHY_LEVEL=1","NUMBER_OF_PERIODS=-11","REVERSE_PERIOD_ORDER=N","PRODUCT_GEO_OVERRIDE=G","FUND_PER",RIGHT($B$11,1),"ACCOUNTING_STANDARD_OVERRIDE",$H$7,"EQY_CONSOLIDATED",$H$9,"EQY_FUND_CRNCY",$L$7,"StartCol",L$12,"EndCol",L$12,"StartRow",$B31,"EndRow",$B31))</f>
        <v>8230</v>
      </c>
      <c r="M31" s="218">
        <f>IF(LEFT(_xll.BDS(Ticker,"PG_REVENUE","PG_HIERARCHY_LEVEL=1","NUMBER_OF_PERIODS=-11","REVERSE_PERIOD_ORDER=N","PRODUCT_GEO_OVERRIDE=G","FUND_PER",RIGHT($B$11,1),"ACCOUNTING_STANDARD_OVERRIDE",$H$7,"EQY_CONSOLIDATED",$H$9,"EQY_FUND_CRNCY",$L$7,"StartCol",M$12,"EndCol",M$12,"StartRow",$B31,"EndRow",$B31),1)="#","",_xll.BDS(Ticker,"PG_REVENUE","PG_HIERARCHY_LEVEL=1","NUMBER_OF_PERIODS=-11","REVERSE_PERIOD_ORDER=N","PRODUCT_GEO_OVERRIDE=G","FUND_PER",RIGHT($B$11,1),"ACCOUNTING_STANDARD_OVERRIDE",$H$7,"EQY_CONSOLIDATED",$H$9,"EQY_FUND_CRNCY",$L$7,"StartCol",M$12,"EndCol",M$12,"StartRow",$B31,"EndRow",$B31))</f>
        <v>9059</v>
      </c>
      <c r="N31" s="218">
        <f>IF(LEFT(_xll.BDS(Ticker,"PG_REVENUE","PG_HIERARCHY_LEVEL=1","NUMBER_OF_PERIODS=-11","REVERSE_PERIOD_ORDER=N","PRODUCT_GEO_OVERRIDE=G","FUND_PER",RIGHT($B$11,1),"ACCOUNTING_STANDARD_OVERRIDE",$H$7,"EQY_CONSOLIDATED",$H$9,"EQY_FUND_CRNCY",$L$7,"StartCol",N$12,"EndCol",N$12,"StartRow",$B31,"EndRow",$B31),1)="#","",_xll.BDS(Ticker,"PG_REVENUE","PG_HIERARCHY_LEVEL=1","NUMBER_OF_PERIODS=-11","REVERSE_PERIOD_ORDER=N","PRODUCT_GEO_OVERRIDE=G","FUND_PER",RIGHT($B$11,1),"ACCOUNTING_STANDARD_OVERRIDE",$H$7,"EQY_CONSOLIDATED",$H$9,"EQY_FUND_CRNCY",$L$7,"StartCol",N$12,"EndCol",N$12,"StartRow",$B31,"EndRow",$B31))</f>
        <v>9848</v>
      </c>
    </row>
    <row r="32" spans="2:15" outlineLevel="1">
      <c r="B32" s="214">
        <v>2</v>
      </c>
      <c r="C32" s="216" t="str">
        <f>IF(LEFT(_xll.BDS(Ticker,"PG_REVENUE","PG_HIERARCHY_LEVEL=1","NUMBER_OF_PERIODS=-11","REVERSE_PERIOD_ORDER=N","PRODUCT_GEO_OVERRIDE=G","FUND_PER",RIGHT($B$11,1),"ACCOUNTING_STANDARD_OVERRIDE",$H$7,"EQY_CONSOLIDATED",$H$9,"EQY_FUND_CRNCY",$L$7,"StartCol",C$12,"EndCol",C$12,"StartRow",$B32,"EndRow",$B32),1)="#","",_xll.BDS(Ticker,"PG_REVENUE","PG_HIERARCHY_LEVEL=1","NUMBER_OF_PERIODS=-11","REVERSE_PERIOD_ORDER=N","PRODUCT_GEO_OVERRIDE=G","FUND_PER",RIGHT($B$11,1),"ACCOUNTING_STANDARD_OVERRIDE",$H$7,"EQY_CONSOLIDATED",$H$9,"EQY_FUND_CRNCY",$L$7,"StartCol",C$12,"EndCol",C$12,"StartRow",$B32,"EndRow",$B32))</f>
        <v>EMEA</v>
      </c>
      <c r="D32" s="218" t="str">
        <f>IF(LEFT(_xll.BDS(Ticker,"PG_REVENUE","PG_HIERARCHY_LEVEL=1","NUMBER_OF_PERIODS=-11","REVERSE_PERIOD_ORDER=N","PRODUCT_GEO_OVERRIDE=G","FUND_PER",RIGHT($B$11,1),"ACCOUNTING_STANDARD_OVERRIDE",$H$7,"EQY_CONSOLIDATED",$H$9,"EQY_FUND_CRNCY",$L$7,"StartCol",D$12,"EndCol",D$12,"StartRow",$B32,"EndRow",$B32),1)="#","",_xll.BDS(Ticker,"PG_REVENUE","PG_HIERARCHY_LEVEL=1","NUMBER_OF_PERIODS=-11","REVERSE_PERIOD_ORDER=N","PRODUCT_GEO_OVERRIDE=G","FUND_PER",RIGHT($B$11,1),"ACCOUNTING_STANDARD_OVERRIDE",$H$7,"EQY_CONSOLIDATED",$H$9,"EQY_FUND_CRNCY",$L$7,"StartCol",D$12,"EndCol",D$12,"StartRow",$B32,"EndRow",$B32))</f>
        <v/>
      </c>
      <c r="E32" s="218" t="str">
        <f>IF(LEFT(_xll.BDS(Ticker,"PG_REVENUE","PG_HIERARCHY_LEVEL=1","NUMBER_OF_PERIODS=-11","REVERSE_PERIOD_ORDER=N","PRODUCT_GEO_OVERRIDE=G","FUND_PER",RIGHT($B$11,1),"ACCOUNTING_STANDARD_OVERRIDE",$H$7,"EQY_CONSOLIDATED",$H$9,"EQY_FUND_CRNCY",$L$7,"StartCol",E$12,"EndCol",E$12,"StartRow",$B32,"EndRow",$B32),1)="#","",_xll.BDS(Ticker,"PG_REVENUE","PG_HIERARCHY_LEVEL=1","NUMBER_OF_PERIODS=-11","REVERSE_PERIOD_ORDER=N","PRODUCT_GEO_OVERRIDE=G","FUND_PER",RIGHT($B$11,1),"ACCOUNTING_STANDARD_OVERRIDE",$H$7,"EQY_CONSOLIDATED",$H$9,"EQY_FUND_CRNCY",$L$7,"StartCol",E$12,"EndCol",E$12,"StartRow",$B32,"EndRow",$B32))</f>
        <v/>
      </c>
      <c r="F32" s="218">
        <f>IF(LEFT(_xll.BDS(Ticker,"PG_REVENUE","PG_HIERARCHY_LEVEL=1","NUMBER_OF_PERIODS=-11","REVERSE_PERIOD_ORDER=N","PRODUCT_GEO_OVERRIDE=G","FUND_PER",RIGHT($B$11,1),"ACCOUNTING_STANDARD_OVERRIDE",$H$7,"EQY_CONSOLIDATED",$H$9,"EQY_FUND_CRNCY",$L$7,"StartCol",F$12,"EndCol",F$12,"StartRow",$B32,"EndRow",$B32),1)="#","",_xll.BDS(Ticker,"PG_REVENUE","PG_HIERARCHY_LEVEL=1","NUMBER_OF_PERIODS=-11","REVERSE_PERIOD_ORDER=N","PRODUCT_GEO_OVERRIDE=G","FUND_PER",RIGHT($B$11,1),"ACCOUNTING_STANDARD_OVERRIDE",$H$7,"EQY_CONSOLIDATED",$H$9,"EQY_FUND_CRNCY",$L$7,"StartCol",F$12,"EndCol",F$12,"StartRow",$B32,"EndRow",$B32))</f>
        <v>1228</v>
      </c>
      <c r="G32" s="218">
        <f>IF(LEFT(_xll.BDS(Ticker,"PG_REVENUE","PG_HIERARCHY_LEVEL=1","NUMBER_OF_PERIODS=-11","REVERSE_PERIOD_ORDER=N","PRODUCT_GEO_OVERRIDE=G","FUND_PER",RIGHT($B$11,1),"ACCOUNTING_STANDARD_OVERRIDE",$H$7,"EQY_CONSOLIDATED",$H$9,"EQY_FUND_CRNCY",$L$7,"StartCol",G$12,"EndCol",G$12,"StartRow",$B32,"EndRow",$B32),1)="#","",_xll.BDS(Ticker,"PG_REVENUE","PG_HIERARCHY_LEVEL=1","NUMBER_OF_PERIODS=-11","REVERSE_PERIOD_ORDER=N","PRODUCT_GEO_OVERRIDE=G","FUND_PER",RIGHT($B$11,1),"ACCOUNTING_STANDARD_OVERRIDE",$H$7,"EQY_CONSOLIDATED",$H$9,"EQY_FUND_CRNCY",$L$7,"StartCol",G$12,"EndCol",G$12,"StartRow",$B32,"EndRow",$B32))</f>
        <v>1382</v>
      </c>
      <c r="H32" s="218">
        <f>IF(LEFT(_xll.BDS(Ticker,"PG_REVENUE","PG_HIERARCHY_LEVEL=1","NUMBER_OF_PERIODS=-11","REVERSE_PERIOD_ORDER=N","PRODUCT_GEO_OVERRIDE=G","FUND_PER",RIGHT($B$11,1),"ACCOUNTING_STANDARD_OVERRIDE",$H$7,"EQY_CONSOLIDATED",$H$9,"EQY_FUND_CRNCY",$L$7,"StartCol",H$12,"EndCol",H$12,"StartRow",$B32,"EndRow",$B32),1)="#","",_xll.BDS(Ticker,"PG_REVENUE","PG_HIERARCHY_LEVEL=1","NUMBER_OF_PERIODS=-11","REVERSE_PERIOD_ORDER=N","PRODUCT_GEO_OVERRIDE=G","FUND_PER",RIGHT($B$11,1),"ACCOUNTING_STANDARD_OVERRIDE",$H$7,"EQY_CONSOLIDATED",$H$9,"EQY_FUND_CRNCY",$L$7,"StartCol",H$12,"EndCol",H$12,"StartRow",$B32,"EndRow",$B32))</f>
        <v>1266</v>
      </c>
      <c r="I32" s="218">
        <f>IF(LEFT(_xll.BDS(Ticker,"PG_REVENUE","PG_HIERARCHY_LEVEL=1","NUMBER_OF_PERIODS=-11","REVERSE_PERIOD_ORDER=N","PRODUCT_GEO_OVERRIDE=G","FUND_PER",RIGHT($B$11,1),"ACCOUNTING_STANDARD_OVERRIDE",$H$7,"EQY_CONSOLIDATED",$H$9,"EQY_FUND_CRNCY",$L$7,"StartCol",I$12,"EndCol",I$12,"StartRow",$B32,"EndRow",$B32),1)="#","",_xll.BDS(Ticker,"PG_REVENUE","PG_HIERARCHY_LEVEL=1","NUMBER_OF_PERIODS=-11","REVERSE_PERIOD_ORDER=N","PRODUCT_GEO_OVERRIDE=G","FUND_PER",RIGHT($B$11,1),"ACCOUNTING_STANDARD_OVERRIDE",$H$7,"EQY_CONSOLIDATED",$H$9,"EQY_FUND_CRNCY",$L$7,"StartCol",I$12,"EndCol",I$12,"StartRow",$B32,"EndRow",$B32))</f>
        <v>1316</v>
      </c>
      <c r="J32" s="218">
        <f>IF(LEFT(_xll.BDS(Ticker,"PG_REVENUE","PG_HIERARCHY_LEVEL=1","NUMBER_OF_PERIODS=-11","REVERSE_PERIOD_ORDER=N","PRODUCT_GEO_OVERRIDE=G","FUND_PER",RIGHT($B$11,1),"ACCOUNTING_STANDARD_OVERRIDE",$H$7,"EQY_CONSOLIDATED",$H$9,"EQY_FUND_CRNCY",$L$7,"StartCol",J$12,"EndCol",J$12,"StartRow",$B32,"EndRow",$B32),1)="#","",_xll.BDS(Ticker,"PG_REVENUE","PG_HIERARCHY_LEVEL=1","NUMBER_OF_PERIODS=-11","REVERSE_PERIOD_ORDER=N","PRODUCT_GEO_OVERRIDE=G","FUND_PER",RIGHT($B$11,1),"ACCOUNTING_STANDARD_OVERRIDE",$H$7,"EQY_CONSOLIDATED",$H$9,"EQY_FUND_CRNCY",$L$7,"StartCol",J$12,"EndCol",J$12,"StartRow",$B32,"EndRow",$B32))</f>
        <v>1371</v>
      </c>
      <c r="K32" s="218">
        <f>IF(LEFT(_xll.BDS(Ticker,"PG_REVENUE","PG_HIERARCHY_LEVEL=1","NUMBER_OF_PERIODS=-11","REVERSE_PERIOD_ORDER=N","PRODUCT_GEO_OVERRIDE=G","FUND_PER",RIGHT($B$11,1),"ACCOUNTING_STANDARD_OVERRIDE",$H$7,"EQY_CONSOLIDATED",$H$9,"EQY_FUND_CRNCY",$L$7,"StartCol",K$12,"EndCol",K$12,"StartRow",$B32,"EndRow",$B32),1)="#","",_xll.BDS(Ticker,"PG_REVENUE","PG_HIERARCHY_LEVEL=1","NUMBER_OF_PERIODS=-11","REVERSE_PERIOD_ORDER=N","PRODUCT_GEO_OVERRIDE=G","FUND_PER",RIGHT($B$11,1),"ACCOUNTING_STANDARD_OVERRIDE",$H$7,"EQY_CONSOLIDATED",$H$9,"EQY_FUND_CRNCY",$L$7,"StartCol",K$12,"EndCol",K$12,"StartRow",$B32,"EndRow",$B32))</f>
        <v>1267</v>
      </c>
      <c r="L32" s="218">
        <f>IF(LEFT(_xll.BDS(Ticker,"PG_REVENUE","PG_HIERARCHY_LEVEL=1","NUMBER_OF_PERIODS=-11","REVERSE_PERIOD_ORDER=N","PRODUCT_GEO_OVERRIDE=G","FUND_PER",RIGHT($B$11,1),"ACCOUNTING_STANDARD_OVERRIDE",$H$7,"EQY_CONSOLIDATED",$H$9,"EQY_FUND_CRNCY",$L$7,"StartCol",L$12,"EndCol",L$12,"StartRow",$B32,"EndRow",$B32),1)="#","",_xll.BDS(Ticker,"PG_REVENUE","PG_HIERARCHY_LEVEL=1","NUMBER_OF_PERIODS=-11","REVERSE_PERIOD_ORDER=N","PRODUCT_GEO_OVERRIDE=G","FUND_PER",RIGHT($B$11,1),"ACCOUNTING_STANDARD_OVERRIDE",$H$7,"EQY_CONSOLIDATED",$H$9,"EQY_FUND_CRNCY",$L$7,"StartCol",L$12,"EndCol",L$12,"StartRow",$B32,"EndRow",$B32))</f>
        <v>1437</v>
      </c>
      <c r="M32" s="218">
        <f>IF(LEFT(_xll.BDS(Ticker,"PG_REVENUE","PG_HIERARCHY_LEVEL=1","NUMBER_OF_PERIODS=-11","REVERSE_PERIOD_ORDER=N","PRODUCT_GEO_OVERRIDE=G","FUND_PER",RIGHT($B$11,1),"ACCOUNTING_STANDARD_OVERRIDE",$H$7,"EQY_CONSOLIDATED",$H$9,"EQY_FUND_CRNCY",$L$7,"StartCol",M$12,"EndCol",M$12,"StartRow",$B32,"EndRow",$B32),1)="#","",_xll.BDS(Ticker,"PG_REVENUE","PG_HIERARCHY_LEVEL=1","NUMBER_OF_PERIODS=-11","REVERSE_PERIOD_ORDER=N","PRODUCT_GEO_OVERRIDE=G","FUND_PER",RIGHT($B$11,1),"ACCOUNTING_STANDARD_OVERRIDE",$H$7,"EQY_CONSOLIDATED",$H$9,"EQY_FUND_CRNCY",$L$7,"StartCol",M$12,"EndCol",M$12,"StartRow",$B32,"EndRow",$B32))</f>
        <v>1567</v>
      </c>
      <c r="N32" s="218">
        <f>IF(LEFT(_xll.BDS(Ticker,"PG_REVENUE","PG_HIERARCHY_LEVEL=1","NUMBER_OF_PERIODS=-11","REVERSE_PERIOD_ORDER=N","PRODUCT_GEO_OVERRIDE=G","FUND_PER",RIGHT($B$11,1),"ACCOUNTING_STANDARD_OVERRIDE",$H$7,"EQY_CONSOLIDATED",$H$9,"EQY_FUND_CRNCY",$L$7,"StartCol",N$12,"EndCol",N$12,"StartRow",$B32,"EndRow",$B32),1)="#","",_xll.BDS(Ticker,"PG_REVENUE","PG_HIERARCHY_LEVEL=1","NUMBER_OF_PERIODS=-11","REVERSE_PERIOD_ORDER=N","PRODUCT_GEO_OVERRIDE=G","FUND_PER",RIGHT($B$11,1),"ACCOUNTING_STANDARD_OVERRIDE",$H$7,"EQY_CONSOLIDATED",$H$9,"EQY_FUND_CRNCY",$L$7,"StartCol",N$12,"EndCol",N$12,"StartRow",$B32,"EndRow",$B32))</f>
        <v>1793</v>
      </c>
    </row>
    <row r="33" spans="2:14" outlineLevel="1">
      <c r="B33" s="214">
        <v>3</v>
      </c>
      <c r="C33" s="216" t="str">
        <f>IF(LEFT(_xll.BDS(Ticker,"PG_REVENUE","PG_HIERARCHY_LEVEL=1","NUMBER_OF_PERIODS=-11","REVERSE_PERIOD_ORDER=N","PRODUCT_GEO_OVERRIDE=G","FUND_PER",RIGHT($B$11,1),"ACCOUNTING_STANDARD_OVERRIDE",$H$7,"EQY_CONSOLIDATED",$H$9,"EQY_FUND_CRNCY",$L$7,"StartCol",C$12,"EndCol",C$12,"StartRow",$B33,"EndRow",$B33),1)="#","",_xll.BDS(Ticker,"PG_REVENUE","PG_HIERARCHY_LEVEL=1","NUMBER_OF_PERIODS=-11","REVERSE_PERIOD_ORDER=N","PRODUCT_GEO_OVERRIDE=G","FUND_PER",RIGHT($B$11,1),"ACCOUNTING_STANDARD_OVERRIDE",$H$7,"EQY_CONSOLIDATED",$H$9,"EQY_FUND_CRNCY",$L$7,"StartCol",C$12,"EndCol",C$12,"StartRow",$B33,"EndRow",$B33))</f>
        <v>Asia Pacific</v>
      </c>
      <c r="D33" s="218" t="str">
        <f>IF(LEFT(_xll.BDS(Ticker,"PG_REVENUE","PG_HIERARCHY_LEVEL=1","NUMBER_OF_PERIODS=-11","REVERSE_PERIOD_ORDER=N","PRODUCT_GEO_OVERRIDE=G","FUND_PER",RIGHT($B$11,1),"ACCOUNTING_STANDARD_OVERRIDE",$H$7,"EQY_CONSOLIDATED",$H$9,"EQY_FUND_CRNCY",$L$7,"StartCol",D$12,"EndCol",D$12,"StartRow",$B33,"EndRow",$B33),1)="#","",_xll.BDS(Ticker,"PG_REVENUE","PG_HIERARCHY_LEVEL=1","NUMBER_OF_PERIODS=-11","REVERSE_PERIOD_ORDER=N","PRODUCT_GEO_OVERRIDE=G","FUND_PER",RIGHT($B$11,1),"ACCOUNTING_STANDARD_OVERRIDE",$H$7,"EQY_CONSOLIDATED",$H$9,"EQY_FUND_CRNCY",$L$7,"StartCol",D$12,"EndCol",D$12,"StartRow",$B33,"EndRow",$B33))</f>
        <v/>
      </c>
      <c r="E33" s="218" t="str">
        <f>IF(LEFT(_xll.BDS(Ticker,"PG_REVENUE","PG_HIERARCHY_LEVEL=1","NUMBER_OF_PERIODS=-11","REVERSE_PERIOD_ORDER=N","PRODUCT_GEO_OVERRIDE=G","FUND_PER",RIGHT($B$11,1),"ACCOUNTING_STANDARD_OVERRIDE",$H$7,"EQY_CONSOLIDATED",$H$9,"EQY_FUND_CRNCY",$L$7,"StartCol",E$12,"EndCol",E$12,"StartRow",$B33,"EndRow",$B33),1)="#","",_xll.BDS(Ticker,"PG_REVENUE","PG_HIERARCHY_LEVEL=1","NUMBER_OF_PERIODS=-11","REVERSE_PERIOD_ORDER=N","PRODUCT_GEO_OVERRIDE=G","FUND_PER",RIGHT($B$11,1),"ACCOUNTING_STANDARD_OVERRIDE",$H$7,"EQY_CONSOLIDATED",$H$9,"EQY_FUND_CRNCY",$L$7,"StartCol",E$12,"EndCol",E$12,"StartRow",$B33,"EndRow",$B33))</f>
        <v/>
      </c>
      <c r="F33" s="218">
        <f>IF(LEFT(_xll.BDS(Ticker,"PG_REVENUE","PG_HIERARCHY_LEVEL=1","NUMBER_OF_PERIODS=-11","REVERSE_PERIOD_ORDER=N","PRODUCT_GEO_OVERRIDE=G","FUND_PER",RIGHT($B$11,1),"ACCOUNTING_STANDARD_OVERRIDE",$H$7,"EQY_CONSOLIDATED",$H$9,"EQY_FUND_CRNCY",$L$7,"StartCol",F$12,"EndCol",F$12,"StartRow",$B33,"EndRow",$B33),1)="#","",_xll.BDS(Ticker,"PG_REVENUE","PG_HIERARCHY_LEVEL=1","NUMBER_OF_PERIODS=-11","REVERSE_PERIOD_ORDER=N","PRODUCT_GEO_OVERRIDE=G","FUND_PER",RIGHT($B$11,1),"ACCOUNTING_STANDARD_OVERRIDE",$H$7,"EQY_CONSOLIDATED",$H$9,"EQY_FUND_CRNCY",$L$7,"StartCol",F$12,"EndCol",F$12,"StartRow",$B33,"EndRow",$B33))</f>
        <v>991</v>
      </c>
      <c r="G33" s="218">
        <f>IF(LEFT(_xll.BDS(Ticker,"PG_REVENUE","PG_HIERARCHY_LEVEL=1","NUMBER_OF_PERIODS=-11","REVERSE_PERIOD_ORDER=N","PRODUCT_GEO_OVERRIDE=G","FUND_PER",RIGHT($B$11,1),"ACCOUNTING_STANDARD_OVERRIDE",$H$7,"EQY_CONSOLIDATED",$H$9,"EQY_FUND_CRNCY",$L$7,"StartCol",G$12,"EndCol",G$12,"StartRow",$B33,"EndRow",$B33),1)="#","",_xll.BDS(Ticker,"PG_REVENUE","PG_HIERARCHY_LEVEL=1","NUMBER_OF_PERIODS=-11","REVERSE_PERIOD_ORDER=N","PRODUCT_GEO_OVERRIDE=G","FUND_PER",RIGHT($B$11,1),"ACCOUNTING_STANDARD_OVERRIDE",$H$7,"EQY_CONSOLIDATED",$H$9,"EQY_FUND_CRNCY",$L$7,"StartCol",G$12,"EndCol",G$12,"StartRow",$B33,"EndRow",$B33))</f>
        <v>1285</v>
      </c>
      <c r="H33" s="218">
        <f>IF(LEFT(_xll.BDS(Ticker,"PG_REVENUE","PG_HIERARCHY_LEVEL=1","NUMBER_OF_PERIODS=-11","REVERSE_PERIOD_ORDER=N","PRODUCT_GEO_OVERRIDE=G","FUND_PER",RIGHT($B$11,1),"ACCOUNTING_STANDARD_OVERRIDE",$H$7,"EQY_CONSOLIDATED",$H$9,"EQY_FUND_CRNCY",$L$7,"StartCol",H$12,"EndCol",H$12,"StartRow",$B33,"EndRow",$B33),1)="#","",_xll.BDS(Ticker,"PG_REVENUE","PG_HIERARCHY_LEVEL=1","NUMBER_OF_PERIODS=-11","REVERSE_PERIOD_ORDER=N","PRODUCT_GEO_OVERRIDE=G","FUND_PER",RIGHT($B$11,1),"ACCOUNTING_STANDARD_OVERRIDE",$H$7,"EQY_CONSOLIDATED",$H$9,"EQY_FUND_CRNCY",$L$7,"StartCol",H$12,"EndCol",H$12,"StartRow",$B33,"EndRow",$B33))</f>
        <v>1336</v>
      </c>
      <c r="I33" s="218">
        <f>IF(LEFT(_xll.BDS(Ticker,"PG_REVENUE","PG_HIERARCHY_LEVEL=1","NUMBER_OF_PERIODS=-11","REVERSE_PERIOD_ORDER=N","PRODUCT_GEO_OVERRIDE=G","FUND_PER",RIGHT($B$11,1),"ACCOUNTING_STANDARD_OVERRIDE",$H$7,"EQY_CONSOLIDATED",$H$9,"EQY_FUND_CRNCY",$L$7,"StartCol",I$12,"EndCol",I$12,"StartRow",$B33,"EndRow",$B33),1)="#","",_xll.BDS(Ticker,"PG_REVENUE","PG_HIERARCHY_LEVEL=1","NUMBER_OF_PERIODS=-11","REVERSE_PERIOD_ORDER=N","PRODUCT_GEO_OVERRIDE=G","FUND_PER",RIGHT($B$11,1),"ACCOUNTING_STANDARD_OVERRIDE",$H$7,"EQY_CONSOLIDATED",$H$9,"EQY_FUND_CRNCY",$L$7,"StartCol",I$12,"EndCol",I$12,"StartRow",$B33,"EndRow",$B33))</f>
        <v>1319</v>
      </c>
      <c r="J33" s="218">
        <f>IF(LEFT(_xll.BDS(Ticker,"PG_REVENUE","PG_HIERARCHY_LEVEL=1","NUMBER_OF_PERIODS=-11","REVERSE_PERIOD_ORDER=N","PRODUCT_GEO_OVERRIDE=G","FUND_PER",RIGHT($B$11,1),"ACCOUNTING_STANDARD_OVERRIDE",$H$7,"EQY_CONSOLIDATED",$H$9,"EQY_FUND_CRNCY",$L$7,"StartCol",J$12,"EndCol",J$12,"StartRow",$B33,"EndRow",$B33),1)="#","",_xll.BDS(Ticker,"PG_REVENUE","PG_HIERARCHY_LEVEL=1","NUMBER_OF_PERIODS=-11","REVERSE_PERIOD_ORDER=N","PRODUCT_GEO_OVERRIDE=G","FUND_PER",RIGHT($B$11,1),"ACCOUNTING_STANDARD_OVERRIDE",$H$7,"EQY_CONSOLIDATED",$H$9,"EQY_FUND_CRNCY",$L$7,"StartCol",J$12,"EndCol",J$12,"StartRow",$B33,"EndRow",$B33))</f>
        <v>1368</v>
      </c>
      <c r="K33" s="218">
        <f>IF(LEFT(_xll.BDS(Ticker,"PG_REVENUE","PG_HIERARCHY_LEVEL=1","NUMBER_OF_PERIODS=-11","REVERSE_PERIOD_ORDER=N","PRODUCT_GEO_OVERRIDE=G","FUND_PER",RIGHT($B$11,1),"ACCOUNTING_STANDARD_OVERRIDE",$H$7,"EQY_CONSOLIDATED",$H$9,"EQY_FUND_CRNCY",$L$7,"StartCol",K$12,"EndCol",K$12,"StartRow",$B33,"EndRow",$B33),1)="#","",_xll.BDS(Ticker,"PG_REVENUE","PG_HIERARCHY_LEVEL=1","NUMBER_OF_PERIODS=-11","REVERSE_PERIOD_ORDER=N","PRODUCT_GEO_OVERRIDE=G","FUND_PER",RIGHT($B$11,1),"ACCOUNTING_STANDARD_OVERRIDE",$H$7,"EQY_CONSOLIDATED",$H$9,"EQY_FUND_CRNCY",$L$7,"StartCol",K$12,"EndCol",K$12,"StartRow",$B33,"EndRow",$B33))</f>
        <v>1251</v>
      </c>
      <c r="L33" s="218">
        <f>IF(LEFT(_xll.BDS(Ticker,"PG_REVENUE","PG_HIERARCHY_LEVEL=1","NUMBER_OF_PERIODS=-11","REVERSE_PERIOD_ORDER=N","PRODUCT_GEO_OVERRIDE=G","FUND_PER",RIGHT($B$11,1),"ACCOUNTING_STANDARD_OVERRIDE",$H$7,"EQY_CONSOLIDATED",$H$9,"EQY_FUND_CRNCY",$L$7,"StartCol",L$12,"EndCol",L$12,"StartRow",$B33,"EndRow",$B33),1)="#","",_xll.BDS(Ticker,"PG_REVENUE","PG_HIERARCHY_LEVEL=1","NUMBER_OF_PERIODS=-11","REVERSE_PERIOD_ORDER=N","PRODUCT_GEO_OVERRIDE=G","FUND_PER",RIGHT($B$11,1),"ACCOUNTING_STANDARD_OVERRIDE",$H$7,"EQY_CONSOLIDATED",$H$9,"EQY_FUND_CRNCY",$L$7,"StartCol",L$12,"EndCol",L$12,"StartRow",$B33,"EndRow",$B33))</f>
        <v>1325</v>
      </c>
      <c r="M33" s="218">
        <f>IF(LEFT(_xll.BDS(Ticker,"PG_REVENUE","PG_HIERARCHY_LEVEL=1","NUMBER_OF_PERIODS=-11","REVERSE_PERIOD_ORDER=N","PRODUCT_GEO_OVERRIDE=G","FUND_PER",RIGHT($B$11,1),"ACCOUNTING_STANDARD_OVERRIDE",$H$7,"EQY_CONSOLIDATED",$H$9,"EQY_FUND_CRNCY",$L$7,"StartCol",M$12,"EndCol",M$12,"StartRow",$B33,"EndRow",$B33),1)="#","",_xll.BDS(Ticker,"PG_REVENUE","PG_HIERARCHY_LEVEL=1","NUMBER_OF_PERIODS=-11","REVERSE_PERIOD_ORDER=N","PRODUCT_GEO_OVERRIDE=G","FUND_PER",RIGHT($B$11,1),"ACCOUNTING_STANDARD_OVERRIDE",$H$7,"EQY_CONSOLIDATED",$H$9,"EQY_FUND_CRNCY",$L$7,"StartCol",M$12,"EndCol",M$12,"StartRow",$B33,"EndRow",$B33))</f>
        <v>1413</v>
      </c>
      <c r="N33" s="218">
        <f>IF(LEFT(_xll.BDS(Ticker,"PG_REVENUE","PG_HIERARCHY_LEVEL=1","NUMBER_OF_PERIODS=-11","REVERSE_PERIOD_ORDER=N","PRODUCT_GEO_OVERRIDE=G","FUND_PER",RIGHT($B$11,1),"ACCOUNTING_STANDARD_OVERRIDE",$H$7,"EQY_CONSOLIDATED",$H$9,"EQY_FUND_CRNCY",$L$7,"StartCol",N$12,"EndCol",N$12,"StartRow",$B33,"EndRow",$B33),1)="#","",_xll.BDS(Ticker,"PG_REVENUE","PG_HIERARCHY_LEVEL=1","NUMBER_OF_PERIODS=-11","REVERSE_PERIOD_ORDER=N","PRODUCT_GEO_OVERRIDE=G","FUND_PER",RIGHT($B$11,1),"ACCOUNTING_STANDARD_OVERRIDE",$H$7,"EQY_CONSOLIDATED",$H$9,"EQY_FUND_CRNCY",$L$7,"StartCol",N$12,"EndCol",N$12,"StartRow",$B33,"EndRow",$B33))</f>
        <v>1532</v>
      </c>
    </row>
    <row r="34" spans="2:14" outlineLevel="1">
      <c r="B34" s="214">
        <v>4</v>
      </c>
      <c r="C34" s="216" t="str">
        <f>IF(LEFT(_xll.BDS(Ticker,"PG_REVENUE","PG_HIERARCHY_LEVEL=1","NUMBER_OF_PERIODS=-11","REVERSE_PERIOD_ORDER=N","PRODUCT_GEO_OVERRIDE=G","FUND_PER",RIGHT($B$11,1),"ACCOUNTING_STANDARD_OVERRIDE",$H$7,"EQY_CONSOLIDATED",$H$9,"EQY_FUND_CRNCY",$L$7,"StartCol",C$12,"EndCol",C$12,"StartRow",$B34,"EndRow",$B34),1)="#","",_xll.BDS(Ticker,"PG_REVENUE","PG_HIERARCHY_LEVEL=1","NUMBER_OF_PERIODS=-11","REVERSE_PERIOD_ORDER=N","PRODUCT_GEO_OVERRIDE=G","FUND_PER",RIGHT($B$11,1),"ACCOUNTING_STANDARD_OVERRIDE",$H$7,"EQY_CONSOLIDATED",$H$9,"EQY_FUND_CRNCY",$L$7,"StartCol",C$12,"EndCol",C$12,"StartRow",$B34,"EndRow",$B34))</f>
        <v>Rest of World</v>
      </c>
      <c r="D34" s="218" t="str">
        <f>IF(LEFT(_xll.BDS(Ticker,"PG_REVENUE","PG_HIERARCHY_LEVEL=1","NUMBER_OF_PERIODS=-11","REVERSE_PERIOD_ORDER=N","PRODUCT_GEO_OVERRIDE=G","FUND_PER",RIGHT($B$11,1),"ACCOUNTING_STANDARD_OVERRIDE",$H$7,"EQY_CONSOLIDATED",$H$9,"EQY_FUND_CRNCY",$L$7,"StartCol",D$12,"EndCol",D$12,"StartRow",$B34,"EndRow",$B34),1)="#","",_xll.BDS(Ticker,"PG_REVENUE","PG_HIERARCHY_LEVEL=1","NUMBER_OF_PERIODS=-11","REVERSE_PERIOD_ORDER=N","PRODUCT_GEO_OVERRIDE=G","FUND_PER",RIGHT($B$11,1),"ACCOUNTING_STANDARD_OVERRIDE",$H$7,"EQY_CONSOLIDATED",$H$9,"EQY_FUND_CRNCY",$L$7,"StartCol",D$12,"EndCol",D$12,"StartRow",$B34,"EndRow",$B34))</f>
        <v/>
      </c>
      <c r="E34" s="218" t="str">
        <f>IF(LEFT(_xll.BDS(Ticker,"PG_REVENUE","PG_HIERARCHY_LEVEL=1","NUMBER_OF_PERIODS=-11","REVERSE_PERIOD_ORDER=N","PRODUCT_GEO_OVERRIDE=G","FUND_PER",RIGHT($B$11,1),"ACCOUNTING_STANDARD_OVERRIDE",$H$7,"EQY_CONSOLIDATED",$H$9,"EQY_FUND_CRNCY",$L$7,"StartCol",E$12,"EndCol",E$12,"StartRow",$B34,"EndRow",$B34),1)="#","",_xll.BDS(Ticker,"PG_REVENUE","PG_HIERARCHY_LEVEL=1","NUMBER_OF_PERIODS=-11","REVERSE_PERIOD_ORDER=N","PRODUCT_GEO_OVERRIDE=G","FUND_PER",RIGHT($B$11,1),"ACCOUNTING_STANDARD_OVERRIDE",$H$7,"EQY_CONSOLIDATED",$H$9,"EQY_FUND_CRNCY",$L$7,"StartCol",E$12,"EndCol",E$12,"StartRow",$B34,"EndRow",$B34))</f>
        <v/>
      </c>
      <c r="F34" s="218">
        <f>IF(LEFT(_xll.BDS(Ticker,"PG_REVENUE","PG_HIERARCHY_LEVEL=1","NUMBER_OF_PERIODS=-11","REVERSE_PERIOD_ORDER=N","PRODUCT_GEO_OVERRIDE=G","FUND_PER",RIGHT($B$11,1),"ACCOUNTING_STANDARD_OVERRIDE",$H$7,"EQY_CONSOLIDATED",$H$9,"EQY_FUND_CRNCY",$L$7,"StartCol",F$12,"EndCol",F$12,"StartRow",$B34,"EndRow",$B34),1)="#","",_xll.BDS(Ticker,"PG_REVENUE","PG_HIERARCHY_LEVEL=1","NUMBER_OF_PERIODS=-11","REVERSE_PERIOD_ORDER=N","PRODUCT_GEO_OVERRIDE=G","FUND_PER",RIGHT($B$11,1),"ACCOUNTING_STANDARD_OVERRIDE",$H$7,"EQY_CONSOLIDATED",$H$9,"EQY_FUND_CRNCY",$L$7,"StartCol",F$12,"EndCol",F$12,"StartRow",$B34,"EndRow",$B34))</f>
        <v>308</v>
      </c>
      <c r="G34" s="218">
        <f>IF(LEFT(_xll.BDS(Ticker,"PG_REVENUE","PG_HIERARCHY_LEVEL=1","NUMBER_OF_PERIODS=-11","REVERSE_PERIOD_ORDER=N","PRODUCT_GEO_OVERRIDE=G","FUND_PER",RIGHT($B$11,1),"ACCOUNTING_STANDARD_OVERRIDE",$H$7,"EQY_CONSOLIDATED",$H$9,"EQY_FUND_CRNCY",$L$7,"StartCol",G$12,"EndCol",G$12,"StartRow",$B34,"EndRow",$B34),1)="#","",_xll.BDS(Ticker,"PG_REVENUE","PG_HIERARCHY_LEVEL=1","NUMBER_OF_PERIODS=-11","REVERSE_PERIOD_ORDER=N","PRODUCT_GEO_OVERRIDE=G","FUND_PER",RIGHT($B$11,1),"ACCOUNTING_STANDARD_OVERRIDE",$H$7,"EQY_CONSOLIDATED",$H$9,"EQY_FUND_CRNCY",$L$7,"StartCol",G$12,"EndCol",G$12,"StartRow",$B34,"EndRow",$B34))</f>
        <v>371</v>
      </c>
      <c r="H34" s="218">
        <f>IF(LEFT(_xll.BDS(Ticker,"PG_REVENUE","PG_HIERARCHY_LEVEL=1","NUMBER_OF_PERIODS=-11","REVERSE_PERIOD_ORDER=N","PRODUCT_GEO_OVERRIDE=G","FUND_PER",RIGHT($B$11,1),"ACCOUNTING_STANDARD_OVERRIDE",$H$7,"EQY_CONSOLIDATED",$H$9,"EQY_FUND_CRNCY",$L$7,"StartCol",H$12,"EndCol",H$12,"StartRow",$B34,"EndRow",$B34),1)="#","",_xll.BDS(Ticker,"PG_REVENUE","PG_HIERARCHY_LEVEL=1","NUMBER_OF_PERIODS=-11","REVERSE_PERIOD_ORDER=N","PRODUCT_GEO_OVERRIDE=G","FUND_PER",RIGHT($B$11,1),"ACCOUNTING_STANDARD_OVERRIDE",$H$7,"EQY_CONSOLIDATED",$H$9,"EQY_FUND_CRNCY",$L$7,"StartCol",H$12,"EndCol",H$12,"StartRow",$B34,"EndRow",$B34))</f>
        <v>397</v>
      </c>
      <c r="I34" s="218">
        <f>IF(LEFT(_xll.BDS(Ticker,"PG_REVENUE","PG_HIERARCHY_LEVEL=1","NUMBER_OF_PERIODS=-11","REVERSE_PERIOD_ORDER=N","PRODUCT_GEO_OVERRIDE=G","FUND_PER",RIGHT($B$11,1),"ACCOUNTING_STANDARD_OVERRIDE",$H$7,"EQY_CONSOLIDATED",$H$9,"EQY_FUND_CRNCY",$L$7,"StartCol",I$12,"EndCol",I$12,"StartRow",$B34,"EndRow",$B34),1)="#","",_xll.BDS(Ticker,"PG_REVENUE","PG_HIERARCHY_LEVEL=1","NUMBER_OF_PERIODS=-11","REVERSE_PERIOD_ORDER=N","PRODUCT_GEO_OVERRIDE=G","FUND_PER",RIGHT($B$11,1),"ACCOUNTING_STANDARD_OVERRIDE",$H$7,"EQY_CONSOLIDATED",$H$9,"EQY_FUND_CRNCY",$L$7,"StartCol",I$12,"EndCol",I$12,"StartRow",$B34,"EndRow",$B34))</f>
        <v>402</v>
      </c>
      <c r="J34" s="218">
        <f>IF(LEFT(_xll.BDS(Ticker,"PG_REVENUE","PG_HIERARCHY_LEVEL=1","NUMBER_OF_PERIODS=-11","REVERSE_PERIOD_ORDER=N","PRODUCT_GEO_OVERRIDE=G","FUND_PER",RIGHT($B$11,1),"ACCOUNTING_STANDARD_OVERRIDE",$H$7,"EQY_CONSOLIDATED",$H$9,"EQY_FUND_CRNCY",$L$7,"StartCol",J$12,"EndCol",J$12,"StartRow",$B34,"EndRow",$B34),1)="#","",_xll.BDS(Ticker,"PG_REVENUE","PG_HIERARCHY_LEVEL=1","NUMBER_OF_PERIODS=-11","REVERSE_PERIOD_ORDER=N","PRODUCT_GEO_OVERRIDE=G","FUND_PER",RIGHT($B$11,1),"ACCOUNTING_STANDARD_OVERRIDE",$H$7,"EQY_CONSOLIDATED",$H$9,"EQY_FUND_CRNCY",$L$7,"StartCol",J$12,"EndCol",J$12,"StartRow",$B34,"EndRow",$B34))</f>
        <v>378</v>
      </c>
      <c r="K34" s="218">
        <f>IF(LEFT(_xll.BDS(Ticker,"PG_REVENUE","PG_HIERARCHY_LEVEL=1","NUMBER_OF_PERIODS=-11","REVERSE_PERIOD_ORDER=N","PRODUCT_GEO_OVERRIDE=G","FUND_PER",RIGHT($B$11,1),"ACCOUNTING_STANDARD_OVERRIDE",$H$7,"EQY_CONSOLIDATED",$H$9,"EQY_FUND_CRNCY",$L$7,"StartCol",K$12,"EndCol",K$12,"StartRow",$B34,"EndRow",$B34),1)="#","",_xll.BDS(Ticker,"PG_REVENUE","PG_HIERARCHY_LEVEL=1","NUMBER_OF_PERIODS=-11","REVERSE_PERIOD_ORDER=N","PRODUCT_GEO_OVERRIDE=G","FUND_PER",RIGHT($B$11,1),"ACCOUNTING_STANDARD_OVERRIDE",$H$7,"EQY_CONSOLIDATED",$H$9,"EQY_FUND_CRNCY",$L$7,"StartCol",K$12,"EndCol",K$12,"StartRow",$B34,"EndRow",$B34))</f>
        <v>312</v>
      </c>
      <c r="L34" s="218">
        <f>IF(LEFT(_xll.BDS(Ticker,"PG_REVENUE","PG_HIERARCHY_LEVEL=1","NUMBER_OF_PERIODS=-11","REVERSE_PERIOD_ORDER=N","PRODUCT_GEO_OVERRIDE=G","FUND_PER",RIGHT($B$11,1),"ACCOUNTING_STANDARD_OVERRIDE",$H$7,"EQY_CONSOLIDATED",$H$9,"EQY_FUND_CRNCY",$L$7,"StartCol",L$12,"EndCol",L$12,"StartRow",$B34,"EndRow",$B34),1)="#","",_xll.BDS(Ticker,"PG_REVENUE","PG_HIERARCHY_LEVEL=1","NUMBER_OF_PERIODS=-11","REVERSE_PERIOD_ORDER=N","PRODUCT_GEO_OVERRIDE=G","FUND_PER",RIGHT($B$11,1),"ACCOUNTING_STANDARD_OVERRIDE",$H$7,"EQY_CONSOLIDATED",$H$9,"EQY_FUND_CRNCY",$L$7,"StartCol",L$12,"EndCol",L$12,"StartRow",$B34,"EndRow",$B34))</f>
        <v>333</v>
      </c>
      <c r="M34" s="218">
        <f>IF(LEFT(_xll.BDS(Ticker,"PG_REVENUE","PG_HIERARCHY_LEVEL=1","NUMBER_OF_PERIODS=-11","REVERSE_PERIOD_ORDER=N","PRODUCT_GEO_OVERRIDE=G","FUND_PER",RIGHT($B$11,1),"ACCOUNTING_STANDARD_OVERRIDE",$H$7,"EQY_CONSOLIDATED",$H$9,"EQY_FUND_CRNCY",$L$7,"StartCol",M$12,"EndCol",M$12,"StartRow",$B34,"EndRow",$B34),1)="#","",_xll.BDS(Ticker,"PG_REVENUE","PG_HIERARCHY_LEVEL=1","NUMBER_OF_PERIODS=-11","REVERSE_PERIOD_ORDER=N","PRODUCT_GEO_OVERRIDE=G","FUND_PER",RIGHT($B$11,1),"ACCOUNTING_STANDARD_OVERRIDE",$H$7,"EQY_CONSOLIDATED",$H$9,"EQY_FUND_CRNCY",$L$7,"StartCol",M$12,"EndCol",M$12,"StartRow",$B34,"EndRow",$B34))</f>
        <v>405</v>
      </c>
      <c r="N34" s="218">
        <f>IF(LEFT(_xll.BDS(Ticker,"PG_REVENUE","PG_HIERARCHY_LEVEL=1","NUMBER_OF_PERIODS=-11","REVERSE_PERIOD_ORDER=N","PRODUCT_GEO_OVERRIDE=G","FUND_PER",RIGHT($B$11,1),"ACCOUNTING_STANDARD_OVERRIDE",$H$7,"EQY_CONSOLIDATED",$H$9,"EQY_FUND_CRNCY",$L$7,"StartCol",N$12,"EndCol",N$12,"StartRow",$B34,"EndRow",$B34),1)="#","",_xll.BDS(Ticker,"PG_REVENUE","PG_HIERARCHY_LEVEL=1","NUMBER_OF_PERIODS=-11","REVERSE_PERIOD_ORDER=N","PRODUCT_GEO_OVERRIDE=G","FUND_PER",RIGHT($B$11,1),"ACCOUNTING_STANDARD_OVERRIDE",$H$7,"EQY_CONSOLIDATED",$H$9,"EQY_FUND_CRNCY",$L$7,"StartCol",N$12,"EndCol",N$12,"StartRow",$B34,"EndRow",$B34))</f>
        <v>428</v>
      </c>
    </row>
    <row r="35" spans="2:14" outlineLevel="1">
      <c r="B35" s="214">
        <v>5</v>
      </c>
      <c r="C35" s="216" t="str">
        <f>IF(LEFT(_xll.BDS(Ticker,"PG_REVENUE","PG_HIERARCHY_LEVEL=1","NUMBER_OF_PERIODS=-11","REVERSE_PERIOD_ORDER=N","PRODUCT_GEO_OVERRIDE=G","FUND_PER",RIGHT($B$11,1),"ACCOUNTING_STANDARD_OVERRIDE",$H$7,"EQY_CONSOLIDATED",$H$9,"EQY_FUND_CRNCY",$L$7,"StartCol",C$12,"EndCol",C$12,"StartRow",$B35,"EndRow",$B35),1)="#","",_xll.BDS(Ticker,"PG_REVENUE","PG_HIERARCHY_LEVEL=1","NUMBER_OF_PERIODS=-11","REVERSE_PERIOD_ORDER=N","PRODUCT_GEO_OVERRIDE=G","FUND_PER",RIGHT($B$11,1),"ACCOUNTING_STANDARD_OVERRIDE",$H$7,"EQY_CONSOLIDATED",$H$9,"EQY_FUND_CRNCY",$L$7,"StartCol",C$12,"EndCol",C$12,"StartRow",$B35,"EndRow",$B35))</f>
        <v>International</v>
      </c>
      <c r="D35" s="218">
        <f>IF(LEFT(_xll.BDS(Ticker,"PG_REVENUE","PG_HIERARCHY_LEVEL=1","NUMBER_OF_PERIODS=-11","REVERSE_PERIOD_ORDER=N","PRODUCT_GEO_OVERRIDE=G","FUND_PER",RIGHT($B$11,1),"ACCOUNTING_STANDARD_OVERRIDE",$H$7,"EQY_CONSOLIDATED",$H$9,"EQY_FUND_CRNCY",$L$7,"StartCol",D$12,"EndCol",D$12,"StartRow",$B35,"EndRow",$B35),1)="#","",_xll.BDS(Ticker,"PG_REVENUE","PG_HIERARCHY_LEVEL=1","NUMBER_OF_PERIODS=-11","REVERSE_PERIOD_ORDER=N","PRODUCT_GEO_OVERRIDE=G","FUND_PER",RIGHT($B$11,1),"ACCOUNTING_STANDARD_OVERRIDE",$H$7,"EQY_CONSOLIDATED",$H$9,"EQY_FUND_CRNCY",$L$7,"StartCol",D$12,"EndCol",D$12,"StartRow",$B35,"EndRow",$B35))</f>
        <v>2436</v>
      </c>
      <c r="E35" s="218">
        <f>IF(LEFT(_xll.BDS(Ticker,"PG_REVENUE","PG_HIERARCHY_LEVEL=1","NUMBER_OF_PERIODS=-11","REVERSE_PERIOD_ORDER=N","PRODUCT_GEO_OVERRIDE=G","FUND_PER",RIGHT($B$11,1),"ACCOUNTING_STANDARD_OVERRIDE",$H$7,"EQY_CONSOLIDATED",$H$9,"EQY_FUND_CRNCY",$L$7,"StartCol",E$12,"EndCol",E$12,"StartRow",$B35,"EndRow",$B35),1)="#","",_xll.BDS(Ticker,"PG_REVENUE","PG_HIERARCHY_LEVEL=1","NUMBER_OF_PERIODS=-11","REVERSE_PERIOD_ORDER=N","PRODUCT_GEO_OVERRIDE=G","FUND_PER",RIGHT($B$11,1),"ACCOUNTING_STANDARD_OVERRIDE",$H$7,"EQY_CONSOLIDATED",$H$9,"EQY_FUND_CRNCY",$L$7,"StartCol",E$12,"EndCol",E$12,"StartRow",$B35,"EndRow",$B35))</f>
        <v>2405.6999999999998</v>
      </c>
      <c r="F35" s="218" t="str">
        <f>IF(LEFT(_xll.BDS(Ticker,"PG_REVENUE","PG_HIERARCHY_LEVEL=1","NUMBER_OF_PERIODS=-11","REVERSE_PERIOD_ORDER=N","PRODUCT_GEO_OVERRIDE=G","FUND_PER",RIGHT($B$11,1),"ACCOUNTING_STANDARD_OVERRIDE",$H$7,"EQY_CONSOLIDATED",$H$9,"EQY_FUND_CRNCY",$L$7,"StartCol",F$12,"EndCol",F$12,"StartRow",$B35,"EndRow",$B35),1)="#","",_xll.BDS(Ticker,"PG_REVENUE","PG_HIERARCHY_LEVEL=1","NUMBER_OF_PERIODS=-11","REVERSE_PERIOD_ORDER=N","PRODUCT_GEO_OVERRIDE=G","FUND_PER",RIGHT($B$11,1),"ACCOUNTING_STANDARD_OVERRIDE",$H$7,"EQY_CONSOLIDATED",$H$9,"EQY_FUND_CRNCY",$L$7,"StartCol",F$12,"EndCol",F$12,"StartRow",$B35,"EndRow",$B35))</f>
        <v/>
      </c>
      <c r="G35" s="218" t="str">
        <f>IF(LEFT(_xll.BDS(Ticker,"PG_REVENUE","PG_HIERARCHY_LEVEL=1","NUMBER_OF_PERIODS=-11","REVERSE_PERIOD_ORDER=N","PRODUCT_GEO_OVERRIDE=G","FUND_PER",RIGHT($B$11,1),"ACCOUNTING_STANDARD_OVERRIDE",$H$7,"EQY_CONSOLIDATED",$H$9,"EQY_FUND_CRNCY",$L$7,"StartCol",G$12,"EndCol",G$12,"StartRow",$B35,"EndRow",$B35),1)="#","",_xll.BDS(Ticker,"PG_REVENUE","PG_HIERARCHY_LEVEL=1","NUMBER_OF_PERIODS=-11","REVERSE_PERIOD_ORDER=N","PRODUCT_GEO_OVERRIDE=G","FUND_PER",RIGHT($B$11,1),"ACCOUNTING_STANDARD_OVERRIDE",$H$7,"EQY_CONSOLIDATED",$H$9,"EQY_FUND_CRNCY",$L$7,"StartCol",G$12,"EndCol",G$12,"StartRow",$B35,"EndRow",$B35))</f>
        <v/>
      </c>
      <c r="H35" s="218" t="str">
        <f>IF(LEFT(_xll.BDS(Ticker,"PG_REVENUE","PG_HIERARCHY_LEVEL=1","NUMBER_OF_PERIODS=-11","REVERSE_PERIOD_ORDER=N","PRODUCT_GEO_OVERRIDE=G","FUND_PER",RIGHT($B$11,1),"ACCOUNTING_STANDARD_OVERRIDE",$H$7,"EQY_CONSOLIDATED",$H$9,"EQY_FUND_CRNCY",$L$7,"StartCol",H$12,"EndCol",H$12,"StartRow",$B35,"EndRow",$B35),1)="#","",_xll.BDS(Ticker,"PG_REVENUE","PG_HIERARCHY_LEVEL=1","NUMBER_OF_PERIODS=-11","REVERSE_PERIOD_ORDER=N","PRODUCT_GEO_OVERRIDE=G","FUND_PER",RIGHT($B$11,1),"ACCOUNTING_STANDARD_OVERRIDE",$H$7,"EQY_CONSOLIDATED",$H$9,"EQY_FUND_CRNCY",$L$7,"StartCol",H$12,"EndCol",H$12,"StartRow",$B35,"EndRow",$B35))</f>
        <v/>
      </c>
      <c r="I35" s="218" t="str">
        <f>IF(LEFT(_xll.BDS(Ticker,"PG_REVENUE","PG_HIERARCHY_LEVEL=1","NUMBER_OF_PERIODS=-11","REVERSE_PERIOD_ORDER=N","PRODUCT_GEO_OVERRIDE=G","FUND_PER",RIGHT($B$11,1),"ACCOUNTING_STANDARD_OVERRIDE",$H$7,"EQY_CONSOLIDATED",$H$9,"EQY_FUND_CRNCY",$L$7,"StartCol",I$12,"EndCol",I$12,"StartRow",$B35,"EndRow",$B35),1)="#","",_xll.BDS(Ticker,"PG_REVENUE","PG_HIERARCHY_LEVEL=1","NUMBER_OF_PERIODS=-11","REVERSE_PERIOD_ORDER=N","PRODUCT_GEO_OVERRIDE=G","FUND_PER",RIGHT($B$11,1),"ACCOUNTING_STANDARD_OVERRIDE",$H$7,"EQY_CONSOLIDATED",$H$9,"EQY_FUND_CRNCY",$L$7,"StartCol",I$12,"EndCol",I$12,"StartRow",$B35,"EndRow",$B35))</f>
        <v/>
      </c>
      <c r="J35" s="218" t="str">
        <f>IF(LEFT(_xll.BDS(Ticker,"PG_REVENUE","PG_HIERARCHY_LEVEL=1","NUMBER_OF_PERIODS=-11","REVERSE_PERIOD_ORDER=N","PRODUCT_GEO_OVERRIDE=G","FUND_PER",RIGHT($B$11,1),"ACCOUNTING_STANDARD_OVERRIDE",$H$7,"EQY_CONSOLIDATED",$H$9,"EQY_FUND_CRNCY",$L$7,"StartCol",J$12,"EndCol",J$12,"StartRow",$B35,"EndRow",$B35),1)="#","",_xll.BDS(Ticker,"PG_REVENUE","PG_HIERARCHY_LEVEL=1","NUMBER_OF_PERIODS=-11","REVERSE_PERIOD_ORDER=N","PRODUCT_GEO_OVERRIDE=G","FUND_PER",RIGHT($B$11,1),"ACCOUNTING_STANDARD_OVERRIDE",$H$7,"EQY_CONSOLIDATED",$H$9,"EQY_FUND_CRNCY",$L$7,"StartCol",J$12,"EndCol",J$12,"StartRow",$B35,"EndRow",$B35))</f>
        <v/>
      </c>
      <c r="K35" s="218" t="str">
        <f>IF(LEFT(_xll.BDS(Ticker,"PG_REVENUE","PG_HIERARCHY_LEVEL=1","NUMBER_OF_PERIODS=-11","REVERSE_PERIOD_ORDER=N","PRODUCT_GEO_OVERRIDE=G","FUND_PER",RIGHT($B$11,1),"ACCOUNTING_STANDARD_OVERRIDE",$H$7,"EQY_CONSOLIDATED",$H$9,"EQY_FUND_CRNCY",$L$7,"StartCol",K$12,"EndCol",K$12,"StartRow",$B35,"EndRow",$B35),1)="#","",_xll.BDS(Ticker,"PG_REVENUE","PG_HIERARCHY_LEVEL=1","NUMBER_OF_PERIODS=-11","REVERSE_PERIOD_ORDER=N","PRODUCT_GEO_OVERRIDE=G","FUND_PER",RIGHT($B$11,1),"ACCOUNTING_STANDARD_OVERRIDE",$H$7,"EQY_CONSOLIDATED",$H$9,"EQY_FUND_CRNCY",$L$7,"StartCol",K$12,"EndCol",K$12,"StartRow",$B35,"EndRow",$B35))</f>
        <v/>
      </c>
      <c r="L35" s="218" t="str">
        <f>IF(LEFT(_xll.BDS(Ticker,"PG_REVENUE","PG_HIERARCHY_LEVEL=1","NUMBER_OF_PERIODS=-11","REVERSE_PERIOD_ORDER=N","PRODUCT_GEO_OVERRIDE=G","FUND_PER",RIGHT($B$11,1),"ACCOUNTING_STANDARD_OVERRIDE",$H$7,"EQY_CONSOLIDATED",$H$9,"EQY_FUND_CRNCY",$L$7,"StartCol",L$12,"EndCol",L$12,"StartRow",$B35,"EndRow",$B35),1)="#","",_xll.BDS(Ticker,"PG_REVENUE","PG_HIERARCHY_LEVEL=1","NUMBER_OF_PERIODS=-11","REVERSE_PERIOD_ORDER=N","PRODUCT_GEO_OVERRIDE=G","FUND_PER",RIGHT($B$11,1),"ACCOUNTING_STANDARD_OVERRIDE",$H$7,"EQY_CONSOLIDATED",$H$9,"EQY_FUND_CRNCY",$L$7,"StartCol",L$12,"EndCol",L$12,"StartRow",$B35,"EndRow",$B35))</f>
        <v/>
      </c>
      <c r="M35" s="218" t="str">
        <f>IF(LEFT(_xll.BDS(Ticker,"PG_REVENUE","PG_HIERARCHY_LEVEL=1","NUMBER_OF_PERIODS=-11","REVERSE_PERIOD_ORDER=N","PRODUCT_GEO_OVERRIDE=G","FUND_PER",RIGHT($B$11,1),"ACCOUNTING_STANDARD_OVERRIDE",$H$7,"EQY_CONSOLIDATED",$H$9,"EQY_FUND_CRNCY",$L$7,"StartCol",M$12,"EndCol",M$12,"StartRow",$B35,"EndRow",$B35),1)="#","",_xll.BDS(Ticker,"PG_REVENUE","PG_HIERARCHY_LEVEL=1","NUMBER_OF_PERIODS=-11","REVERSE_PERIOD_ORDER=N","PRODUCT_GEO_OVERRIDE=G","FUND_PER",RIGHT($B$11,1),"ACCOUNTING_STANDARD_OVERRIDE",$H$7,"EQY_CONSOLIDATED",$H$9,"EQY_FUND_CRNCY",$L$7,"StartCol",M$12,"EndCol",M$12,"StartRow",$B35,"EndRow",$B35))</f>
        <v/>
      </c>
      <c r="N35" s="218" t="str">
        <f>IF(LEFT(_xll.BDS(Ticker,"PG_REVENUE","PG_HIERARCHY_LEVEL=1","NUMBER_OF_PERIODS=-11","REVERSE_PERIOD_ORDER=N","PRODUCT_GEO_OVERRIDE=G","FUND_PER",RIGHT($B$11,1),"ACCOUNTING_STANDARD_OVERRIDE",$H$7,"EQY_CONSOLIDATED",$H$9,"EQY_FUND_CRNCY",$L$7,"StartCol",N$12,"EndCol",N$12,"StartRow",$B35,"EndRow",$B35),1)="#","",_xll.BDS(Ticker,"PG_REVENUE","PG_HIERARCHY_LEVEL=1","NUMBER_OF_PERIODS=-11","REVERSE_PERIOD_ORDER=N","PRODUCT_GEO_OVERRIDE=G","FUND_PER",RIGHT($B$11,1),"ACCOUNTING_STANDARD_OVERRIDE",$H$7,"EQY_CONSOLIDATED",$H$9,"EQY_FUND_CRNCY",$L$7,"StartCol",N$12,"EndCol",N$12,"StartRow",$B35,"EndRow",$B35))</f>
        <v/>
      </c>
    </row>
    <row r="36" spans="2:14" outlineLevel="1">
      <c r="B36" s="214">
        <v>6</v>
      </c>
      <c r="C36" s="216" t="str">
        <f>IF(LEFT(_xll.BDS(Ticker,"PG_REVENUE","PG_HIERARCHY_LEVEL=1","NUMBER_OF_PERIODS=-11","REVERSE_PERIOD_ORDER=N","PRODUCT_GEO_OVERRIDE=G","FUND_PER",RIGHT($B$11,1),"ACCOUNTING_STANDARD_OVERRIDE",$H$7,"EQY_CONSOLIDATED",$H$9,"EQY_FUND_CRNCY",$L$7,"StartCol",C$12,"EndCol",C$12,"StartRow",$B36,"EndRow",$B36),1)="#","",_xll.BDS(Ticker,"PG_REVENUE","PG_HIERARCHY_LEVEL=1","NUMBER_OF_PERIODS=-11","REVERSE_PERIOD_ORDER=N","PRODUCT_GEO_OVERRIDE=G","FUND_PER",RIGHT($B$11,1),"ACCOUNTING_STANDARD_OVERRIDE",$H$7,"EQY_CONSOLIDATED",$H$9,"EQY_FUND_CRNCY",$L$7,"StartCol",C$12,"EndCol",C$12,"StartRow",$B36,"EndRow",$B36))</f>
        <v/>
      </c>
      <c r="D36" s="218" t="str">
        <f>IF(LEFT(_xll.BDS(Ticker,"PG_REVENUE","PG_HIERARCHY_LEVEL=1","NUMBER_OF_PERIODS=-11","REVERSE_PERIOD_ORDER=N","PRODUCT_GEO_OVERRIDE=G","FUND_PER",RIGHT($B$11,1),"ACCOUNTING_STANDARD_OVERRIDE",$H$7,"EQY_CONSOLIDATED",$H$9,"EQY_FUND_CRNCY",$L$7,"StartCol",D$12,"EndCol",D$12,"StartRow",$B36,"EndRow",$B36),1)="#","",_xll.BDS(Ticker,"PG_REVENUE","PG_HIERARCHY_LEVEL=1","NUMBER_OF_PERIODS=-11","REVERSE_PERIOD_ORDER=N","PRODUCT_GEO_OVERRIDE=G","FUND_PER",RIGHT($B$11,1),"ACCOUNTING_STANDARD_OVERRIDE",$H$7,"EQY_CONSOLIDATED",$H$9,"EQY_FUND_CRNCY",$L$7,"StartCol",D$12,"EndCol",D$12,"StartRow",$B36,"EndRow",$B36))</f>
        <v/>
      </c>
      <c r="E36" s="218" t="str">
        <f>IF(LEFT(_xll.BDS(Ticker,"PG_REVENUE","PG_HIERARCHY_LEVEL=1","NUMBER_OF_PERIODS=-11","REVERSE_PERIOD_ORDER=N","PRODUCT_GEO_OVERRIDE=G","FUND_PER",RIGHT($B$11,1),"ACCOUNTING_STANDARD_OVERRIDE",$H$7,"EQY_CONSOLIDATED",$H$9,"EQY_FUND_CRNCY",$L$7,"StartCol",E$12,"EndCol",E$12,"StartRow",$B36,"EndRow",$B36),1)="#","",_xll.BDS(Ticker,"PG_REVENUE","PG_HIERARCHY_LEVEL=1","NUMBER_OF_PERIODS=-11","REVERSE_PERIOD_ORDER=N","PRODUCT_GEO_OVERRIDE=G","FUND_PER",RIGHT($B$11,1),"ACCOUNTING_STANDARD_OVERRIDE",$H$7,"EQY_CONSOLIDATED",$H$9,"EQY_FUND_CRNCY",$L$7,"StartCol",E$12,"EndCol",E$12,"StartRow",$B36,"EndRow",$B36))</f>
        <v/>
      </c>
      <c r="F36" s="218" t="str">
        <f>IF(LEFT(_xll.BDS(Ticker,"PG_REVENUE","PG_HIERARCHY_LEVEL=1","NUMBER_OF_PERIODS=-11","REVERSE_PERIOD_ORDER=N","PRODUCT_GEO_OVERRIDE=G","FUND_PER",RIGHT($B$11,1),"ACCOUNTING_STANDARD_OVERRIDE",$H$7,"EQY_CONSOLIDATED",$H$9,"EQY_FUND_CRNCY",$L$7,"StartCol",F$12,"EndCol",F$12,"StartRow",$B36,"EndRow",$B36),1)="#","",_xll.BDS(Ticker,"PG_REVENUE","PG_HIERARCHY_LEVEL=1","NUMBER_OF_PERIODS=-11","REVERSE_PERIOD_ORDER=N","PRODUCT_GEO_OVERRIDE=G","FUND_PER",RIGHT($B$11,1),"ACCOUNTING_STANDARD_OVERRIDE",$H$7,"EQY_CONSOLIDATED",$H$9,"EQY_FUND_CRNCY",$L$7,"StartCol",F$12,"EndCol",F$12,"StartRow",$B36,"EndRow",$B36))</f>
        <v/>
      </c>
      <c r="G36" s="218" t="str">
        <f>IF(LEFT(_xll.BDS(Ticker,"PG_REVENUE","PG_HIERARCHY_LEVEL=1","NUMBER_OF_PERIODS=-11","REVERSE_PERIOD_ORDER=N","PRODUCT_GEO_OVERRIDE=G","FUND_PER",RIGHT($B$11,1),"ACCOUNTING_STANDARD_OVERRIDE",$H$7,"EQY_CONSOLIDATED",$H$9,"EQY_FUND_CRNCY",$L$7,"StartCol",G$12,"EndCol",G$12,"StartRow",$B36,"EndRow",$B36),1)="#","",_xll.BDS(Ticker,"PG_REVENUE","PG_HIERARCHY_LEVEL=1","NUMBER_OF_PERIODS=-11","REVERSE_PERIOD_ORDER=N","PRODUCT_GEO_OVERRIDE=G","FUND_PER",RIGHT($B$11,1),"ACCOUNTING_STANDARD_OVERRIDE",$H$7,"EQY_CONSOLIDATED",$H$9,"EQY_FUND_CRNCY",$L$7,"StartCol",G$12,"EndCol",G$12,"StartRow",$B36,"EndRow",$B36))</f>
        <v/>
      </c>
      <c r="H36" s="218" t="str">
        <f>IF(LEFT(_xll.BDS(Ticker,"PG_REVENUE","PG_HIERARCHY_LEVEL=1","NUMBER_OF_PERIODS=-11","REVERSE_PERIOD_ORDER=N","PRODUCT_GEO_OVERRIDE=G","FUND_PER",RIGHT($B$11,1),"ACCOUNTING_STANDARD_OVERRIDE",$H$7,"EQY_CONSOLIDATED",$H$9,"EQY_FUND_CRNCY",$L$7,"StartCol",H$12,"EndCol",H$12,"StartRow",$B36,"EndRow",$B36),1)="#","",_xll.BDS(Ticker,"PG_REVENUE","PG_HIERARCHY_LEVEL=1","NUMBER_OF_PERIODS=-11","REVERSE_PERIOD_ORDER=N","PRODUCT_GEO_OVERRIDE=G","FUND_PER",RIGHT($B$11,1),"ACCOUNTING_STANDARD_OVERRIDE",$H$7,"EQY_CONSOLIDATED",$H$9,"EQY_FUND_CRNCY",$L$7,"StartCol",H$12,"EndCol",H$12,"StartRow",$B36,"EndRow",$B36))</f>
        <v/>
      </c>
      <c r="I36" s="218" t="str">
        <f>IF(LEFT(_xll.BDS(Ticker,"PG_REVENUE","PG_HIERARCHY_LEVEL=1","NUMBER_OF_PERIODS=-11","REVERSE_PERIOD_ORDER=N","PRODUCT_GEO_OVERRIDE=G","FUND_PER",RIGHT($B$11,1),"ACCOUNTING_STANDARD_OVERRIDE",$H$7,"EQY_CONSOLIDATED",$H$9,"EQY_FUND_CRNCY",$L$7,"StartCol",I$12,"EndCol",I$12,"StartRow",$B36,"EndRow",$B36),1)="#","",_xll.BDS(Ticker,"PG_REVENUE","PG_HIERARCHY_LEVEL=1","NUMBER_OF_PERIODS=-11","REVERSE_PERIOD_ORDER=N","PRODUCT_GEO_OVERRIDE=G","FUND_PER",RIGHT($B$11,1),"ACCOUNTING_STANDARD_OVERRIDE",$H$7,"EQY_CONSOLIDATED",$H$9,"EQY_FUND_CRNCY",$L$7,"StartCol",I$12,"EndCol",I$12,"StartRow",$B36,"EndRow",$B36))</f>
        <v/>
      </c>
      <c r="J36" s="218" t="str">
        <f>IF(LEFT(_xll.BDS(Ticker,"PG_REVENUE","PG_HIERARCHY_LEVEL=1","NUMBER_OF_PERIODS=-11","REVERSE_PERIOD_ORDER=N","PRODUCT_GEO_OVERRIDE=G","FUND_PER",RIGHT($B$11,1),"ACCOUNTING_STANDARD_OVERRIDE",$H$7,"EQY_CONSOLIDATED",$H$9,"EQY_FUND_CRNCY",$L$7,"StartCol",J$12,"EndCol",J$12,"StartRow",$B36,"EndRow",$B36),1)="#","",_xll.BDS(Ticker,"PG_REVENUE","PG_HIERARCHY_LEVEL=1","NUMBER_OF_PERIODS=-11","REVERSE_PERIOD_ORDER=N","PRODUCT_GEO_OVERRIDE=G","FUND_PER",RIGHT($B$11,1),"ACCOUNTING_STANDARD_OVERRIDE",$H$7,"EQY_CONSOLIDATED",$H$9,"EQY_FUND_CRNCY",$L$7,"StartCol",J$12,"EndCol",J$12,"StartRow",$B36,"EndRow",$B36))</f>
        <v/>
      </c>
      <c r="K36" s="218" t="str">
        <f>IF(LEFT(_xll.BDS(Ticker,"PG_REVENUE","PG_HIERARCHY_LEVEL=1","NUMBER_OF_PERIODS=-11","REVERSE_PERIOD_ORDER=N","PRODUCT_GEO_OVERRIDE=G","FUND_PER",RIGHT($B$11,1),"ACCOUNTING_STANDARD_OVERRIDE",$H$7,"EQY_CONSOLIDATED",$H$9,"EQY_FUND_CRNCY",$L$7,"StartCol",K$12,"EndCol",K$12,"StartRow",$B36,"EndRow",$B36),1)="#","",_xll.BDS(Ticker,"PG_REVENUE","PG_HIERARCHY_LEVEL=1","NUMBER_OF_PERIODS=-11","REVERSE_PERIOD_ORDER=N","PRODUCT_GEO_OVERRIDE=G","FUND_PER",RIGHT($B$11,1),"ACCOUNTING_STANDARD_OVERRIDE",$H$7,"EQY_CONSOLIDATED",$H$9,"EQY_FUND_CRNCY",$L$7,"StartCol",K$12,"EndCol",K$12,"StartRow",$B36,"EndRow",$B36))</f>
        <v/>
      </c>
      <c r="L36" s="218" t="str">
        <f>IF(LEFT(_xll.BDS(Ticker,"PG_REVENUE","PG_HIERARCHY_LEVEL=1","NUMBER_OF_PERIODS=-11","REVERSE_PERIOD_ORDER=N","PRODUCT_GEO_OVERRIDE=G","FUND_PER",RIGHT($B$11,1),"ACCOUNTING_STANDARD_OVERRIDE",$H$7,"EQY_CONSOLIDATED",$H$9,"EQY_FUND_CRNCY",$L$7,"StartCol",L$12,"EndCol",L$12,"StartRow",$B36,"EndRow",$B36),1)="#","",_xll.BDS(Ticker,"PG_REVENUE","PG_HIERARCHY_LEVEL=1","NUMBER_OF_PERIODS=-11","REVERSE_PERIOD_ORDER=N","PRODUCT_GEO_OVERRIDE=G","FUND_PER",RIGHT($B$11,1),"ACCOUNTING_STANDARD_OVERRIDE",$H$7,"EQY_CONSOLIDATED",$H$9,"EQY_FUND_CRNCY",$L$7,"StartCol",L$12,"EndCol",L$12,"StartRow",$B36,"EndRow",$B36))</f>
        <v/>
      </c>
      <c r="M36" s="218" t="str">
        <f>IF(LEFT(_xll.BDS(Ticker,"PG_REVENUE","PG_HIERARCHY_LEVEL=1","NUMBER_OF_PERIODS=-11","REVERSE_PERIOD_ORDER=N","PRODUCT_GEO_OVERRIDE=G","FUND_PER",RIGHT($B$11,1),"ACCOUNTING_STANDARD_OVERRIDE",$H$7,"EQY_CONSOLIDATED",$H$9,"EQY_FUND_CRNCY",$L$7,"StartCol",M$12,"EndCol",M$12,"StartRow",$B36,"EndRow",$B36),1)="#","",_xll.BDS(Ticker,"PG_REVENUE","PG_HIERARCHY_LEVEL=1","NUMBER_OF_PERIODS=-11","REVERSE_PERIOD_ORDER=N","PRODUCT_GEO_OVERRIDE=G","FUND_PER",RIGHT($B$11,1),"ACCOUNTING_STANDARD_OVERRIDE",$H$7,"EQY_CONSOLIDATED",$H$9,"EQY_FUND_CRNCY",$L$7,"StartCol",M$12,"EndCol",M$12,"StartRow",$B36,"EndRow",$B36))</f>
        <v/>
      </c>
      <c r="N36" s="218" t="str">
        <f>IF(LEFT(_xll.BDS(Ticker,"PG_REVENUE","PG_HIERARCHY_LEVEL=1","NUMBER_OF_PERIODS=-11","REVERSE_PERIOD_ORDER=N","PRODUCT_GEO_OVERRIDE=G","FUND_PER",RIGHT($B$11,1),"ACCOUNTING_STANDARD_OVERRIDE",$H$7,"EQY_CONSOLIDATED",$H$9,"EQY_FUND_CRNCY",$L$7,"StartCol",N$12,"EndCol",N$12,"StartRow",$B36,"EndRow",$B36),1)="#","",_xll.BDS(Ticker,"PG_REVENUE","PG_HIERARCHY_LEVEL=1","NUMBER_OF_PERIODS=-11","REVERSE_PERIOD_ORDER=N","PRODUCT_GEO_OVERRIDE=G","FUND_PER",RIGHT($B$11,1),"ACCOUNTING_STANDARD_OVERRIDE",$H$7,"EQY_CONSOLIDATED",$H$9,"EQY_FUND_CRNCY",$L$7,"StartCol",N$12,"EndCol",N$12,"StartRow",$B36,"EndRow",$B36))</f>
        <v/>
      </c>
    </row>
    <row r="37" spans="2:14" outlineLevel="1">
      <c r="B37" s="214">
        <v>7</v>
      </c>
      <c r="C37" s="216" t="str">
        <f>IF(LEFT(_xll.BDS(Ticker,"PG_REVENUE","PG_HIERARCHY_LEVEL=1","NUMBER_OF_PERIODS=-11","REVERSE_PERIOD_ORDER=N","PRODUCT_GEO_OVERRIDE=G","FUND_PER",RIGHT($B$11,1),"ACCOUNTING_STANDARD_OVERRIDE",$H$7,"EQY_CONSOLIDATED",$H$9,"EQY_FUND_CRNCY",$L$7,"StartCol",C$12,"EndCol",C$12,"StartRow",$B37,"EndRow",$B37),1)="#","",_xll.BDS(Ticker,"PG_REVENUE","PG_HIERARCHY_LEVEL=1","NUMBER_OF_PERIODS=-11","REVERSE_PERIOD_ORDER=N","PRODUCT_GEO_OVERRIDE=G","FUND_PER",RIGHT($B$11,1),"ACCOUNTING_STANDARD_OVERRIDE",$H$7,"EQY_CONSOLIDATED",$H$9,"EQY_FUND_CRNCY",$L$7,"StartCol",C$12,"EndCol",C$12,"StartRow",$B37,"EndRow",$B37))</f>
        <v/>
      </c>
      <c r="D37" s="218" t="str">
        <f>IF(LEFT(_xll.BDS(Ticker,"PG_REVENUE","PG_HIERARCHY_LEVEL=1","NUMBER_OF_PERIODS=-11","REVERSE_PERIOD_ORDER=N","PRODUCT_GEO_OVERRIDE=G","FUND_PER",RIGHT($B$11,1),"ACCOUNTING_STANDARD_OVERRIDE",$H$7,"EQY_CONSOLIDATED",$H$9,"EQY_FUND_CRNCY",$L$7,"StartCol",D$12,"EndCol",D$12,"StartRow",$B37,"EndRow",$B37),1)="#","",_xll.BDS(Ticker,"PG_REVENUE","PG_HIERARCHY_LEVEL=1","NUMBER_OF_PERIODS=-11","REVERSE_PERIOD_ORDER=N","PRODUCT_GEO_OVERRIDE=G","FUND_PER",RIGHT($B$11,1),"ACCOUNTING_STANDARD_OVERRIDE",$H$7,"EQY_CONSOLIDATED",$H$9,"EQY_FUND_CRNCY",$L$7,"StartCol",D$12,"EndCol",D$12,"StartRow",$B37,"EndRow",$B37))</f>
        <v/>
      </c>
      <c r="E37" s="218" t="str">
        <f>IF(LEFT(_xll.BDS(Ticker,"PG_REVENUE","PG_HIERARCHY_LEVEL=1","NUMBER_OF_PERIODS=-11","REVERSE_PERIOD_ORDER=N","PRODUCT_GEO_OVERRIDE=G","FUND_PER",RIGHT($B$11,1),"ACCOUNTING_STANDARD_OVERRIDE",$H$7,"EQY_CONSOLIDATED",$H$9,"EQY_FUND_CRNCY",$L$7,"StartCol",E$12,"EndCol",E$12,"StartRow",$B37,"EndRow",$B37),1)="#","",_xll.BDS(Ticker,"PG_REVENUE","PG_HIERARCHY_LEVEL=1","NUMBER_OF_PERIODS=-11","REVERSE_PERIOD_ORDER=N","PRODUCT_GEO_OVERRIDE=G","FUND_PER",RIGHT($B$11,1),"ACCOUNTING_STANDARD_OVERRIDE",$H$7,"EQY_CONSOLIDATED",$H$9,"EQY_FUND_CRNCY",$L$7,"StartCol",E$12,"EndCol",E$12,"StartRow",$B37,"EndRow",$B37))</f>
        <v/>
      </c>
      <c r="F37" s="218" t="str">
        <f>IF(LEFT(_xll.BDS(Ticker,"PG_REVENUE","PG_HIERARCHY_LEVEL=1","NUMBER_OF_PERIODS=-11","REVERSE_PERIOD_ORDER=N","PRODUCT_GEO_OVERRIDE=G","FUND_PER",RIGHT($B$11,1),"ACCOUNTING_STANDARD_OVERRIDE",$H$7,"EQY_CONSOLIDATED",$H$9,"EQY_FUND_CRNCY",$L$7,"StartCol",F$12,"EndCol",F$12,"StartRow",$B37,"EndRow",$B37),1)="#","",_xll.BDS(Ticker,"PG_REVENUE","PG_HIERARCHY_LEVEL=1","NUMBER_OF_PERIODS=-11","REVERSE_PERIOD_ORDER=N","PRODUCT_GEO_OVERRIDE=G","FUND_PER",RIGHT($B$11,1),"ACCOUNTING_STANDARD_OVERRIDE",$H$7,"EQY_CONSOLIDATED",$H$9,"EQY_FUND_CRNCY",$L$7,"StartCol",F$12,"EndCol",F$12,"StartRow",$B37,"EndRow",$B37))</f>
        <v/>
      </c>
      <c r="G37" s="218" t="str">
        <f>IF(LEFT(_xll.BDS(Ticker,"PG_REVENUE","PG_HIERARCHY_LEVEL=1","NUMBER_OF_PERIODS=-11","REVERSE_PERIOD_ORDER=N","PRODUCT_GEO_OVERRIDE=G","FUND_PER",RIGHT($B$11,1),"ACCOUNTING_STANDARD_OVERRIDE",$H$7,"EQY_CONSOLIDATED",$H$9,"EQY_FUND_CRNCY",$L$7,"StartCol",G$12,"EndCol",G$12,"StartRow",$B37,"EndRow",$B37),1)="#","",_xll.BDS(Ticker,"PG_REVENUE","PG_HIERARCHY_LEVEL=1","NUMBER_OF_PERIODS=-11","REVERSE_PERIOD_ORDER=N","PRODUCT_GEO_OVERRIDE=G","FUND_PER",RIGHT($B$11,1),"ACCOUNTING_STANDARD_OVERRIDE",$H$7,"EQY_CONSOLIDATED",$H$9,"EQY_FUND_CRNCY",$L$7,"StartCol",G$12,"EndCol",G$12,"StartRow",$B37,"EndRow",$B37))</f>
        <v/>
      </c>
      <c r="H37" s="218" t="str">
        <f>IF(LEFT(_xll.BDS(Ticker,"PG_REVENUE","PG_HIERARCHY_LEVEL=1","NUMBER_OF_PERIODS=-11","REVERSE_PERIOD_ORDER=N","PRODUCT_GEO_OVERRIDE=G","FUND_PER",RIGHT($B$11,1),"ACCOUNTING_STANDARD_OVERRIDE",$H$7,"EQY_CONSOLIDATED",$H$9,"EQY_FUND_CRNCY",$L$7,"StartCol",H$12,"EndCol",H$12,"StartRow",$B37,"EndRow",$B37),1)="#","",_xll.BDS(Ticker,"PG_REVENUE","PG_HIERARCHY_LEVEL=1","NUMBER_OF_PERIODS=-11","REVERSE_PERIOD_ORDER=N","PRODUCT_GEO_OVERRIDE=G","FUND_PER",RIGHT($B$11,1),"ACCOUNTING_STANDARD_OVERRIDE",$H$7,"EQY_CONSOLIDATED",$H$9,"EQY_FUND_CRNCY",$L$7,"StartCol",H$12,"EndCol",H$12,"StartRow",$B37,"EndRow",$B37))</f>
        <v/>
      </c>
      <c r="I37" s="218" t="str">
        <f>IF(LEFT(_xll.BDS(Ticker,"PG_REVENUE","PG_HIERARCHY_LEVEL=1","NUMBER_OF_PERIODS=-11","REVERSE_PERIOD_ORDER=N","PRODUCT_GEO_OVERRIDE=G","FUND_PER",RIGHT($B$11,1),"ACCOUNTING_STANDARD_OVERRIDE",$H$7,"EQY_CONSOLIDATED",$H$9,"EQY_FUND_CRNCY",$L$7,"StartCol",I$12,"EndCol",I$12,"StartRow",$B37,"EndRow",$B37),1)="#","",_xll.BDS(Ticker,"PG_REVENUE","PG_HIERARCHY_LEVEL=1","NUMBER_OF_PERIODS=-11","REVERSE_PERIOD_ORDER=N","PRODUCT_GEO_OVERRIDE=G","FUND_PER",RIGHT($B$11,1),"ACCOUNTING_STANDARD_OVERRIDE",$H$7,"EQY_CONSOLIDATED",$H$9,"EQY_FUND_CRNCY",$L$7,"StartCol",I$12,"EndCol",I$12,"StartRow",$B37,"EndRow",$B37))</f>
        <v/>
      </c>
      <c r="J37" s="218" t="str">
        <f>IF(LEFT(_xll.BDS(Ticker,"PG_REVENUE","PG_HIERARCHY_LEVEL=1","NUMBER_OF_PERIODS=-11","REVERSE_PERIOD_ORDER=N","PRODUCT_GEO_OVERRIDE=G","FUND_PER",RIGHT($B$11,1),"ACCOUNTING_STANDARD_OVERRIDE",$H$7,"EQY_CONSOLIDATED",$H$9,"EQY_FUND_CRNCY",$L$7,"StartCol",J$12,"EndCol",J$12,"StartRow",$B37,"EndRow",$B37),1)="#","",_xll.BDS(Ticker,"PG_REVENUE","PG_HIERARCHY_LEVEL=1","NUMBER_OF_PERIODS=-11","REVERSE_PERIOD_ORDER=N","PRODUCT_GEO_OVERRIDE=G","FUND_PER",RIGHT($B$11,1),"ACCOUNTING_STANDARD_OVERRIDE",$H$7,"EQY_CONSOLIDATED",$H$9,"EQY_FUND_CRNCY",$L$7,"StartCol",J$12,"EndCol",J$12,"StartRow",$B37,"EndRow",$B37))</f>
        <v/>
      </c>
      <c r="K37" s="218" t="str">
        <f>IF(LEFT(_xll.BDS(Ticker,"PG_REVENUE","PG_HIERARCHY_LEVEL=1","NUMBER_OF_PERIODS=-11","REVERSE_PERIOD_ORDER=N","PRODUCT_GEO_OVERRIDE=G","FUND_PER",RIGHT($B$11,1),"ACCOUNTING_STANDARD_OVERRIDE",$H$7,"EQY_CONSOLIDATED",$H$9,"EQY_FUND_CRNCY",$L$7,"StartCol",K$12,"EndCol",K$12,"StartRow",$B37,"EndRow",$B37),1)="#","",_xll.BDS(Ticker,"PG_REVENUE","PG_HIERARCHY_LEVEL=1","NUMBER_OF_PERIODS=-11","REVERSE_PERIOD_ORDER=N","PRODUCT_GEO_OVERRIDE=G","FUND_PER",RIGHT($B$11,1),"ACCOUNTING_STANDARD_OVERRIDE",$H$7,"EQY_CONSOLIDATED",$H$9,"EQY_FUND_CRNCY",$L$7,"StartCol",K$12,"EndCol",K$12,"StartRow",$B37,"EndRow",$B37))</f>
        <v/>
      </c>
      <c r="L37" s="218" t="str">
        <f>IF(LEFT(_xll.BDS(Ticker,"PG_REVENUE","PG_HIERARCHY_LEVEL=1","NUMBER_OF_PERIODS=-11","REVERSE_PERIOD_ORDER=N","PRODUCT_GEO_OVERRIDE=G","FUND_PER",RIGHT($B$11,1),"ACCOUNTING_STANDARD_OVERRIDE",$H$7,"EQY_CONSOLIDATED",$H$9,"EQY_FUND_CRNCY",$L$7,"StartCol",L$12,"EndCol",L$12,"StartRow",$B37,"EndRow",$B37),1)="#","",_xll.BDS(Ticker,"PG_REVENUE","PG_HIERARCHY_LEVEL=1","NUMBER_OF_PERIODS=-11","REVERSE_PERIOD_ORDER=N","PRODUCT_GEO_OVERRIDE=G","FUND_PER",RIGHT($B$11,1),"ACCOUNTING_STANDARD_OVERRIDE",$H$7,"EQY_CONSOLIDATED",$H$9,"EQY_FUND_CRNCY",$L$7,"StartCol",L$12,"EndCol",L$12,"StartRow",$B37,"EndRow",$B37))</f>
        <v/>
      </c>
      <c r="M37" s="218" t="str">
        <f>IF(LEFT(_xll.BDS(Ticker,"PG_REVENUE","PG_HIERARCHY_LEVEL=1","NUMBER_OF_PERIODS=-11","REVERSE_PERIOD_ORDER=N","PRODUCT_GEO_OVERRIDE=G","FUND_PER",RIGHT($B$11,1),"ACCOUNTING_STANDARD_OVERRIDE",$H$7,"EQY_CONSOLIDATED",$H$9,"EQY_FUND_CRNCY",$L$7,"StartCol",M$12,"EndCol",M$12,"StartRow",$B37,"EndRow",$B37),1)="#","",_xll.BDS(Ticker,"PG_REVENUE","PG_HIERARCHY_LEVEL=1","NUMBER_OF_PERIODS=-11","REVERSE_PERIOD_ORDER=N","PRODUCT_GEO_OVERRIDE=G","FUND_PER",RIGHT($B$11,1),"ACCOUNTING_STANDARD_OVERRIDE",$H$7,"EQY_CONSOLIDATED",$H$9,"EQY_FUND_CRNCY",$L$7,"StartCol",M$12,"EndCol",M$12,"StartRow",$B37,"EndRow",$B37))</f>
        <v/>
      </c>
      <c r="N37" s="218" t="str">
        <f>IF(LEFT(_xll.BDS(Ticker,"PG_REVENUE","PG_HIERARCHY_LEVEL=1","NUMBER_OF_PERIODS=-11","REVERSE_PERIOD_ORDER=N","PRODUCT_GEO_OVERRIDE=G","FUND_PER",RIGHT($B$11,1),"ACCOUNTING_STANDARD_OVERRIDE",$H$7,"EQY_CONSOLIDATED",$H$9,"EQY_FUND_CRNCY",$L$7,"StartCol",N$12,"EndCol",N$12,"StartRow",$B37,"EndRow",$B37),1)="#","",_xll.BDS(Ticker,"PG_REVENUE","PG_HIERARCHY_LEVEL=1","NUMBER_OF_PERIODS=-11","REVERSE_PERIOD_ORDER=N","PRODUCT_GEO_OVERRIDE=G","FUND_PER",RIGHT($B$11,1),"ACCOUNTING_STANDARD_OVERRIDE",$H$7,"EQY_CONSOLIDATED",$H$9,"EQY_FUND_CRNCY",$L$7,"StartCol",N$12,"EndCol",N$12,"StartRow",$B37,"EndRow",$B37))</f>
        <v/>
      </c>
    </row>
    <row r="38" spans="2:14" outlineLevel="1">
      <c r="B38" s="214">
        <v>8</v>
      </c>
      <c r="C38" s="216" t="str">
        <f>IF(LEFT(_xll.BDS(Ticker,"PG_REVENUE","PG_HIERARCHY_LEVEL=1","NUMBER_OF_PERIODS=-11","REVERSE_PERIOD_ORDER=N","PRODUCT_GEO_OVERRIDE=G","FUND_PER",RIGHT($B$11,1),"ACCOUNTING_STANDARD_OVERRIDE",$H$7,"EQY_CONSOLIDATED",$H$9,"EQY_FUND_CRNCY",$L$7,"StartCol",C$12,"EndCol",C$12,"StartRow",$B38,"EndRow",$B38),1)="#","",_xll.BDS(Ticker,"PG_REVENUE","PG_HIERARCHY_LEVEL=1","NUMBER_OF_PERIODS=-11","REVERSE_PERIOD_ORDER=N","PRODUCT_GEO_OVERRIDE=G","FUND_PER",RIGHT($B$11,1),"ACCOUNTING_STANDARD_OVERRIDE",$H$7,"EQY_CONSOLIDATED",$H$9,"EQY_FUND_CRNCY",$L$7,"StartCol",C$12,"EndCol",C$12,"StartRow",$B38,"EndRow",$B38))</f>
        <v/>
      </c>
      <c r="D38" s="218" t="str">
        <f>IF(LEFT(_xll.BDS(Ticker,"PG_REVENUE","PG_HIERARCHY_LEVEL=1","NUMBER_OF_PERIODS=-11","REVERSE_PERIOD_ORDER=N","PRODUCT_GEO_OVERRIDE=G","FUND_PER",RIGHT($B$11,1),"ACCOUNTING_STANDARD_OVERRIDE",$H$7,"EQY_CONSOLIDATED",$H$9,"EQY_FUND_CRNCY",$L$7,"StartCol",D$12,"EndCol",D$12,"StartRow",$B38,"EndRow",$B38),1)="#","",_xll.BDS(Ticker,"PG_REVENUE","PG_HIERARCHY_LEVEL=1","NUMBER_OF_PERIODS=-11","REVERSE_PERIOD_ORDER=N","PRODUCT_GEO_OVERRIDE=G","FUND_PER",RIGHT($B$11,1),"ACCOUNTING_STANDARD_OVERRIDE",$H$7,"EQY_CONSOLIDATED",$H$9,"EQY_FUND_CRNCY",$L$7,"StartCol",D$12,"EndCol",D$12,"StartRow",$B38,"EndRow",$B38))</f>
        <v/>
      </c>
      <c r="E38" s="218" t="str">
        <f>IF(LEFT(_xll.BDS(Ticker,"PG_REVENUE","PG_HIERARCHY_LEVEL=1","NUMBER_OF_PERIODS=-11","REVERSE_PERIOD_ORDER=N","PRODUCT_GEO_OVERRIDE=G","FUND_PER",RIGHT($B$11,1),"ACCOUNTING_STANDARD_OVERRIDE",$H$7,"EQY_CONSOLIDATED",$H$9,"EQY_FUND_CRNCY",$L$7,"StartCol",E$12,"EndCol",E$12,"StartRow",$B38,"EndRow",$B38),1)="#","",_xll.BDS(Ticker,"PG_REVENUE","PG_HIERARCHY_LEVEL=1","NUMBER_OF_PERIODS=-11","REVERSE_PERIOD_ORDER=N","PRODUCT_GEO_OVERRIDE=G","FUND_PER",RIGHT($B$11,1),"ACCOUNTING_STANDARD_OVERRIDE",$H$7,"EQY_CONSOLIDATED",$H$9,"EQY_FUND_CRNCY",$L$7,"StartCol",E$12,"EndCol",E$12,"StartRow",$B38,"EndRow",$B38))</f>
        <v/>
      </c>
      <c r="F38" s="218" t="str">
        <f>IF(LEFT(_xll.BDS(Ticker,"PG_REVENUE","PG_HIERARCHY_LEVEL=1","NUMBER_OF_PERIODS=-11","REVERSE_PERIOD_ORDER=N","PRODUCT_GEO_OVERRIDE=G","FUND_PER",RIGHT($B$11,1),"ACCOUNTING_STANDARD_OVERRIDE",$H$7,"EQY_CONSOLIDATED",$H$9,"EQY_FUND_CRNCY",$L$7,"StartCol",F$12,"EndCol",F$12,"StartRow",$B38,"EndRow",$B38),1)="#","",_xll.BDS(Ticker,"PG_REVENUE","PG_HIERARCHY_LEVEL=1","NUMBER_OF_PERIODS=-11","REVERSE_PERIOD_ORDER=N","PRODUCT_GEO_OVERRIDE=G","FUND_PER",RIGHT($B$11,1),"ACCOUNTING_STANDARD_OVERRIDE",$H$7,"EQY_CONSOLIDATED",$H$9,"EQY_FUND_CRNCY",$L$7,"StartCol",F$12,"EndCol",F$12,"StartRow",$B38,"EndRow",$B38))</f>
        <v/>
      </c>
      <c r="G38" s="218" t="str">
        <f>IF(LEFT(_xll.BDS(Ticker,"PG_REVENUE","PG_HIERARCHY_LEVEL=1","NUMBER_OF_PERIODS=-11","REVERSE_PERIOD_ORDER=N","PRODUCT_GEO_OVERRIDE=G","FUND_PER",RIGHT($B$11,1),"ACCOUNTING_STANDARD_OVERRIDE",$H$7,"EQY_CONSOLIDATED",$H$9,"EQY_FUND_CRNCY",$L$7,"StartCol",G$12,"EndCol",G$12,"StartRow",$B38,"EndRow",$B38),1)="#","",_xll.BDS(Ticker,"PG_REVENUE","PG_HIERARCHY_LEVEL=1","NUMBER_OF_PERIODS=-11","REVERSE_PERIOD_ORDER=N","PRODUCT_GEO_OVERRIDE=G","FUND_PER",RIGHT($B$11,1),"ACCOUNTING_STANDARD_OVERRIDE",$H$7,"EQY_CONSOLIDATED",$H$9,"EQY_FUND_CRNCY",$L$7,"StartCol",G$12,"EndCol",G$12,"StartRow",$B38,"EndRow",$B38))</f>
        <v/>
      </c>
      <c r="H38" s="218" t="str">
        <f>IF(LEFT(_xll.BDS(Ticker,"PG_REVENUE","PG_HIERARCHY_LEVEL=1","NUMBER_OF_PERIODS=-11","REVERSE_PERIOD_ORDER=N","PRODUCT_GEO_OVERRIDE=G","FUND_PER",RIGHT($B$11,1),"ACCOUNTING_STANDARD_OVERRIDE",$H$7,"EQY_CONSOLIDATED",$H$9,"EQY_FUND_CRNCY",$L$7,"StartCol",H$12,"EndCol",H$12,"StartRow",$B38,"EndRow",$B38),1)="#","",_xll.BDS(Ticker,"PG_REVENUE","PG_HIERARCHY_LEVEL=1","NUMBER_OF_PERIODS=-11","REVERSE_PERIOD_ORDER=N","PRODUCT_GEO_OVERRIDE=G","FUND_PER",RIGHT($B$11,1),"ACCOUNTING_STANDARD_OVERRIDE",$H$7,"EQY_CONSOLIDATED",$H$9,"EQY_FUND_CRNCY",$L$7,"StartCol",H$12,"EndCol",H$12,"StartRow",$B38,"EndRow",$B38))</f>
        <v/>
      </c>
      <c r="I38" s="218" t="str">
        <f>IF(LEFT(_xll.BDS(Ticker,"PG_REVENUE","PG_HIERARCHY_LEVEL=1","NUMBER_OF_PERIODS=-11","REVERSE_PERIOD_ORDER=N","PRODUCT_GEO_OVERRIDE=G","FUND_PER",RIGHT($B$11,1),"ACCOUNTING_STANDARD_OVERRIDE",$H$7,"EQY_CONSOLIDATED",$H$9,"EQY_FUND_CRNCY",$L$7,"StartCol",I$12,"EndCol",I$12,"StartRow",$B38,"EndRow",$B38),1)="#","",_xll.BDS(Ticker,"PG_REVENUE","PG_HIERARCHY_LEVEL=1","NUMBER_OF_PERIODS=-11","REVERSE_PERIOD_ORDER=N","PRODUCT_GEO_OVERRIDE=G","FUND_PER",RIGHT($B$11,1),"ACCOUNTING_STANDARD_OVERRIDE",$H$7,"EQY_CONSOLIDATED",$H$9,"EQY_FUND_CRNCY",$L$7,"StartCol",I$12,"EndCol",I$12,"StartRow",$B38,"EndRow",$B38))</f>
        <v/>
      </c>
      <c r="J38" s="218" t="str">
        <f>IF(LEFT(_xll.BDS(Ticker,"PG_REVENUE","PG_HIERARCHY_LEVEL=1","NUMBER_OF_PERIODS=-11","REVERSE_PERIOD_ORDER=N","PRODUCT_GEO_OVERRIDE=G","FUND_PER",RIGHT($B$11,1),"ACCOUNTING_STANDARD_OVERRIDE",$H$7,"EQY_CONSOLIDATED",$H$9,"EQY_FUND_CRNCY",$L$7,"StartCol",J$12,"EndCol",J$12,"StartRow",$B38,"EndRow",$B38),1)="#","",_xll.BDS(Ticker,"PG_REVENUE","PG_HIERARCHY_LEVEL=1","NUMBER_OF_PERIODS=-11","REVERSE_PERIOD_ORDER=N","PRODUCT_GEO_OVERRIDE=G","FUND_PER",RIGHT($B$11,1),"ACCOUNTING_STANDARD_OVERRIDE",$H$7,"EQY_CONSOLIDATED",$H$9,"EQY_FUND_CRNCY",$L$7,"StartCol",J$12,"EndCol",J$12,"StartRow",$B38,"EndRow",$B38))</f>
        <v/>
      </c>
      <c r="K38" s="218" t="str">
        <f>IF(LEFT(_xll.BDS(Ticker,"PG_REVENUE","PG_HIERARCHY_LEVEL=1","NUMBER_OF_PERIODS=-11","REVERSE_PERIOD_ORDER=N","PRODUCT_GEO_OVERRIDE=G","FUND_PER",RIGHT($B$11,1),"ACCOUNTING_STANDARD_OVERRIDE",$H$7,"EQY_CONSOLIDATED",$H$9,"EQY_FUND_CRNCY",$L$7,"StartCol",K$12,"EndCol",K$12,"StartRow",$B38,"EndRow",$B38),1)="#","",_xll.BDS(Ticker,"PG_REVENUE","PG_HIERARCHY_LEVEL=1","NUMBER_OF_PERIODS=-11","REVERSE_PERIOD_ORDER=N","PRODUCT_GEO_OVERRIDE=G","FUND_PER",RIGHT($B$11,1),"ACCOUNTING_STANDARD_OVERRIDE",$H$7,"EQY_CONSOLIDATED",$H$9,"EQY_FUND_CRNCY",$L$7,"StartCol",K$12,"EndCol",K$12,"StartRow",$B38,"EndRow",$B38))</f>
        <v/>
      </c>
      <c r="L38" s="218" t="str">
        <f>IF(LEFT(_xll.BDS(Ticker,"PG_REVENUE","PG_HIERARCHY_LEVEL=1","NUMBER_OF_PERIODS=-11","REVERSE_PERIOD_ORDER=N","PRODUCT_GEO_OVERRIDE=G","FUND_PER",RIGHT($B$11,1),"ACCOUNTING_STANDARD_OVERRIDE",$H$7,"EQY_CONSOLIDATED",$H$9,"EQY_FUND_CRNCY",$L$7,"StartCol",L$12,"EndCol",L$12,"StartRow",$B38,"EndRow",$B38),1)="#","",_xll.BDS(Ticker,"PG_REVENUE","PG_HIERARCHY_LEVEL=1","NUMBER_OF_PERIODS=-11","REVERSE_PERIOD_ORDER=N","PRODUCT_GEO_OVERRIDE=G","FUND_PER",RIGHT($B$11,1),"ACCOUNTING_STANDARD_OVERRIDE",$H$7,"EQY_CONSOLIDATED",$H$9,"EQY_FUND_CRNCY",$L$7,"StartCol",L$12,"EndCol",L$12,"StartRow",$B38,"EndRow",$B38))</f>
        <v/>
      </c>
      <c r="M38" s="218" t="str">
        <f>IF(LEFT(_xll.BDS(Ticker,"PG_REVENUE","PG_HIERARCHY_LEVEL=1","NUMBER_OF_PERIODS=-11","REVERSE_PERIOD_ORDER=N","PRODUCT_GEO_OVERRIDE=G","FUND_PER",RIGHT($B$11,1),"ACCOUNTING_STANDARD_OVERRIDE",$H$7,"EQY_CONSOLIDATED",$H$9,"EQY_FUND_CRNCY",$L$7,"StartCol",M$12,"EndCol",M$12,"StartRow",$B38,"EndRow",$B38),1)="#","",_xll.BDS(Ticker,"PG_REVENUE","PG_HIERARCHY_LEVEL=1","NUMBER_OF_PERIODS=-11","REVERSE_PERIOD_ORDER=N","PRODUCT_GEO_OVERRIDE=G","FUND_PER",RIGHT($B$11,1),"ACCOUNTING_STANDARD_OVERRIDE",$H$7,"EQY_CONSOLIDATED",$H$9,"EQY_FUND_CRNCY",$L$7,"StartCol",M$12,"EndCol",M$12,"StartRow",$B38,"EndRow",$B38))</f>
        <v/>
      </c>
      <c r="N38" s="218" t="str">
        <f>IF(LEFT(_xll.BDS(Ticker,"PG_REVENUE","PG_HIERARCHY_LEVEL=1","NUMBER_OF_PERIODS=-11","REVERSE_PERIOD_ORDER=N","PRODUCT_GEO_OVERRIDE=G","FUND_PER",RIGHT($B$11,1),"ACCOUNTING_STANDARD_OVERRIDE",$H$7,"EQY_CONSOLIDATED",$H$9,"EQY_FUND_CRNCY",$L$7,"StartCol",N$12,"EndCol",N$12,"StartRow",$B38,"EndRow",$B38),1)="#","",_xll.BDS(Ticker,"PG_REVENUE","PG_HIERARCHY_LEVEL=1","NUMBER_OF_PERIODS=-11","REVERSE_PERIOD_ORDER=N","PRODUCT_GEO_OVERRIDE=G","FUND_PER",RIGHT($B$11,1),"ACCOUNTING_STANDARD_OVERRIDE",$H$7,"EQY_CONSOLIDATED",$H$9,"EQY_FUND_CRNCY",$L$7,"StartCol",N$12,"EndCol",N$12,"StartRow",$B38,"EndRow",$B38))</f>
        <v/>
      </c>
    </row>
    <row r="39" spans="2:14" outlineLevel="1">
      <c r="B39" s="214">
        <v>9</v>
      </c>
      <c r="C39" s="216" t="str">
        <f>IF(LEFT(_xll.BDS(Ticker,"PG_REVENUE","PG_HIERARCHY_LEVEL=1","NUMBER_OF_PERIODS=-11","REVERSE_PERIOD_ORDER=N","PRODUCT_GEO_OVERRIDE=G","FUND_PER",RIGHT($B$11,1),"ACCOUNTING_STANDARD_OVERRIDE",$H$7,"EQY_CONSOLIDATED",$H$9,"EQY_FUND_CRNCY",$L$7,"StartCol",C$12,"EndCol",C$12,"StartRow",$B39,"EndRow",$B39),1)="#","",_xll.BDS(Ticker,"PG_REVENUE","PG_HIERARCHY_LEVEL=1","NUMBER_OF_PERIODS=-11","REVERSE_PERIOD_ORDER=N","PRODUCT_GEO_OVERRIDE=G","FUND_PER",RIGHT($B$11,1),"ACCOUNTING_STANDARD_OVERRIDE",$H$7,"EQY_CONSOLIDATED",$H$9,"EQY_FUND_CRNCY",$L$7,"StartCol",C$12,"EndCol",C$12,"StartRow",$B39,"EndRow",$B39))</f>
        <v/>
      </c>
      <c r="D39" s="218" t="str">
        <f>IF(LEFT(_xll.BDS(Ticker,"PG_REVENUE","PG_HIERARCHY_LEVEL=1","NUMBER_OF_PERIODS=-11","REVERSE_PERIOD_ORDER=N","PRODUCT_GEO_OVERRIDE=G","FUND_PER",RIGHT($B$11,1),"ACCOUNTING_STANDARD_OVERRIDE",$H$7,"EQY_CONSOLIDATED",$H$9,"EQY_FUND_CRNCY",$L$7,"StartCol",D$12,"EndCol",D$12,"StartRow",$B39,"EndRow",$B39),1)="#","",_xll.BDS(Ticker,"PG_REVENUE","PG_HIERARCHY_LEVEL=1","NUMBER_OF_PERIODS=-11","REVERSE_PERIOD_ORDER=N","PRODUCT_GEO_OVERRIDE=G","FUND_PER",RIGHT($B$11,1),"ACCOUNTING_STANDARD_OVERRIDE",$H$7,"EQY_CONSOLIDATED",$H$9,"EQY_FUND_CRNCY",$L$7,"StartCol",D$12,"EndCol",D$12,"StartRow",$B39,"EndRow",$B39))</f>
        <v/>
      </c>
      <c r="E39" s="218" t="str">
        <f>IF(LEFT(_xll.BDS(Ticker,"PG_REVENUE","PG_HIERARCHY_LEVEL=1","NUMBER_OF_PERIODS=-11","REVERSE_PERIOD_ORDER=N","PRODUCT_GEO_OVERRIDE=G","FUND_PER",RIGHT($B$11,1),"ACCOUNTING_STANDARD_OVERRIDE",$H$7,"EQY_CONSOLIDATED",$H$9,"EQY_FUND_CRNCY",$L$7,"StartCol",E$12,"EndCol",E$12,"StartRow",$B39,"EndRow",$B39),1)="#","",_xll.BDS(Ticker,"PG_REVENUE","PG_HIERARCHY_LEVEL=1","NUMBER_OF_PERIODS=-11","REVERSE_PERIOD_ORDER=N","PRODUCT_GEO_OVERRIDE=G","FUND_PER",RIGHT($B$11,1),"ACCOUNTING_STANDARD_OVERRIDE",$H$7,"EQY_CONSOLIDATED",$H$9,"EQY_FUND_CRNCY",$L$7,"StartCol",E$12,"EndCol",E$12,"StartRow",$B39,"EndRow",$B39))</f>
        <v/>
      </c>
      <c r="F39" s="218" t="str">
        <f>IF(LEFT(_xll.BDS(Ticker,"PG_REVENUE","PG_HIERARCHY_LEVEL=1","NUMBER_OF_PERIODS=-11","REVERSE_PERIOD_ORDER=N","PRODUCT_GEO_OVERRIDE=G","FUND_PER",RIGHT($B$11,1),"ACCOUNTING_STANDARD_OVERRIDE",$H$7,"EQY_CONSOLIDATED",$H$9,"EQY_FUND_CRNCY",$L$7,"StartCol",F$12,"EndCol",F$12,"StartRow",$B39,"EndRow",$B39),1)="#","",_xll.BDS(Ticker,"PG_REVENUE","PG_HIERARCHY_LEVEL=1","NUMBER_OF_PERIODS=-11","REVERSE_PERIOD_ORDER=N","PRODUCT_GEO_OVERRIDE=G","FUND_PER",RIGHT($B$11,1),"ACCOUNTING_STANDARD_OVERRIDE",$H$7,"EQY_CONSOLIDATED",$H$9,"EQY_FUND_CRNCY",$L$7,"StartCol",F$12,"EndCol",F$12,"StartRow",$B39,"EndRow",$B39))</f>
        <v/>
      </c>
      <c r="G39" s="218" t="str">
        <f>IF(LEFT(_xll.BDS(Ticker,"PG_REVENUE","PG_HIERARCHY_LEVEL=1","NUMBER_OF_PERIODS=-11","REVERSE_PERIOD_ORDER=N","PRODUCT_GEO_OVERRIDE=G","FUND_PER",RIGHT($B$11,1),"ACCOUNTING_STANDARD_OVERRIDE",$H$7,"EQY_CONSOLIDATED",$H$9,"EQY_FUND_CRNCY",$L$7,"StartCol",G$12,"EndCol",G$12,"StartRow",$B39,"EndRow",$B39),1)="#","",_xll.BDS(Ticker,"PG_REVENUE","PG_HIERARCHY_LEVEL=1","NUMBER_OF_PERIODS=-11","REVERSE_PERIOD_ORDER=N","PRODUCT_GEO_OVERRIDE=G","FUND_PER",RIGHT($B$11,1),"ACCOUNTING_STANDARD_OVERRIDE",$H$7,"EQY_CONSOLIDATED",$H$9,"EQY_FUND_CRNCY",$L$7,"StartCol",G$12,"EndCol",G$12,"StartRow",$B39,"EndRow",$B39))</f>
        <v/>
      </c>
      <c r="H39" s="218" t="str">
        <f>IF(LEFT(_xll.BDS(Ticker,"PG_REVENUE","PG_HIERARCHY_LEVEL=1","NUMBER_OF_PERIODS=-11","REVERSE_PERIOD_ORDER=N","PRODUCT_GEO_OVERRIDE=G","FUND_PER",RIGHT($B$11,1),"ACCOUNTING_STANDARD_OVERRIDE",$H$7,"EQY_CONSOLIDATED",$H$9,"EQY_FUND_CRNCY",$L$7,"StartCol",H$12,"EndCol",H$12,"StartRow",$B39,"EndRow",$B39),1)="#","",_xll.BDS(Ticker,"PG_REVENUE","PG_HIERARCHY_LEVEL=1","NUMBER_OF_PERIODS=-11","REVERSE_PERIOD_ORDER=N","PRODUCT_GEO_OVERRIDE=G","FUND_PER",RIGHT($B$11,1),"ACCOUNTING_STANDARD_OVERRIDE",$H$7,"EQY_CONSOLIDATED",$H$9,"EQY_FUND_CRNCY",$L$7,"StartCol",H$12,"EndCol",H$12,"StartRow",$B39,"EndRow",$B39))</f>
        <v/>
      </c>
      <c r="I39" s="218" t="str">
        <f>IF(LEFT(_xll.BDS(Ticker,"PG_REVENUE","PG_HIERARCHY_LEVEL=1","NUMBER_OF_PERIODS=-11","REVERSE_PERIOD_ORDER=N","PRODUCT_GEO_OVERRIDE=G","FUND_PER",RIGHT($B$11,1),"ACCOUNTING_STANDARD_OVERRIDE",$H$7,"EQY_CONSOLIDATED",$H$9,"EQY_FUND_CRNCY",$L$7,"StartCol",I$12,"EndCol",I$12,"StartRow",$B39,"EndRow",$B39),1)="#","",_xll.BDS(Ticker,"PG_REVENUE","PG_HIERARCHY_LEVEL=1","NUMBER_OF_PERIODS=-11","REVERSE_PERIOD_ORDER=N","PRODUCT_GEO_OVERRIDE=G","FUND_PER",RIGHT($B$11,1),"ACCOUNTING_STANDARD_OVERRIDE",$H$7,"EQY_CONSOLIDATED",$H$9,"EQY_FUND_CRNCY",$L$7,"StartCol",I$12,"EndCol",I$12,"StartRow",$B39,"EndRow",$B39))</f>
        <v/>
      </c>
      <c r="J39" s="218" t="str">
        <f>IF(LEFT(_xll.BDS(Ticker,"PG_REVENUE","PG_HIERARCHY_LEVEL=1","NUMBER_OF_PERIODS=-11","REVERSE_PERIOD_ORDER=N","PRODUCT_GEO_OVERRIDE=G","FUND_PER",RIGHT($B$11,1),"ACCOUNTING_STANDARD_OVERRIDE",$H$7,"EQY_CONSOLIDATED",$H$9,"EQY_FUND_CRNCY",$L$7,"StartCol",J$12,"EndCol",J$12,"StartRow",$B39,"EndRow",$B39),1)="#","",_xll.BDS(Ticker,"PG_REVENUE","PG_HIERARCHY_LEVEL=1","NUMBER_OF_PERIODS=-11","REVERSE_PERIOD_ORDER=N","PRODUCT_GEO_OVERRIDE=G","FUND_PER",RIGHT($B$11,1),"ACCOUNTING_STANDARD_OVERRIDE",$H$7,"EQY_CONSOLIDATED",$H$9,"EQY_FUND_CRNCY",$L$7,"StartCol",J$12,"EndCol",J$12,"StartRow",$B39,"EndRow",$B39))</f>
        <v/>
      </c>
      <c r="K39" s="218" t="str">
        <f>IF(LEFT(_xll.BDS(Ticker,"PG_REVENUE","PG_HIERARCHY_LEVEL=1","NUMBER_OF_PERIODS=-11","REVERSE_PERIOD_ORDER=N","PRODUCT_GEO_OVERRIDE=G","FUND_PER",RIGHT($B$11,1),"ACCOUNTING_STANDARD_OVERRIDE",$H$7,"EQY_CONSOLIDATED",$H$9,"EQY_FUND_CRNCY",$L$7,"StartCol",K$12,"EndCol",K$12,"StartRow",$B39,"EndRow",$B39),1)="#","",_xll.BDS(Ticker,"PG_REVENUE","PG_HIERARCHY_LEVEL=1","NUMBER_OF_PERIODS=-11","REVERSE_PERIOD_ORDER=N","PRODUCT_GEO_OVERRIDE=G","FUND_PER",RIGHT($B$11,1),"ACCOUNTING_STANDARD_OVERRIDE",$H$7,"EQY_CONSOLIDATED",$H$9,"EQY_FUND_CRNCY",$L$7,"StartCol",K$12,"EndCol",K$12,"StartRow",$B39,"EndRow",$B39))</f>
        <v/>
      </c>
      <c r="L39" s="218" t="str">
        <f>IF(LEFT(_xll.BDS(Ticker,"PG_REVENUE","PG_HIERARCHY_LEVEL=1","NUMBER_OF_PERIODS=-11","REVERSE_PERIOD_ORDER=N","PRODUCT_GEO_OVERRIDE=G","FUND_PER",RIGHT($B$11,1),"ACCOUNTING_STANDARD_OVERRIDE",$H$7,"EQY_CONSOLIDATED",$H$9,"EQY_FUND_CRNCY",$L$7,"StartCol",L$12,"EndCol",L$12,"StartRow",$B39,"EndRow",$B39),1)="#","",_xll.BDS(Ticker,"PG_REVENUE","PG_HIERARCHY_LEVEL=1","NUMBER_OF_PERIODS=-11","REVERSE_PERIOD_ORDER=N","PRODUCT_GEO_OVERRIDE=G","FUND_PER",RIGHT($B$11,1),"ACCOUNTING_STANDARD_OVERRIDE",$H$7,"EQY_CONSOLIDATED",$H$9,"EQY_FUND_CRNCY",$L$7,"StartCol",L$12,"EndCol",L$12,"StartRow",$B39,"EndRow",$B39))</f>
        <v/>
      </c>
      <c r="M39" s="218" t="str">
        <f>IF(LEFT(_xll.BDS(Ticker,"PG_REVENUE","PG_HIERARCHY_LEVEL=1","NUMBER_OF_PERIODS=-11","REVERSE_PERIOD_ORDER=N","PRODUCT_GEO_OVERRIDE=G","FUND_PER",RIGHT($B$11,1),"ACCOUNTING_STANDARD_OVERRIDE",$H$7,"EQY_CONSOLIDATED",$H$9,"EQY_FUND_CRNCY",$L$7,"StartCol",M$12,"EndCol",M$12,"StartRow",$B39,"EndRow",$B39),1)="#","",_xll.BDS(Ticker,"PG_REVENUE","PG_HIERARCHY_LEVEL=1","NUMBER_OF_PERIODS=-11","REVERSE_PERIOD_ORDER=N","PRODUCT_GEO_OVERRIDE=G","FUND_PER",RIGHT($B$11,1),"ACCOUNTING_STANDARD_OVERRIDE",$H$7,"EQY_CONSOLIDATED",$H$9,"EQY_FUND_CRNCY",$L$7,"StartCol",M$12,"EndCol",M$12,"StartRow",$B39,"EndRow",$B39))</f>
        <v/>
      </c>
      <c r="N39" s="218" t="str">
        <f>IF(LEFT(_xll.BDS(Ticker,"PG_REVENUE","PG_HIERARCHY_LEVEL=1","NUMBER_OF_PERIODS=-11","REVERSE_PERIOD_ORDER=N","PRODUCT_GEO_OVERRIDE=G","FUND_PER",RIGHT($B$11,1),"ACCOUNTING_STANDARD_OVERRIDE",$H$7,"EQY_CONSOLIDATED",$H$9,"EQY_FUND_CRNCY",$L$7,"StartCol",N$12,"EndCol",N$12,"StartRow",$B39,"EndRow",$B39),1)="#","",_xll.BDS(Ticker,"PG_REVENUE","PG_HIERARCHY_LEVEL=1","NUMBER_OF_PERIODS=-11","REVERSE_PERIOD_ORDER=N","PRODUCT_GEO_OVERRIDE=G","FUND_PER",RIGHT($B$11,1),"ACCOUNTING_STANDARD_OVERRIDE",$H$7,"EQY_CONSOLIDATED",$H$9,"EQY_FUND_CRNCY",$L$7,"StartCol",N$12,"EndCol",N$12,"StartRow",$B39,"EndRow",$B39))</f>
        <v/>
      </c>
    </row>
    <row r="40" spans="2:14" outlineLevel="1">
      <c r="B40" s="214">
        <v>10</v>
      </c>
      <c r="C40" s="216" t="str">
        <f>IF(LEFT(_xll.BDS(Ticker,"PG_REVENUE","PG_HIERARCHY_LEVEL=1","NUMBER_OF_PERIODS=-11","REVERSE_PERIOD_ORDER=N","PRODUCT_GEO_OVERRIDE=G","FUND_PER",RIGHT($B$11,1),"ACCOUNTING_STANDARD_OVERRIDE",$H$7,"EQY_CONSOLIDATED",$H$9,"EQY_FUND_CRNCY",$L$7,"StartCol",C$12,"EndCol",C$12,"StartRow",$B40,"EndRow",$B40),1)="#","",_xll.BDS(Ticker,"PG_REVENUE","PG_HIERARCHY_LEVEL=1","NUMBER_OF_PERIODS=-11","REVERSE_PERIOD_ORDER=N","PRODUCT_GEO_OVERRIDE=G","FUND_PER",RIGHT($B$11,1),"ACCOUNTING_STANDARD_OVERRIDE",$H$7,"EQY_CONSOLIDATED",$H$9,"EQY_FUND_CRNCY",$L$7,"StartCol",C$12,"EndCol",C$12,"StartRow",$B40,"EndRow",$B40))</f>
        <v/>
      </c>
      <c r="D40" s="218" t="str">
        <f>IF(LEFT(_xll.BDS(Ticker,"PG_REVENUE","PG_HIERARCHY_LEVEL=1","NUMBER_OF_PERIODS=-11","REVERSE_PERIOD_ORDER=N","PRODUCT_GEO_OVERRIDE=G","FUND_PER",RIGHT($B$11,1),"ACCOUNTING_STANDARD_OVERRIDE",$H$7,"EQY_CONSOLIDATED",$H$9,"EQY_FUND_CRNCY",$L$7,"StartCol",D$12,"EndCol",D$12,"StartRow",$B40,"EndRow",$B40),1)="#","",_xll.BDS(Ticker,"PG_REVENUE","PG_HIERARCHY_LEVEL=1","NUMBER_OF_PERIODS=-11","REVERSE_PERIOD_ORDER=N","PRODUCT_GEO_OVERRIDE=G","FUND_PER",RIGHT($B$11,1),"ACCOUNTING_STANDARD_OVERRIDE",$H$7,"EQY_CONSOLIDATED",$H$9,"EQY_FUND_CRNCY",$L$7,"StartCol",D$12,"EndCol",D$12,"StartRow",$B40,"EndRow",$B40))</f>
        <v/>
      </c>
      <c r="E40" s="218" t="str">
        <f>IF(LEFT(_xll.BDS(Ticker,"PG_REVENUE","PG_HIERARCHY_LEVEL=1","NUMBER_OF_PERIODS=-11","REVERSE_PERIOD_ORDER=N","PRODUCT_GEO_OVERRIDE=G","FUND_PER",RIGHT($B$11,1),"ACCOUNTING_STANDARD_OVERRIDE",$H$7,"EQY_CONSOLIDATED",$H$9,"EQY_FUND_CRNCY",$L$7,"StartCol",E$12,"EndCol",E$12,"StartRow",$B40,"EndRow",$B40),1)="#","",_xll.BDS(Ticker,"PG_REVENUE","PG_HIERARCHY_LEVEL=1","NUMBER_OF_PERIODS=-11","REVERSE_PERIOD_ORDER=N","PRODUCT_GEO_OVERRIDE=G","FUND_PER",RIGHT($B$11,1),"ACCOUNTING_STANDARD_OVERRIDE",$H$7,"EQY_CONSOLIDATED",$H$9,"EQY_FUND_CRNCY",$L$7,"StartCol",E$12,"EndCol",E$12,"StartRow",$B40,"EndRow",$B40))</f>
        <v/>
      </c>
      <c r="F40" s="218" t="str">
        <f>IF(LEFT(_xll.BDS(Ticker,"PG_REVENUE","PG_HIERARCHY_LEVEL=1","NUMBER_OF_PERIODS=-11","REVERSE_PERIOD_ORDER=N","PRODUCT_GEO_OVERRIDE=G","FUND_PER",RIGHT($B$11,1),"ACCOUNTING_STANDARD_OVERRIDE",$H$7,"EQY_CONSOLIDATED",$H$9,"EQY_FUND_CRNCY",$L$7,"StartCol",F$12,"EndCol",F$12,"StartRow",$B40,"EndRow",$B40),1)="#","",_xll.BDS(Ticker,"PG_REVENUE","PG_HIERARCHY_LEVEL=1","NUMBER_OF_PERIODS=-11","REVERSE_PERIOD_ORDER=N","PRODUCT_GEO_OVERRIDE=G","FUND_PER",RIGHT($B$11,1),"ACCOUNTING_STANDARD_OVERRIDE",$H$7,"EQY_CONSOLIDATED",$H$9,"EQY_FUND_CRNCY",$L$7,"StartCol",F$12,"EndCol",F$12,"StartRow",$B40,"EndRow",$B40))</f>
        <v/>
      </c>
      <c r="G40" s="218" t="str">
        <f>IF(LEFT(_xll.BDS(Ticker,"PG_REVENUE","PG_HIERARCHY_LEVEL=1","NUMBER_OF_PERIODS=-11","REVERSE_PERIOD_ORDER=N","PRODUCT_GEO_OVERRIDE=G","FUND_PER",RIGHT($B$11,1),"ACCOUNTING_STANDARD_OVERRIDE",$H$7,"EQY_CONSOLIDATED",$H$9,"EQY_FUND_CRNCY",$L$7,"StartCol",G$12,"EndCol",G$12,"StartRow",$B40,"EndRow",$B40),1)="#","",_xll.BDS(Ticker,"PG_REVENUE","PG_HIERARCHY_LEVEL=1","NUMBER_OF_PERIODS=-11","REVERSE_PERIOD_ORDER=N","PRODUCT_GEO_OVERRIDE=G","FUND_PER",RIGHT($B$11,1),"ACCOUNTING_STANDARD_OVERRIDE",$H$7,"EQY_CONSOLIDATED",$H$9,"EQY_FUND_CRNCY",$L$7,"StartCol",G$12,"EndCol",G$12,"StartRow",$B40,"EndRow",$B40))</f>
        <v/>
      </c>
      <c r="H40" s="218" t="str">
        <f>IF(LEFT(_xll.BDS(Ticker,"PG_REVENUE","PG_HIERARCHY_LEVEL=1","NUMBER_OF_PERIODS=-11","REVERSE_PERIOD_ORDER=N","PRODUCT_GEO_OVERRIDE=G","FUND_PER",RIGHT($B$11,1),"ACCOUNTING_STANDARD_OVERRIDE",$H$7,"EQY_CONSOLIDATED",$H$9,"EQY_FUND_CRNCY",$L$7,"StartCol",H$12,"EndCol",H$12,"StartRow",$B40,"EndRow",$B40),1)="#","",_xll.BDS(Ticker,"PG_REVENUE","PG_HIERARCHY_LEVEL=1","NUMBER_OF_PERIODS=-11","REVERSE_PERIOD_ORDER=N","PRODUCT_GEO_OVERRIDE=G","FUND_PER",RIGHT($B$11,1),"ACCOUNTING_STANDARD_OVERRIDE",$H$7,"EQY_CONSOLIDATED",$H$9,"EQY_FUND_CRNCY",$L$7,"StartCol",H$12,"EndCol",H$12,"StartRow",$B40,"EndRow",$B40))</f>
        <v/>
      </c>
      <c r="I40" s="218" t="str">
        <f>IF(LEFT(_xll.BDS(Ticker,"PG_REVENUE","PG_HIERARCHY_LEVEL=1","NUMBER_OF_PERIODS=-11","REVERSE_PERIOD_ORDER=N","PRODUCT_GEO_OVERRIDE=G","FUND_PER",RIGHT($B$11,1),"ACCOUNTING_STANDARD_OVERRIDE",$H$7,"EQY_CONSOLIDATED",$H$9,"EQY_FUND_CRNCY",$L$7,"StartCol",I$12,"EndCol",I$12,"StartRow",$B40,"EndRow",$B40),1)="#","",_xll.BDS(Ticker,"PG_REVENUE","PG_HIERARCHY_LEVEL=1","NUMBER_OF_PERIODS=-11","REVERSE_PERIOD_ORDER=N","PRODUCT_GEO_OVERRIDE=G","FUND_PER",RIGHT($B$11,1),"ACCOUNTING_STANDARD_OVERRIDE",$H$7,"EQY_CONSOLIDATED",$H$9,"EQY_FUND_CRNCY",$L$7,"StartCol",I$12,"EndCol",I$12,"StartRow",$B40,"EndRow",$B40))</f>
        <v/>
      </c>
      <c r="J40" s="218" t="str">
        <f>IF(LEFT(_xll.BDS(Ticker,"PG_REVENUE","PG_HIERARCHY_LEVEL=1","NUMBER_OF_PERIODS=-11","REVERSE_PERIOD_ORDER=N","PRODUCT_GEO_OVERRIDE=G","FUND_PER",RIGHT($B$11,1),"ACCOUNTING_STANDARD_OVERRIDE",$H$7,"EQY_CONSOLIDATED",$H$9,"EQY_FUND_CRNCY",$L$7,"StartCol",J$12,"EndCol",J$12,"StartRow",$B40,"EndRow",$B40),1)="#","",_xll.BDS(Ticker,"PG_REVENUE","PG_HIERARCHY_LEVEL=1","NUMBER_OF_PERIODS=-11","REVERSE_PERIOD_ORDER=N","PRODUCT_GEO_OVERRIDE=G","FUND_PER",RIGHT($B$11,1),"ACCOUNTING_STANDARD_OVERRIDE",$H$7,"EQY_CONSOLIDATED",$H$9,"EQY_FUND_CRNCY",$L$7,"StartCol",J$12,"EndCol",J$12,"StartRow",$B40,"EndRow",$B40))</f>
        <v/>
      </c>
      <c r="K40" s="218" t="str">
        <f>IF(LEFT(_xll.BDS(Ticker,"PG_REVENUE","PG_HIERARCHY_LEVEL=1","NUMBER_OF_PERIODS=-11","REVERSE_PERIOD_ORDER=N","PRODUCT_GEO_OVERRIDE=G","FUND_PER",RIGHT($B$11,1),"ACCOUNTING_STANDARD_OVERRIDE",$H$7,"EQY_CONSOLIDATED",$H$9,"EQY_FUND_CRNCY",$L$7,"StartCol",K$12,"EndCol",K$12,"StartRow",$B40,"EndRow",$B40),1)="#","",_xll.BDS(Ticker,"PG_REVENUE","PG_HIERARCHY_LEVEL=1","NUMBER_OF_PERIODS=-11","REVERSE_PERIOD_ORDER=N","PRODUCT_GEO_OVERRIDE=G","FUND_PER",RIGHT($B$11,1),"ACCOUNTING_STANDARD_OVERRIDE",$H$7,"EQY_CONSOLIDATED",$H$9,"EQY_FUND_CRNCY",$L$7,"StartCol",K$12,"EndCol",K$12,"StartRow",$B40,"EndRow",$B40))</f>
        <v/>
      </c>
      <c r="L40" s="218" t="str">
        <f>IF(LEFT(_xll.BDS(Ticker,"PG_REVENUE","PG_HIERARCHY_LEVEL=1","NUMBER_OF_PERIODS=-11","REVERSE_PERIOD_ORDER=N","PRODUCT_GEO_OVERRIDE=G","FUND_PER",RIGHT($B$11,1),"ACCOUNTING_STANDARD_OVERRIDE",$H$7,"EQY_CONSOLIDATED",$H$9,"EQY_FUND_CRNCY",$L$7,"StartCol",L$12,"EndCol",L$12,"StartRow",$B40,"EndRow",$B40),1)="#","",_xll.BDS(Ticker,"PG_REVENUE","PG_HIERARCHY_LEVEL=1","NUMBER_OF_PERIODS=-11","REVERSE_PERIOD_ORDER=N","PRODUCT_GEO_OVERRIDE=G","FUND_PER",RIGHT($B$11,1),"ACCOUNTING_STANDARD_OVERRIDE",$H$7,"EQY_CONSOLIDATED",$H$9,"EQY_FUND_CRNCY",$L$7,"StartCol",L$12,"EndCol",L$12,"StartRow",$B40,"EndRow",$B40))</f>
        <v/>
      </c>
      <c r="M40" s="218" t="str">
        <f>IF(LEFT(_xll.BDS(Ticker,"PG_REVENUE","PG_HIERARCHY_LEVEL=1","NUMBER_OF_PERIODS=-11","REVERSE_PERIOD_ORDER=N","PRODUCT_GEO_OVERRIDE=G","FUND_PER",RIGHT($B$11,1),"ACCOUNTING_STANDARD_OVERRIDE",$H$7,"EQY_CONSOLIDATED",$H$9,"EQY_FUND_CRNCY",$L$7,"StartCol",M$12,"EndCol",M$12,"StartRow",$B40,"EndRow",$B40),1)="#","",_xll.BDS(Ticker,"PG_REVENUE","PG_HIERARCHY_LEVEL=1","NUMBER_OF_PERIODS=-11","REVERSE_PERIOD_ORDER=N","PRODUCT_GEO_OVERRIDE=G","FUND_PER",RIGHT($B$11,1),"ACCOUNTING_STANDARD_OVERRIDE",$H$7,"EQY_CONSOLIDATED",$H$9,"EQY_FUND_CRNCY",$L$7,"StartCol",M$12,"EndCol",M$12,"StartRow",$B40,"EndRow",$B40))</f>
        <v/>
      </c>
      <c r="N40" s="218" t="str">
        <f>IF(LEFT(_xll.BDS(Ticker,"PG_REVENUE","PG_HIERARCHY_LEVEL=1","NUMBER_OF_PERIODS=-11","REVERSE_PERIOD_ORDER=N","PRODUCT_GEO_OVERRIDE=G","FUND_PER",RIGHT($B$11,1),"ACCOUNTING_STANDARD_OVERRIDE",$H$7,"EQY_CONSOLIDATED",$H$9,"EQY_FUND_CRNCY",$L$7,"StartCol",N$12,"EndCol",N$12,"StartRow",$B40,"EndRow",$B40),1)="#","",_xll.BDS(Ticker,"PG_REVENUE","PG_HIERARCHY_LEVEL=1","NUMBER_OF_PERIODS=-11","REVERSE_PERIOD_ORDER=N","PRODUCT_GEO_OVERRIDE=G","FUND_PER",RIGHT($B$11,1),"ACCOUNTING_STANDARD_OVERRIDE",$H$7,"EQY_CONSOLIDATED",$H$9,"EQY_FUND_CRNCY",$L$7,"StartCol",N$12,"EndCol",N$12,"StartRow",$B40,"EndRow",$B40))</f>
        <v/>
      </c>
    </row>
    <row r="41" spans="2:14">
      <c r="B41" s="214"/>
      <c r="C41" s="205"/>
      <c r="D41" s="204"/>
      <c r="E41" s="204"/>
      <c r="F41" s="204"/>
      <c r="G41" s="204"/>
      <c r="H41" s="204"/>
      <c r="I41" s="204"/>
      <c r="J41" s="204"/>
      <c r="K41" s="204"/>
      <c r="L41" s="204"/>
      <c r="M41" s="204"/>
      <c r="N41" s="204"/>
    </row>
    <row r="42" spans="2:14">
      <c r="B42" s="214"/>
      <c r="C42" s="219" t="s">
        <v>187</v>
      </c>
      <c r="D42" s="230"/>
      <c r="E42" s="230"/>
      <c r="F42" s="230"/>
      <c r="G42" s="230"/>
      <c r="H42" s="230"/>
      <c r="I42" s="230"/>
      <c r="J42" s="230"/>
      <c r="K42" s="230"/>
      <c r="L42" s="230"/>
      <c r="M42" s="230"/>
      <c r="N42" s="229"/>
    </row>
    <row r="43" spans="2:14" hidden="1" outlineLevel="1">
      <c r="B43" s="220"/>
      <c r="C43" s="233" t="s">
        <v>182</v>
      </c>
      <c r="D43"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43"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43"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43"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43"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43"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43"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43"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43"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43"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43"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44" spans="2:14" hidden="1" outlineLevel="1">
      <c r="B44" s="222"/>
      <c r="C44" s="233" t="s">
        <v>356</v>
      </c>
      <c r="D44" s="231" t="str">
        <f>IF(LEFT(_xll.BDP(Ticker,"LATEST_PERIOD_END_DT_FULL_RECORD","EQY_FUND_RELATIVE_PERIOD",D$11,"EQY_CONSOLIDATED",$H$9),1)="#","--",_xll.BDP(Ticker,"LATEST_PERIOD_END_DT_FULL_RECORD","EQY_FUND_RELATIVE_PERIOD",D$11,"EQY_CONSOLIDATED",$H$9))</f>
        <v>12/31/2008</v>
      </c>
      <c r="E44" s="231" t="str">
        <f>IF(LEFT(_xll.BDP(Ticker,"LATEST_PERIOD_END_DT_FULL_RECORD","EQY_FUND_RELATIVE_PERIOD",E$11,"EQY_CONSOLIDATED",$H$9),1)="#","--",_xll.BDP(Ticker,"LATEST_PERIOD_END_DT_FULL_RECORD","EQY_FUND_RELATIVE_PERIOD",E$11,"EQY_CONSOLIDATED",$H$9))</f>
        <v>12/31/2009</v>
      </c>
      <c r="F44" s="231" t="str">
        <f>IF(LEFT(_xll.BDP(Ticker,"LATEST_PERIOD_END_DT_FULL_RECORD","EQY_FUND_RELATIVE_PERIOD",F$11,"EQY_CONSOLIDATED",$H$9),1)="#","--",_xll.BDP(Ticker,"LATEST_PERIOD_END_DT_FULL_RECORD","EQY_FUND_RELATIVE_PERIOD",F$11,"EQY_CONSOLIDATED",$H$9))</f>
        <v>12/31/2010</v>
      </c>
      <c r="G44" s="231" t="str">
        <f>IF(LEFT(_xll.BDP(Ticker,"LATEST_PERIOD_END_DT_FULL_RECORD","EQY_FUND_RELATIVE_PERIOD",G$11,"EQY_CONSOLIDATED",$H$9),1)="#","--",_xll.BDP(Ticker,"LATEST_PERIOD_END_DT_FULL_RECORD","EQY_FUND_RELATIVE_PERIOD",G$11,"EQY_CONSOLIDATED",$H$9))</f>
        <v>12/31/2011</v>
      </c>
      <c r="H44" s="231" t="str">
        <f>IF(LEFT(_xll.BDP(Ticker,"LATEST_PERIOD_END_DT_FULL_RECORD","EQY_FUND_RELATIVE_PERIOD",H$11,"EQY_CONSOLIDATED",$H$9),1)="#","--",_xll.BDP(Ticker,"LATEST_PERIOD_END_DT_FULL_RECORD","EQY_FUND_RELATIVE_PERIOD",H$11,"EQY_CONSOLIDATED",$H$9))</f>
        <v>12/31/2012</v>
      </c>
      <c r="I44" s="231" t="str">
        <f>IF(LEFT(_xll.BDP(Ticker,"LATEST_PERIOD_END_DT_FULL_RECORD","EQY_FUND_RELATIVE_PERIOD",I$11,"EQY_CONSOLIDATED",$H$9),1)="#","--",_xll.BDP(Ticker,"LATEST_PERIOD_END_DT_FULL_RECORD","EQY_FUND_RELATIVE_PERIOD",I$11,"EQY_CONSOLIDATED",$H$9))</f>
        <v>12/31/2013</v>
      </c>
      <c r="J44" s="231" t="str">
        <f>IF(LEFT(_xll.BDP(Ticker,"LATEST_PERIOD_END_DT_FULL_RECORD","EQY_FUND_RELATIVE_PERIOD",J$11,"EQY_CONSOLIDATED",$H$9),1)="#","--",_xll.BDP(Ticker,"LATEST_PERIOD_END_DT_FULL_RECORD","EQY_FUND_RELATIVE_PERIOD",J$11,"EQY_CONSOLIDATED",$H$9))</f>
        <v>12/31/2014</v>
      </c>
      <c r="K44" s="231" t="str">
        <f>IF(LEFT(_xll.BDP(Ticker,"LATEST_PERIOD_END_DT_FULL_RECORD","EQY_FUND_RELATIVE_PERIOD",K$11,"EQY_CONSOLIDATED",$H$9),1)="#","--",_xll.BDP(Ticker,"LATEST_PERIOD_END_DT_FULL_RECORD","EQY_FUND_RELATIVE_PERIOD",K$11,"EQY_CONSOLIDATED",$H$9))</f>
        <v>12/31/2015</v>
      </c>
      <c r="L44" s="231" t="str">
        <f>IF(LEFT(_xll.BDP(Ticker,"LATEST_PERIOD_END_DT_FULL_RECORD","EQY_FUND_RELATIVE_PERIOD",L$11,"EQY_CONSOLIDATED",$H$9),1)="#","--",_xll.BDP(Ticker,"LATEST_PERIOD_END_DT_FULL_RECORD","EQY_FUND_RELATIVE_PERIOD",L$11,"EQY_CONSOLIDATED",$H$9))</f>
        <v>12/31/2016</v>
      </c>
      <c r="M44" s="231" t="str">
        <f>IF(LEFT(_xll.BDP(Ticker,"LATEST_PERIOD_END_DT_FULL_RECORD","EQY_FUND_RELATIVE_PERIOD",M$11,"EQY_CONSOLIDATED",$H$9),1)="#","--",_xll.BDP(Ticker,"LATEST_PERIOD_END_DT_FULL_RECORD","EQY_FUND_RELATIVE_PERIOD",M$11,"EQY_CONSOLIDATED",$H$9))</f>
        <v>12/31/2017</v>
      </c>
      <c r="N44" s="231" t="str">
        <f>IF(LEFT(_xll.BDP(Ticker,"LATEST_PERIOD_END_DT_FULL_RECORD","EQY_FUND_RELATIVE_PERIOD",N$11,"EQY_CONSOLIDATED",$H$9),1)="#","--",_xll.BDP(Ticker,"LATEST_PERIOD_END_DT_FULL_RECORD","EQY_FUND_RELATIVE_PERIOD",N$11,"EQY_CONSOLIDATED",$H$9))</f>
        <v>12/31/2018</v>
      </c>
    </row>
    <row r="45" spans="2:14" hidden="1" outlineLevel="1">
      <c r="B45" s="213"/>
      <c r="C45" s="203" t="s">
        <v>182</v>
      </c>
      <c r="D45" s="276" t="str">
        <f t="shared" ref="D45:I45" si="1">IF(LEN(D46),SUM(D46:D55),"")</f>
        <v/>
      </c>
      <c r="E45" s="276" t="str">
        <f t="shared" si="1"/>
        <v/>
      </c>
      <c r="F45" s="276" t="str">
        <f t="shared" si="1"/>
        <v/>
      </c>
      <c r="G45" s="276" t="str">
        <f t="shared" si="1"/>
        <v/>
      </c>
      <c r="H45" s="276" t="str">
        <f t="shared" si="1"/>
        <v/>
      </c>
      <c r="I45" s="276" t="str">
        <f t="shared" si="1"/>
        <v/>
      </c>
      <c r="J45" s="276" t="str">
        <f>IF(LEN(J46),SUM(J46:J55),"")</f>
        <v/>
      </c>
      <c r="K45" s="276" t="str">
        <f>IF(LEN(K46),SUM(K46:K55),"")</f>
        <v/>
      </c>
      <c r="L45" s="276" t="str">
        <f>IF(LEN(L46),SUM(L46:L55),"")</f>
        <v/>
      </c>
      <c r="M45" s="276" t="str">
        <f>IF(LEN(M46),SUM(M46:M55),"")</f>
        <v/>
      </c>
      <c r="N45" s="276" t="str">
        <f>IF(LEN(N46),SUM(N46:N55),"")</f>
        <v/>
      </c>
    </row>
    <row r="46" spans="2:14" hidden="1" outlineLevel="1">
      <c r="B46" s="214">
        <v>1</v>
      </c>
      <c r="C46" s="216" t="str">
        <f>IF(LEFT(_xll.BDS(Ticker,"PG_GROSS_PROFIT","PG_HIERARCHY_LEVEL=1","NUMBER_OF_PERIODS=-11","REVERSE_PERIOD_ORDER=N","PRODUCT_GEO_OVERRIDE=P","FUND_PER",RIGHT($B$11,1),"ACCOUNTING_STANDARD_OVERRIDE",$H$7,"EQY_CONSOLIDATED",$H$9,"EQY_FUND_CRNCY",$L$7,"StartCol",C$12,"EndCol",C$12,"StartRow",$B46,"EndRow",$B46),1)="#","",_xll.BDS(Ticker,"PG_GROSS_PROFIT","PG_HIERARCHY_LEVEL=1","NUMBER_OF_PERIODS=-11","REVERSE_PERIOD_ORDER=N","PRODUCT_GEO_OVERRIDE=P","FUND_PER",RIGHT($B$11,1),"ACCOUNTING_STANDARD_OVERRIDE",$H$7,"EQY_CONSOLIDATED",$H$9,"EQY_FUND_CRNCY",$L$7,"StartCol",C$12,"EndCol",C$12,"StartRow",$B46,"EndRow",$B46))</f>
        <v/>
      </c>
      <c r="D46" s="218" t="str">
        <f>IF(LEFT(_xll.BDS(Ticker,"PG_GROSS_PROFIT","PG_HIERARCHY_LEVEL=1","NUMBER_OF_PERIODS=-11","REVERSE_PERIOD_ORDER=N","PRODUCT_GEO_OVERRIDE=P","FUND_PER",RIGHT($B$11,1),"ACCOUNTING_STANDARD_OVERRIDE",$H$7,"EQY_CONSOLIDATED",$H$9,"EQY_FUND_CRNCY",$L$7,"StartCol",D$12,"EndCol",D$12,"StartRow",$B46,"EndRow",$B46),1)="#","",_xll.BDS(Ticker,"PG_GROSS_PROFIT","PG_HIERARCHY_LEVEL=1","NUMBER_OF_PERIODS=-11","REVERSE_PERIOD_ORDER=N","PRODUCT_GEO_OVERRIDE=P","FUND_PER",RIGHT($B$11,1),"ACCOUNTING_STANDARD_OVERRIDE",$H$7,"EQY_CONSOLIDATED",$H$9,"EQY_FUND_CRNCY",$L$7,"StartCol",D$12,"EndCol",D$12,"StartRow",$B46,"EndRow",$B46))</f>
        <v/>
      </c>
      <c r="E46" s="218" t="str">
        <f>IF(LEFT(_xll.BDS(Ticker,"PG_GROSS_PROFIT","PG_HIERARCHY_LEVEL=1","NUMBER_OF_PERIODS=-11","REVERSE_PERIOD_ORDER=N","PRODUCT_GEO_OVERRIDE=P","FUND_PER",RIGHT($B$11,1),"ACCOUNTING_STANDARD_OVERRIDE",$H$7,"EQY_CONSOLIDATED",$H$9,"EQY_FUND_CRNCY",$L$7,"StartCol",E$12,"EndCol",E$12,"StartRow",$B46,"EndRow",$B46),1)="#","",_xll.BDS(Ticker,"PG_GROSS_PROFIT","PG_HIERARCHY_LEVEL=1","NUMBER_OF_PERIODS=-11","REVERSE_PERIOD_ORDER=N","PRODUCT_GEO_OVERRIDE=P","FUND_PER",RIGHT($B$11,1),"ACCOUNTING_STANDARD_OVERRIDE",$H$7,"EQY_CONSOLIDATED",$H$9,"EQY_FUND_CRNCY",$L$7,"StartCol",E$12,"EndCol",E$12,"StartRow",$B46,"EndRow",$B46))</f>
        <v/>
      </c>
      <c r="F46" s="218" t="str">
        <f>IF(LEFT(_xll.BDS(Ticker,"PG_GROSS_PROFIT","PG_HIERARCHY_LEVEL=1","NUMBER_OF_PERIODS=-11","REVERSE_PERIOD_ORDER=N","PRODUCT_GEO_OVERRIDE=P","FUND_PER",RIGHT($B$11,1),"ACCOUNTING_STANDARD_OVERRIDE",$H$7,"EQY_CONSOLIDATED",$H$9,"EQY_FUND_CRNCY",$L$7,"StartCol",F$12,"EndCol",F$12,"StartRow",$B46,"EndRow",$B46),1)="#","",_xll.BDS(Ticker,"PG_GROSS_PROFIT","PG_HIERARCHY_LEVEL=1","NUMBER_OF_PERIODS=-11","REVERSE_PERIOD_ORDER=N","PRODUCT_GEO_OVERRIDE=P","FUND_PER",RIGHT($B$11,1),"ACCOUNTING_STANDARD_OVERRIDE",$H$7,"EQY_CONSOLIDATED",$H$9,"EQY_FUND_CRNCY",$L$7,"StartCol",F$12,"EndCol",F$12,"StartRow",$B46,"EndRow",$B46))</f>
        <v/>
      </c>
      <c r="G46" s="218" t="str">
        <f>IF(LEFT(_xll.BDS(Ticker,"PG_GROSS_PROFIT","PG_HIERARCHY_LEVEL=1","NUMBER_OF_PERIODS=-11","REVERSE_PERIOD_ORDER=N","PRODUCT_GEO_OVERRIDE=P","FUND_PER",RIGHT($B$11,1),"ACCOUNTING_STANDARD_OVERRIDE",$H$7,"EQY_CONSOLIDATED",$H$9,"EQY_FUND_CRNCY",$L$7,"StartCol",G$12,"EndCol",G$12,"StartRow",$B46,"EndRow",$B46),1)="#","",_xll.BDS(Ticker,"PG_GROSS_PROFIT","PG_HIERARCHY_LEVEL=1","NUMBER_OF_PERIODS=-11","REVERSE_PERIOD_ORDER=N","PRODUCT_GEO_OVERRIDE=P","FUND_PER",RIGHT($B$11,1),"ACCOUNTING_STANDARD_OVERRIDE",$H$7,"EQY_CONSOLIDATED",$H$9,"EQY_FUND_CRNCY",$L$7,"StartCol",G$12,"EndCol",G$12,"StartRow",$B46,"EndRow",$B46))</f>
        <v/>
      </c>
      <c r="H46" s="218" t="str">
        <f>IF(LEFT(_xll.BDS(Ticker,"PG_GROSS_PROFIT","PG_HIERARCHY_LEVEL=1","NUMBER_OF_PERIODS=-11","REVERSE_PERIOD_ORDER=N","PRODUCT_GEO_OVERRIDE=P","FUND_PER",RIGHT($B$11,1),"ACCOUNTING_STANDARD_OVERRIDE",$H$7,"EQY_CONSOLIDATED",$H$9,"EQY_FUND_CRNCY",$L$7,"StartCol",H$12,"EndCol",H$12,"StartRow",$B46,"EndRow",$B46),1)="#","",_xll.BDS(Ticker,"PG_GROSS_PROFIT","PG_HIERARCHY_LEVEL=1","NUMBER_OF_PERIODS=-11","REVERSE_PERIOD_ORDER=N","PRODUCT_GEO_OVERRIDE=P","FUND_PER",RIGHT($B$11,1),"ACCOUNTING_STANDARD_OVERRIDE",$H$7,"EQY_CONSOLIDATED",$H$9,"EQY_FUND_CRNCY",$L$7,"StartCol",H$12,"EndCol",H$12,"StartRow",$B46,"EndRow",$B46))</f>
        <v/>
      </c>
      <c r="I46" s="218" t="str">
        <f>IF(LEFT(_xll.BDS(Ticker,"PG_GROSS_PROFIT","PG_HIERARCHY_LEVEL=1","NUMBER_OF_PERIODS=-11","REVERSE_PERIOD_ORDER=N","PRODUCT_GEO_OVERRIDE=P","FUND_PER",RIGHT($B$11,1),"ACCOUNTING_STANDARD_OVERRIDE",$H$7,"EQY_CONSOLIDATED",$H$9,"EQY_FUND_CRNCY",$L$7,"StartCol",I$12,"EndCol",I$12,"StartRow",$B46,"EndRow",$B46),1)="#","",_xll.BDS(Ticker,"PG_GROSS_PROFIT","PG_HIERARCHY_LEVEL=1","NUMBER_OF_PERIODS=-11","REVERSE_PERIOD_ORDER=N","PRODUCT_GEO_OVERRIDE=P","FUND_PER",RIGHT($B$11,1),"ACCOUNTING_STANDARD_OVERRIDE",$H$7,"EQY_CONSOLIDATED",$H$9,"EQY_FUND_CRNCY",$L$7,"StartCol",I$12,"EndCol",I$12,"StartRow",$B46,"EndRow",$B46))</f>
        <v/>
      </c>
      <c r="J46" s="218" t="str">
        <f>IF(LEFT(_xll.BDS(Ticker,"PG_GROSS_PROFIT","PG_HIERARCHY_LEVEL=1","NUMBER_OF_PERIODS=-11","REVERSE_PERIOD_ORDER=N","PRODUCT_GEO_OVERRIDE=P","FUND_PER",RIGHT($B$11,1),"ACCOUNTING_STANDARD_OVERRIDE",$H$7,"EQY_CONSOLIDATED",$H$9,"EQY_FUND_CRNCY",$L$7,"StartCol",J$12,"EndCol",J$12,"StartRow",$B46,"EndRow",$B46),1)="#","",_xll.BDS(Ticker,"PG_GROSS_PROFIT","PG_HIERARCHY_LEVEL=1","NUMBER_OF_PERIODS=-11","REVERSE_PERIOD_ORDER=N","PRODUCT_GEO_OVERRIDE=P","FUND_PER",RIGHT($B$11,1),"ACCOUNTING_STANDARD_OVERRIDE",$H$7,"EQY_CONSOLIDATED",$H$9,"EQY_FUND_CRNCY",$L$7,"StartCol",J$12,"EndCol",J$12,"StartRow",$B46,"EndRow",$B46))</f>
        <v/>
      </c>
      <c r="K46" s="218" t="str">
        <f>IF(LEFT(_xll.BDS(Ticker,"PG_GROSS_PROFIT","PG_HIERARCHY_LEVEL=1","NUMBER_OF_PERIODS=-11","REVERSE_PERIOD_ORDER=N","PRODUCT_GEO_OVERRIDE=P","FUND_PER",RIGHT($B$11,1),"ACCOUNTING_STANDARD_OVERRIDE",$H$7,"EQY_CONSOLIDATED",$H$9,"EQY_FUND_CRNCY",$L$7,"StartCol",K$12,"EndCol",K$12,"StartRow",$B46,"EndRow",$B46),1)="#","",_xll.BDS(Ticker,"PG_GROSS_PROFIT","PG_HIERARCHY_LEVEL=1","NUMBER_OF_PERIODS=-11","REVERSE_PERIOD_ORDER=N","PRODUCT_GEO_OVERRIDE=P","FUND_PER",RIGHT($B$11,1),"ACCOUNTING_STANDARD_OVERRIDE",$H$7,"EQY_CONSOLIDATED",$H$9,"EQY_FUND_CRNCY",$L$7,"StartCol",K$12,"EndCol",K$12,"StartRow",$B46,"EndRow",$B46))</f>
        <v/>
      </c>
      <c r="L46" s="218" t="str">
        <f>IF(LEFT(_xll.BDS(Ticker,"PG_GROSS_PROFIT","PG_HIERARCHY_LEVEL=1","NUMBER_OF_PERIODS=-11","REVERSE_PERIOD_ORDER=N","PRODUCT_GEO_OVERRIDE=P","FUND_PER",RIGHT($B$11,1),"ACCOUNTING_STANDARD_OVERRIDE",$H$7,"EQY_CONSOLIDATED",$H$9,"EQY_FUND_CRNCY",$L$7,"StartCol",L$12,"EndCol",L$12,"StartRow",$B46,"EndRow",$B46),1)="#","",_xll.BDS(Ticker,"PG_GROSS_PROFIT","PG_HIERARCHY_LEVEL=1","NUMBER_OF_PERIODS=-11","REVERSE_PERIOD_ORDER=N","PRODUCT_GEO_OVERRIDE=P","FUND_PER",RIGHT($B$11,1),"ACCOUNTING_STANDARD_OVERRIDE",$H$7,"EQY_CONSOLIDATED",$H$9,"EQY_FUND_CRNCY",$L$7,"StartCol",L$12,"EndCol",L$12,"StartRow",$B46,"EndRow",$B46))</f>
        <v/>
      </c>
      <c r="M46" s="218" t="str">
        <f>IF(LEFT(_xll.BDS(Ticker,"PG_GROSS_PROFIT","PG_HIERARCHY_LEVEL=1","NUMBER_OF_PERIODS=-11","REVERSE_PERIOD_ORDER=N","PRODUCT_GEO_OVERRIDE=P","FUND_PER",RIGHT($B$11,1),"ACCOUNTING_STANDARD_OVERRIDE",$H$7,"EQY_CONSOLIDATED",$H$9,"EQY_FUND_CRNCY",$L$7,"StartCol",M$12,"EndCol",M$12,"StartRow",$B46,"EndRow",$B46),1)="#","",_xll.BDS(Ticker,"PG_GROSS_PROFIT","PG_HIERARCHY_LEVEL=1","NUMBER_OF_PERIODS=-11","REVERSE_PERIOD_ORDER=N","PRODUCT_GEO_OVERRIDE=P","FUND_PER",RIGHT($B$11,1),"ACCOUNTING_STANDARD_OVERRIDE",$H$7,"EQY_CONSOLIDATED",$H$9,"EQY_FUND_CRNCY",$L$7,"StartCol",M$12,"EndCol",M$12,"StartRow",$B46,"EndRow",$B46))</f>
        <v/>
      </c>
      <c r="N46" s="218" t="str">
        <f>IF(LEFT(_xll.BDS(Ticker,"PG_GROSS_PROFIT","PG_HIERARCHY_LEVEL=1","NUMBER_OF_PERIODS=-11","REVERSE_PERIOD_ORDER=N","PRODUCT_GEO_OVERRIDE=P","FUND_PER",RIGHT($B$11,1),"ACCOUNTING_STANDARD_OVERRIDE",$H$7,"EQY_CONSOLIDATED",$H$9,"EQY_FUND_CRNCY",$L$7,"StartCol",N$12,"EndCol",N$12,"StartRow",$B46,"EndRow",$B46),1)="#","",_xll.BDS(Ticker,"PG_GROSS_PROFIT","PG_HIERARCHY_LEVEL=1","NUMBER_OF_PERIODS=-11","REVERSE_PERIOD_ORDER=N","PRODUCT_GEO_OVERRIDE=P","FUND_PER",RIGHT($B$11,1),"ACCOUNTING_STANDARD_OVERRIDE",$H$7,"EQY_CONSOLIDATED",$H$9,"EQY_FUND_CRNCY",$L$7,"StartCol",N$12,"EndCol",N$12,"StartRow",$B46,"EndRow",$B46))</f>
        <v/>
      </c>
    </row>
    <row r="47" spans="2:14" hidden="1" outlineLevel="1">
      <c r="B47" s="214">
        <v>2</v>
      </c>
      <c r="C47" s="216" t="str">
        <f>IF(LEFT(_xll.BDS(Ticker,"PG_GROSS_PROFIT","PG_HIERARCHY_LEVEL=1","NUMBER_OF_PERIODS=-11","REVERSE_PERIOD_ORDER=N","PRODUCT_GEO_OVERRIDE=P","FUND_PER",RIGHT($B$11,1),"ACCOUNTING_STANDARD_OVERRIDE",$H$7,"EQY_CONSOLIDATED",$H$9,"EQY_FUND_CRNCY",$L$7,"StartCol",C$12,"EndCol",C$12,"StartRow",$B47,"EndRow",$B47),1)="#","",_xll.BDS(Ticker,"PG_GROSS_PROFIT","PG_HIERARCHY_LEVEL=1","NUMBER_OF_PERIODS=-11","REVERSE_PERIOD_ORDER=N","PRODUCT_GEO_OVERRIDE=P","FUND_PER",RIGHT($B$11,1),"ACCOUNTING_STANDARD_OVERRIDE",$H$7,"EQY_CONSOLIDATED",$H$9,"EQY_FUND_CRNCY",$L$7,"StartCol",C$12,"EndCol",C$12,"StartRow",$B47,"EndRow",$B47))</f>
        <v/>
      </c>
      <c r="D47" s="218" t="str">
        <f>IF(LEFT(_xll.BDS(Ticker,"PG_GROSS_PROFIT","PG_HIERARCHY_LEVEL=1","NUMBER_OF_PERIODS=-11","REVERSE_PERIOD_ORDER=N","PRODUCT_GEO_OVERRIDE=P","FUND_PER",RIGHT($B$11,1),"ACCOUNTING_STANDARD_OVERRIDE",$H$7,"EQY_CONSOLIDATED",$H$9,"EQY_FUND_CRNCY",$L$7,"StartCol",D$12,"EndCol",D$12,"StartRow",$B47,"EndRow",$B47),1)="#","",_xll.BDS(Ticker,"PG_GROSS_PROFIT","PG_HIERARCHY_LEVEL=1","NUMBER_OF_PERIODS=-11","REVERSE_PERIOD_ORDER=N","PRODUCT_GEO_OVERRIDE=P","FUND_PER",RIGHT($B$11,1),"ACCOUNTING_STANDARD_OVERRIDE",$H$7,"EQY_CONSOLIDATED",$H$9,"EQY_FUND_CRNCY",$L$7,"StartCol",D$12,"EndCol",D$12,"StartRow",$B47,"EndRow",$B47))</f>
        <v/>
      </c>
      <c r="E47" s="218" t="str">
        <f>IF(LEFT(_xll.BDS(Ticker,"PG_GROSS_PROFIT","PG_HIERARCHY_LEVEL=1","NUMBER_OF_PERIODS=-11","REVERSE_PERIOD_ORDER=N","PRODUCT_GEO_OVERRIDE=P","FUND_PER",RIGHT($B$11,1),"ACCOUNTING_STANDARD_OVERRIDE",$H$7,"EQY_CONSOLIDATED",$H$9,"EQY_FUND_CRNCY",$L$7,"StartCol",E$12,"EndCol",E$12,"StartRow",$B47,"EndRow",$B47),1)="#","",_xll.BDS(Ticker,"PG_GROSS_PROFIT","PG_HIERARCHY_LEVEL=1","NUMBER_OF_PERIODS=-11","REVERSE_PERIOD_ORDER=N","PRODUCT_GEO_OVERRIDE=P","FUND_PER",RIGHT($B$11,1),"ACCOUNTING_STANDARD_OVERRIDE",$H$7,"EQY_CONSOLIDATED",$H$9,"EQY_FUND_CRNCY",$L$7,"StartCol",E$12,"EndCol",E$12,"StartRow",$B47,"EndRow",$B47))</f>
        <v/>
      </c>
      <c r="F47" s="218" t="str">
        <f>IF(LEFT(_xll.BDS(Ticker,"PG_GROSS_PROFIT","PG_HIERARCHY_LEVEL=1","NUMBER_OF_PERIODS=-11","REVERSE_PERIOD_ORDER=N","PRODUCT_GEO_OVERRIDE=P","FUND_PER",RIGHT($B$11,1),"ACCOUNTING_STANDARD_OVERRIDE",$H$7,"EQY_CONSOLIDATED",$H$9,"EQY_FUND_CRNCY",$L$7,"StartCol",F$12,"EndCol",F$12,"StartRow",$B47,"EndRow",$B47),1)="#","",_xll.BDS(Ticker,"PG_GROSS_PROFIT","PG_HIERARCHY_LEVEL=1","NUMBER_OF_PERIODS=-11","REVERSE_PERIOD_ORDER=N","PRODUCT_GEO_OVERRIDE=P","FUND_PER",RIGHT($B$11,1),"ACCOUNTING_STANDARD_OVERRIDE",$H$7,"EQY_CONSOLIDATED",$H$9,"EQY_FUND_CRNCY",$L$7,"StartCol",F$12,"EndCol",F$12,"StartRow",$B47,"EndRow",$B47))</f>
        <v/>
      </c>
      <c r="G47" s="218" t="str">
        <f>IF(LEFT(_xll.BDS(Ticker,"PG_GROSS_PROFIT","PG_HIERARCHY_LEVEL=1","NUMBER_OF_PERIODS=-11","REVERSE_PERIOD_ORDER=N","PRODUCT_GEO_OVERRIDE=P","FUND_PER",RIGHT($B$11,1),"ACCOUNTING_STANDARD_OVERRIDE",$H$7,"EQY_CONSOLIDATED",$H$9,"EQY_FUND_CRNCY",$L$7,"StartCol",G$12,"EndCol",G$12,"StartRow",$B47,"EndRow",$B47),1)="#","",_xll.BDS(Ticker,"PG_GROSS_PROFIT","PG_HIERARCHY_LEVEL=1","NUMBER_OF_PERIODS=-11","REVERSE_PERIOD_ORDER=N","PRODUCT_GEO_OVERRIDE=P","FUND_PER",RIGHT($B$11,1),"ACCOUNTING_STANDARD_OVERRIDE",$H$7,"EQY_CONSOLIDATED",$H$9,"EQY_FUND_CRNCY",$L$7,"StartCol",G$12,"EndCol",G$12,"StartRow",$B47,"EndRow",$B47))</f>
        <v/>
      </c>
      <c r="H47" s="218" t="str">
        <f>IF(LEFT(_xll.BDS(Ticker,"PG_GROSS_PROFIT","PG_HIERARCHY_LEVEL=1","NUMBER_OF_PERIODS=-11","REVERSE_PERIOD_ORDER=N","PRODUCT_GEO_OVERRIDE=P","FUND_PER",RIGHT($B$11,1),"ACCOUNTING_STANDARD_OVERRIDE",$H$7,"EQY_CONSOLIDATED",$H$9,"EQY_FUND_CRNCY",$L$7,"StartCol",H$12,"EndCol",H$12,"StartRow",$B47,"EndRow",$B47),1)="#","",_xll.BDS(Ticker,"PG_GROSS_PROFIT","PG_HIERARCHY_LEVEL=1","NUMBER_OF_PERIODS=-11","REVERSE_PERIOD_ORDER=N","PRODUCT_GEO_OVERRIDE=P","FUND_PER",RIGHT($B$11,1),"ACCOUNTING_STANDARD_OVERRIDE",$H$7,"EQY_CONSOLIDATED",$H$9,"EQY_FUND_CRNCY",$L$7,"StartCol",H$12,"EndCol",H$12,"StartRow",$B47,"EndRow",$B47))</f>
        <v/>
      </c>
      <c r="I47" s="218" t="str">
        <f>IF(LEFT(_xll.BDS(Ticker,"PG_GROSS_PROFIT","PG_HIERARCHY_LEVEL=1","NUMBER_OF_PERIODS=-11","REVERSE_PERIOD_ORDER=N","PRODUCT_GEO_OVERRIDE=P","FUND_PER",RIGHT($B$11,1),"ACCOUNTING_STANDARD_OVERRIDE",$H$7,"EQY_CONSOLIDATED",$H$9,"EQY_FUND_CRNCY",$L$7,"StartCol",I$12,"EndCol",I$12,"StartRow",$B47,"EndRow",$B47),1)="#","",_xll.BDS(Ticker,"PG_GROSS_PROFIT","PG_HIERARCHY_LEVEL=1","NUMBER_OF_PERIODS=-11","REVERSE_PERIOD_ORDER=N","PRODUCT_GEO_OVERRIDE=P","FUND_PER",RIGHT($B$11,1),"ACCOUNTING_STANDARD_OVERRIDE",$H$7,"EQY_CONSOLIDATED",$H$9,"EQY_FUND_CRNCY",$L$7,"StartCol",I$12,"EndCol",I$12,"StartRow",$B47,"EndRow",$B47))</f>
        <v/>
      </c>
      <c r="J47" s="218" t="str">
        <f>IF(LEFT(_xll.BDS(Ticker,"PG_GROSS_PROFIT","PG_HIERARCHY_LEVEL=1","NUMBER_OF_PERIODS=-11","REVERSE_PERIOD_ORDER=N","PRODUCT_GEO_OVERRIDE=P","FUND_PER",RIGHT($B$11,1),"ACCOUNTING_STANDARD_OVERRIDE",$H$7,"EQY_CONSOLIDATED",$H$9,"EQY_FUND_CRNCY",$L$7,"StartCol",J$12,"EndCol",J$12,"StartRow",$B47,"EndRow",$B47),1)="#","",_xll.BDS(Ticker,"PG_GROSS_PROFIT","PG_HIERARCHY_LEVEL=1","NUMBER_OF_PERIODS=-11","REVERSE_PERIOD_ORDER=N","PRODUCT_GEO_OVERRIDE=P","FUND_PER",RIGHT($B$11,1),"ACCOUNTING_STANDARD_OVERRIDE",$H$7,"EQY_CONSOLIDATED",$H$9,"EQY_FUND_CRNCY",$L$7,"StartCol",J$12,"EndCol",J$12,"StartRow",$B47,"EndRow",$B47))</f>
        <v/>
      </c>
      <c r="K47" s="218" t="str">
        <f>IF(LEFT(_xll.BDS(Ticker,"PG_GROSS_PROFIT","PG_HIERARCHY_LEVEL=1","NUMBER_OF_PERIODS=-11","REVERSE_PERIOD_ORDER=N","PRODUCT_GEO_OVERRIDE=P","FUND_PER",RIGHT($B$11,1),"ACCOUNTING_STANDARD_OVERRIDE",$H$7,"EQY_CONSOLIDATED",$H$9,"EQY_FUND_CRNCY",$L$7,"StartCol",K$12,"EndCol",K$12,"StartRow",$B47,"EndRow",$B47),1)="#","",_xll.BDS(Ticker,"PG_GROSS_PROFIT","PG_HIERARCHY_LEVEL=1","NUMBER_OF_PERIODS=-11","REVERSE_PERIOD_ORDER=N","PRODUCT_GEO_OVERRIDE=P","FUND_PER",RIGHT($B$11,1),"ACCOUNTING_STANDARD_OVERRIDE",$H$7,"EQY_CONSOLIDATED",$H$9,"EQY_FUND_CRNCY",$L$7,"StartCol",K$12,"EndCol",K$12,"StartRow",$B47,"EndRow",$B47))</f>
        <v/>
      </c>
      <c r="L47" s="218" t="str">
        <f>IF(LEFT(_xll.BDS(Ticker,"PG_GROSS_PROFIT","PG_HIERARCHY_LEVEL=1","NUMBER_OF_PERIODS=-11","REVERSE_PERIOD_ORDER=N","PRODUCT_GEO_OVERRIDE=P","FUND_PER",RIGHT($B$11,1),"ACCOUNTING_STANDARD_OVERRIDE",$H$7,"EQY_CONSOLIDATED",$H$9,"EQY_FUND_CRNCY",$L$7,"StartCol",L$12,"EndCol",L$12,"StartRow",$B47,"EndRow",$B47),1)="#","",_xll.BDS(Ticker,"PG_GROSS_PROFIT","PG_HIERARCHY_LEVEL=1","NUMBER_OF_PERIODS=-11","REVERSE_PERIOD_ORDER=N","PRODUCT_GEO_OVERRIDE=P","FUND_PER",RIGHT($B$11,1),"ACCOUNTING_STANDARD_OVERRIDE",$H$7,"EQY_CONSOLIDATED",$H$9,"EQY_FUND_CRNCY",$L$7,"StartCol",L$12,"EndCol",L$12,"StartRow",$B47,"EndRow",$B47))</f>
        <v/>
      </c>
      <c r="M47" s="218" t="str">
        <f>IF(LEFT(_xll.BDS(Ticker,"PG_GROSS_PROFIT","PG_HIERARCHY_LEVEL=1","NUMBER_OF_PERIODS=-11","REVERSE_PERIOD_ORDER=N","PRODUCT_GEO_OVERRIDE=P","FUND_PER",RIGHT($B$11,1),"ACCOUNTING_STANDARD_OVERRIDE",$H$7,"EQY_CONSOLIDATED",$H$9,"EQY_FUND_CRNCY",$L$7,"StartCol",M$12,"EndCol",M$12,"StartRow",$B47,"EndRow",$B47),1)="#","",_xll.BDS(Ticker,"PG_GROSS_PROFIT","PG_HIERARCHY_LEVEL=1","NUMBER_OF_PERIODS=-11","REVERSE_PERIOD_ORDER=N","PRODUCT_GEO_OVERRIDE=P","FUND_PER",RIGHT($B$11,1),"ACCOUNTING_STANDARD_OVERRIDE",$H$7,"EQY_CONSOLIDATED",$H$9,"EQY_FUND_CRNCY",$L$7,"StartCol",M$12,"EndCol",M$12,"StartRow",$B47,"EndRow",$B47))</f>
        <v/>
      </c>
      <c r="N47" s="218" t="str">
        <f>IF(LEFT(_xll.BDS(Ticker,"PG_GROSS_PROFIT","PG_HIERARCHY_LEVEL=1","NUMBER_OF_PERIODS=-11","REVERSE_PERIOD_ORDER=N","PRODUCT_GEO_OVERRIDE=P","FUND_PER",RIGHT($B$11,1),"ACCOUNTING_STANDARD_OVERRIDE",$H$7,"EQY_CONSOLIDATED",$H$9,"EQY_FUND_CRNCY",$L$7,"StartCol",N$12,"EndCol",N$12,"StartRow",$B47,"EndRow",$B47),1)="#","",_xll.BDS(Ticker,"PG_GROSS_PROFIT","PG_HIERARCHY_LEVEL=1","NUMBER_OF_PERIODS=-11","REVERSE_PERIOD_ORDER=N","PRODUCT_GEO_OVERRIDE=P","FUND_PER",RIGHT($B$11,1),"ACCOUNTING_STANDARD_OVERRIDE",$H$7,"EQY_CONSOLIDATED",$H$9,"EQY_FUND_CRNCY",$L$7,"StartCol",N$12,"EndCol",N$12,"StartRow",$B47,"EndRow",$B47))</f>
        <v/>
      </c>
    </row>
    <row r="48" spans="2:14" hidden="1" outlineLevel="1">
      <c r="B48" s="214">
        <v>3</v>
      </c>
      <c r="C48" s="216" t="str">
        <f>IF(LEFT(_xll.BDS(Ticker,"PG_GROSS_PROFIT","PG_HIERARCHY_LEVEL=1","NUMBER_OF_PERIODS=-11","REVERSE_PERIOD_ORDER=N","PRODUCT_GEO_OVERRIDE=P","FUND_PER",RIGHT($B$11,1),"ACCOUNTING_STANDARD_OVERRIDE",$H$7,"EQY_CONSOLIDATED",$H$9,"EQY_FUND_CRNCY",$L$7,"StartCol",C$12,"EndCol",C$12,"StartRow",$B48,"EndRow",$B48),1)="#","",_xll.BDS(Ticker,"PG_GROSS_PROFIT","PG_HIERARCHY_LEVEL=1","NUMBER_OF_PERIODS=-11","REVERSE_PERIOD_ORDER=N","PRODUCT_GEO_OVERRIDE=P","FUND_PER",RIGHT($B$11,1),"ACCOUNTING_STANDARD_OVERRIDE",$H$7,"EQY_CONSOLIDATED",$H$9,"EQY_FUND_CRNCY",$L$7,"StartCol",C$12,"EndCol",C$12,"StartRow",$B48,"EndRow",$B48))</f>
        <v/>
      </c>
      <c r="D48" s="218" t="str">
        <f>IF(LEFT(_xll.BDS(Ticker,"PG_GROSS_PROFIT","PG_HIERARCHY_LEVEL=1","NUMBER_OF_PERIODS=-11","REVERSE_PERIOD_ORDER=N","PRODUCT_GEO_OVERRIDE=P","FUND_PER",RIGHT($B$11,1),"ACCOUNTING_STANDARD_OVERRIDE",$H$7,"EQY_CONSOLIDATED",$H$9,"EQY_FUND_CRNCY",$L$7,"StartCol",D$12,"EndCol",D$12,"StartRow",$B48,"EndRow",$B48),1)="#","",_xll.BDS(Ticker,"PG_GROSS_PROFIT","PG_HIERARCHY_LEVEL=1","NUMBER_OF_PERIODS=-11","REVERSE_PERIOD_ORDER=N","PRODUCT_GEO_OVERRIDE=P","FUND_PER",RIGHT($B$11,1),"ACCOUNTING_STANDARD_OVERRIDE",$H$7,"EQY_CONSOLIDATED",$H$9,"EQY_FUND_CRNCY",$L$7,"StartCol",D$12,"EndCol",D$12,"StartRow",$B48,"EndRow",$B48))</f>
        <v/>
      </c>
      <c r="E48" s="218" t="str">
        <f>IF(LEFT(_xll.BDS(Ticker,"PG_GROSS_PROFIT","PG_HIERARCHY_LEVEL=1","NUMBER_OF_PERIODS=-11","REVERSE_PERIOD_ORDER=N","PRODUCT_GEO_OVERRIDE=P","FUND_PER",RIGHT($B$11,1),"ACCOUNTING_STANDARD_OVERRIDE",$H$7,"EQY_CONSOLIDATED",$H$9,"EQY_FUND_CRNCY",$L$7,"StartCol",E$12,"EndCol",E$12,"StartRow",$B48,"EndRow",$B48),1)="#","",_xll.BDS(Ticker,"PG_GROSS_PROFIT","PG_HIERARCHY_LEVEL=1","NUMBER_OF_PERIODS=-11","REVERSE_PERIOD_ORDER=N","PRODUCT_GEO_OVERRIDE=P","FUND_PER",RIGHT($B$11,1),"ACCOUNTING_STANDARD_OVERRIDE",$H$7,"EQY_CONSOLIDATED",$H$9,"EQY_FUND_CRNCY",$L$7,"StartCol",E$12,"EndCol",E$12,"StartRow",$B48,"EndRow",$B48))</f>
        <v/>
      </c>
      <c r="F48" s="218" t="str">
        <f>IF(LEFT(_xll.BDS(Ticker,"PG_GROSS_PROFIT","PG_HIERARCHY_LEVEL=1","NUMBER_OF_PERIODS=-11","REVERSE_PERIOD_ORDER=N","PRODUCT_GEO_OVERRIDE=P","FUND_PER",RIGHT($B$11,1),"ACCOUNTING_STANDARD_OVERRIDE",$H$7,"EQY_CONSOLIDATED",$H$9,"EQY_FUND_CRNCY",$L$7,"StartCol",F$12,"EndCol",F$12,"StartRow",$B48,"EndRow",$B48),1)="#","",_xll.BDS(Ticker,"PG_GROSS_PROFIT","PG_HIERARCHY_LEVEL=1","NUMBER_OF_PERIODS=-11","REVERSE_PERIOD_ORDER=N","PRODUCT_GEO_OVERRIDE=P","FUND_PER",RIGHT($B$11,1),"ACCOUNTING_STANDARD_OVERRIDE",$H$7,"EQY_CONSOLIDATED",$H$9,"EQY_FUND_CRNCY",$L$7,"StartCol",F$12,"EndCol",F$12,"StartRow",$B48,"EndRow",$B48))</f>
        <v/>
      </c>
      <c r="G48" s="218" t="str">
        <f>IF(LEFT(_xll.BDS(Ticker,"PG_GROSS_PROFIT","PG_HIERARCHY_LEVEL=1","NUMBER_OF_PERIODS=-11","REVERSE_PERIOD_ORDER=N","PRODUCT_GEO_OVERRIDE=P","FUND_PER",RIGHT($B$11,1),"ACCOUNTING_STANDARD_OVERRIDE",$H$7,"EQY_CONSOLIDATED",$H$9,"EQY_FUND_CRNCY",$L$7,"StartCol",G$12,"EndCol",G$12,"StartRow",$B48,"EndRow",$B48),1)="#","",_xll.BDS(Ticker,"PG_GROSS_PROFIT","PG_HIERARCHY_LEVEL=1","NUMBER_OF_PERIODS=-11","REVERSE_PERIOD_ORDER=N","PRODUCT_GEO_OVERRIDE=P","FUND_PER",RIGHT($B$11,1),"ACCOUNTING_STANDARD_OVERRIDE",$H$7,"EQY_CONSOLIDATED",$H$9,"EQY_FUND_CRNCY",$L$7,"StartCol",G$12,"EndCol",G$12,"StartRow",$B48,"EndRow",$B48))</f>
        <v/>
      </c>
      <c r="H48" s="218" t="str">
        <f>IF(LEFT(_xll.BDS(Ticker,"PG_GROSS_PROFIT","PG_HIERARCHY_LEVEL=1","NUMBER_OF_PERIODS=-11","REVERSE_PERIOD_ORDER=N","PRODUCT_GEO_OVERRIDE=P","FUND_PER",RIGHT($B$11,1),"ACCOUNTING_STANDARD_OVERRIDE",$H$7,"EQY_CONSOLIDATED",$H$9,"EQY_FUND_CRNCY",$L$7,"StartCol",H$12,"EndCol",H$12,"StartRow",$B48,"EndRow",$B48),1)="#","",_xll.BDS(Ticker,"PG_GROSS_PROFIT","PG_HIERARCHY_LEVEL=1","NUMBER_OF_PERIODS=-11","REVERSE_PERIOD_ORDER=N","PRODUCT_GEO_OVERRIDE=P","FUND_PER",RIGHT($B$11,1),"ACCOUNTING_STANDARD_OVERRIDE",$H$7,"EQY_CONSOLIDATED",$H$9,"EQY_FUND_CRNCY",$L$7,"StartCol",H$12,"EndCol",H$12,"StartRow",$B48,"EndRow",$B48))</f>
        <v/>
      </c>
      <c r="I48" s="218" t="str">
        <f>IF(LEFT(_xll.BDS(Ticker,"PG_GROSS_PROFIT","PG_HIERARCHY_LEVEL=1","NUMBER_OF_PERIODS=-11","REVERSE_PERIOD_ORDER=N","PRODUCT_GEO_OVERRIDE=P","FUND_PER",RIGHT($B$11,1),"ACCOUNTING_STANDARD_OVERRIDE",$H$7,"EQY_CONSOLIDATED",$H$9,"EQY_FUND_CRNCY",$L$7,"StartCol",I$12,"EndCol",I$12,"StartRow",$B48,"EndRow",$B48),1)="#","",_xll.BDS(Ticker,"PG_GROSS_PROFIT","PG_HIERARCHY_LEVEL=1","NUMBER_OF_PERIODS=-11","REVERSE_PERIOD_ORDER=N","PRODUCT_GEO_OVERRIDE=P","FUND_PER",RIGHT($B$11,1),"ACCOUNTING_STANDARD_OVERRIDE",$H$7,"EQY_CONSOLIDATED",$H$9,"EQY_FUND_CRNCY",$L$7,"StartCol",I$12,"EndCol",I$12,"StartRow",$B48,"EndRow",$B48))</f>
        <v/>
      </c>
      <c r="J48" s="218" t="str">
        <f>IF(LEFT(_xll.BDS(Ticker,"PG_GROSS_PROFIT","PG_HIERARCHY_LEVEL=1","NUMBER_OF_PERIODS=-11","REVERSE_PERIOD_ORDER=N","PRODUCT_GEO_OVERRIDE=P","FUND_PER",RIGHT($B$11,1),"ACCOUNTING_STANDARD_OVERRIDE",$H$7,"EQY_CONSOLIDATED",$H$9,"EQY_FUND_CRNCY",$L$7,"StartCol",J$12,"EndCol",J$12,"StartRow",$B48,"EndRow",$B48),1)="#","",_xll.BDS(Ticker,"PG_GROSS_PROFIT","PG_HIERARCHY_LEVEL=1","NUMBER_OF_PERIODS=-11","REVERSE_PERIOD_ORDER=N","PRODUCT_GEO_OVERRIDE=P","FUND_PER",RIGHT($B$11,1),"ACCOUNTING_STANDARD_OVERRIDE",$H$7,"EQY_CONSOLIDATED",$H$9,"EQY_FUND_CRNCY",$L$7,"StartCol",J$12,"EndCol",J$12,"StartRow",$B48,"EndRow",$B48))</f>
        <v/>
      </c>
      <c r="K48" s="218" t="str">
        <f>IF(LEFT(_xll.BDS(Ticker,"PG_GROSS_PROFIT","PG_HIERARCHY_LEVEL=1","NUMBER_OF_PERIODS=-11","REVERSE_PERIOD_ORDER=N","PRODUCT_GEO_OVERRIDE=P","FUND_PER",RIGHT($B$11,1),"ACCOUNTING_STANDARD_OVERRIDE",$H$7,"EQY_CONSOLIDATED",$H$9,"EQY_FUND_CRNCY",$L$7,"StartCol",K$12,"EndCol",K$12,"StartRow",$B48,"EndRow",$B48),1)="#","",_xll.BDS(Ticker,"PG_GROSS_PROFIT","PG_HIERARCHY_LEVEL=1","NUMBER_OF_PERIODS=-11","REVERSE_PERIOD_ORDER=N","PRODUCT_GEO_OVERRIDE=P","FUND_PER",RIGHT($B$11,1),"ACCOUNTING_STANDARD_OVERRIDE",$H$7,"EQY_CONSOLIDATED",$H$9,"EQY_FUND_CRNCY",$L$7,"StartCol",K$12,"EndCol",K$12,"StartRow",$B48,"EndRow",$B48))</f>
        <v/>
      </c>
      <c r="L48" s="218" t="str">
        <f>IF(LEFT(_xll.BDS(Ticker,"PG_GROSS_PROFIT","PG_HIERARCHY_LEVEL=1","NUMBER_OF_PERIODS=-11","REVERSE_PERIOD_ORDER=N","PRODUCT_GEO_OVERRIDE=P","FUND_PER",RIGHT($B$11,1),"ACCOUNTING_STANDARD_OVERRIDE",$H$7,"EQY_CONSOLIDATED",$H$9,"EQY_FUND_CRNCY",$L$7,"StartCol",L$12,"EndCol",L$12,"StartRow",$B48,"EndRow",$B48),1)="#","",_xll.BDS(Ticker,"PG_GROSS_PROFIT","PG_HIERARCHY_LEVEL=1","NUMBER_OF_PERIODS=-11","REVERSE_PERIOD_ORDER=N","PRODUCT_GEO_OVERRIDE=P","FUND_PER",RIGHT($B$11,1),"ACCOUNTING_STANDARD_OVERRIDE",$H$7,"EQY_CONSOLIDATED",$H$9,"EQY_FUND_CRNCY",$L$7,"StartCol",L$12,"EndCol",L$12,"StartRow",$B48,"EndRow",$B48))</f>
        <v/>
      </c>
      <c r="M48" s="218" t="str">
        <f>IF(LEFT(_xll.BDS(Ticker,"PG_GROSS_PROFIT","PG_HIERARCHY_LEVEL=1","NUMBER_OF_PERIODS=-11","REVERSE_PERIOD_ORDER=N","PRODUCT_GEO_OVERRIDE=P","FUND_PER",RIGHT($B$11,1),"ACCOUNTING_STANDARD_OVERRIDE",$H$7,"EQY_CONSOLIDATED",$H$9,"EQY_FUND_CRNCY",$L$7,"StartCol",M$12,"EndCol",M$12,"StartRow",$B48,"EndRow",$B48),1)="#","",_xll.BDS(Ticker,"PG_GROSS_PROFIT","PG_HIERARCHY_LEVEL=1","NUMBER_OF_PERIODS=-11","REVERSE_PERIOD_ORDER=N","PRODUCT_GEO_OVERRIDE=P","FUND_PER",RIGHT($B$11,1),"ACCOUNTING_STANDARD_OVERRIDE",$H$7,"EQY_CONSOLIDATED",$H$9,"EQY_FUND_CRNCY",$L$7,"StartCol",M$12,"EndCol",M$12,"StartRow",$B48,"EndRow",$B48))</f>
        <v/>
      </c>
      <c r="N48" s="218" t="str">
        <f>IF(LEFT(_xll.BDS(Ticker,"PG_GROSS_PROFIT","PG_HIERARCHY_LEVEL=1","NUMBER_OF_PERIODS=-11","REVERSE_PERIOD_ORDER=N","PRODUCT_GEO_OVERRIDE=P","FUND_PER",RIGHT($B$11,1),"ACCOUNTING_STANDARD_OVERRIDE",$H$7,"EQY_CONSOLIDATED",$H$9,"EQY_FUND_CRNCY",$L$7,"StartCol",N$12,"EndCol",N$12,"StartRow",$B48,"EndRow",$B48),1)="#","",_xll.BDS(Ticker,"PG_GROSS_PROFIT","PG_HIERARCHY_LEVEL=1","NUMBER_OF_PERIODS=-11","REVERSE_PERIOD_ORDER=N","PRODUCT_GEO_OVERRIDE=P","FUND_PER",RIGHT($B$11,1),"ACCOUNTING_STANDARD_OVERRIDE",$H$7,"EQY_CONSOLIDATED",$H$9,"EQY_FUND_CRNCY",$L$7,"StartCol",N$12,"EndCol",N$12,"StartRow",$B48,"EndRow",$B48))</f>
        <v/>
      </c>
    </row>
    <row r="49" spans="2:14" hidden="1" outlineLevel="1">
      <c r="B49" s="214">
        <v>4</v>
      </c>
      <c r="C49" s="216" t="str">
        <f>IF(LEFT(_xll.BDS(Ticker,"PG_GROSS_PROFIT","PG_HIERARCHY_LEVEL=1","NUMBER_OF_PERIODS=-11","REVERSE_PERIOD_ORDER=N","PRODUCT_GEO_OVERRIDE=P","FUND_PER",RIGHT($B$11,1),"ACCOUNTING_STANDARD_OVERRIDE",$H$7,"EQY_CONSOLIDATED",$H$9,"EQY_FUND_CRNCY",$L$7,"StartCol",C$12,"EndCol",C$12,"StartRow",$B49,"EndRow",$B49),1)="#","",_xll.BDS(Ticker,"PG_GROSS_PROFIT","PG_HIERARCHY_LEVEL=1","NUMBER_OF_PERIODS=-11","REVERSE_PERIOD_ORDER=N","PRODUCT_GEO_OVERRIDE=P","FUND_PER",RIGHT($B$11,1),"ACCOUNTING_STANDARD_OVERRIDE",$H$7,"EQY_CONSOLIDATED",$H$9,"EQY_FUND_CRNCY",$L$7,"StartCol",C$12,"EndCol",C$12,"StartRow",$B49,"EndRow",$B49))</f>
        <v/>
      </c>
      <c r="D49" s="218" t="str">
        <f>IF(LEFT(_xll.BDS(Ticker,"PG_GROSS_PROFIT","PG_HIERARCHY_LEVEL=1","NUMBER_OF_PERIODS=-11","REVERSE_PERIOD_ORDER=N","PRODUCT_GEO_OVERRIDE=P","FUND_PER",RIGHT($B$11,1),"ACCOUNTING_STANDARD_OVERRIDE",$H$7,"EQY_CONSOLIDATED",$H$9,"EQY_FUND_CRNCY",$L$7,"StartCol",D$12,"EndCol",D$12,"StartRow",$B49,"EndRow",$B49),1)="#","",_xll.BDS(Ticker,"PG_GROSS_PROFIT","PG_HIERARCHY_LEVEL=1","NUMBER_OF_PERIODS=-11","REVERSE_PERIOD_ORDER=N","PRODUCT_GEO_OVERRIDE=P","FUND_PER",RIGHT($B$11,1),"ACCOUNTING_STANDARD_OVERRIDE",$H$7,"EQY_CONSOLIDATED",$H$9,"EQY_FUND_CRNCY",$L$7,"StartCol",D$12,"EndCol",D$12,"StartRow",$B49,"EndRow",$B49))</f>
        <v/>
      </c>
      <c r="E49" s="218" t="str">
        <f>IF(LEFT(_xll.BDS(Ticker,"PG_GROSS_PROFIT","PG_HIERARCHY_LEVEL=1","NUMBER_OF_PERIODS=-11","REVERSE_PERIOD_ORDER=N","PRODUCT_GEO_OVERRIDE=P","FUND_PER",RIGHT($B$11,1),"ACCOUNTING_STANDARD_OVERRIDE",$H$7,"EQY_CONSOLIDATED",$H$9,"EQY_FUND_CRNCY",$L$7,"StartCol",E$12,"EndCol",E$12,"StartRow",$B49,"EndRow",$B49),1)="#","",_xll.BDS(Ticker,"PG_GROSS_PROFIT","PG_HIERARCHY_LEVEL=1","NUMBER_OF_PERIODS=-11","REVERSE_PERIOD_ORDER=N","PRODUCT_GEO_OVERRIDE=P","FUND_PER",RIGHT($B$11,1),"ACCOUNTING_STANDARD_OVERRIDE",$H$7,"EQY_CONSOLIDATED",$H$9,"EQY_FUND_CRNCY",$L$7,"StartCol",E$12,"EndCol",E$12,"StartRow",$B49,"EndRow",$B49))</f>
        <v/>
      </c>
      <c r="F49" s="218" t="str">
        <f>IF(LEFT(_xll.BDS(Ticker,"PG_GROSS_PROFIT","PG_HIERARCHY_LEVEL=1","NUMBER_OF_PERIODS=-11","REVERSE_PERIOD_ORDER=N","PRODUCT_GEO_OVERRIDE=P","FUND_PER",RIGHT($B$11,1),"ACCOUNTING_STANDARD_OVERRIDE",$H$7,"EQY_CONSOLIDATED",$H$9,"EQY_FUND_CRNCY",$L$7,"StartCol",F$12,"EndCol",F$12,"StartRow",$B49,"EndRow",$B49),1)="#","",_xll.BDS(Ticker,"PG_GROSS_PROFIT","PG_HIERARCHY_LEVEL=1","NUMBER_OF_PERIODS=-11","REVERSE_PERIOD_ORDER=N","PRODUCT_GEO_OVERRIDE=P","FUND_PER",RIGHT($B$11,1),"ACCOUNTING_STANDARD_OVERRIDE",$H$7,"EQY_CONSOLIDATED",$H$9,"EQY_FUND_CRNCY",$L$7,"StartCol",F$12,"EndCol",F$12,"StartRow",$B49,"EndRow",$B49))</f>
        <v/>
      </c>
      <c r="G49" s="218" t="str">
        <f>IF(LEFT(_xll.BDS(Ticker,"PG_GROSS_PROFIT","PG_HIERARCHY_LEVEL=1","NUMBER_OF_PERIODS=-11","REVERSE_PERIOD_ORDER=N","PRODUCT_GEO_OVERRIDE=P","FUND_PER",RIGHT($B$11,1),"ACCOUNTING_STANDARD_OVERRIDE",$H$7,"EQY_CONSOLIDATED",$H$9,"EQY_FUND_CRNCY",$L$7,"StartCol",G$12,"EndCol",G$12,"StartRow",$B49,"EndRow",$B49),1)="#","",_xll.BDS(Ticker,"PG_GROSS_PROFIT","PG_HIERARCHY_LEVEL=1","NUMBER_OF_PERIODS=-11","REVERSE_PERIOD_ORDER=N","PRODUCT_GEO_OVERRIDE=P","FUND_PER",RIGHT($B$11,1),"ACCOUNTING_STANDARD_OVERRIDE",$H$7,"EQY_CONSOLIDATED",$H$9,"EQY_FUND_CRNCY",$L$7,"StartCol",G$12,"EndCol",G$12,"StartRow",$B49,"EndRow",$B49))</f>
        <v/>
      </c>
      <c r="H49" s="218" t="str">
        <f>IF(LEFT(_xll.BDS(Ticker,"PG_GROSS_PROFIT","PG_HIERARCHY_LEVEL=1","NUMBER_OF_PERIODS=-11","REVERSE_PERIOD_ORDER=N","PRODUCT_GEO_OVERRIDE=P","FUND_PER",RIGHT($B$11,1),"ACCOUNTING_STANDARD_OVERRIDE",$H$7,"EQY_CONSOLIDATED",$H$9,"EQY_FUND_CRNCY",$L$7,"StartCol",H$12,"EndCol",H$12,"StartRow",$B49,"EndRow",$B49),1)="#","",_xll.BDS(Ticker,"PG_GROSS_PROFIT","PG_HIERARCHY_LEVEL=1","NUMBER_OF_PERIODS=-11","REVERSE_PERIOD_ORDER=N","PRODUCT_GEO_OVERRIDE=P","FUND_PER",RIGHT($B$11,1),"ACCOUNTING_STANDARD_OVERRIDE",$H$7,"EQY_CONSOLIDATED",$H$9,"EQY_FUND_CRNCY",$L$7,"StartCol",H$12,"EndCol",H$12,"StartRow",$B49,"EndRow",$B49))</f>
        <v/>
      </c>
      <c r="I49" s="218" t="str">
        <f>IF(LEFT(_xll.BDS(Ticker,"PG_GROSS_PROFIT","PG_HIERARCHY_LEVEL=1","NUMBER_OF_PERIODS=-11","REVERSE_PERIOD_ORDER=N","PRODUCT_GEO_OVERRIDE=P","FUND_PER",RIGHT($B$11,1),"ACCOUNTING_STANDARD_OVERRIDE",$H$7,"EQY_CONSOLIDATED",$H$9,"EQY_FUND_CRNCY",$L$7,"StartCol",I$12,"EndCol",I$12,"StartRow",$B49,"EndRow",$B49),1)="#","",_xll.BDS(Ticker,"PG_GROSS_PROFIT","PG_HIERARCHY_LEVEL=1","NUMBER_OF_PERIODS=-11","REVERSE_PERIOD_ORDER=N","PRODUCT_GEO_OVERRIDE=P","FUND_PER",RIGHT($B$11,1),"ACCOUNTING_STANDARD_OVERRIDE",$H$7,"EQY_CONSOLIDATED",$H$9,"EQY_FUND_CRNCY",$L$7,"StartCol",I$12,"EndCol",I$12,"StartRow",$B49,"EndRow",$B49))</f>
        <v/>
      </c>
      <c r="J49" s="218" t="str">
        <f>IF(LEFT(_xll.BDS(Ticker,"PG_GROSS_PROFIT","PG_HIERARCHY_LEVEL=1","NUMBER_OF_PERIODS=-11","REVERSE_PERIOD_ORDER=N","PRODUCT_GEO_OVERRIDE=P","FUND_PER",RIGHT($B$11,1),"ACCOUNTING_STANDARD_OVERRIDE",$H$7,"EQY_CONSOLIDATED",$H$9,"EQY_FUND_CRNCY",$L$7,"StartCol",J$12,"EndCol",J$12,"StartRow",$B49,"EndRow",$B49),1)="#","",_xll.BDS(Ticker,"PG_GROSS_PROFIT","PG_HIERARCHY_LEVEL=1","NUMBER_OF_PERIODS=-11","REVERSE_PERIOD_ORDER=N","PRODUCT_GEO_OVERRIDE=P","FUND_PER",RIGHT($B$11,1),"ACCOUNTING_STANDARD_OVERRIDE",$H$7,"EQY_CONSOLIDATED",$H$9,"EQY_FUND_CRNCY",$L$7,"StartCol",J$12,"EndCol",J$12,"StartRow",$B49,"EndRow",$B49))</f>
        <v/>
      </c>
      <c r="K49" s="218" t="str">
        <f>IF(LEFT(_xll.BDS(Ticker,"PG_GROSS_PROFIT","PG_HIERARCHY_LEVEL=1","NUMBER_OF_PERIODS=-11","REVERSE_PERIOD_ORDER=N","PRODUCT_GEO_OVERRIDE=P","FUND_PER",RIGHT($B$11,1),"ACCOUNTING_STANDARD_OVERRIDE",$H$7,"EQY_CONSOLIDATED",$H$9,"EQY_FUND_CRNCY",$L$7,"StartCol",K$12,"EndCol",K$12,"StartRow",$B49,"EndRow",$B49),1)="#","",_xll.BDS(Ticker,"PG_GROSS_PROFIT","PG_HIERARCHY_LEVEL=1","NUMBER_OF_PERIODS=-11","REVERSE_PERIOD_ORDER=N","PRODUCT_GEO_OVERRIDE=P","FUND_PER",RIGHT($B$11,1),"ACCOUNTING_STANDARD_OVERRIDE",$H$7,"EQY_CONSOLIDATED",$H$9,"EQY_FUND_CRNCY",$L$7,"StartCol",K$12,"EndCol",K$12,"StartRow",$B49,"EndRow",$B49))</f>
        <v/>
      </c>
      <c r="L49" s="218" t="str">
        <f>IF(LEFT(_xll.BDS(Ticker,"PG_GROSS_PROFIT","PG_HIERARCHY_LEVEL=1","NUMBER_OF_PERIODS=-11","REVERSE_PERIOD_ORDER=N","PRODUCT_GEO_OVERRIDE=P","FUND_PER",RIGHT($B$11,1),"ACCOUNTING_STANDARD_OVERRIDE",$H$7,"EQY_CONSOLIDATED",$H$9,"EQY_FUND_CRNCY",$L$7,"StartCol",L$12,"EndCol",L$12,"StartRow",$B49,"EndRow",$B49),1)="#","",_xll.BDS(Ticker,"PG_GROSS_PROFIT","PG_HIERARCHY_LEVEL=1","NUMBER_OF_PERIODS=-11","REVERSE_PERIOD_ORDER=N","PRODUCT_GEO_OVERRIDE=P","FUND_PER",RIGHT($B$11,1),"ACCOUNTING_STANDARD_OVERRIDE",$H$7,"EQY_CONSOLIDATED",$H$9,"EQY_FUND_CRNCY",$L$7,"StartCol",L$12,"EndCol",L$12,"StartRow",$B49,"EndRow",$B49))</f>
        <v/>
      </c>
      <c r="M49" s="218" t="str">
        <f>IF(LEFT(_xll.BDS(Ticker,"PG_GROSS_PROFIT","PG_HIERARCHY_LEVEL=1","NUMBER_OF_PERIODS=-11","REVERSE_PERIOD_ORDER=N","PRODUCT_GEO_OVERRIDE=P","FUND_PER",RIGHT($B$11,1),"ACCOUNTING_STANDARD_OVERRIDE",$H$7,"EQY_CONSOLIDATED",$H$9,"EQY_FUND_CRNCY",$L$7,"StartCol",M$12,"EndCol",M$12,"StartRow",$B49,"EndRow",$B49),1)="#","",_xll.BDS(Ticker,"PG_GROSS_PROFIT","PG_HIERARCHY_LEVEL=1","NUMBER_OF_PERIODS=-11","REVERSE_PERIOD_ORDER=N","PRODUCT_GEO_OVERRIDE=P","FUND_PER",RIGHT($B$11,1),"ACCOUNTING_STANDARD_OVERRIDE",$H$7,"EQY_CONSOLIDATED",$H$9,"EQY_FUND_CRNCY",$L$7,"StartCol",M$12,"EndCol",M$12,"StartRow",$B49,"EndRow",$B49))</f>
        <v/>
      </c>
      <c r="N49" s="218" t="str">
        <f>IF(LEFT(_xll.BDS(Ticker,"PG_GROSS_PROFIT","PG_HIERARCHY_LEVEL=1","NUMBER_OF_PERIODS=-11","REVERSE_PERIOD_ORDER=N","PRODUCT_GEO_OVERRIDE=P","FUND_PER",RIGHT($B$11,1),"ACCOUNTING_STANDARD_OVERRIDE",$H$7,"EQY_CONSOLIDATED",$H$9,"EQY_FUND_CRNCY",$L$7,"StartCol",N$12,"EndCol",N$12,"StartRow",$B49,"EndRow",$B49),1)="#","",_xll.BDS(Ticker,"PG_GROSS_PROFIT","PG_HIERARCHY_LEVEL=1","NUMBER_OF_PERIODS=-11","REVERSE_PERIOD_ORDER=N","PRODUCT_GEO_OVERRIDE=P","FUND_PER",RIGHT($B$11,1),"ACCOUNTING_STANDARD_OVERRIDE",$H$7,"EQY_CONSOLIDATED",$H$9,"EQY_FUND_CRNCY",$L$7,"StartCol",N$12,"EndCol",N$12,"StartRow",$B49,"EndRow",$B49))</f>
        <v/>
      </c>
    </row>
    <row r="50" spans="2:14" hidden="1" outlineLevel="1">
      <c r="B50" s="214">
        <v>5</v>
      </c>
      <c r="C50" s="216" t="str">
        <f>IF(LEFT(_xll.BDS(Ticker,"PG_GROSS_PROFIT","PG_HIERARCHY_LEVEL=1","NUMBER_OF_PERIODS=-11","REVERSE_PERIOD_ORDER=N","PRODUCT_GEO_OVERRIDE=P","FUND_PER",RIGHT($B$11,1),"ACCOUNTING_STANDARD_OVERRIDE",$H$7,"EQY_CONSOLIDATED",$H$9,"EQY_FUND_CRNCY",$L$7,"StartCol",C$12,"EndCol",C$12,"StartRow",$B50,"EndRow",$B50),1)="#","",_xll.BDS(Ticker,"PG_GROSS_PROFIT","PG_HIERARCHY_LEVEL=1","NUMBER_OF_PERIODS=-11","REVERSE_PERIOD_ORDER=N","PRODUCT_GEO_OVERRIDE=P","FUND_PER",RIGHT($B$11,1),"ACCOUNTING_STANDARD_OVERRIDE",$H$7,"EQY_CONSOLIDATED",$H$9,"EQY_FUND_CRNCY",$L$7,"StartCol",C$12,"EndCol",C$12,"StartRow",$B50,"EndRow",$B50))</f>
        <v/>
      </c>
      <c r="D50" s="218" t="str">
        <f>IF(LEFT(_xll.BDS(Ticker,"PG_GROSS_PROFIT","PG_HIERARCHY_LEVEL=1","NUMBER_OF_PERIODS=-11","REVERSE_PERIOD_ORDER=N","PRODUCT_GEO_OVERRIDE=P","FUND_PER",RIGHT($B$11,1),"ACCOUNTING_STANDARD_OVERRIDE",$H$7,"EQY_CONSOLIDATED",$H$9,"EQY_FUND_CRNCY",$L$7,"StartCol",D$12,"EndCol",D$12,"StartRow",$B50,"EndRow",$B50),1)="#","",_xll.BDS(Ticker,"PG_GROSS_PROFIT","PG_HIERARCHY_LEVEL=1","NUMBER_OF_PERIODS=-11","REVERSE_PERIOD_ORDER=N","PRODUCT_GEO_OVERRIDE=P","FUND_PER",RIGHT($B$11,1),"ACCOUNTING_STANDARD_OVERRIDE",$H$7,"EQY_CONSOLIDATED",$H$9,"EQY_FUND_CRNCY",$L$7,"StartCol",D$12,"EndCol",D$12,"StartRow",$B50,"EndRow",$B50))</f>
        <v/>
      </c>
      <c r="E50" s="218" t="str">
        <f>IF(LEFT(_xll.BDS(Ticker,"PG_GROSS_PROFIT","PG_HIERARCHY_LEVEL=1","NUMBER_OF_PERIODS=-11","REVERSE_PERIOD_ORDER=N","PRODUCT_GEO_OVERRIDE=P","FUND_PER",RIGHT($B$11,1),"ACCOUNTING_STANDARD_OVERRIDE",$H$7,"EQY_CONSOLIDATED",$H$9,"EQY_FUND_CRNCY",$L$7,"StartCol",E$12,"EndCol",E$12,"StartRow",$B50,"EndRow",$B50),1)="#","",_xll.BDS(Ticker,"PG_GROSS_PROFIT","PG_HIERARCHY_LEVEL=1","NUMBER_OF_PERIODS=-11","REVERSE_PERIOD_ORDER=N","PRODUCT_GEO_OVERRIDE=P","FUND_PER",RIGHT($B$11,1),"ACCOUNTING_STANDARD_OVERRIDE",$H$7,"EQY_CONSOLIDATED",$H$9,"EQY_FUND_CRNCY",$L$7,"StartCol",E$12,"EndCol",E$12,"StartRow",$B50,"EndRow",$B50))</f>
        <v/>
      </c>
      <c r="F50" s="218" t="str">
        <f>IF(LEFT(_xll.BDS(Ticker,"PG_GROSS_PROFIT","PG_HIERARCHY_LEVEL=1","NUMBER_OF_PERIODS=-11","REVERSE_PERIOD_ORDER=N","PRODUCT_GEO_OVERRIDE=P","FUND_PER",RIGHT($B$11,1),"ACCOUNTING_STANDARD_OVERRIDE",$H$7,"EQY_CONSOLIDATED",$H$9,"EQY_FUND_CRNCY",$L$7,"StartCol",F$12,"EndCol",F$12,"StartRow",$B50,"EndRow",$B50),1)="#","",_xll.BDS(Ticker,"PG_GROSS_PROFIT","PG_HIERARCHY_LEVEL=1","NUMBER_OF_PERIODS=-11","REVERSE_PERIOD_ORDER=N","PRODUCT_GEO_OVERRIDE=P","FUND_PER",RIGHT($B$11,1),"ACCOUNTING_STANDARD_OVERRIDE",$H$7,"EQY_CONSOLIDATED",$H$9,"EQY_FUND_CRNCY",$L$7,"StartCol",F$12,"EndCol",F$12,"StartRow",$B50,"EndRow",$B50))</f>
        <v/>
      </c>
      <c r="G50" s="218" t="str">
        <f>IF(LEFT(_xll.BDS(Ticker,"PG_GROSS_PROFIT","PG_HIERARCHY_LEVEL=1","NUMBER_OF_PERIODS=-11","REVERSE_PERIOD_ORDER=N","PRODUCT_GEO_OVERRIDE=P","FUND_PER",RIGHT($B$11,1),"ACCOUNTING_STANDARD_OVERRIDE",$H$7,"EQY_CONSOLIDATED",$H$9,"EQY_FUND_CRNCY",$L$7,"StartCol",G$12,"EndCol",G$12,"StartRow",$B50,"EndRow",$B50),1)="#","",_xll.BDS(Ticker,"PG_GROSS_PROFIT","PG_HIERARCHY_LEVEL=1","NUMBER_OF_PERIODS=-11","REVERSE_PERIOD_ORDER=N","PRODUCT_GEO_OVERRIDE=P","FUND_PER",RIGHT($B$11,1),"ACCOUNTING_STANDARD_OVERRIDE",$H$7,"EQY_CONSOLIDATED",$H$9,"EQY_FUND_CRNCY",$L$7,"StartCol",G$12,"EndCol",G$12,"StartRow",$B50,"EndRow",$B50))</f>
        <v/>
      </c>
      <c r="H50" s="218" t="str">
        <f>IF(LEFT(_xll.BDS(Ticker,"PG_GROSS_PROFIT","PG_HIERARCHY_LEVEL=1","NUMBER_OF_PERIODS=-11","REVERSE_PERIOD_ORDER=N","PRODUCT_GEO_OVERRIDE=P","FUND_PER",RIGHT($B$11,1),"ACCOUNTING_STANDARD_OVERRIDE",$H$7,"EQY_CONSOLIDATED",$H$9,"EQY_FUND_CRNCY",$L$7,"StartCol",H$12,"EndCol",H$12,"StartRow",$B50,"EndRow",$B50),1)="#","",_xll.BDS(Ticker,"PG_GROSS_PROFIT","PG_HIERARCHY_LEVEL=1","NUMBER_OF_PERIODS=-11","REVERSE_PERIOD_ORDER=N","PRODUCT_GEO_OVERRIDE=P","FUND_PER",RIGHT($B$11,1),"ACCOUNTING_STANDARD_OVERRIDE",$H$7,"EQY_CONSOLIDATED",$H$9,"EQY_FUND_CRNCY",$L$7,"StartCol",H$12,"EndCol",H$12,"StartRow",$B50,"EndRow",$B50))</f>
        <v/>
      </c>
      <c r="I50" s="218" t="str">
        <f>IF(LEFT(_xll.BDS(Ticker,"PG_GROSS_PROFIT","PG_HIERARCHY_LEVEL=1","NUMBER_OF_PERIODS=-11","REVERSE_PERIOD_ORDER=N","PRODUCT_GEO_OVERRIDE=P","FUND_PER",RIGHT($B$11,1),"ACCOUNTING_STANDARD_OVERRIDE",$H$7,"EQY_CONSOLIDATED",$H$9,"EQY_FUND_CRNCY",$L$7,"StartCol",I$12,"EndCol",I$12,"StartRow",$B50,"EndRow",$B50),1)="#","",_xll.BDS(Ticker,"PG_GROSS_PROFIT","PG_HIERARCHY_LEVEL=1","NUMBER_OF_PERIODS=-11","REVERSE_PERIOD_ORDER=N","PRODUCT_GEO_OVERRIDE=P","FUND_PER",RIGHT($B$11,1),"ACCOUNTING_STANDARD_OVERRIDE",$H$7,"EQY_CONSOLIDATED",$H$9,"EQY_FUND_CRNCY",$L$7,"StartCol",I$12,"EndCol",I$12,"StartRow",$B50,"EndRow",$B50))</f>
        <v/>
      </c>
      <c r="J50" s="218" t="str">
        <f>IF(LEFT(_xll.BDS(Ticker,"PG_GROSS_PROFIT","PG_HIERARCHY_LEVEL=1","NUMBER_OF_PERIODS=-11","REVERSE_PERIOD_ORDER=N","PRODUCT_GEO_OVERRIDE=P","FUND_PER",RIGHT($B$11,1),"ACCOUNTING_STANDARD_OVERRIDE",$H$7,"EQY_CONSOLIDATED",$H$9,"EQY_FUND_CRNCY",$L$7,"StartCol",J$12,"EndCol",J$12,"StartRow",$B50,"EndRow",$B50),1)="#","",_xll.BDS(Ticker,"PG_GROSS_PROFIT","PG_HIERARCHY_LEVEL=1","NUMBER_OF_PERIODS=-11","REVERSE_PERIOD_ORDER=N","PRODUCT_GEO_OVERRIDE=P","FUND_PER",RIGHT($B$11,1),"ACCOUNTING_STANDARD_OVERRIDE",$H$7,"EQY_CONSOLIDATED",$H$9,"EQY_FUND_CRNCY",$L$7,"StartCol",J$12,"EndCol",J$12,"StartRow",$B50,"EndRow",$B50))</f>
        <v/>
      </c>
      <c r="K50" s="218" t="str">
        <f>IF(LEFT(_xll.BDS(Ticker,"PG_GROSS_PROFIT","PG_HIERARCHY_LEVEL=1","NUMBER_OF_PERIODS=-11","REVERSE_PERIOD_ORDER=N","PRODUCT_GEO_OVERRIDE=P","FUND_PER",RIGHT($B$11,1),"ACCOUNTING_STANDARD_OVERRIDE",$H$7,"EQY_CONSOLIDATED",$H$9,"EQY_FUND_CRNCY",$L$7,"StartCol",K$12,"EndCol",K$12,"StartRow",$B50,"EndRow",$B50),1)="#","",_xll.BDS(Ticker,"PG_GROSS_PROFIT","PG_HIERARCHY_LEVEL=1","NUMBER_OF_PERIODS=-11","REVERSE_PERIOD_ORDER=N","PRODUCT_GEO_OVERRIDE=P","FUND_PER",RIGHT($B$11,1),"ACCOUNTING_STANDARD_OVERRIDE",$H$7,"EQY_CONSOLIDATED",$H$9,"EQY_FUND_CRNCY",$L$7,"StartCol",K$12,"EndCol",K$12,"StartRow",$B50,"EndRow",$B50))</f>
        <v/>
      </c>
      <c r="L50" s="218" t="str">
        <f>IF(LEFT(_xll.BDS(Ticker,"PG_GROSS_PROFIT","PG_HIERARCHY_LEVEL=1","NUMBER_OF_PERIODS=-11","REVERSE_PERIOD_ORDER=N","PRODUCT_GEO_OVERRIDE=P","FUND_PER",RIGHT($B$11,1),"ACCOUNTING_STANDARD_OVERRIDE",$H$7,"EQY_CONSOLIDATED",$H$9,"EQY_FUND_CRNCY",$L$7,"StartCol",L$12,"EndCol",L$12,"StartRow",$B50,"EndRow",$B50),1)="#","",_xll.BDS(Ticker,"PG_GROSS_PROFIT","PG_HIERARCHY_LEVEL=1","NUMBER_OF_PERIODS=-11","REVERSE_PERIOD_ORDER=N","PRODUCT_GEO_OVERRIDE=P","FUND_PER",RIGHT($B$11,1),"ACCOUNTING_STANDARD_OVERRIDE",$H$7,"EQY_CONSOLIDATED",$H$9,"EQY_FUND_CRNCY",$L$7,"StartCol",L$12,"EndCol",L$12,"StartRow",$B50,"EndRow",$B50))</f>
        <v/>
      </c>
      <c r="M50" s="218" t="str">
        <f>IF(LEFT(_xll.BDS(Ticker,"PG_GROSS_PROFIT","PG_HIERARCHY_LEVEL=1","NUMBER_OF_PERIODS=-11","REVERSE_PERIOD_ORDER=N","PRODUCT_GEO_OVERRIDE=P","FUND_PER",RIGHT($B$11,1),"ACCOUNTING_STANDARD_OVERRIDE",$H$7,"EQY_CONSOLIDATED",$H$9,"EQY_FUND_CRNCY",$L$7,"StartCol",M$12,"EndCol",M$12,"StartRow",$B50,"EndRow",$B50),1)="#","",_xll.BDS(Ticker,"PG_GROSS_PROFIT","PG_HIERARCHY_LEVEL=1","NUMBER_OF_PERIODS=-11","REVERSE_PERIOD_ORDER=N","PRODUCT_GEO_OVERRIDE=P","FUND_PER",RIGHT($B$11,1),"ACCOUNTING_STANDARD_OVERRIDE",$H$7,"EQY_CONSOLIDATED",$H$9,"EQY_FUND_CRNCY",$L$7,"StartCol",M$12,"EndCol",M$12,"StartRow",$B50,"EndRow",$B50))</f>
        <v/>
      </c>
      <c r="N50" s="218" t="str">
        <f>IF(LEFT(_xll.BDS(Ticker,"PG_GROSS_PROFIT","PG_HIERARCHY_LEVEL=1","NUMBER_OF_PERIODS=-11","REVERSE_PERIOD_ORDER=N","PRODUCT_GEO_OVERRIDE=P","FUND_PER",RIGHT($B$11,1),"ACCOUNTING_STANDARD_OVERRIDE",$H$7,"EQY_CONSOLIDATED",$H$9,"EQY_FUND_CRNCY",$L$7,"StartCol",N$12,"EndCol",N$12,"StartRow",$B50,"EndRow",$B50),1)="#","",_xll.BDS(Ticker,"PG_GROSS_PROFIT","PG_HIERARCHY_LEVEL=1","NUMBER_OF_PERIODS=-11","REVERSE_PERIOD_ORDER=N","PRODUCT_GEO_OVERRIDE=P","FUND_PER",RIGHT($B$11,1),"ACCOUNTING_STANDARD_OVERRIDE",$H$7,"EQY_CONSOLIDATED",$H$9,"EQY_FUND_CRNCY",$L$7,"StartCol",N$12,"EndCol",N$12,"StartRow",$B50,"EndRow",$B50))</f>
        <v/>
      </c>
    </row>
    <row r="51" spans="2:14" hidden="1" outlineLevel="1">
      <c r="B51" s="214">
        <v>6</v>
      </c>
      <c r="C51" s="216" t="str">
        <f>IF(LEFT(_xll.BDS(Ticker,"PG_GROSS_PROFIT","PG_HIERARCHY_LEVEL=1","NUMBER_OF_PERIODS=-11","REVERSE_PERIOD_ORDER=N","PRODUCT_GEO_OVERRIDE=P","FUND_PER",RIGHT($B$11,1),"ACCOUNTING_STANDARD_OVERRIDE",$H$7,"EQY_CONSOLIDATED",$H$9,"EQY_FUND_CRNCY",$L$7,"StartCol",C$12,"EndCol",C$12,"StartRow",$B51,"EndRow",$B51),1)="#","",_xll.BDS(Ticker,"PG_GROSS_PROFIT","PG_HIERARCHY_LEVEL=1","NUMBER_OF_PERIODS=-11","REVERSE_PERIOD_ORDER=N","PRODUCT_GEO_OVERRIDE=P","FUND_PER",RIGHT($B$11,1),"ACCOUNTING_STANDARD_OVERRIDE",$H$7,"EQY_CONSOLIDATED",$H$9,"EQY_FUND_CRNCY",$L$7,"StartCol",C$12,"EndCol",C$12,"StartRow",$B51,"EndRow",$B51))</f>
        <v/>
      </c>
      <c r="D51" s="218" t="str">
        <f>IF(LEFT(_xll.BDS(Ticker,"PG_GROSS_PROFIT","PG_HIERARCHY_LEVEL=1","NUMBER_OF_PERIODS=-11","REVERSE_PERIOD_ORDER=N","PRODUCT_GEO_OVERRIDE=P","FUND_PER",RIGHT($B$11,1),"ACCOUNTING_STANDARD_OVERRIDE",$H$7,"EQY_CONSOLIDATED",$H$9,"EQY_FUND_CRNCY",$L$7,"StartCol",D$12,"EndCol",D$12,"StartRow",$B51,"EndRow",$B51),1)="#","",_xll.BDS(Ticker,"PG_GROSS_PROFIT","PG_HIERARCHY_LEVEL=1","NUMBER_OF_PERIODS=-11","REVERSE_PERIOD_ORDER=N","PRODUCT_GEO_OVERRIDE=P","FUND_PER",RIGHT($B$11,1),"ACCOUNTING_STANDARD_OVERRIDE",$H$7,"EQY_CONSOLIDATED",$H$9,"EQY_FUND_CRNCY",$L$7,"StartCol",D$12,"EndCol",D$12,"StartRow",$B51,"EndRow",$B51))</f>
        <v/>
      </c>
      <c r="E51" s="218" t="str">
        <f>IF(LEFT(_xll.BDS(Ticker,"PG_GROSS_PROFIT","PG_HIERARCHY_LEVEL=1","NUMBER_OF_PERIODS=-11","REVERSE_PERIOD_ORDER=N","PRODUCT_GEO_OVERRIDE=P","FUND_PER",RIGHT($B$11,1),"ACCOUNTING_STANDARD_OVERRIDE",$H$7,"EQY_CONSOLIDATED",$H$9,"EQY_FUND_CRNCY",$L$7,"StartCol",E$12,"EndCol",E$12,"StartRow",$B51,"EndRow",$B51),1)="#","",_xll.BDS(Ticker,"PG_GROSS_PROFIT","PG_HIERARCHY_LEVEL=1","NUMBER_OF_PERIODS=-11","REVERSE_PERIOD_ORDER=N","PRODUCT_GEO_OVERRIDE=P","FUND_PER",RIGHT($B$11,1),"ACCOUNTING_STANDARD_OVERRIDE",$H$7,"EQY_CONSOLIDATED",$H$9,"EQY_FUND_CRNCY",$L$7,"StartCol",E$12,"EndCol",E$12,"StartRow",$B51,"EndRow",$B51))</f>
        <v/>
      </c>
      <c r="F51" s="218" t="str">
        <f>IF(LEFT(_xll.BDS(Ticker,"PG_GROSS_PROFIT","PG_HIERARCHY_LEVEL=1","NUMBER_OF_PERIODS=-11","REVERSE_PERIOD_ORDER=N","PRODUCT_GEO_OVERRIDE=P","FUND_PER",RIGHT($B$11,1),"ACCOUNTING_STANDARD_OVERRIDE",$H$7,"EQY_CONSOLIDATED",$H$9,"EQY_FUND_CRNCY",$L$7,"StartCol",F$12,"EndCol",F$12,"StartRow",$B51,"EndRow",$B51),1)="#","",_xll.BDS(Ticker,"PG_GROSS_PROFIT","PG_HIERARCHY_LEVEL=1","NUMBER_OF_PERIODS=-11","REVERSE_PERIOD_ORDER=N","PRODUCT_GEO_OVERRIDE=P","FUND_PER",RIGHT($B$11,1),"ACCOUNTING_STANDARD_OVERRIDE",$H$7,"EQY_CONSOLIDATED",$H$9,"EQY_FUND_CRNCY",$L$7,"StartCol",F$12,"EndCol",F$12,"StartRow",$B51,"EndRow",$B51))</f>
        <v/>
      </c>
      <c r="G51" s="218" t="str">
        <f>IF(LEFT(_xll.BDS(Ticker,"PG_GROSS_PROFIT","PG_HIERARCHY_LEVEL=1","NUMBER_OF_PERIODS=-11","REVERSE_PERIOD_ORDER=N","PRODUCT_GEO_OVERRIDE=P","FUND_PER",RIGHT($B$11,1),"ACCOUNTING_STANDARD_OVERRIDE",$H$7,"EQY_CONSOLIDATED",$H$9,"EQY_FUND_CRNCY",$L$7,"StartCol",G$12,"EndCol",G$12,"StartRow",$B51,"EndRow",$B51),1)="#","",_xll.BDS(Ticker,"PG_GROSS_PROFIT","PG_HIERARCHY_LEVEL=1","NUMBER_OF_PERIODS=-11","REVERSE_PERIOD_ORDER=N","PRODUCT_GEO_OVERRIDE=P","FUND_PER",RIGHT($B$11,1),"ACCOUNTING_STANDARD_OVERRIDE",$H$7,"EQY_CONSOLIDATED",$H$9,"EQY_FUND_CRNCY",$L$7,"StartCol",G$12,"EndCol",G$12,"StartRow",$B51,"EndRow",$B51))</f>
        <v/>
      </c>
      <c r="H51" s="218" t="str">
        <f>IF(LEFT(_xll.BDS(Ticker,"PG_GROSS_PROFIT","PG_HIERARCHY_LEVEL=1","NUMBER_OF_PERIODS=-11","REVERSE_PERIOD_ORDER=N","PRODUCT_GEO_OVERRIDE=P","FUND_PER",RIGHT($B$11,1),"ACCOUNTING_STANDARD_OVERRIDE",$H$7,"EQY_CONSOLIDATED",$H$9,"EQY_FUND_CRNCY",$L$7,"StartCol",H$12,"EndCol",H$12,"StartRow",$B51,"EndRow",$B51),1)="#","",_xll.BDS(Ticker,"PG_GROSS_PROFIT","PG_HIERARCHY_LEVEL=1","NUMBER_OF_PERIODS=-11","REVERSE_PERIOD_ORDER=N","PRODUCT_GEO_OVERRIDE=P","FUND_PER",RIGHT($B$11,1),"ACCOUNTING_STANDARD_OVERRIDE",$H$7,"EQY_CONSOLIDATED",$H$9,"EQY_FUND_CRNCY",$L$7,"StartCol",H$12,"EndCol",H$12,"StartRow",$B51,"EndRow",$B51))</f>
        <v/>
      </c>
      <c r="I51" s="218" t="str">
        <f>IF(LEFT(_xll.BDS(Ticker,"PG_GROSS_PROFIT","PG_HIERARCHY_LEVEL=1","NUMBER_OF_PERIODS=-11","REVERSE_PERIOD_ORDER=N","PRODUCT_GEO_OVERRIDE=P","FUND_PER",RIGHT($B$11,1),"ACCOUNTING_STANDARD_OVERRIDE",$H$7,"EQY_CONSOLIDATED",$H$9,"EQY_FUND_CRNCY",$L$7,"StartCol",I$12,"EndCol",I$12,"StartRow",$B51,"EndRow",$B51),1)="#","",_xll.BDS(Ticker,"PG_GROSS_PROFIT","PG_HIERARCHY_LEVEL=1","NUMBER_OF_PERIODS=-11","REVERSE_PERIOD_ORDER=N","PRODUCT_GEO_OVERRIDE=P","FUND_PER",RIGHT($B$11,1),"ACCOUNTING_STANDARD_OVERRIDE",$H$7,"EQY_CONSOLIDATED",$H$9,"EQY_FUND_CRNCY",$L$7,"StartCol",I$12,"EndCol",I$12,"StartRow",$B51,"EndRow",$B51))</f>
        <v/>
      </c>
      <c r="J51" s="218" t="str">
        <f>IF(LEFT(_xll.BDS(Ticker,"PG_GROSS_PROFIT","PG_HIERARCHY_LEVEL=1","NUMBER_OF_PERIODS=-11","REVERSE_PERIOD_ORDER=N","PRODUCT_GEO_OVERRIDE=P","FUND_PER",RIGHT($B$11,1),"ACCOUNTING_STANDARD_OVERRIDE",$H$7,"EQY_CONSOLIDATED",$H$9,"EQY_FUND_CRNCY",$L$7,"StartCol",J$12,"EndCol",J$12,"StartRow",$B51,"EndRow",$B51),1)="#","",_xll.BDS(Ticker,"PG_GROSS_PROFIT","PG_HIERARCHY_LEVEL=1","NUMBER_OF_PERIODS=-11","REVERSE_PERIOD_ORDER=N","PRODUCT_GEO_OVERRIDE=P","FUND_PER",RIGHT($B$11,1),"ACCOUNTING_STANDARD_OVERRIDE",$H$7,"EQY_CONSOLIDATED",$H$9,"EQY_FUND_CRNCY",$L$7,"StartCol",J$12,"EndCol",J$12,"StartRow",$B51,"EndRow",$B51))</f>
        <v/>
      </c>
      <c r="K51" s="218" t="str">
        <f>IF(LEFT(_xll.BDS(Ticker,"PG_GROSS_PROFIT","PG_HIERARCHY_LEVEL=1","NUMBER_OF_PERIODS=-11","REVERSE_PERIOD_ORDER=N","PRODUCT_GEO_OVERRIDE=P","FUND_PER",RIGHT($B$11,1),"ACCOUNTING_STANDARD_OVERRIDE",$H$7,"EQY_CONSOLIDATED",$H$9,"EQY_FUND_CRNCY",$L$7,"StartCol",K$12,"EndCol",K$12,"StartRow",$B51,"EndRow",$B51),1)="#","",_xll.BDS(Ticker,"PG_GROSS_PROFIT","PG_HIERARCHY_LEVEL=1","NUMBER_OF_PERIODS=-11","REVERSE_PERIOD_ORDER=N","PRODUCT_GEO_OVERRIDE=P","FUND_PER",RIGHT($B$11,1),"ACCOUNTING_STANDARD_OVERRIDE",$H$7,"EQY_CONSOLIDATED",$H$9,"EQY_FUND_CRNCY",$L$7,"StartCol",K$12,"EndCol",K$12,"StartRow",$B51,"EndRow",$B51))</f>
        <v/>
      </c>
      <c r="L51" s="218" t="str">
        <f>IF(LEFT(_xll.BDS(Ticker,"PG_GROSS_PROFIT","PG_HIERARCHY_LEVEL=1","NUMBER_OF_PERIODS=-11","REVERSE_PERIOD_ORDER=N","PRODUCT_GEO_OVERRIDE=P","FUND_PER",RIGHT($B$11,1),"ACCOUNTING_STANDARD_OVERRIDE",$H$7,"EQY_CONSOLIDATED",$H$9,"EQY_FUND_CRNCY",$L$7,"StartCol",L$12,"EndCol",L$12,"StartRow",$B51,"EndRow",$B51),1)="#","",_xll.BDS(Ticker,"PG_GROSS_PROFIT","PG_HIERARCHY_LEVEL=1","NUMBER_OF_PERIODS=-11","REVERSE_PERIOD_ORDER=N","PRODUCT_GEO_OVERRIDE=P","FUND_PER",RIGHT($B$11,1),"ACCOUNTING_STANDARD_OVERRIDE",$H$7,"EQY_CONSOLIDATED",$H$9,"EQY_FUND_CRNCY",$L$7,"StartCol",L$12,"EndCol",L$12,"StartRow",$B51,"EndRow",$B51))</f>
        <v/>
      </c>
      <c r="M51" s="218" t="str">
        <f>IF(LEFT(_xll.BDS(Ticker,"PG_GROSS_PROFIT","PG_HIERARCHY_LEVEL=1","NUMBER_OF_PERIODS=-11","REVERSE_PERIOD_ORDER=N","PRODUCT_GEO_OVERRIDE=P","FUND_PER",RIGHT($B$11,1),"ACCOUNTING_STANDARD_OVERRIDE",$H$7,"EQY_CONSOLIDATED",$H$9,"EQY_FUND_CRNCY",$L$7,"StartCol",M$12,"EndCol",M$12,"StartRow",$B51,"EndRow",$B51),1)="#","",_xll.BDS(Ticker,"PG_GROSS_PROFIT","PG_HIERARCHY_LEVEL=1","NUMBER_OF_PERIODS=-11","REVERSE_PERIOD_ORDER=N","PRODUCT_GEO_OVERRIDE=P","FUND_PER",RIGHT($B$11,1),"ACCOUNTING_STANDARD_OVERRIDE",$H$7,"EQY_CONSOLIDATED",$H$9,"EQY_FUND_CRNCY",$L$7,"StartCol",M$12,"EndCol",M$12,"StartRow",$B51,"EndRow",$B51))</f>
        <v/>
      </c>
      <c r="N51" s="218" t="str">
        <f>IF(LEFT(_xll.BDS(Ticker,"PG_GROSS_PROFIT","PG_HIERARCHY_LEVEL=1","NUMBER_OF_PERIODS=-11","REVERSE_PERIOD_ORDER=N","PRODUCT_GEO_OVERRIDE=P","FUND_PER",RIGHT($B$11,1),"ACCOUNTING_STANDARD_OVERRIDE",$H$7,"EQY_CONSOLIDATED",$H$9,"EQY_FUND_CRNCY",$L$7,"StartCol",N$12,"EndCol",N$12,"StartRow",$B51,"EndRow",$B51),1)="#","",_xll.BDS(Ticker,"PG_GROSS_PROFIT","PG_HIERARCHY_LEVEL=1","NUMBER_OF_PERIODS=-11","REVERSE_PERIOD_ORDER=N","PRODUCT_GEO_OVERRIDE=P","FUND_PER",RIGHT($B$11,1),"ACCOUNTING_STANDARD_OVERRIDE",$H$7,"EQY_CONSOLIDATED",$H$9,"EQY_FUND_CRNCY",$L$7,"StartCol",N$12,"EndCol",N$12,"StartRow",$B51,"EndRow",$B51))</f>
        <v/>
      </c>
    </row>
    <row r="52" spans="2:14" hidden="1" outlineLevel="1">
      <c r="B52" s="214">
        <v>7</v>
      </c>
      <c r="C52" s="216" t="str">
        <f>IF(LEFT(_xll.BDS(Ticker,"PG_GROSS_PROFIT","PG_HIERARCHY_LEVEL=1","NUMBER_OF_PERIODS=-11","REVERSE_PERIOD_ORDER=N","PRODUCT_GEO_OVERRIDE=P","FUND_PER",RIGHT($B$11,1),"ACCOUNTING_STANDARD_OVERRIDE",$H$7,"EQY_CONSOLIDATED",$H$9,"EQY_FUND_CRNCY",$L$7,"StartCol",C$12,"EndCol",C$12,"StartRow",$B52,"EndRow",$B52),1)="#","",_xll.BDS(Ticker,"PG_GROSS_PROFIT","PG_HIERARCHY_LEVEL=1","NUMBER_OF_PERIODS=-11","REVERSE_PERIOD_ORDER=N","PRODUCT_GEO_OVERRIDE=P","FUND_PER",RIGHT($B$11,1),"ACCOUNTING_STANDARD_OVERRIDE",$H$7,"EQY_CONSOLIDATED",$H$9,"EQY_FUND_CRNCY",$L$7,"StartCol",C$12,"EndCol",C$12,"StartRow",$B52,"EndRow",$B52))</f>
        <v/>
      </c>
      <c r="D52" s="218" t="str">
        <f>IF(LEFT(_xll.BDS(Ticker,"PG_GROSS_PROFIT","PG_HIERARCHY_LEVEL=1","NUMBER_OF_PERIODS=-11","REVERSE_PERIOD_ORDER=N","PRODUCT_GEO_OVERRIDE=P","FUND_PER",RIGHT($B$11,1),"ACCOUNTING_STANDARD_OVERRIDE",$H$7,"EQY_CONSOLIDATED",$H$9,"EQY_FUND_CRNCY",$L$7,"StartCol",D$12,"EndCol",D$12,"StartRow",$B52,"EndRow",$B52),1)="#","",_xll.BDS(Ticker,"PG_GROSS_PROFIT","PG_HIERARCHY_LEVEL=1","NUMBER_OF_PERIODS=-11","REVERSE_PERIOD_ORDER=N","PRODUCT_GEO_OVERRIDE=P","FUND_PER",RIGHT($B$11,1),"ACCOUNTING_STANDARD_OVERRIDE",$H$7,"EQY_CONSOLIDATED",$H$9,"EQY_FUND_CRNCY",$L$7,"StartCol",D$12,"EndCol",D$12,"StartRow",$B52,"EndRow",$B52))</f>
        <v/>
      </c>
      <c r="E52" s="218" t="str">
        <f>IF(LEFT(_xll.BDS(Ticker,"PG_GROSS_PROFIT","PG_HIERARCHY_LEVEL=1","NUMBER_OF_PERIODS=-11","REVERSE_PERIOD_ORDER=N","PRODUCT_GEO_OVERRIDE=P","FUND_PER",RIGHT($B$11,1),"ACCOUNTING_STANDARD_OVERRIDE",$H$7,"EQY_CONSOLIDATED",$H$9,"EQY_FUND_CRNCY",$L$7,"StartCol",E$12,"EndCol",E$12,"StartRow",$B52,"EndRow",$B52),1)="#","",_xll.BDS(Ticker,"PG_GROSS_PROFIT","PG_HIERARCHY_LEVEL=1","NUMBER_OF_PERIODS=-11","REVERSE_PERIOD_ORDER=N","PRODUCT_GEO_OVERRIDE=P","FUND_PER",RIGHT($B$11,1),"ACCOUNTING_STANDARD_OVERRIDE",$H$7,"EQY_CONSOLIDATED",$H$9,"EQY_FUND_CRNCY",$L$7,"StartCol",E$12,"EndCol",E$12,"StartRow",$B52,"EndRow",$B52))</f>
        <v/>
      </c>
      <c r="F52" s="218" t="str">
        <f>IF(LEFT(_xll.BDS(Ticker,"PG_GROSS_PROFIT","PG_HIERARCHY_LEVEL=1","NUMBER_OF_PERIODS=-11","REVERSE_PERIOD_ORDER=N","PRODUCT_GEO_OVERRIDE=P","FUND_PER",RIGHT($B$11,1),"ACCOUNTING_STANDARD_OVERRIDE",$H$7,"EQY_CONSOLIDATED",$H$9,"EQY_FUND_CRNCY",$L$7,"StartCol",F$12,"EndCol",F$12,"StartRow",$B52,"EndRow",$B52),1)="#","",_xll.BDS(Ticker,"PG_GROSS_PROFIT","PG_HIERARCHY_LEVEL=1","NUMBER_OF_PERIODS=-11","REVERSE_PERIOD_ORDER=N","PRODUCT_GEO_OVERRIDE=P","FUND_PER",RIGHT($B$11,1),"ACCOUNTING_STANDARD_OVERRIDE",$H$7,"EQY_CONSOLIDATED",$H$9,"EQY_FUND_CRNCY",$L$7,"StartCol",F$12,"EndCol",F$12,"StartRow",$B52,"EndRow",$B52))</f>
        <v/>
      </c>
      <c r="G52" s="218" t="str">
        <f>IF(LEFT(_xll.BDS(Ticker,"PG_GROSS_PROFIT","PG_HIERARCHY_LEVEL=1","NUMBER_OF_PERIODS=-11","REVERSE_PERIOD_ORDER=N","PRODUCT_GEO_OVERRIDE=P","FUND_PER",RIGHT($B$11,1),"ACCOUNTING_STANDARD_OVERRIDE",$H$7,"EQY_CONSOLIDATED",$H$9,"EQY_FUND_CRNCY",$L$7,"StartCol",G$12,"EndCol",G$12,"StartRow",$B52,"EndRow",$B52),1)="#","",_xll.BDS(Ticker,"PG_GROSS_PROFIT","PG_HIERARCHY_LEVEL=1","NUMBER_OF_PERIODS=-11","REVERSE_PERIOD_ORDER=N","PRODUCT_GEO_OVERRIDE=P","FUND_PER",RIGHT($B$11,1),"ACCOUNTING_STANDARD_OVERRIDE",$H$7,"EQY_CONSOLIDATED",$H$9,"EQY_FUND_CRNCY",$L$7,"StartCol",G$12,"EndCol",G$12,"StartRow",$B52,"EndRow",$B52))</f>
        <v/>
      </c>
      <c r="H52" s="218" t="str">
        <f>IF(LEFT(_xll.BDS(Ticker,"PG_GROSS_PROFIT","PG_HIERARCHY_LEVEL=1","NUMBER_OF_PERIODS=-11","REVERSE_PERIOD_ORDER=N","PRODUCT_GEO_OVERRIDE=P","FUND_PER",RIGHT($B$11,1),"ACCOUNTING_STANDARD_OVERRIDE",$H$7,"EQY_CONSOLIDATED",$H$9,"EQY_FUND_CRNCY",$L$7,"StartCol",H$12,"EndCol",H$12,"StartRow",$B52,"EndRow",$B52),1)="#","",_xll.BDS(Ticker,"PG_GROSS_PROFIT","PG_HIERARCHY_LEVEL=1","NUMBER_OF_PERIODS=-11","REVERSE_PERIOD_ORDER=N","PRODUCT_GEO_OVERRIDE=P","FUND_PER",RIGHT($B$11,1),"ACCOUNTING_STANDARD_OVERRIDE",$H$7,"EQY_CONSOLIDATED",$H$9,"EQY_FUND_CRNCY",$L$7,"StartCol",H$12,"EndCol",H$12,"StartRow",$B52,"EndRow",$B52))</f>
        <v/>
      </c>
      <c r="I52" s="218" t="str">
        <f>IF(LEFT(_xll.BDS(Ticker,"PG_GROSS_PROFIT","PG_HIERARCHY_LEVEL=1","NUMBER_OF_PERIODS=-11","REVERSE_PERIOD_ORDER=N","PRODUCT_GEO_OVERRIDE=P","FUND_PER",RIGHT($B$11,1),"ACCOUNTING_STANDARD_OVERRIDE",$H$7,"EQY_CONSOLIDATED",$H$9,"EQY_FUND_CRNCY",$L$7,"StartCol",I$12,"EndCol",I$12,"StartRow",$B52,"EndRow",$B52),1)="#","",_xll.BDS(Ticker,"PG_GROSS_PROFIT","PG_HIERARCHY_LEVEL=1","NUMBER_OF_PERIODS=-11","REVERSE_PERIOD_ORDER=N","PRODUCT_GEO_OVERRIDE=P","FUND_PER",RIGHT($B$11,1),"ACCOUNTING_STANDARD_OVERRIDE",$H$7,"EQY_CONSOLIDATED",$H$9,"EQY_FUND_CRNCY",$L$7,"StartCol",I$12,"EndCol",I$12,"StartRow",$B52,"EndRow",$B52))</f>
        <v/>
      </c>
      <c r="J52" s="218" t="str">
        <f>IF(LEFT(_xll.BDS(Ticker,"PG_GROSS_PROFIT","PG_HIERARCHY_LEVEL=1","NUMBER_OF_PERIODS=-11","REVERSE_PERIOD_ORDER=N","PRODUCT_GEO_OVERRIDE=P","FUND_PER",RIGHT($B$11,1),"ACCOUNTING_STANDARD_OVERRIDE",$H$7,"EQY_CONSOLIDATED",$H$9,"EQY_FUND_CRNCY",$L$7,"StartCol",J$12,"EndCol",J$12,"StartRow",$B52,"EndRow",$B52),1)="#","",_xll.BDS(Ticker,"PG_GROSS_PROFIT","PG_HIERARCHY_LEVEL=1","NUMBER_OF_PERIODS=-11","REVERSE_PERIOD_ORDER=N","PRODUCT_GEO_OVERRIDE=P","FUND_PER",RIGHT($B$11,1),"ACCOUNTING_STANDARD_OVERRIDE",$H$7,"EQY_CONSOLIDATED",$H$9,"EQY_FUND_CRNCY",$L$7,"StartCol",J$12,"EndCol",J$12,"StartRow",$B52,"EndRow",$B52))</f>
        <v/>
      </c>
      <c r="K52" s="218" t="str">
        <f>IF(LEFT(_xll.BDS(Ticker,"PG_GROSS_PROFIT","PG_HIERARCHY_LEVEL=1","NUMBER_OF_PERIODS=-11","REVERSE_PERIOD_ORDER=N","PRODUCT_GEO_OVERRIDE=P","FUND_PER",RIGHT($B$11,1),"ACCOUNTING_STANDARD_OVERRIDE",$H$7,"EQY_CONSOLIDATED",$H$9,"EQY_FUND_CRNCY",$L$7,"StartCol",K$12,"EndCol",K$12,"StartRow",$B52,"EndRow",$B52),1)="#","",_xll.BDS(Ticker,"PG_GROSS_PROFIT","PG_HIERARCHY_LEVEL=1","NUMBER_OF_PERIODS=-11","REVERSE_PERIOD_ORDER=N","PRODUCT_GEO_OVERRIDE=P","FUND_PER",RIGHT($B$11,1),"ACCOUNTING_STANDARD_OVERRIDE",$H$7,"EQY_CONSOLIDATED",$H$9,"EQY_FUND_CRNCY",$L$7,"StartCol",K$12,"EndCol",K$12,"StartRow",$B52,"EndRow",$B52))</f>
        <v/>
      </c>
      <c r="L52" s="218" t="str">
        <f>IF(LEFT(_xll.BDS(Ticker,"PG_GROSS_PROFIT","PG_HIERARCHY_LEVEL=1","NUMBER_OF_PERIODS=-11","REVERSE_PERIOD_ORDER=N","PRODUCT_GEO_OVERRIDE=P","FUND_PER",RIGHT($B$11,1),"ACCOUNTING_STANDARD_OVERRIDE",$H$7,"EQY_CONSOLIDATED",$H$9,"EQY_FUND_CRNCY",$L$7,"StartCol",L$12,"EndCol",L$12,"StartRow",$B52,"EndRow",$B52),1)="#","",_xll.BDS(Ticker,"PG_GROSS_PROFIT","PG_HIERARCHY_LEVEL=1","NUMBER_OF_PERIODS=-11","REVERSE_PERIOD_ORDER=N","PRODUCT_GEO_OVERRIDE=P","FUND_PER",RIGHT($B$11,1),"ACCOUNTING_STANDARD_OVERRIDE",$H$7,"EQY_CONSOLIDATED",$H$9,"EQY_FUND_CRNCY",$L$7,"StartCol",L$12,"EndCol",L$12,"StartRow",$B52,"EndRow",$B52))</f>
        <v/>
      </c>
      <c r="M52" s="218" t="str">
        <f>IF(LEFT(_xll.BDS(Ticker,"PG_GROSS_PROFIT","PG_HIERARCHY_LEVEL=1","NUMBER_OF_PERIODS=-11","REVERSE_PERIOD_ORDER=N","PRODUCT_GEO_OVERRIDE=P","FUND_PER",RIGHT($B$11,1),"ACCOUNTING_STANDARD_OVERRIDE",$H$7,"EQY_CONSOLIDATED",$H$9,"EQY_FUND_CRNCY",$L$7,"StartCol",M$12,"EndCol",M$12,"StartRow",$B52,"EndRow",$B52),1)="#","",_xll.BDS(Ticker,"PG_GROSS_PROFIT","PG_HIERARCHY_LEVEL=1","NUMBER_OF_PERIODS=-11","REVERSE_PERIOD_ORDER=N","PRODUCT_GEO_OVERRIDE=P","FUND_PER",RIGHT($B$11,1),"ACCOUNTING_STANDARD_OVERRIDE",$H$7,"EQY_CONSOLIDATED",$H$9,"EQY_FUND_CRNCY",$L$7,"StartCol",M$12,"EndCol",M$12,"StartRow",$B52,"EndRow",$B52))</f>
        <v/>
      </c>
      <c r="N52" s="218" t="str">
        <f>IF(LEFT(_xll.BDS(Ticker,"PG_GROSS_PROFIT","PG_HIERARCHY_LEVEL=1","NUMBER_OF_PERIODS=-11","REVERSE_PERIOD_ORDER=N","PRODUCT_GEO_OVERRIDE=P","FUND_PER",RIGHT($B$11,1),"ACCOUNTING_STANDARD_OVERRIDE",$H$7,"EQY_CONSOLIDATED",$H$9,"EQY_FUND_CRNCY",$L$7,"StartCol",N$12,"EndCol",N$12,"StartRow",$B52,"EndRow",$B52),1)="#","",_xll.BDS(Ticker,"PG_GROSS_PROFIT","PG_HIERARCHY_LEVEL=1","NUMBER_OF_PERIODS=-11","REVERSE_PERIOD_ORDER=N","PRODUCT_GEO_OVERRIDE=P","FUND_PER",RIGHT($B$11,1),"ACCOUNTING_STANDARD_OVERRIDE",$H$7,"EQY_CONSOLIDATED",$H$9,"EQY_FUND_CRNCY",$L$7,"StartCol",N$12,"EndCol",N$12,"StartRow",$B52,"EndRow",$B52))</f>
        <v/>
      </c>
    </row>
    <row r="53" spans="2:14" hidden="1" outlineLevel="1">
      <c r="B53" s="214">
        <v>8</v>
      </c>
      <c r="C53" s="216" t="str">
        <f>IF(LEFT(_xll.BDS(Ticker,"PG_GROSS_PROFIT","PG_HIERARCHY_LEVEL=1","NUMBER_OF_PERIODS=-11","REVERSE_PERIOD_ORDER=N","PRODUCT_GEO_OVERRIDE=P","FUND_PER",RIGHT($B$11,1),"ACCOUNTING_STANDARD_OVERRIDE",$H$7,"EQY_CONSOLIDATED",$H$9,"EQY_FUND_CRNCY",$L$7,"StartCol",C$12,"EndCol",C$12,"StartRow",$B53,"EndRow",$B53),1)="#","",_xll.BDS(Ticker,"PG_GROSS_PROFIT","PG_HIERARCHY_LEVEL=1","NUMBER_OF_PERIODS=-11","REVERSE_PERIOD_ORDER=N","PRODUCT_GEO_OVERRIDE=P","FUND_PER",RIGHT($B$11,1),"ACCOUNTING_STANDARD_OVERRIDE",$H$7,"EQY_CONSOLIDATED",$H$9,"EQY_FUND_CRNCY",$L$7,"StartCol",C$12,"EndCol",C$12,"StartRow",$B53,"EndRow",$B53))</f>
        <v/>
      </c>
      <c r="D53" s="218" t="str">
        <f>IF(LEFT(_xll.BDS(Ticker,"PG_GROSS_PROFIT","PG_HIERARCHY_LEVEL=1","NUMBER_OF_PERIODS=-11","REVERSE_PERIOD_ORDER=N","PRODUCT_GEO_OVERRIDE=P","FUND_PER",RIGHT($B$11,1),"ACCOUNTING_STANDARD_OVERRIDE",$H$7,"EQY_CONSOLIDATED",$H$9,"EQY_FUND_CRNCY",$L$7,"StartCol",D$12,"EndCol",D$12,"StartRow",$B53,"EndRow",$B53),1)="#","",_xll.BDS(Ticker,"PG_GROSS_PROFIT","PG_HIERARCHY_LEVEL=1","NUMBER_OF_PERIODS=-11","REVERSE_PERIOD_ORDER=N","PRODUCT_GEO_OVERRIDE=P","FUND_PER",RIGHT($B$11,1),"ACCOUNTING_STANDARD_OVERRIDE",$H$7,"EQY_CONSOLIDATED",$H$9,"EQY_FUND_CRNCY",$L$7,"StartCol",D$12,"EndCol",D$12,"StartRow",$B53,"EndRow",$B53))</f>
        <v/>
      </c>
      <c r="E53" s="218" t="str">
        <f>IF(LEFT(_xll.BDS(Ticker,"PG_GROSS_PROFIT","PG_HIERARCHY_LEVEL=1","NUMBER_OF_PERIODS=-11","REVERSE_PERIOD_ORDER=N","PRODUCT_GEO_OVERRIDE=P","FUND_PER",RIGHT($B$11,1),"ACCOUNTING_STANDARD_OVERRIDE",$H$7,"EQY_CONSOLIDATED",$H$9,"EQY_FUND_CRNCY",$L$7,"StartCol",E$12,"EndCol",E$12,"StartRow",$B53,"EndRow",$B53),1)="#","",_xll.BDS(Ticker,"PG_GROSS_PROFIT","PG_HIERARCHY_LEVEL=1","NUMBER_OF_PERIODS=-11","REVERSE_PERIOD_ORDER=N","PRODUCT_GEO_OVERRIDE=P","FUND_PER",RIGHT($B$11,1),"ACCOUNTING_STANDARD_OVERRIDE",$H$7,"EQY_CONSOLIDATED",$H$9,"EQY_FUND_CRNCY",$L$7,"StartCol",E$12,"EndCol",E$12,"StartRow",$B53,"EndRow",$B53))</f>
        <v/>
      </c>
      <c r="F53" s="218" t="str">
        <f>IF(LEFT(_xll.BDS(Ticker,"PG_GROSS_PROFIT","PG_HIERARCHY_LEVEL=1","NUMBER_OF_PERIODS=-11","REVERSE_PERIOD_ORDER=N","PRODUCT_GEO_OVERRIDE=P","FUND_PER",RIGHT($B$11,1),"ACCOUNTING_STANDARD_OVERRIDE",$H$7,"EQY_CONSOLIDATED",$H$9,"EQY_FUND_CRNCY",$L$7,"StartCol",F$12,"EndCol",F$12,"StartRow",$B53,"EndRow",$B53),1)="#","",_xll.BDS(Ticker,"PG_GROSS_PROFIT","PG_HIERARCHY_LEVEL=1","NUMBER_OF_PERIODS=-11","REVERSE_PERIOD_ORDER=N","PRODUCT_GEO_OVERRIDE=P","FUND_PER",RIGHT($B$11,1),"ACCOUNTING_STANDARD_OVERRIDE",$H$7,"EQY_CONSOLIDATED",$H$9,"EQY_FUND_CRNCY",$L$7,"StartCol",F$12,"EndCol",F$12,"StartRow",$B53,"EndRow",$B53))</f>
        <v/>
      </c>
      <c r="G53" s="218" t="str">
        <f>IF(LEFT(_xll.BDS(Ticker,"PG_GROSS_PROFIT","PG_HIERARCHY_LEVEL=1","NUMBER_OF_PERIODS=-11","REVERSE_PERIOD_ORDER=N","PRODUCT_GEO_OVERRIDE=P","FUND_PER",RIGHT($B$11,1),"ACCOUNTING_STANDARD_OVERRIDE",$H$7,"EQY_CONSOLIDATED",$H$9,"EQY_FUND_CRNCY",$L$7,"StartCol",G$12,"EndCol",G$12,"StartRow",$B53,"EndRow",$B53),1)="#","",_xll.BDS(Ticker,"PG_GROSS_PROFIT","PG_HIERARCHY_LEVEL=1","NUMBER_OF_PERIODS=-11","REVERSE_PERIOD_ORDER=N","PRODUCT_GEO_OVERRIDE=P","FUND_PER",RIGHT($B$11,1),"ACCOUNTING_STANDARD_OVERRIDE",$H$7,"EQY_CONSOLIDATED",$H$9,"EQY_FUND_CRNCY",$L$7,"StartCol",G$12,"EndCol",G$12,"StartRow",$B53,"EndRow",$B53))</f>
        <v/>
      </c>
      <c r="H53" s="218" t="str">
        <f>IF(LEFT(_xll.BDS(Ticker,"PG_GROSS_PROFIT","PG_HIERARCHY_LEVEL=1","NUMBER_OF_PERIODS=-11","REVERSE_PERIOD_ORDER=N","PRODUCT_GEO_OVERRIDE=P","FUND_PER",RIGHT($B$11,1),"ACCOUNTING_STANDARD_OVERRIDE",$H$7,"EQY_CONSOLIDATED",$H$9,"EQY_FUND_CRNCY",$L$7,"StartCol",H$12,"EndCol",H$12,"StartRow",$B53,"EndRow",$B53),1)="#","",_xll.BDS(Ticker,"PG_GROSS_PROFIT","PG_HIERARCHY_LEVEL=1","NUMBER_OF_PERIODS=-11","REVERSE_PERIOD_ORDER=N","PRODUCT_GEO_OVERRIDE=P","FUND_PER",RIGHT($B$11,1),"ACCOUNTING_STANDARD_OVERRIDE",$H$7,"EQY_CONSOLIDATED",$H$9,"EQY_FUND_CRNCY",$L$7,"StartCol",H$12,"EndCol",H$12,"StartRow",$B53,"EndRow",$B53))</f>
        <v/>
      </c>
      <c r="I53" s="218" t="str">
        <f>IF(LEFT(_xll.BDS(Ticker,"PG_GROSS_PROFIT","PG_HIERARCHY_LEVEL=1","NUMBER_OF_PERIODS=-11","REVERSE_PERIOD_ORDER=N","PRODUCT_GEO_OVERRIDE=P","FUND_PER",RIGHT($B$11,1),"ACCOUNTING_STANDARD_OVERRIDE",$H$7,"EQY_CONSOLIDATED",$H$9,"EQY_FUND_CRNCY",$L$7,"StartCol",I$12,"EndCol",I$12,"StartRow",$B53,"EndRow",$B53),1)="#","",_xll.BDS(Ticker,"PG_GROSS_PROFIT","PG_HIERARCHY_LEVEL=1","NUMBER_OF_PERIODS=-11","REVERSE_PERIOD_ORDER=N","PRODUCT_GEO_OVERRIDE=P","FUND_PER",RIGHT($B$11,1),"ACCOUNTING_STANDARD_OVERRIDE",$H$7,"EQY_CONSOLIDATED",$H$9,"EQY_FUND_CRNCY",$L$7,"StartCol",I$12,"EndCol",I$12,"StartRow",$B53,"EndRow",$B53))</f>
        <v/>
      </c>
      <c r="J53" s="218" t="str">
        <f>IF(LEFT(_xll.BDS(Ticker,"PG_GROSS_PROFIT","PG_HIERARCHY_LEVEL=1","NUMBER_OF_PERIODS=-11","REVERSE_PERIOD_ORDER=N","PRODUCT_GEO_OVERRIDE=P","FUND_PER",RIGHT($B$11,1),"ACCOUNTING_STANDARD_OVERRIDE",$H$7,"EQY_CONSOLIDATED",$H$9,"EQY_FUND_CRNCY",$L$7,"StartCol",J$12,"EndCol",J$12,"StartRow",$B53,"EndRow",$B53),1)="#","",_xll.BDS(Ticker,"PG_GROSS_PROFIT","PG_HIERARCHY_LEVEL=1","NUMBER_OF_PERIODS=-11","REVERSE_PERIOD_ORDER=N","PRODUCT_GEO_OVERRIDE=P","FUND_PER",RIGHT($B$11,1),"ACCOUNTING_STANDARD_OVERRIDE",$H$7,"EQY_CONSOLIDATED",$H$9,"EQY_FUND_CRNCY",$L$7,"StartCol",J$12,"EndCol",J$12,"StartRow",$B53,"EndRow",$B53))</f>
        <v/>
      </c>
      <c r="K53" s="218" t="str">
        <f>IF(LEFT(_xll.BDS(Ticker,"PG_GROSS_PROFIT","PG_HIERARCHY_LEVEL=1","NUMBER_OF_PERIODS=-11","REVERSE_PERIOD_ORDER=N","PRODUCT_GEO_OVERRIDE=P","FUND_PER",RIGHT($B$11,1),"ACCOUNTING_STANDARD_OVERRIDE",$H$7,"EQY_CONSOLIDATED",$H$9,"EQY_FUND_CRNCY",$L$7,"StartCol",K$12,"EndCol",K$12,"StartRow",$B53,"EndRow",$B53),1)="#","",_xll.BDS(Ticker,"PG_GROSS_PROFIT","PG_HIERARCHY_LEVEL=1","NUMBER_OF_PERIODS=-11","REVERSE_PERIOD_ORDER=N","PRODUCT_GEO_OVERRIDE=P","FUND_PER",RIGHT($B$11,1),"ACCOUNTING_STANDARD_OVERRIDE",$H$7,"EQY_CONSOLIDATED",$H$9,"EQY_FUND_CRNCY",$L$7,"StartCol",K$12,"EndCol",K$12,"StartRow",$B53,"EndRow",$B53))</f>
        <v/>
      </c>
      <c r="L53" s="218" t="str">
        <f>IF(LEFT(_xll.BDS(Ticker,"PG_GROSS_PROFIT","PG_HIERARCHY_LEVEL=1","NUMBER_OF_PERIODS=-11","REVERSE_PERIOD_ORDER=N","PRODUCT_GEO_OVERRIDE=P","FUND_PER",RIGHT($B$11,1),"ACCOUNTING_STANDARD_OVERRIDE",$H$7,"EQY_CONSOLIDATED",$H$9,"EQY_FUND_CRNCY",$L$7,"StartCol",L$12,"EndCol",L$12,"StartRow",$B53,"EndRow",$B53),1)="#","",_xll.BDS(Ticker,"PG_GROSS_PROFIT","PG_HIERARCHY_LEVEL=1","NUMBER_OF_PERIODS=-11","REVERSE_PERIOD_ORDER=N","PRODUCT_GEO_OVERRIDE=P","FUND_PER",RIGHT($B$11,1),"ACCOUNTING_STANDARD_OVERRIDE",$H$7,"EQY_CONSOLIDATED",$H$9,"EQY_FUND_CRNCY",$L$7,"StartCol",L$12,"EndCol",L$12,"StartRow",$B53,"EndRow",$B53))</f>
        <v/>
      </c>
      <c r="M53" s="218" t="str">
        <f>IF(LEFT(_xll.BDS(Ticker,"PG_GROSS_PROFIT","PG_HIERARCHY_LEVEL=1","NUMBER_OF_PERIODS=-11","REVERSE_PERIOD_ORDER=N","PRODUCT_GEO_OVERRIDE=P","FUND_PER",RIGHT($B$11,1),"ACCOUNTING_STANDARD_OVERRIDE",$H$7,"EQY_CONSOLIDATED",$H$9,"EQY_FUND_CRNCY",$L$7,"StartCol",M$12,"EndCol",M$12,"StartRow",$B53,"EndRow",$B53),1)="#","",_xll.BDS(Ticker,"PG_GROSS_PROFIT","PG_HIERARCHY_LEVEL=1","NUMBER_OF_PERIODS=-11","REVERSE_PERIOD_ORDER=N","PRODUCT_GEO_OVERRIDE=P","FUND_PER",RIGHT($B$11,1),"ACCOUNTING_STANDARD_OVERRIDE",$H$7,"EQY_CONSOLIDATED",$H$9,"EQY_FUND_CRNCY",$L$7,"StartCol",M$12,"EndCol",M$12,"StartRow",$B53,"EndRow",$B53))</f>
        <v/>
      </c>
      <c r="N53" s="218" t="str">
        <f>IF(LEFT(_xll.BDS(Ticker,"PG_GROSS_PROFIT","PG_HIERARCHY_LEVEL=1","NUMBER_OF_PERIODS=-11","REVERSE_PERIOD_ORDER=N","PRODUCT_GEO_OVERRIDE=P","FUND_PER",RIGHT($B$11,1),"ACCOUNTING_STANDARD_OVERRIDE",$H$7,"EQY_CONSOLIDATED",$H$9,"EQY_FUND_CRNCY",$L$7,"StartCol",N$12,"EndCol",N$12,"StartRow",$B53,"EndRow",$B53),1)="#","",_xll.BDS(Ticker,"PG_GROSS_PROFIT","PG_HIERARCHY_LEVEL=1","NUMBER_OF_PERIODS=-11","REVERSE_PERIOD_ORDER=N","PRODUCT_GEO_OVERRIDE=P","FUND_PER",RIGHT($B$11,1),"ACCOUNTING_STANDARD_OVERRIDE",$H$7,"EQY_CONSOLIDATED",$H$9,"EQY_FUND_CRNCY",$L$7,"StartCol",N$12,"EndCol",N$12,"StartRow",$B53,"EndRow",$B53))</f>
        <v/>
      </c>
    </row>
    <row r="54" spans="2:14" hidden="1" outlineLevel="1">
      <c r="B54" s="214">
        <v>9</v>
      </c>
      <c r="C54" s="216" t="str">
        <f>IF(LEFT(_xll.BDS(Ticker,"PG_GROSS_PROFIT","PG_HIERARCHY_LEVEL=1","NUMBER_OF_PERIODS=-11","REVERSE_PERIOD_ORDER=N","PRODUCT_GEO_OVERRIDE=P","FUND_PER",RIGHT($B$11,1),"ACCOUNTING_STANDARD_OVERRIDE",$H$7,"EQY_CONSOLIDATED",$H$9,"EQY_FUND_CRNCY",$L$7,"StartCol",C$12,"EndCol",C$12,"StartRow",$B54,"EndRow",$B54),1)="#","",_xll.BDS(Ticker,"PG_GROSS_PROFIT","PG_HIERARCHY_LEVEL=1","NUMBER_OF_PERIODS=-11","REVERSE_PERIOD_ORDER=N","PRODUCT_GEO_OVERRIDE=P","FUND_PER",RIGHT($B$11,1),"ACCOUNTING_STANDARD_OVERRIDE",$H$7,"EQY_CONSOLIDATED",$H$9,"EQY_FUND_CRNCY",$L$7,"StartCol",C$12,"EndCol",C$12,"StartRow",$B54,"EndRow",$B54))</f>
        <v/>
      </c>
      <c r="D54" s="218" t="str">
        <f>IF(LEFT(_xll.BDS(Ticker,"PG_GROSS_PROFIT","PG_HIERARCHY_LEVEL=1","NUMBER_OF_PERIODS=-11","REVERSE_PERIOD_ORDER=N","PRODUCT_GEO_OVERRIDE=P","FUND_PER",RIGHT($B$11,1),"ACCOUNTING_STANDARD_OVERRIDE",$H$7,"EQY_CONSOLIDATED",$H$9,"EQY_FUND_CRNCY",$L$7,"StartCol",D$12,"EndCol",D$12,"StartRow",$B54,"EndRow",$B54),1)="#","",_xll.BDS(Ticker,"PG_GROSS_PROFIT","PG_HIERARCHY_LEVEL=1","NUMBER_OF_PERIODS=-11","REVERSE_PERIOD_ORDER=N","PRODUCT_GEO_OVERRIDE=P","FUND_PER",RIGHT($B$11,1),"ACCOUNTING_STANDARD_OVERRIDE",$H$7,"EQY_CONSOLIDATED",$H$9,"EQY_FUND_CRNCY",$L$7,"StartCol",D$12,"EndCol",D$12,"StartRow",$B54,"EndRow",$B54))</f>
        <v/>
      </c>
      <c r="E54" s="218" t="str">
        <f>IF(LEFT(_xll.BDS(Ticker,"PG_GROSS_PROFIT","PG_HIERARCHY_LEVEL=1","NUMBER_OF_PERIODS=-11","REVERSE_PERIOD_ORDER=N","PRODUCT_GEO_OVERRIDE=P","FUND_PER",RIGHT($B$11,1),"ACCOUNTING_STANDARD_OVERRIDE",$H$7,"EQY_CONSOLIDATED",$H$9,"EQY_FUND_CRNCY",$L$7,"StartCol",E$12,"EndCol",E$12,"StartRow",$B54,"EndRow",$B54),1)="#","",_xll.BDS(Ticker,"PG_GROSS_PROFIT","PG_HIERARCHY_LEVEL=1","NUMBER_OF_PERIODS=-11","REVERSE_PERIOD_ORDER=N","PRODUCT_GEO_OVERRIDE=P","FUND_PER",RIGHT($B$11,1),"ACCOUNTING_STANDARD_OVERRIDE",$H$7,"EQY_CONSOLIDATED",$H$9,"EQY_FUND_CRNCY",$L$7,"StartCol",E$12,"EndCol",E$12,"StartRow",$B54,"EndRow",$B54))</f>
        <v/>
      </c>
      <c r="F54" s="218" t="str">
        <f>IF(LEFT(_xll.BDS(Ticker,"PG_GROSS_PROFIT","PG_HIERARCHY_LEVEL=1","NUMBER_OF_PERIODS=-11","REVERSE_PERIOD_ORDER=N","PRODUCT_GEO_OVERRIDE=P","FUND_PER",RIGHT($B$11,1),"ACCOUNTING_STANDARD_OVERRIDE",$H$7,"EQY_CONSOLIDATED",$H$9,"EQY_FUND_CRNCY",$L$7,"StartCol",F$12,"EndCol",F$12,"StartRow",$B54,"EndRow",$B54),1)="#","",_xll.BDS(Ticker,"PG_GROSS_PROFIT","PG_HIERARCHY_LEVEL=1","NUMBER_OF_PERIODS=-11","REVERSE_PERIOD_ORDER=N","PRODUCT_GEO_OVERRIDE=P","FUND_PER",RIGHT($B$11,1),"ACCOUNTING_STANDARD_OVERRIDE",$H$7,"EQY_CONSOLIDATED",$H$9,"EQY_FUND_CRNCY",$L$7,"StartCol",F$12,"EndCol",F$12,"StartRow",$B54,"EndRow",$B54))</f>
        <v/>
      </c>
      <c r="G54" s="218" t="str">
        <f>IF(LEFT(_xll.BDS(Ticker,"PG_GROSS_PROFIT","PG_HIERARCHY_LEVEL=1","NUMBER_OF_PERIODS=-11","REVERSE_PERIOD_ORDER=N","PRODUCT_GEO_OVERRIDE=P","FUND_PER",RIGHT($B$11,1),"ACCOUNTING_STANDARD_OVERRIDE",$H$7,"EQY_CONSOLIDATED",$H$9,"EQY_FUND_CRNCY",$L$7,"StartCol",G$12,"EndCol",G$12,"StartRow",$B54,"EndRow",$B54),1)="#","",_xll.BDS(Ticker,"PG_GROSS_PROFIT","PG_HIERARCHY_LEVEL=1","NUMBER_OF_PERIODS=-11","REVERSE_PERIOD_ORDER=N","PRODUCT_GEO_OVERRIDE=P","FUND_PER",RIGHT($B$11,1),"ACCOUNTING_STANDARD_OVERRIDE",$H$7,"EQY_CONSOLIDATED",$H$9,"EQY_FUND_CRNCY",$L$7,"StartCol",G$12,"EndCol",G$12,"StartRow",$B54,"EndRow",$B54))</f>
        <v/>
      </c>
      <c r="H54" s="218" t="str">
        <f>IF(LEFT(_xll.BDS(Ticker,"PG_GROSS_PROFIT","PG_HIERARCHY_LEVEL=1","NUMBER_OF_PERIODS=-11","REVERSE_PERIOD_ORDER=N","PRODUCT_GEO_OVERRIDE=P","FUND_PER",RIGHT($B$11,1),"ACCOUNTING_STANDARD_OVERRIDE",$H$7,"EQY_CONSOLIDATED",$H$9,"EQY_FUND_CRNCY",$L$7,"StartCol",H$12,"EndCol",H$12,"StartRow",$B54,"EndRow",$B54),1)="#","",_xll.BDS(Ticker,"PG_GROSS_PROFIT","PG_HIERARCHY_LEVEL=1","NUMBER_OF_PERIODS=-11","REVERSE_PERIOD_ORDER=N","PRODUCT_GEO_OVERRIDE=P","FUND_PER",RIGHT($B$11,1),"ACCOUNTING_STANDARD_OVERRIDE",$H$7,"EQY_CONSOLIDATED",$H$9,"EQY_FUND_CRNCY",$L$7,"StartCol",H$12,"EndCol",H$12,"StartRow",$B54,"EndRow",$B54))</f>
        <v/>
      </c>
      <c r="I54" s="218" t="str">
        <f>IF(LEFT(_xll.BDS(Ticker,"PG_GROSS_PROFIT","PG_HIERARCHY_LEVEL=1","NUMBER_OF_PERIODS=-11","REVERSE_PERIOD_ORDER=N","PRODUCT_GEO_OVERRIDE=P","FUND_PER",RIGHT($B$11,1),"ACCOUNTING_STANDARD_OVERRIDE",$H$7,"EQY_CONSOLIDATED",$H$9,"EQY_FUND_CRNCY",$L$7,"StartCol",I$12,"EndCol",I$12,"StartRow",$B54,"EndRow",$B54),1)="#","",_xll.BDS(Ticker,"PG_GROSS_PROFIT","PG_HIERARCHY_LEVEL=1","NUMBER_OF_PERIODS=-11","REVERSE_PERIOD_ORDER=N","PRODUCT_GEO_OVERRIDE=P","FUND_PER",RIGHT($B$11,1),"ACCOUNTING_STANDARD_OVERRIDE",$H$7,"EQY_CONSOLIDATED",$H$9,"EQY_FUND_CRNCY",$L$7,"StartCol",I$12,"EndCol",I$12,"StartRow",$B54,"EndRow",$B54))</f>
        <v/>
      </c>
      <c r="J54" s="218" t="str">
        <f>IF(LEFT(_xll.BDS(Ticker,"PG_GROSS_PROFIT","PG_HIERARCHY_LEVEL=1","NUMBER_OF_PERIODS=-11","REVERSE_PERIOD_ORDER=N","PRODUCT_GEO_OVERRIDE=P","FUND_PER",RIGHT($B$11,1),"ACCOUNTING_STANDARD_OVERRIDE",$H$7,"EQY_CONSOLIDATED",$H$9,"EQY_FUND_CRNCY",$L$7,"StartCol",J$12,"EndCol",J$12,"StartRow",$B54,"EndRow",$B54),1)="#","",_xll.BDS(Ticker,"PG_GROSS_PROFIT","PG_HIERARCHY_LEVEL=1","NUMBER_OF_PERIODS=-11","REVERSE_PERIOD_ORDER=N","PRODUCT_GEO_OVERRIDE=P","FUND_PER",RIGHT($B$11,1),"ACCOUNTING_STANDARD_OVERRIDE",$H$7,"EQY_CONSOLIDATED",$H$9,"EQY_FUND_CRNCY",$L$7,"StartCol",J$12,"EndCol",J$12,"StartRow",$B54,"EndRow",$B54))</f>
        <v/>
      </c>
      <c r="K54" s="218" t="str">
        <f>IF(LEFT(_xll.BDS(Ticker,"PG_GROSS_PROFIT","PG_HIERARCHY_LEVEL=1","NUMBER_OF_PERIODS=-11","REVERSE_PERIOD_ORDER=N","PRODUCT_GEO_OVERRIDE=P","FUND_PER",RIGHT($B$11,1),"ACCOUNTING_STANDARD_OVERRIDE",$H$7,"EQY_CONSOLIDATED",$H$9,"EQY_FUND_CRNCY",$L$7,"StartCol",K$12,"EndCol",K$12,"StartRow",$B54,"EndRow",$B54),1)="#","",_xll.BDS(Ticker,"PG_GROSS_PROFIT","PG_HIERARCHY_LEVEL=1","NUMBER_OF_PERIODS=-11","REVERSE_PERIOD_ORDER=N","PRODUCT_GEO_OVERRIDE=P","FUND_PER",RIGHT($B$11,1),"ACCOUNTING_STANDARD_OVERRIDE",$H$7,"EQY_CONSOLIDATED",$H$9,"EQY_FUND_CRNCY",$L$7,"StartCol",K$12,"EndCol",K$12,"StartRow",$B54,"EndRow",$B54))</f>
        <v/>
      </c>
      <c r="L54" s="218" t="str">
        <f>IF(LEFT(_xll.BDS(Ticker,"PG_GROSS_PROFIT","PG_HIERARCHY_LEVEL=1","NUMBER_OF_PERIODS=-11","REVERSE_PERIOD_ORDER=N","PRODUCT_GEO_OVERRIDE=P","FUND_PER",RIGHT($B$11,1),"ACCOUNTING_STANDARD_OVERRIDE",$H$7,"EQY_CONSOLIDATED",$H$9,"EQY_FUND_CRNCY",$L$7,"StartCol",L$12,"EndCol",L$12,"StartRow",$B54,"EndRow",$B54),1)="#","",_xll.BDS(Ticker,"PG_GROSS_PROFIT","PG_HIERARCHY_LEVEL=1","NUMBER_OF_PERIODS=-11","REVERSE_PERIOD_ORDER=N","PRODUCT_GEO_OVERRIDE=P","FUND_PER",RIGHT($B$11,1),"ACCOUNTING_STANDARD_OVERRIDE",$H$7,"EQY_CONSOLIDATED",$H$9,"EQY_FUND_CRNCY",$L$7,"StartCol",L$12,"EndCol",L$12,"StartRow",$B54,"EndRow",$B54))</f>
        <v/>
      </c>
      <c r="M54" s="218" t="str">
        <f>IF(LEFT(_xll.BDS(Ticker,"PG_GROSS_PROFIT","PG_HIERARCHY_LEVEL=1","NUMBER_OF_PERIODS=-11","REVERSE_PERIOD_ORDER=N","PRODUCT_GEO_OVERRIDE=P","FUND_PER",RIGHT($B$11,1),"ACCOUNTING_STANDARD_OVERRIDE",$H$7,"EQY_CONSOLIDATED",$H$9,"EQY_FUND_CRNCY",$L$7,"StartCol",M$12,"EndCol",M$12,"StartRow",$B54,"EndRow",$B54),1)="#","",_xll.BDS(Ticker,"PG_GROSS_PROFIT","PG_HIERARCHY_LEVEL=1","NUMBER_OF_PERIODS=-11","REVERSE_PERIOD_ORDER=N","PRODUCT_GEO_OVERRIDE=P","FUND_PER",RIGHT($B$11,1),"ACCOUNTING_STANDARD_OVERRIDE",$H$7,"EQY_CONSOLIDATED",$H$9,"EQY_FUND_CRNCY",$L$7,"StartCol",M$12,"EndCol",M$12,"StartRow",$B54,"EndRow",$B54))</f>
        <v/>
      </c>
      <c r="N54" s="218" t="str">
        <f>IF(LEFT(_xll.BDS(Ticker,"PG_GROSS_PROFIT","PG_HIERARCHY_LEVEL=1","NUMBER_OF_PERIODS=-11","REVERSE_PERIOD_ORDER=N","PRODUCT_GEO_OVERRIDE=P","FUND_PER",RIGHT($B$11,1),"ACCOUNTING_STANDARD_OVERRIDE",$H$7,"EQY_CONSOLIDATED",$H$9,"EQY_FUND_CRNCY",$L$7,"StartCol",N$12,"EndCol",N$12,"StartRow",$B54,"EndRow",$B54),1)="#","",_xll.BDS(Ticker,"PG_GROSS_PROFIT","PG_HIERARCHY_LEVEL=1","NUMBER_OF_PERIODS=-11","REVERSE_PERIOD_ORDER=N","PRODUCT_GEO_OVERRIDE=P","FUND_PER",RIGHT($B$11,1),"ACCOUNTING_STANDARD_OVERRIDE",$H$7,"EQY_CONSOLIDATED",$H$9,"EQY_FUND_CRNCY",$L$7,"StartCol",N$12,"EndCol",N$12,"StartRow",$B54,"EndRow",$B54))</f>
        <v/>
      </c>
    </row>
    <row r="55" spans="2:14" hidden="1" outlineLevel="1">
      <c r="B55" s="214">
        <v>10</v>
      </c>
      <c r="C55" s="216" t="str">
        <f>IF(LEFT(_xll.BDS(Ticker,"PG_GROSS_PROFIT","PG_HIERARCHY_LEVEL=1","NUMBER_OF_PERIODS=-11","REVERSE_PERIOD_ORDER=N","PRODUCT_GEO_OVERRIDE=P","FUND_PER",RIGHT($B$11,1),"ACCOUNTING_STANDARD_OVERRIDE",$H$7,"EQY_CONSOLIDATED",$H$9,"EQY_FUND_CRNCY",$L$7,"StartCol",C$12,"EndCol",C$12,"StartRow",$B55,"EndRow",$B55),1)="#","",_xll.BDS(Ticker,"PG_GROSS_PROFIT","PG_HIERARCHY_LEVEL=1","NUMBER_OF_PERIODS=-11","REVERSE_PERIOD_ORDER=N","PRODUCT_GEO_OVERRIDE=P","FUND_PER",RIGHT($B$11,1),"ACCOUNTING_STANDARD_OVERRIDE",$H$7,"EQY_CONSOLIDATED",$H$9,"EQY_FUND_CRNCY",$L$7,"StartCol",C$12,"EndCol",C$12,"StartRow",$B55,"EndRow",$B55))</f>
        <v/>
      </c>
      <c r="D55" s="218" t="str">
        <f>IF(LEFT(_xll.BDS(Ticker,"PG_GROSS_PROFIT","PG_HIERARCHY_LEVEL=1","NUMBER_OF_PERIODS=-11","REVERSE_PERIOD_ORDER=N","PRODUCT_GEO_OVERRIDE=P","FUND_PER",RIGHT($B$11,1),"ACCOUNTING_STANDARD_OVERRIDE",$H$7,"EQY_CONSOLIDATED",$H$9,"EQY_FUND_CRNCY",$L$7,"StartCol",D$12,"EndCol",D$12,"StartRow",$B55,"EndRow",$B55),1)="#","",_xll.BDS(Ticker,"PG_GROSS_PROFIT","PG_HIERARCHY_LEVEL=1","NUMBER_OF_PERIODS=-11","REVERSE_PERIOD_ORDER=N","PRODUCT_GEO_OVERRIDE=P","FUND_PER",RIGHT($B$11,1),"ACCOUNTING_STANDARD_OVERRIDE",$H$7,"EQY_CONSOLIDATED",$H$9,"EQY_FUND_CRNCY",$L$7,"StartCol",D$12,"EndCol",D$12,"StartRow",$B55,"EndRow",$B55))</f>
        <v/>
      </c>
      <c r="E55" s="218" t="str">
        <f>IF(LEFT(_xll.BDS(Ticker,"PG_GROSS_PROFIT","PG_HIERARCHY_LEVEL=1","NUMBER_OF_PERIODS=-11","REVERSE_PERIOD_ORDER=N","PRODUCT_GEO_OVERRIDE=P","FUND_PER",RIGHT($B$11,1),"ACCOUNTING_STANDARD_OVERRIDE",$H$7,"EQY_CONSOLIDATED",$H$9,"EQY_FUND_CRNCY",$L$7,"StartCol",E$12,"EndCol",E$12,"StartRow",$B55,"EndRow",$B55),1)="#","",_xll.BDS(Ticker,"PG_GROSS_PROFIT","PG_HIERARCHY_LEVEL=1","NUMBER_OF_PERIODS=-11","REVERSE_PERIOD_ORDER=N","PRODUCT_GEO_OVERRIDE=P","FUND_PER",RIGHT($B$11,1),"ACCOUNTING_STANDARD_OVERRIDE",$H$7,"EQY_CONSOLIDATED",$H$9,"EQY_FUND_CRNCY",$L$7,"StartCol",E$12,"EndCol",E$12,"StartRow",$B55,"EndRow",$B55))</f>
        <v/>
      </c>
      <c r="F55" s="218" t="str">
        <f>IF(LEFT(_xll.BDS(Ticker,"PG_GROSS_PROFIT","PG_HIERARCHY_LEVEL=1","NUMBER_OF_PERIODS=-11","REVERSE_PERIOD_ORDER=N","PRODUCT_GEO_OVERRIDE=P","FUND_PER",RIGHT($B$11,1),"ACCOUNTING_STANDARD_OVERRIDE",$H$7,"EQY_CONSOLIDATED",$H$9,"EQY_FUND_CRNCY",$L$7,"StartCol",F$12,"EndCol",F$12,"StartRow",$B55,"EndRow",$B55),1)="#","",_xll.BDS(Ticker,"PG_GROSS_PROFIT","PG_HIERARCHY_LEVEL=1","NUMBER_OF_PERIODS=-11","REVERSE_PERIOD_ORDER=N","PRODUCT_GEO_OVERRIDE=P","FUND_PER",RIGHT($B$11,1),"ACCOUNTING_STANDARD_OVERRIDE",$H$7,"EQY_CONSOLIDATED",$H$9,"EQY_FUND_CRNCY",$L$7,"StartCol",F$12,"EndCol",F$12,"StartRow",$B55,"EndRow",$B55))</f>
        <v/>
      </c>
      <c r="G55" s="218" t="str">
        <f>IF(LEFT(_xll.BDS(Ticker,"PG_GROSS_PROFIT","PG_HIERARCHY_LEVEL=1","NUMBER_OF_PERIODS=-11","REVERSE_PERIOD_ORDER=N","PRODUCT_GEO_OVERRIDE=P","FUND_PER",RIGHT($B$11,1),"ACCOUNTING_STANDARD_OVERRIDE",$H$7,"EQY_CONSOLIDATED",$H$9,"EQY_FUND_CRNCY",$L$7,"StartCol",G$12,"EndCol",G$12,"StartRow",$B55,"EndRow",$B55),1)="#","",_xll.BDS(Ticker,"PG_GROSS_PROFIT","PG_HIERARCHY_LEVEL=1","NUMBER_OF_PERIODS=-11","REVERSE_PERIOD_ORDER=N","PRODUCT_GEO_OVERRIDE=P","FUND_PER",RIGHT($B$11,1),"ACCOUNTING_STANDARD_OVERRIDE",$H$7,"EQY_CONSOLIDATED",$H$9,"EQY_FUND_CRNCY",$L$7,"StartCol",G$12,"EndCol",G$12,"StartRow",$B55,"EndRow",$B55))</f>
        <v/>
      </c>
      <c r="H55" s="218" t="str">
        <f>IF(LEFT(_xll.BDS(Ticker,"PG_GROSS_PROFIT","PG_HIERARCHY_LEVEL=1","NUMBER_OF_PERIODS=-11","REVERSE_PERIOD_ORDER=N","PRODUCT_GEO_OVERRIDE=P","FUND_PER",RIGHT($B$11,1),"ACCOUNTING_STANDARD_OVERRIDE",$H$7,"EQY_CONSOLIDATED",$H$9,"EQY_FUND_CRNCY",$L$7,"StartCol",H$12,"EndCol",H$12,"StartRow",$B55,"EndRow",$B55),1)="#","",_xll.BDS(Ticker,"PG_GROSS_PROFIT","PG_HIERARCHY_LEVEL=1","NUMBER_OF_PERIODS=-11","REVERSE_PERIOD_ORDER=N","PRODUCT_GEO_OVERRIDE=P","FUND_PER",RIGHT($B$11,1),"ACCOUNTING_STANDARD_OVERRIDE",$H$7,"EQY_CONSOLIDATED",$H$9,"EQY_FUND_CRNCY",$L$7,"StartCol",H$12,"EndCol",H$12,"StartRow",$B55,"EndRow",$B55))</f>
        <v/>
      </c>
      <c r="I55" s="218" t="str">
        <f>IF(LEFT(_xll.BDS(Ticker,"PG_GROSS_PROFIT","PG_HIERARCHY_LEVEL=1","NUMBER_OF_PERIODS=-11","REVERSE_PERIOD_ORDER=N","PRODUCT_GEO_OVERRIDE=P","FUND_PER",RIGHT($B$11,1),"ACCOUNTING_STANDARD_OVERRIDE",$H$7,"EQY_CONSOLIDATED",$H$9,"EQY_FUND_CRNCY",$L$7,"StartCol",I$12,"EndCol",I$12,"StartRow",$B55,"EndRow",$B55),1)="#","",_xll.BDS(Ticker,"PG_GROSS_PROFIT","PG_HIERARCHY_LEVEL=1","NUMBER_OF_PERIODS=-11","REVERSE_PERIOD_ORDER=N","PRODUCT_GEO_OVERRIDE=P","FUND_PER",RIGHT($B$11,1),"ACCOUNTING_STANDARD_OVERRIDE",$H$7,"EQY_CONSOLIDATED",$H$9,"EQY_FUND_CRNCY",$L$7,"StartCol",I$12,"EndCol",I$12,"StartRow",$B55,"EndRow",$B55))</f>
        <v/>
      </c>
      <c r="J55" s="218" t="str">
        <f>IF(LEFT(_xll.BDS(Ticker,"PG_GROSS_PROFIT","PG_HIERARCHY_LEVEL=1","NUMBER_OF_PERIODS=-11","REVERSE_PERIOD_ORDER=N","PRODUCT_GEO_OVERRIDE=P","FUND_PER",RIGHT($B$11,1),"ACCOUNTING_STANDARD_OVERRIDE",$H$7,"EQY_CONSOLIDATED",$H$9,"EQY_FUND_CRNCY",$L$7,"StartCol",J$12,"EndCol",J$12,"StartRow",$B55,"EndRow",$B55),1)="#","",_xll.BDS(Ticker,"PG_GROSS_PROFIT","PG_HIERARCHY_LEVEL=1","NUMBER_OF_PERIODS=-11","REVERSE_PERIOD_ORDER=N","PRODUCT_GEO_OVERRIDE=P","FUND_PER",RIGHT($B$11,1),"ACCOUNTING_STANDARD_OVERRIDE",$H$7,"EQY_CONSOLIDATED",$H$9,"EQY_FUND_CRNCY",$L$7,"StartCol",J$12,"EndCol",J$12,"StartRow",$B55,"EndRow",$B55))</f>
        <v/>
      </c>
      <c r="K55" s="218" t="str">
        <f>IF(LEFT(_xll.BDS(Ticker,"PG_GROSS_PROFIT","PG_HIERARCHY_LEVEL=1","NUMBER_OF_PERIODS=-11","REVERSE_PERIOD_ORDER=N","PRODUCT_GEO_OVERRIDE=P","FUND_PER",RIGHT($B$11,1),"ACCOUNTING_STANDARD_OVERRIDE",$H$7,"EQY_CONSOLIDATED",$H$9,"EQY_FUND_CRNCY",$L$7,"StartCol",K$12,"EndCol",K$12,"StartRow",$B55,"EndRow",$B55),1)="#","",_xll.BDS(Ticker,"PG_GROSS_PROFIT","PG_HIERARCHY_LEVEL=1","NUMBER_OF_PERIODS=-11","REVERSE_PERIOD_ORDER=N","PRODUCT_GEO_OVERRIDE=P","FUND_PER",RIGHT($B$11,1),"ACCOUNTING_STANDARD_OVERRIDE",$H$7,"EQY_CONSOLIDATED",$H$9,"EQY_FUND_CRNCY",$L$7,"StartCol",K$12,"EndCol",K$12,"StartRow",$B55,"EndRow",$B55))</f>
        <v/>
      </c>
      <c r="L55" s="218" t="str">
        <f>IF(LEFT(_xll.BDS(Ticker,"PG_GROSS_PROFIT","PG_HIERARCHY_LEVEL=1","NUMBER_OF_PERIODS=-11","REVERSE_PERIOD_ORDER=N","PRODUCT_GEO_OVERRIDE=P","FUND_PER",RIGHT($B$11,1),"ACCOUNTING_STANDARD_OVERRIDE",$H$7,"EQY_CONSOLIDATED",$H$9,"EQY_FUND_CRNCY",$L$7,"StartCol",L$12,"EndCol",L$12,"StartRow",$B55,"EndRow",$B55),1)="#","",_xll.BDS(Ticker,"PG_GROSS_PROFIT","PG_HIERARCHY_LEVEL=1","NUMBER_OF_PERIODS=-11","REVERSE_PERIOD_ORDER=N","PRODUCT_GEO_OVERRIDE=P","FUND_PER",RIGHT($B$11,1),"ACCOUNTING_STANDARD_OVERRIDE",$H$7,"EQY_CONSOLIDATED",$H$9,"EQY_FUND_CRNCY",$L$7,"StartCol",L$12,"EndCol",L$12,"StartRow",$B55,"EndRow",$B55))</f>
        <v/>
      </c>
      <c r="M55" s="218" t="str">
        <f>IF(LEFT(_xll.BDS(Ticker,"PG_GROSS_PROFIT","PG_HIERARCHY_LEVEL=1","NUMBER_OF_PERIODS=-11","REVERSE_PERIOD_ORDER=N","PRODUCT_GEO_OVERRIDE=P","FUND_PER",RIGHT($B$11,1),"ACCOUNTING_STANDARD_OVERRIDE",$H$7,"EQY_CONSOLIDATED",$H$9,"EQY_FUND_CRNCY",$L$7,"StartCol",M$12,"EndCol",M$12,"StartRow",$B55,"EndRow",$B55),1)="#","",_xll.BDS(Ticker,"PG_GROSS_PROFIT","PG_HIERARCHY_LEVEL=1","NUMBER_OF_PERIODS=-11","REVERSE_PERIOD_ORDER=N","PRODUCT_GEO_OVERRIDE=P","FUND_PER",RIGHT($B$11,1),"ACCOUNTING_STANDARD_OVERRIDE",$H$7,"EQY_CONSOLIDATED",$H$9,"EQY_FUND_CRNCY",$L$7,"StartCol",M$12,"EndCol",M$12,"StartRow",$B55,"EndRow",$B55))</f>
        <v/>
      </c>
      <c r="N55" s="218" t="str">
        <f>IF(LEFT(_xll.BDS(Ticker,"PG_GROSS_PROFIT","PG_HIERARCHY_LEVEL=1","NUMBER_OF_PERIODS=-11","REVERSE_PERIOD_ORDER=N","PRODUCT_GEO_OVERRIDE=P","FUND_PER",RIGHT($B$11,1),"ACCOUNTING_STANDARD_OVERRIDE",$H$7,"EQY_CONSOLIDATED",$H$9,"EQY_FUND_CRNCY",$L$7,"StartCol",N$12,"EndCol",N$12,"StartRow",$B55,"EndRow",$B55),1)="#","",_xll.BDS(Ticker,"PG_GROSS_PROFIT","PG_HIERARCHY_LEVEL=1","NUMBER_OF_PERIODS=-11","REVERSE_PERIOD_ORDER=N","PRODUCT_GEO_OVERRIDE=P","FUND_PER",RIGHT($B$11,1),"ACCOUNTING_STANDARD_OVERRIDE",$H$7,"EQY_CONSOLIDATED",$H$9,"EQY_FUND_CRNCY",$L$7,"StartCol",N$12,"EndCol",N$12,"StartRow",$B55,"EndRow",$B55))</f>
        <v/>
      </c>
    </row>
    <row r="56" spans="2:14" hidden="1" outlineLevel="1">
      <c r="B56" s="214"/>
      <c r="C56" s="205"/>
      <c r="D56" s="204"/>
      <c r="E56" s="204"/>
      <c r="F56" s="204"/>
      <c r="G56" s="204"/>
      <c r="H56" s="204"/>
      <c r="I56" s="204"/>
      <c r="J56" s="204"/>
      <c r="K56" s="204"/>
      <c r="L56" s="204"/>
      <c r="M56" s="204"/>
      <c r="N56" s="204"/>
    </row>
    <row r="57" spans="2:14" hidden="1" outlineLevel="1">
      <c r="B57" s="220"/>
      <c r="C57" s="233" t="s">
        <v>182</v>
      </c>
      <c r="D57"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57"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57"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57"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57"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57"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57"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57"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57"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57"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57"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58" spans="2:14" hidden="1" outlineLevel="1">
      <c r="B58" s="222"/>
      <c r="C58" s="233" t="s">
        <v>357</v>
      </c>
      <c r="D58" s="231" t="str">
        <f>IF(LEFT(_xll.BDP(Ticker,"LATEST_PERIOD_END_DT_FULL_RECORD","EQY_FUND_RELATIVE_PERIOD",D$11,"EQY_CONSOLIDATED",$H$9),1)="#","--",_xll.BDP(Ticker,"LATEST_PERIOD_END_DT_FULL_RECORD","EQY_FUND_RELATIVE_PERIOD",D$11,"EQY_CONSOLIDATED",$H$9))</f>
        <v>12/31/2008</v>
      </c>
      <c r="E58" s="231" t="str">
        <f>IF(LEFT(_xll.BDP(Ticker,"LATEST_PERIOD_END_DT_FULL_RECORD","EQY_FUND_RELATIVE_PERIOD",E$11,"EQY_CONSOLIDATED",$H$9),1)="#","--",_xll.BDP(Ticker,"LATEST_PERIOD_END_DT_FULL_RECORD","EQY_FUND_RELATIVE_PERIOD",E$11,"EQY_CONSOLIDATED",$H$9))</f>
        <v>12/31/2009</v>
      </c>
      <c r="F58" s="231" t="str">
        <f>IF(LEFT(_xll.BDP(Ticker,"LATEST_PERIOD_END_DT_FULL_RECORD","EQY_FUND_RELATIVE_PERIOD",F$11,"EQY_CONSOLIDATED",$H$9),1)="#","--",_xll.BDP(Ticker,"LATEST_PERIOD_END_DT_FULL_RECORD","EQY_FUND_RELATIVE_PERIOD",F$11,"EQY_CONSOLIDATED",$H$9))</f>
        <v>12/31/2010</v>
      </c>
      <c r="G58" s="231" t="str">
        <f>IF(LEFT(_xll.BDP(Ticker,"LATEST_PERIOD_END_DT_FULL_RECORD","EQY_FUND_RELATIVE_PERIOD",G$11,"EQY_CONSOLIDATED",$H$9),1)="#","--",_xll.BDP(Ticker,"LATEST_PERIOD_END_DT_FULL_RECORD","EQY_FUND_RELATIVE_PERIOD",G$11,"EQY_CONSOLIDATED",$H$9))</f>
        <v>12/31/2011</v>
      </c>
      <c r="H58" s="231" t="str">
        <f>IF(LEFT(_xll.BDP(Ticker,"LATEST_PERIOD_END_DT_FULL_RECORD","EQY_FUND_RELATIVE_PERIOD",H$11,"EQY_CONSOLIDATED",$H$9),1)="#","--",_xll.BDP(Ticker,"LATEST_PERIOD_END_DT_FULL_RECORD","EQY_FUND_RELATIVE_PERIOD",H$11,"EQY_CONSOLIDATED",$H$9))</f>
        <v>12/31/2012</v>
      </c>
      <c r="I58" s="231" t="str">
        <f>IF(LEFT(_xll.BDP(Ticker,"LATEST_PERIOD_END_DT_FULL_RECORD","EQY_FUND_RELATIVE_PERIOD",I$11,"EQY_CONSOLIDATED",$H$9),1)="#","--",_xll.BDP(Ticker,"LATEST_PERIOD_END_DT_FULL_RECORD","EQY_FUND_RELATIVE_PERIOD",I$11,"EQY_CONSOLIDATED",$H$9))</f>
        <v>12/31/2013</v>
      </c>
      <c r="J58" s="231" t="str">
        <f>IF(LEFT(_xll.BDP(Ticker,"LATEST_PERIOD_END_DT_FULL_RECORD","EQY_FUND_RELATIVE_PERIOD",J$11,"EQY_CONSOLIDATED",$H$9),1)="#","--",_xll.BDP(Ticker,"LATEST_PERIOD_END_DT_FULL_RECORD","EQY_FUND_RELATIVE_PERIOD",J$11,"EQY_CONSOLIDATED",$H$9))</f>
        <v>12/31/2014</v>
      </c>
      <c r="K58" s="231" t="str">
        <f>IF(LEFT(_xll.BDP(Ticker,"LATEST_PERIOD_END_DT_FULL_RECORD","EQY_FUND_RELATIVE_PERIOD",K$11,"EQY_CONSOLIDATED",$H$9),1)="#","--",_xll.BDP(Ticker,"LATEST_PERIOD_END_DT_FULL_RECORD","EQY_FUND_RELATIVE_PERIOD",K$11,"EQY_CONSOLIDATED",$H$9))</f>
        <v>12/31/2015</v>
      </c>
      <c r="L58" s="231" t="str">
        <f>IF(LEFT(_xll.BDP(Ticker,"LATEST_PERIOD_END_DT_FULL_RECORD","EQY_FUND_RELATIVE_PERIOD",L$11,"EQY_CONSOLIDATED",$H$9),1)="#","--",_xll.BDP(Ticker,"LATEST_PERIOD_END_DT_FULL_RECORD","EQY_FUND_RELATIVE_PERIOD",L$11,"EQY_CONSOLIDATED",$H$9))</f>
        <v>12/31/2016</v>
      </c>
      <c r="M58" s="231" t="str">
        <f>IF(LEFT(_xll.BDP(Ticker,"LATEST_PERIOD_END_DT_FULL_RECORD","EQY_FUND_RELATIVE_PERIOD",M$11,"EQY_CONSOLIDATED",$H$9),1)="#","--",_xll.BDP(Ticker,"LATEST_PERIOD_END_DT_FULL_RECORD","EQY_FUND_RELATIVE_PERIOD",M$11,"EQY_CONSOLIDATED",$H$9))</f>
        <v>12/31/2017</v>
      </c>
      <c r="N58" s="231" t="str">
        <f>IF(LEFT(_xll.BDP(Ticker,"LATEST_PERIOD_END_DT_FULL_RECORD","EQY_FUND_RELATIVE_PERIOD",N$11,"EQY_CONSOLIDATED",$H$9),1)="#","--",_xll.BDP(Ticker,"LATEST_PERIOD_END_DT_FULL_RECORD","EQY_FUND_RELATIVE_PERIOD",N$11,"EQY_CONSOLIDATED",$H$9))</f>
        <v>12/31/2018</v>
      </c>
    </row>
    <row r="59" spans="2:14" hidden="1" outlineLevel="1">
      <c r="B59" s="213"/>
      <c r="C59" s="203" t="s">
        <v>182</v>
      </c>
      <c r="D59" s="275" t="str">
        <f t="shared" ref="D59:I59" si="2">IF(LEN(D60),SUM(D60:D69),"")</f>
        <v/>
      </c>
      <c r="E59" s="275" t="str">
        <f t="shared" si="2"/>
        <v/>
      </c>
      <c r="F59" s="275" t="str">
        <f t="shared" si="2"/>
        <v/>
      </c>
      <c r="G59" s="275" t="str">
        <f t="shared" si="2"/>
        <v/>
      </c>
      <c r="H59" s="275" t="str">
        <f t="shared" si="2"/>
        <v/>
      </c>
      <c r="I59" s="275" t="str">
        <f t="shared" si="2"/>
        <v/>
      </c>
      <c r="J59" s="275" t="str">
        <f>IF(LEN(J60),SUM(J60:J69),"")</f>
        <v/>
      </c>
      <c r="K59" s="275" t="str">
        <f>IF(LEN(K60),SUM(K60:K69),"")</f>
        <v/>
      </c>
      <c r="L59" s="275" t="str">
        <f>IF(LEN(L60),SUM(L60:L69),"")</f>
        <v/>
      </c>
      <c r="M59" s="275" t="str">
        <f>IF(LEN(M60),SUM(M60:M69),"")</f>
        <v/>
      </c>
      <c r="N59" s="275" t="str">
        <f>IF(LEN(N60),SUM(N60:N69),"")</f>
        <v/>
      </c>
    </row>
    <row r="60" spans="2:14" hidden="1" outlineLevel="1">
      <c r="B60" s="214">
        <v>1</v>
      </c>
      <c r="C60" s="216" t="str">
        <f>IF(LEFT(_xll.BDS(Ticker,"PG_GROSS_PROFIT","PG_HIERARCHY_LEVEL=1","NUMBER_OF_PERIODS=-11","REVERSE_PERIOD_ORDER=N","PRODUCT_GEO_OVERRIDE=G","FUND_PER",RIGHT($B$11,1),"ACCOUNTING_STANDARD_OVERRIDE",$H$7,"EQY_CONSOLIDATED",$H$9,"EQY_FUND_CRNCY",$L$7,"StartCol",C$12,"EndCol",C$12,"StartRow",$B60,"EndRow",$B60),1)="#","",_xll.BDS(Ticker,"PG_GROSS_PROFIT","PG_HIERARCHY_LEVEL=1","NUMBER_OF_PERIODS=-11","REVERSE_PERIOD_ORDER=N","PRODUCT_GEO_OVERRIDE=G","FUND_PER",RIGHT($B$11,1),"ACCOUNTING_STANDARD_OVERRIDE",$H$7,"EQY_CONSOLIDATED",$H$9,"EQY_FUND_CRNCY",$L$7,"StartCol",C$12,"EndCol",C$12,"StartRow",$B60,"EndRow",$B60))</f>
        <v/>
      </c>
      <c r="D60" s="218" t="str">
        <f>IF(LEFT(_xll.BDS(Ticker,"PG_GROSS_PROFIT","PG_HIERARCHY_LEVEL=1","NUMBER_OF_PERIODS=-11","REVERSE_PERIOD_ORDER=N","PRODUCT_GEO_OVERRIDE=G","FUND_PER",RIGHT($B$11,1),"ACCOUNTING_STANDARD_OVERRIDE",$H$7,"EQY_CONSOLIDATED",$H$9,"EQY_FUND_CRNCY",$L$7,"StartCol",D$12,"EndCol",D$12,"StartRow",$B60,"EndRow",$B60),1)="#","",_xll.BDS(Ticker,"PG_GROSS_PROFIT","PG_HIERARCHY_LEVEL=1","NUMBER_OF_PERIODS=-11","REVERSE_PERIOD_ORDER=N","PRODUCT_GEO_OVERRIDE=G","FUND_PER",RIGHT($B$11,1),"ACCOUNTING_STANDARD_OVERRIDE",$H$7,"EQY_CONSOLIDATED",$H$9,"EQY_FUND_CRNCY",$L$7,"StartCol",D$12,"EndCol",D$12,"StartRow",$B60,"EndRow",$B60))</f>
        <v/>
      </c>
      <c r="E60" s="218" t="str">
        <f>IF(LEFT(_xll.BDS(Ticker,"PG_GROSS_PROFIT","PG_HIERARCHY_LEVEL=1","NUMBER_OF_PERIODS=-11","REVERSE_PERIOD_ORDER=N","PRODUCT_GEO_OVERRIDE=G","FUND_PER",RIGHT($B$11,1),"ACCOUNTING_STANDARD_OVERRIDE",$H$7,"EQY_CONSOLIDATED",$H$9,"EQY_FUND_CRNCY",$L$7,"StartCol",E$12,"EndCol",E$12,"StartRow",$B60,"EndRow",$B60),1)="#","",_xll.BDS(Ticker,"PG_GROSS_PROFIT","PG_HIERARCHY_LEVEL=1","NUMBER_OF_PERIODS=-11","REVERSE_PERIOD_ORDER=N","PRODUCT_GEO_OVERRIDE=G","FUND_PER",RIGHT($B$11,1),"ACCOUNTING_STANDARD_OVERRIDE",$H$7,"EQY_CONSOLIDATED",$H$9,"EQY_FUND_CRNCY",$L$7,"StartCol",E$12,"EndCol",E$12,"StartRow",$B60,"EndRow",$B60))</f>
        <v/>
      </c>
      <c r="F60" s="218" t="str">
        <f>IF(LEFT(_xll.BDS(Ticker,"PG_GROSS_PROFIT","PG_HIERARCHY_LEVEL=1","NUMBER_OF_PERIODS=-11","REVERSE_PERIOD_ORDER=N","PRODUCT_GEO_OVERRIDE=G","FUND_PER",RIGHT($B$11,1),"ACCOUNTING_STANDARD_OVERRIDE",$H$7,"EQY_CONSOLIDATED",$H$9,"EQY_FUND_CRNCY",$L$7,"StartCol",F$12,"EndCol",F$12,"StartRow",$B60,"EndRow",$B60),1)="#","",_xll.BDS(Ticker,"PG_GROSS_PROFIT","PG_HIERARCHY_LEVEL=1","NUMBER_OF_PERIODS=-11","REVERSE_PERIOD_ORDER=N","PRODUCT_GEO_OVERRIDE=G","FUND_PER",RIGHT($B$11,1),"ACCOUNTING_STANDARD_OVERRIDE",$H$7,"EQY_CONSOLIDATED",$H$9,"EQY_FUND_CRNCY",$L$7,"StartCol",F$12,"EndCol",F$12,"StartRow",$B60,"EndRow",$B60))</f>
        <v/>
      </c>
      <c r="G60" s="218" t="str">
        <f>IF(LEFT(_xll.BDS(Ticker,"PG_GROSS_PROFIT","PG_HIERARCHY_LEVEL=1","NUMBER_OF_PERIODS=-11","REVERSE_PERIOD_ORDER=N","PRODUCT_GEO_OVERRIDE=G","FUND_PER",RIGHT($B$11,1),"ACCOUNTING_STANDARD_OVERRIDE",$H$7,"EQY_CONSOLIDATED",$H$9,"EQY_FUND_CRNCY",$L$7,"StartCol",G$12,"EndCol",G$12,"StartRow",$B60,"EndRow",$B60),1)="#","",_xll.BDS(Ticker,"PG_GROSS_PROFIT","PG_HIERARCHY_LEVEL=1","NUMBER_OF_PERIODS=-11","REVERSE_PERIOD_ORDER=N","PRODUCT_GEO_OVERRIDE=G","FUND_PER",RIGHT($B$11,1),"ACCOUNTING_STANDARD_OVERRIDE",$H$7,"EQY_CONSOLIDATED",$H$9,"EQY_FUND_CRNCY",$L$7,"StartCol",G$12,"EndCol",G$12,"StartRow",$B60,"EndRow",$B60))</f>
        <v/>
      </c>
      <c r="H60" s="624" t="str">
        <f>IF(LEFT(_xll.BDS(Ticker,"PG_GROSS_PROFIT","PG_HIERARCHY_LEVEL=1","NUMBER_OF_PERIODS=-11","REVERSE_PERIOD_ORDER=N","PRODUCT_GEO_OVERRIDE=G","FUND_PER",RIGHT($B$11,1),"ACCOUNTING_STANDARD_OVERRIDE",$H$7,"EQY_CONSOLIDATED",$H$9,"EQY_FUND_CRNCY",$L$7,"StartCol",H$12,"EndCol",H$12,"StartRow",$B60,"EndRow",$B60),1)="#","",_xll.BDS(Ticker,"PG_GROSS_PROFIT","PG_HIERARCHY_LEVEL=1","NUMBER_OF_PERIODS=-11","REVERSE_PERIOD_ORDER=N","PRODUCT_GEO_OVERRIDE=G","FUND_PER",RIGHT($B$11,1),"ACCOUNTING_STANDARD_OVERRIDE",$H$7,"EQY_CONSOLIDATED",$H$9,"EQY_FUND_CRNCY",$L$7,"StartCol",H$12,"EndCol",H$12,"StartRow",$B60,"EndRow",$B60))</f>
        <v/>
      </c>
      <c r="I60" s="218" t="str">
        <f>IF(LEFT(_xll.BDS(Ticker,"PG_GROSS_PROFIT","PG_HIERARCHY_LEVEL=1","NUMBER_OF_PERIODS=-11","REVERSE_PERIOD_ORDER=N","PRODUCT_GEO_OVERRIDE=G","FUND_PER",RIGHT($B$11,1),"ACCOUNTING_STANDARD_OVERRIDE",$H$7,"EQY_CONSOLIDATED",$H$9,"EQY_FUND_CRNCY",$L$7,"StartCol",I$12,"EndCol",I$12,"StartRow",$B60,"EndRow",$B60),1)="#","",_xll.BDS(Ticker,"PG_GROSS_PROFIT","PG_HIERARCHY_LEVEL=1","NUMBER_OF_PERIODS=-11","REVERSE_PERIOD_ORDER=N","PRODUCT_GEO_OVERRIDE=G","FUND_PER",RIGHT($B$11,1),"ACCOUNTING_STANDARD_OVERRIDE",$H$7,"EQY_CONSOLIDATED",$H$9,"EQY_FUND_CRNCY",$L$7,"StartCol",I$12,"EndCol",I$12,"StartRow",$B60,"EndRow",$B60))</f>
        <v/>
      </c>
      <c r="J60" s="218" t="str">
        <f>IF(LEFT(_xll.BDS(Ticker,"PG_GROSS_PROFIT","PG_HIERARCHY_LEVEL=1","NUMBER_OF_PERIODS=-11","REVERSE_PERIOD_ORDER=N","PRODUCT_GEO_OVERRIDE=G","FUND_PER",RIGHT($B$11,1),"ACCOUNTING_STANDARD_OVERRIDE",$H$7,"EQY_CONSOLIDATED",$H$9,"EQY_FUND_CRNCY",$L$7,"StartCol",J$12,"EndCol",J$12,"StartRow",$B60,"EndRow",$B60),1)="#","",_xll.BDS(Ticker,"PG_GROSS_PROFIT","PG_HIERARCHY_LEVEL=1","NUMBER_OF_PERIODS=-11","REVERSE_PERIOD_ORDER=N","PRODUCT_GEO_OVERRIDE=G","FUND_PER",RIGHT($B$11,1),"ACCOUNTING_STANDARD_OVERRIDE",$H$7,"EQY_CONSOLIDATED",$H$9,"EQY_FUND_CRNCY",$L$7,"StartCol",J$12,"EndCol",J$12,"StartRow",$B60,"EndRow",$B60))</f>
        <v/>
      </c>
      <c r="K60" s="218" t="str">
        <f>IF(LEFT(_xll.BDS(Ticker,"PG_GROSS_PROFIT","PG_HIERARCHY_LEVEL=1","NUMBER_OF_PERIODS=-11","REVERSE_PERIOD_ORDER=N","PRODUCT_GEO_OVERRIDE=G","FUND_PER",RIGHT($B$11,1),"ACCOUNTING_STANDARD_OVERRIDE",$H$7,"EQY_CONSOLIDATED",$H$9,"EQY_FUND_CRNCY",$L$7,"StartCol",K$12,"EndCol",K$12,"StartRow",$B60,"EndRow",$B60),1)="#","",_xll.BDS(Ticker,"PG_GROSS_PROFIT","PG_HIERARCHY_LEVEL=1","NUMBER_OF_PERIODS=-11","REVERSE_PERIOD_ORDER=N","PRODUCT_GEO_OVERRIDE=G","FUND_PER",RIGHT($B$11,1),"ACCOUNTING_STANDARD_OVERRIDE",$H$7,"EQY_CONSOLIDATED",$H$9,"EQY_FUND_CRNCY",$L$7,"StartCol",K$12,"EndCol",K$12,"StartRow",$B60,"EndRow",$B60))</f>
        <v/>
      </c>
      <c r="L60" s="218" t="str">
        <f>IF(LEFT(_xll.BDS(Ticker,"PG_GROSS_PROFIT","PG_HIERARCHY_LEVEL=1","NUMBER_OF_PERIODS=-11","REVERSE_PERIOD_ORDER=N","PRODUCT_GEO_OVERRIDE=G","FUND_PER",RIGHT($B$11,1),"ACCOUNTING_STANDARD_OVERRIDE",$H$7,"EQY_CONSOLIDATED",$H$9,"EQY_FUND_CRNCY",$L$7,"StartCol",L$12,"EndCol",L$12,"StartRow",$B60,"EndRow",$B60),1)="#","",_xll.BDS(Ticker,"PG_GROSS_PROFIT","PG_HIERARCHY_LEVEL=1","NUMBER_OF_PERIODS=-11","REVERSE_PERIOD_ORDER=N","PRODUCT_GEO_OVERRIDE=G","FUND_PER",RIGHT($B$11,1),"ACCOUNTING_STANDARD_OVERRIDE",$H$7,"EQY_CONSOLIDATED",$H$9,"EQY_FUND_CRNCY",$L$7,"StartCol",L$12,"EndCol",L$12,"StartRow",$B60,"EndRow",$B60))</f>
        <v/>
      </c>
      <c r="M60" s="218" t="str">
        <f>IF(LEFT(_xll.BDS(Ticker,"PG_GROSS_PROFIT","PG_HIERARCHY_LEVEL=1","NUMBER_OF_PERIODS=-11","REVERSE_PERIOD_ORDER=N","PRODUCT_GEO_OVERRIDE=G","FUND_PER",RIGHT($B$11,1),"ACCOUNTING_STANDARD_OVERRIDE",$H$7,"EQY_CONSOLIDATED",$H$9,"EQY_FUND_CRNCY",$L$7,"StartCol",M$12,"EndCol",M$12,"StartRow",$B60,"EndRow",$B60),1)="#","",_xll.BDS(Ticker,"PG_GROSS_PROFIT","PG_HIERARCHY_LEVEL=1","NUMBER_OF_PERIODS=-11","REVERSE_PERIOD_ORDER=N","PRODUCT_GEO_OVERRIDE=G","FUND_PER",RIGHT($B$11,1),"ACCOUNTING_STANDARD_OVERRIDE",$H$7,"EQY_CONSOLIDATED",$H$9,"EQY_FUND_CRNCY",$L$7,"StartCol",M$12,"EndCol",M$12,"StartRow",$B60,"EndRow",$B60))</f>
        <v/>
      </c>
      <c r="N60" s="218" t="str">
        <f>IF(LEFT(_xll.BDS(Ticker,"PG_GROSS_PROFIT","PG_HIERARCHY_LEVEL=1","NUMBER_OF_PERIODS=-11","REVERSE_PERIOD_ORDER=N","PRODUCT_GEO_OVERRIDE=G","FUND_PER",RIGHT($B$11,1),"ACCOUNTING_STANDARD_OVERRIDE",$H$7,"EQY_CONSOLIDATED",$H$9,"EQY_FUND_CRNCY",$L$7,"StartCol",N$12,"EndCol",N$12,"StartRow",$B60,"EndRow",$B60),1)="#","",_xll.BDS(Ticker,"PG_GROSS_PROFIT","PG_HIERARCHY_LEVEL=1","NUMBER_OF_PERIODS=-11","REVERSE_PERIOD_ORDER=N","PRODUCT_GEO_OVERRIDE=G","FUND_PER",RIGHT($B$11,1),"ACCOUNTING_STANDARD_OVERRIDE",$H$7,"EQY_CONSOLIDATED",$H$9,"EQY_FUND_CRNCY",$L$7,"StartCol",N$12,"EndCol",N$12,"StartRow",$B60,"EndRow",$B60))</f>
        <v/>
      </c>
    </row>
    <row r="61" spans="2:14" hidden="1" outlineLevel="1">
      <c r="B61" s="214">
        <v>2</v>
      </c>
      <c r="C61" s="216" t="str">
        <f>IF(LEFT(_xll.BDS(Ticker,"PG_GROSS_PROFIT","PG_HIERARCHY_LEVEL=1","NUMBER_OF_PERIODS=-11","REVERSE_PERIOD_ORDER=N","PRODUCT_GEO_OVERRIDE=G","FUND_PER",RIGHT($B$11,1),"ACCOUNTING_STANDARD_OVERRIDE",$H$7,"EQY_CONSOLIDATED",$H$9,"EQY_FUND_CRNCY",$L$7,"StartCol",C$12,"EndCol",C$12,"StartRow",$B61,"EndRow",$B61),1)="#","",_xll.BDS(Ticker,"PG_GROSS_PROFIT","PG_HIERARCHY_LEVEL=1","NUMBER_OF_PERIODS=-11","REVERSE_PERIOD_ORDER=N","PRODUCT_GEO_OVERRIDE=G","FUND_PER",RIGHT($B$11,1),"ACCOUNTING_STANDARD_OVERRIDE",$H$7,"EQY_CONSOLIDATED",$H$9,"EQY_FUND_CRNCY",$L$7,"StartCol",C$12,"EndCol",C$12,"StartRow",$B61,"EndRow",$B61))</f>
        <v/>
      </c>
      <c r="D61" s="218" t="str">
        <f>IF(LEFT(_xll.BDS(Ticker,"PG_GROSS_PROFIT","PG_HIERARCHY_LEVEL=1","NUMBER_OF_PERIODS=-11","REVERSE_PERIOD_ORDER=N","PRODUCT_GEO_OVERRIDE=G","FUND_PER",RIGHT($B$11,1),"ACCOUNTING_STANDARD_OVERRIDE",$H$7,"EQY_CONSOLIDATED",$H$9,"EQY_FUND_CRNCY",$L$7,"StartCol",D$12,"EndCol",D$12,"StartRow",$B61,"EndRow",$B61),1)="#","",_xll.BDS(Ticker,"PG_GROSS_PROFIT","PG_HIERARCHY_LEVEL=1","NUMBER_OF_PERIODS=-11","REVERSE_PERIOD_ORDER=N","PRODUCT_GEO_OVERRIDE=G","FUND_PER",RIGHT($B$11,1),"ACCOUNTING_STANDARD_OVERRIDE",$H$7,"EQY_CONSOLIDATED",$H$9,"EQY_FUND_CRNCY",$L$7,"StartCol",D$12,"EndCol",D$12,"StartRow",$B61,"EndRow",$B61))</f>
        <v/>
      </c>
      <c r="E61" s="218" t="str">
        <f>IF(LEFT(_xll.BDS(Ticker,"PG_GROSS_PROFIT","PG_HIERARCHY_LEVEL=1","NUMBER_OF_PERIODS=-11","REVERSE_PERIOD_ORDER=N","PRODUCT_GEO_OVERRIDE=G","FUND_PER",RIGHT($B$11,1),"ACCOUNTING_STANDARD_OVERRIDE",$H$7,"EQY_CONSOLIDATED",$H$9,"EQY_FUND_CRNCY",$L$7,"StartCol",E$12,"EndCol",E$12,"StartRow",$B61,"EndRow",$B61),1)="#","",_xll.BDS(Ticker,"PG_GROSS_PROFIT","PG_HIERARCHY_LEVEL=1","NUMBER_OF_PERIODS=-11","REVERSE_PERIOD_ORDER=N","PRODUCT_GEO_OVERRIDE=G","FUND_PER",RIGHT($B$11,1),"ACCOUNTING_STANDARD_OVERRIDE",$H$7,"EQY_CONSOLIDATED",$H$9,"EQY_FUND_CRNCY",$L$7,"StartCol",E$12,"EndCol",E$12,"StartRow",$B61,"EndRow",$B61))</f>
        <v/>
      </c>
      <c r="F61" s="218" t="str">
        <f>IF(LEFT(_xll.BDS(Ticker,"PG_GROSS_PROFIT","PG_HIERARCHY_LEVEL=1","NUMBER_OF_PERIODS=-11","REVERSE_PERIOD_ORDER=N","PRODUCT_GEO_OVERRIDE=G","FUND_PER",RIGHT($B$11,1),"ACCOUNTING_STANDARD_OVERRIDE",$H$7,"EQY_CONSOLIDATED",$H$9,"EQY_FUND_CRNCY",$L$7,"StartCol",F$12,"EndCol",F$12,"StartRow",$B61,"EndRow",$B61),1)="#","",_xll.BDS(Ticker,"PG_GROSS_PROFIT","PG_HIERARCHY_LEVEL=1","NUMBER_OF_PERIODS=-11","REVERSE_PERIOD_ORDER=N","PRODUCT_GEO_OVERRIDE=G","FUND_PER",RIGHT($B$11,1),"ACCOUNTING_STANDARD_OVERRIDE",$H$7,"EQY_CONSOLIDATED",$H$9,"EQY_FUND_CRNCY",$L$7,"StartCol",F$12,"EndCol",F$12,"StartRow",$B61,"EndRow",$B61))</f>
        <v/>
      </c>
      <c r="G61" s="218" t="str">
        <f>IF(LEFT(_xll.BDS(Ticker,"PG_GROSS_PROFIT","PG_HIERARCHY_LEVEL=1","NUMBER_OF_PERIODS=-11","REVERSE_PERIOD_ORDER=N","PRODUCT_GEO_OVERRIDE=G","FUND_PER",RIGHT($B$11,1),"ACCOUNTING_STANDARD_OVERRIDE",$H$7,"EQY_CONSOLIDATED",$H$9,"EQY_FUND_CRNCY",$L$7,"StartCol",G$12,"EndCol",G$12,"StartRow",$B61,"EndRow",$B61),1)="#","",_xll.BDS(Ticker,"PG_GROSS_PROFIT","PG_HIERARCHY_LEVEL=1","NUMBER_OF_PERIODS=-11","REVERSE_PERIOD_ORDER=N","PRODUCT_GEO_OVERRIDE=G","FUND_PER",RIGHT($B$11,1),"ACCOUNTING_STANDARD_OVERRIDE",$H$7,"EQY_CONSOLIDATED",$H$9,"EQY_FUND_CRNCY",$L$7,"StartCol",G$12,"EndCol",G$12,"StartRow",$B61,"EndRow",$B61))</f>
        <v/>
      </c>
      <c r="H61" s="218" t="str">
        <f>IF(LEFT(_xll.BDS(Ticker,"PG_GROSS_PROFIT","PG_HIERARCHY_LEVEL=1","NUMBER_OF_PERIODS=-11","REVERSE_PERIOD_ORDER=N","PRODUCT_GEO_OVERRIDE=G","FUND_PER",RIGHT($B$11,1),"ACCOUNTING_STANDARD_OVERRIDE",$H$7,"EQY_CONSOLIDATED",$H$9,"EQY_FUND_CRNCY",$L$7,"StartCol",H$12,"EndCol",H$12,"StartRow",$B61,"EndRow",$B61),1)="#","",_xll.BDS(Ticker,"PG_GROSS_PROFIT","PG_HIERARCHY_LEVEL=1","NUMBER_OF_PERIODS=-11","REVERSE_PERIOD_ORDER=N","PRODUCT_GEO_OVERRIDE=G","FUND_PER",RIGHT($B$11,1),"ACCOUNTING_STANDARD_OVERRIDE",$H$7,"EQY_CONSOLIDATED",$H$9,"EQY_FUND_CRNCY",$L$7,"StartCol",H$12,"EndCol",H$12,"StartRow",$B61,"EndRow",$B61))</f>
        <v/>
      </c>
      <c r="I61" s="218" t="str">
        <f>IF(LEFT(_xll.BDS(Ticker,"PG_GROSS_PROFIT","PG_HIERARCHY_LEVEL=1","NUMBER_OF_PERIODS=-11","REVERSE_PERIOD_ORDER=N","PRODUCT_GEO_OVERRIDE=G","FUND_PER",RIGHT($B$11,1),"ACCOUNTING_STANDARD_OVERRIDE",$H$7,"EQY_CONSOLIDATED",$H$9,"EQY_FUND_CRNCY",$L$7,"StartCol",I$12,"EndCol",I$12,"StartRow",$B61,"EndRow",$B61),1)="#","",_xll.BDS(Ticker,"PG_GROSS_PROFIT","PG_HIERARCHY_LEVEL=1","NUMBER_OF_PERIODS=-11","REVERSE_PERIOD_ORDER=N","PRODUCT_GEO_OVERRIDE=G","FUND_PER",RIGHT($B$11,1),"ACCOUNTING_STANDARD_OVERRIDE",$H$7,"EQY_CONSOLIDATED",$H$9,"EQY_FUND_CRNCY",$L$7,"StartCol",I$12,"EndCol",I$12,"StartRow",$B61,"EndRow",$B61))</f>
        <v/>
      </c>
      <c r="J61" s="218" t="str">
        <f>IF(LEFT(_xll.BDS(Ticker,"PG_GROSS_PROFIT","PG_HIERARCHY_LEVEL=1","NUMBER_OF_PERIODS=-11","REVERSE_PERIOD_ORDER=N","PRODUCT_GEO_OVERRIDE=G","FUND_PER",RIGHT($B$11,1),"ACCOUNTING_STANDARD_OVERRIDE",$H$7,"EQY_CONSOLIDATED",$H$9,"EQY_FUND_CRNCY",$L$7,"StartCol",J$12,"EndCol",J$12,"StartRow",$B61,"EndRow",$B61),1)="#","",_xll.BDS(Ticker,"PG_GROSS_PROFIT","PG_HIERARCHY_LEVEL=1","NUMBER_OF_PERIODS=-11","REVERSE_PERIOD_ORDER=N","PRODUCT_GEO_OVERRIDE=G","FUND_PER",RIGHT($B$11,1),"ACCOUNTING_STANDARD_OVERRIDE",$H$7,"EQY_CONSOLIDATED",$H$9,"EQY_FUND_CRNCY",$L$7,"StartCol",J$12,"EndCol",J$12,"StartRow",$B61,"EndRow",$B61))</f>
        <v/>
      </c>
      <c r="K61" s="218" t="str">
        <f>IF(LEFT(_xll.BDS(Ticker,"PG_GROSS_PROFIT","PG_HIERARCHY_LEVEL=1","NUMBER_OF_PERIODS=-11","REVERSE_PERIOD_ORDER=N","PRODUCT_GEO_OVERRIDE=G","FUND_PER",RIGHT($B$11,1),"ACCOUNTING_STANDARD_OVERRIDE",$H$7,"EQY_CONSOLIDATED",$H$9,"EQY_FUND_CRNCY",$L$7,"StartCol",K$12,"EndCol",K$12,"StartRow",$B61,"EndRow",$B61),1)="#","",_xll.BDS(Ticker,"PG_GROSS_PROFIT","PG_HIERARCHY_LEVEL=1","NUMBER_OF_PERIODS=-11","REVERSE_PERIOD_ORDER=N","PRODUCT_GEO_OVERRIDE=G","FUND_PER",RIGHT($B$11,1),"ACCOUNTING_STANDARD_OVERRIDE",$H$7,"EQY_CONSOLIDATED",$H$9,"EQY_FUND_CRNCY",$L$7,"StartCol",K$12,"EndCol",K$12,"StartRow",$B61,"EndRow",$B61))</f>
        <v/>
      </c>
      <c r="L61" s="218" t="str">
        <f>IF(LEFT(_xll.BDS(Ticker,"PG_GROSS_PROFIT","PG_HIERARCHY_LEVEL=1","NUMBER_OF_PERIODS=-11","REVERSE_PERIOD_ORDER=N","PRODUCT_GEO_OVERRIDE=G","FUND_PER",RIGHT($B$11,1),"ACCOUNTING_STANDARD_OVERRIDE",$H$7,"EQY_CONSOLIDATED",$H$9,"EQY_FUND_CRNCY",$L$7,"StartCol",L$12,"EndCol",L$12,"StartRow",$B61,"EndRow",$B61),1)="#","",_xll.BDS(Ticker,"PG_GROSS_PROFIT","PG_HIERARCHY_LEVEL=1","NUMBER_OF_PERIODS=-11","REVERSE_PERIOD_ORDER=N","PRODUCT_GEO_OVERRIDE=G","FUND_PER",RIGHT($B$11,1),"ACCOUNTING_STANDARD_OVERRIDE",$H$7,"EQY_CONSOLIDATED",$H$9,"EQY_FUND_CRNCY",$L$7,"StartCol",L$12,"EndCol",L$12,"StartRow",$B61,"EndRow",$B61))</f>
        <v/>
      </c>
      <c r="M61" s="218" t="str">
        <f>IF(LEFT(_xll.BDS(Ticker,"PG_GROSS_PROFIT","PG_HIERARCHY_LEVEL=1","NUMBER_OF_PERIODS=-11","REVERSE_PERIOD_ORDER=N","PRODUCT_GEO_OVERRIDE=G","FUND_PER",RIGHT($B$11,1),"ACCOUNTING_STANDARD_OVERRIDE",$H$7,"EQY_CONSOLIDATED",$H$9,"EQY_FUND_CRNCY",$L$7,"StartCol",M$12,"EndCol",M$12,"StartRow",$B61,"EndRow",$B61),1)="#","",_xll.BDS(Ticker,"PG_GROSS_PROFIT","PG_HIERARCHY_LEVEL=1","NUMBER_OF_PERIODS=-11","REVERSE_PERIOD_ORDER=N","PRODUCT_GEO_OVERRIDE=G","FUND_PER",RIGHT($B$11,1),"ACCOUNTING_STANDARD_OVERRIDE",$H$7,"EQY_CONSOLIDATED",$H$9,"EQY_FUND_CRNCY",$L$7,"StartCol",M$12,"EndCol",M$12,"StartRow",$B61,"EndRow",$B61))</f>
        <v/>
      </c>
      <c r="N61" s="218" t="str">
        <f>IF(LEFT(_xll.BDS(Ticker,"PG_GROSS_PROFIT","PG_HIERARCHY_LEVEL=1","NUMBER_OF_PERIODS=-11","REVERSE_PERIOD_ORDER=N","PRODUCT_GEO_OVERRIDE=G","FUND_PER",RIGHT($B$11,1),"ACCOUNTING_STANDARD_OVERRIDE",$H$7,"EQY_CONSOLIDATED",$H$9,"EQY_FUND_CRNCY",$L$7,"StartCol",N$12,"EndCol",N$12,"StartRow",$B61,"EndRow",$B61),1)="#","",_xll.BDS(Ticker,"PG_GROSS_PROFIT","PG_HIERARCHY_LEVEL=1","NUMBER_OF_PERIODS=-11","REVERSE_PERIOD_ORDER=N","PRODUCT_GEO_OVERRIDE=G","FUND_PER",RIGHT($B$11,1),"ACCOUNTING_STANDARD_OVERRIDE",$H$7,"EQY_CONSOLIDATED",$H$9,"EQY_FUND_CRNCY",$L$7,"StartCol",N$12,"EndCol",N$12,"StartRow",$B61,"EndRow",$B61))</f>
        <v/>
      </c>
    </row>
    <row r="62" spans="2:14" hidden="1" outlineLevel="1">
      <c r="B62" s="214">
        <v>3</v>
      </c>
      <c r="C62" s="216" t="str">
        <f>IF(LEFT(_xll.BDS(Ticker,"PG_GROSS_PROFIT","PG_HIERARCHY_LEVEL=1","NUMBER_OF_PERIODS=-11","REVERSE_PERIOD_ORDER=N","PRODUCT_GEO_OVERRIDE=G","FUND_PER",RIGHT($B$11,1),"ACCOUNTING_STANDARD_OVERRIDE",$H$7,"EQY_CONSOLIDATED",$H$9,"EQY_FUND_CRNCY",$L$7,"StartCol",C$12,"EndCol",C$12,"StartRow",$B62,"EndRow",$B62),1)="#","",_xll.BDS(Ticker,"PG_GROSS_PROFIT","PG_HIERARCHY_LEVEL=1","NUMBER_OF_PERIODS=-11","REVERSE_PERIOD_ORDER=N","PRODUCT_GEO_OVERRIDE=G","FUND_PER",RIGHT($B$11,1),"ACCOUNTING_STANDARD_OVERRIDE",$H$7,"EQY_CONSOLIDATED",$H$9,"EQY_FUND_CRNCY",$L$7,"StartCol",C$12,"EndCol",C$12,"StartRow",$B62,"EndRow",$B62))</f>
        <v/>
      </c>
      <c r="D62" s="218" t="str">
        <f>IF(LEFT(_xll.BDS(Ticker,"PG_GROSS_PROFIT","PG_HIERARCHY_LEVEL=1","NUMBER_OF_PERIODS=-11","REVERSE_PERIOD_ORDER=N","PRODUCT_GEO_OVERRIDE=G","FUND_PER",RIGHT($B$11,1),"ACCOUNTING_STANDARD_OVERRIDE",$H$7,"EQY_CONSOLIDATED",$H$9,"EQY_FUND_CRNCY",$L$7,"StartCol",D$12,"EndCol",D$12,"StartRow",$B62,"EndRow",$B62),1)="#","",_xll.BDS(Ticker,"PG_GROSS_PROFIT","PG_HIERARCHY_LEVEL=1","NUMBER_OF_PERIODS=-11","REVERSE_PERIOD_ORDER=N","PRODUCT_GEO_OVERRIDE=G","FUND_PER",RIGHT($B$11,1),"ACCOUNTING_STANDARD_OVERRIDE",$H$7,"EQY_CONSOLIDATED",$H$9,"EQY_FUND_CRNCY",$L$7,"StartCol",D$12,"EndCol",D$12,"StartRow",$B62,"EndRow",$B62))</f>
        <v/>
      </c>
      <c r="E62" s="218" t="str">
        <f>IF(LEFT(_xll.BDS(Ticker,"PG_GROSS_PROFIT","PG_HIERARCHY_LEVEL=1","NUMBER_OF_PERIODS=-11","REVERSE_PERIOD_ORDER=N","PRODUCT_GEO_OVERRIDE=G","FUND_PER",RIGHT($B$11,1),"ACCOUNTING_STANDARD_OVERRIDE",$H$7,"EQY_CONSOLIDATED",$H$9,"EQY_FUND_CRNCY",$L$7,"StartCol",E$12,"EndCol",E$12,"StartRow",$B62,"EndRow",$B62),1)="#","",_xll.BDS(Ticker,"PG_GROSS_PROFIT","PG_HIERARCHY_LEVEL=1","NUMBER_OF_PERIODS=-11","REVERSE_PERIOD_ORDER=N","PRODUCT_GEO_OVERRIDE=G","FUND_PER",RIGHT($B$11,1),"ACCOUNTING_STANDARD_OVERRIDE",$H$7,"EQY_CONSOLIDATED",$H$9,"EQY_FUND_CRNCY",$L$7,"StartCol",E$12,"EndCol",E$12,"StartRow",$B62,"EndRow",$B62))</f>
        <v/>
      </c>
      <c r="F62" s="218" t="str">
        <f>IF(LEFT(_xll.BDS(Ticker,"PG_GROSS_PROFIT","PG_HIERARCHY_LEVEL=1","NUMBER_OF_PERIODS=-11","REVERSE_PERIOD_ORDER=N","PRODUCT_GEO_OVERRIDE=G","FUND_PER",RIGHT($B$11,1),"ACCOUNTING_STANDARD_OVERRIDE",$H$7,"EQY_CONSOLIDATED",$H$9,"EQY_FUND_CRNCY",$L$7,"StartCol",F$12,"EndCol",F$12,"StartRow",$B62,"EndRow",$B62),1)="#","",_xll.BDS(Ticker,"PG_GROSS_PROFIT","PG_HIERARCHY_LEVEL=1","NUMBER_OF_PERIODS=-11","REVERSE_PERIOD_ORDER=N","PRODUCT_GEO_OVERRIDE=G","FUND_PER",RIGHT($B$11,1),"ACCOUNTING_STANDARD_OVERRIDE",$H$7,"EQY_CONSOLIDATED",$H$9,"EQY_FUND_CRNCY",$L$7,"StartCol",F$12,"EndCol",F$12,"StartRow",$B62,"EndRow",$B62))</f>
        <v/>
      </c>
      <c r="G62" s="218" t="str">
        <f>IF(LEFT(_xll.BDS(Ticker,"PG_GROSS_PROFIT","PG_HIERARCHY_LEVEL=1","NUMBER_OF_PERIODS=-11","REVERSE_PERIOD_ORDER=N","PRODUCT_GEO_OVERRIDE=G","FUND_PER",RIGHT($B$11,1),"ACCOUNTING_STANDARD_OVERRIDE",$H$7,"EQY_CONSOLIDATED",$H$9,"EQY_FUND_CRNCY",$L$7,"StartCol",G$12,"EndCol",G$12,"StartRow",$B62,"EndRow",$B62),1)="#","",_xll.BDS(Ticker,"PG_GROSS_PROFIT","PG_HIERARCHY_LEVEL=1","NUMBER_OF_PERIODS=-11","REVERSE_PERIOD_ORDER=N","PRODUCT_GEO_OVERRIDE=G","FUND_PER",RIGHT($B$11,1),"ACCOUNTING_STANDARD_OVERRIDE",$H$7,"EQY_CONSOLIDATED",$H$9,"EQY_FUND_CRNCY",$L$7,"StartCol",G$12,"EndCol",G$12,"StartRow",$B62,"EndRow",$B62))</f>
        <v/>
      </c>
      <c r="H62" s="218" t="str">
        <f>IF(LEFT(_xll.BDS(Ticker,"PG_GROSS_PROFIT","PG_HIERARCHY_LEVEL=1","NUMBER_OF_PERIODS=-11","REVERSE_PERIOD_ORDER=N","PRODUCT_GEO_OVERRIDE=G","FUND_PER",RIGHT($B$11,1),"ACCOUNTING_STANDARD_OVERRIDE",$H$7,"EQY_CONSOLIDATED",$H$9,"EQY_FUND_CRNCY",$L$7,"StartCol",H$12,"EndCol",H$12,"StartRow",$B62,"EndRow",$B62),1)="#","",_xll.BDS(Ticker,"PG_GROSS_PROFIT","PG_HIERARCHY_LEVEL=1","NUMBER_OF_PERIODS=-11","REVERSE_PERIOD_ORDER=N","PRODUCT_GEO_OVERRIDE=G","FUND_PER",RIGHT($B$11,1),"ACCOUNTING_STANDARD_OVERRIDE",$H$7,"EQY_CONSOLIDATED",$H$9,"EQY_FUND_CRNCY",$L$7,"StartCol",H$12,"EndCol",H$12,"StartRow",$B62,"EndRow",$B62))</f>
        <v/>
      </c>
      <c r="I62" s="218" t="str">
        <f>IF(LEFT(_xll.BDS(Ticker,"PG_GROSS_PROFIT","PG_HIERARCHY_LEVEL=1","NUMBER_OF_PERIODS=-11","REVERSE_PERIOD_ORDER=N","PRODUCT_GEO_OVERRIDE=G","FUND_PER",RIGHT($B$11,1),"ACCOUNTING_STANDARD_OVERRIDE",$H$7,"EQY_CONSOLIDATED",$H$9,"EQY_FUND_CRNCY",$L$7,"StartCol",I$12,"EndCol",I$12,"StartRow",$B62,"EndRow",$B62),1)="#","",_xll.BDS(Ticker,"PG_GROSS_PROFIT","PG_HIERARCHY_LEVEL=1","NUMBER_OF_PERIODS=-11","REVERSE_PERIOD_ORDER=N","PRODUCT_GEO_OVERRIDE=G","FUND_PER",RIGHT($B$11,1),"ACCOUNTING_STANDARD_OVERRIDE",$H$7,"EQY_CONSOLIDATED",$H$9,"EQY_FUND_CRNCY",$L$7,"StartCol",I$12,"EndCol",I$12,"StartRow",$B62,"EndRow",$B62))</f>
        <v/>
      </c>
      <c r="J62" s="218" t="str">
        <f>IF(LEFT(_xll.BDS(Ticker,"PG_GROSS_PROFIT","PG_HIERARCHY_LEVEL=1","NUMBER_OF_PERIODS=-11","REVERSE_PERIOD_ORDER=N","PRODUCT_GEO_OVERRIDE=G","FUND_PER",RIGHT($B$11,1),"ACCOUNTING_STANDARD_OVERRIDE",$H$7,"EQY_CONSOLIDATED",$H$9,"EQY_FUND_CRNCY",$L$7,"StartCol",J$12,"EndCol",J$12,"StartRow",$B62,"EndRow",$B62),1)="#","",_xll.BDS(Ticker,"PG_GROSS_PROFIT","PG_HIERARCHY_LEVEL=1","NUMBER_OF_PERIODS=-11","REVERSE_PERIOD_ORDER=N","PRODUCT_GEO_OVERRIDE=G","FUND_PER",RIGHT($B$11,1),"ACCOUNTING_STANDARD_OVERRIDE",$H$7,"EQY_CONSOLIDATED",$H$9,"EQY_FUND_CRNCY",$L$7,"StartCol",J$12,"EndCol",J$12,"StartRow",$B62,"EndRow",$B62))</f>
        <v/>
      </c>
      <c r="K62" s="218" t="str">
        <f>IF(LEFT(_xll.BDS(Ticker,"PG_GROSS_PROFIT","PG_HIERARCHY_LEVEL=1","NUMBER_OF_PERIODS=-11","REVERSE_PERIOD_ORDER=N","PRODUCT_GEO_OVERRIDE=G","FUND_PER",RIGHT($B$11,1),"ACCOUNTING_STANDARD_OVERRIDE",$H$7,"EQY_CONSOLIDATED",$H$9,"EQY_FUND_CRNCY",$L$7,"StartCol",K$12,"EndCol",K$12,"StartRow",$B62,"EndRow",$B62),1)="#","",_xll.BDS(Ticker,"PG_GROSS_PROFIT","PG_HIERARCHY_LEVEL=1","NUMBER_OF_PERIODS=-11","REVERSE_PERIOD_ORDER=N","PRODUCT_GEO_OVERRIDE=G","FUND_PER",RIGHT($B$11,1),"ACCOUNTING_STANDARD_OVERRIDE",$H$7,"EQY_CONSOLIDATED",$H$9,"EQY_FUND_CRNCY",$L$7,"StartCol",K$12,"EndCol",K$12,"StartRow",$B62,"EndRow",$B62))</f>
        <v/>
      </c>
      <c r="L62" s="218" t="str">
        <f>IF(LEFT(_xll.BDS(Ticker,"PG_GROSS_PROFIT","PG_HIERARCHY_LEVEL=1","NUMBER_OF_PERIODS=-11","REVERSE_PERIOD_ORDER=N","PRODUCT_GEO_OVERRIDE=G","FUND_PER",RIGHT($B$11,1),"ACCOUNTING_STANDARD_OVERRIDE",$H$7,"EQY_CONSOLIDATED",$H$9,"EQY_FUND_CRNCY",$L$7,"StartCol",L$12,"EndCol",L$12,"StartRow",$B62,"EndRow",$B62),1)="#","",_xll.BDS(Ticker,"PG_GROSS_PROFIT","PG_HIERARCHY_LEVEL=1","NUMBER_OF_PERIODS=-11","REVERSE_PERIOD_ORDER=N","PRODUCT_GEO_OVERRIDE=G","FUND_PER",RIGHT($B$11,1),"ACCOUNTING_STANDARD_OVERRIDE",$H$7,"EQY_CONSOLIDATED",$H$9,"EQY_FUND_CRNCY",$L$7,"StartCol",L$12,"EndCol",L$12,"StartRow",$B62,"EndRow",$B62))</f>
        <v/>
      </c>
      <c r="M62" s="218" t="str">
        <f>IF(LEFT(_xll.BDS(Ticker,"PG_GROSS_PROFIT","PG_HIERARCHY_LEVEL=1","NUMBER_OF_PERIODS=-11","REVERSE_PERIOD_ORDER=N","PRODUCT_GEO_OVERRIDE=G","FUND_PER",RIGHT($B$11,1),"ACCOUNTING_STANDARD_OVERRIDE",$H$7,"EQY_CONSOLIDATED",$H$9,"EQY_FUND_CRNCY",$L$7,"StartCol",M$12,"EndCol",M$12,"StartRow",$B62,"EndRow",$B62),1)="#","",_xll.BDS(Ticker,"PG_GROSS_PROFIT","PG_HIERARCHY_LEVEL=1","NUMBER_OF_PERIODS=-11","REVERSE_PERIOD_ORDER=N","PRODUCT_GEO_OVERRIDE=G","FUND_PER",RIGHT($B$11,1),"ACCOUNTING_STANDARD_OVERRIDE",$H$7,"EQY_CONSOLIDATED",$H$9,"EQY_FUND_CRNCY",$L$7,"StartCol",M$12,"EndCol",M$12,"StartRow",$B62,"EndRow",$B62))</f>
        <v/>
      </c>
      <c r="N62" s="218" t="str">
        <f>IF(LEFT(_xll.BDS(Ticker,"PG_GROSS_PROFIT","PG_HIERARCHY_LEVEL=1","NUMBER_OF_PERIODS=-11","REVERSE_PERIOD_ORDER=N","PRODUCT_GEO_OVERRIDE=G","FUND_PER",RIGHT($B$11,1),"ACCOUNTING_STANDARD_OVERRIDE",$H$7,"EQY_CONSOLIDATED",$H$9,"EQY_FUND_CRNCY",$L$7,"StartCol",N$12,"EndCol",N$12,"StartRow",$B62,"EndRow",$B62),1)="#","",_xll.BDS(Ticker,"PG_GROSS_PROFIT","PG_HIERARCHY_LEVEL=1","NUMBER_OF_PERIODS=-11","REVERSE_PERIOD_ORDER=N","PRODUCT_GEO_OVERRIDE=G","FUND_PER",RIGHT($B$11,1),"ACCOUNTING_STANDARD_OVERRIDE",$H$7,"EQY_CONSOLIDATED",$H$9,"EQY_FUND_CRNCY",$L$7,"StartCol",N$12,"EndCol",N$12,"StartRow",$B62,"EndRow",$B62))</f>
        <v/>
      </c>
    </row>
    <row r="63" spans="2:14" hidden="1" outlineLevel="1">
      <c r="B63" s="214">
        <v>4</v>
      </c>
      <c r="C63" s="216" t="str">
        <f>IF(LEFT(_xll.BDS(Ticker,"PG_GROSS_PROFIT","PG_HIERARCHY_LEVEL=1","NUMBER_OF_PERIODS=-11","REVERSE_PERIOD_ORDER=N","PRODUCT_GEO_OVERRIDE=G","FUND_PER",RIGHT($B$11,1),"ACCOUNTING_STANDARD_OVERRIDE",$H$7,"EQY_CONSOLIDATED",$H$9,"EQY_FUND_CRNCY",$L$7,"StartCol",C$12,"EndCol",C$12,"StartRow",$B63,"EndRow",$B63),1)="#","",_xll.BDS(Ticker,"PG_GROSS_PROFIT","PG_HIERARCHY_LEVEL=1","NUMBER_OF_PERIODS=-11","REVERSE_PERIOD_ORDER=N","PRODUCT_GEO_OVERRIDE=G","FUND_PER",RIGHT($B$11,1),"ACCOUNTING_STANDARD_OVERRIDE",$H$7,"EQY_CONSOLIDATED",$H$9,"EQY_FUND_CRNCY",$L$7,"StartCol",C$12,"EndCol",C$12,"StartRow",$B63,"EndRow",$B63))</f>
        <v/>
      </c>
      <c r="D63" s="218" t="str">
        <f>IF(LEFT(_xll.BDS(Ticker,"PG_GROSS_PROFIT","PG_HIERARCHY_LEVEL=1","NUMBER_OF_PERIODS=-11","REVERSE_PERIOD_ORDER=N","PRODUCT_GEO_OVERRIDE=G","FUND_PER",RIGHT($B$11,1),"ACCOUNTING_STANDARD_OVERRIDE",$H$7,"EQY_CONSOLIDATED",$H$9,"EQY_FUND_CRNCY",$L$7,"StartCol",D$12,"EndCol",D$12,"StartRow",$B63,"EndRow",$B63),1)="#","",_xll.BDS(Ticker,"PG_GROSS_PROFIT","PG_HIERARCHY_LEVEL=1","NUMBER_OF_PERIODS=-11","REVERSE_PERIOD_ORDER=N","PRODUCT_GEO_OVERRIDE=G","FUND_PER",RIGHT($B$11,1),"ACCOUNTING_STANDARD_OVERRIDE",$H$7,"EQY_CONSOLIDATED",$H$9,"EQY_FUND_CRNCY",$L$7,"StartCol",D$12,"EndCol",D$12,"StartRow",$B63,"EndRow",$B63))</f>
        <v/>
      </c>
      <c r="E63" s="218" t="str">
        <f>IF(LEFT(_xll.BDS(Ticker,"PG_GROSS_PROFIT","PG_HIERARCHY_LEVEL=1","NUMBER_OF_PERIODS=-11","REVERSE_PERIOD_ORDER=N","PRODUCT_GEO_OVERRIDE=G","FUND_PER",RIGHT($B$11,1),"ACCOUNTING_STANDARD_OVERRIDE",$H$7,"EQY_CONSOLIDATED",$H$9,"EQY_FUND_CRNCY",$L$7,"StartCol",E$12,"EndCol",E$12,"StartRow",$B63,"EndRow",$B63),1)="#","",_xll.BDS(Ticker,"PG_GROSS_PROFIT","PG_HIERARCHY_LEVEL=1","NUMBER_OF_PERIODS=-11","REVERSE_PERIOD_ORDER=N","PRODUCT_GEO_OVERRIDE=G","FUND_PER",RIGHT($B$11,1),"ACCOUNTING_STANDARD_OVERRIDE",$H$7,"EQY_CONSOLIDATED",$H$9,"EQY_FUND_CRNCY",$L$7,"StartCol",E$12,"EndCol",E$12,"StartRow",$B63,"EndRow",$B63))</f>
        <v/>
      </c>
      <c r="F63" s="218" t="str">
        <f>IF(LEFT(_xll.BDS(Ticker,"PG_GROSS_PROFIT","PG_HIERARCHY_LEVEL=1","NUMBER_OF_PERIODS=-11","REVERSE_PERIOD_ORDER=N","PRODUCT_GEO_OVERRIDE=G","FUND_PER",RIGHT($B$11,1),"ACCOUNTING_STANDARD_OVERRIDE",$H$7,"EQY_CONSOLIDATED",$H$9,"EQY_FUND_CRNCY",$L$7,"StartCol",F$12,"EndCol",F$12,"StartRow",$B63,"EndRow",$B63),1)="#","",_xll.BDS(Ticker,"PG_GROSS_PROFIT","PG_HIERARCHY_LEVEL=1","NUMBER_OF_PERIODS=-11","REVERSE_PERIOD_ORDER=N","PRODUCT_GEO_OVERRIDE=G","FUND_PER",RIGHT($B$11,1),"ACCOUNTING_STANDARD_OVERRIDE",$H$7,"EQY_CONSOLIDATED",$H$9,"EQY_FUND_CRNCY",$L$7,"StartCol",F$12,"EndCol",F$12,"StartRow",$B63,"EndRow",$B63))</f>
        <v/>
      </c>
      <c r="G63" s="218" t="str">
        <f>IF(LEFT(_xll.BDS(Ticker,"PG_GROSS_PROFIT","PG_HIERARCHY_LEVEL=1","NUMBER_OF_PERIODS=-11","REVERSE_PERIOD_ORDER=N","PRODUCT_GEO_OVERRIDE=G","FUND_PER",RIGHT($B$11,1),"ACCOUNTING_STANDARD_OVERRIDE",$H$7,"EQY_CONSOLIDATED",$H$9,"EQY_FUND_CRNCY",$L$7,"StartCol",G$12,"EndCol",G$12,"StartRow",$B63,"EndRow",$B63),1)="#","",_xll.BDS(Ticker,"PG_GROSS_PROFIT","PG_HIERARCHY_LEVEL=1","NUMBER_OF_PERIODS=-11","REVERSE_PERIOD_ORDER=N","PRODUCT_GEO_OVERRIDE=G","FUND_PER",RIGHT($B$11,1),"ACCOUNTING_STANDARD_OVERRIDE",$H$7,"EQY_CONSOLIDATED",$H$9,"EQY_FUND_CRNCY",$L$7,"StartCol",G$12,"EndCol",G$12,"StartRow",$B63,"EndRow",$B63))</f>
        <v/>
      </c>
      <c r="H63" s="218" t="str">
        <f>IF(LEFT(_xll.BDS(Ticker,"PG_GROSS_PROFIT","PG_HIERARCHY_LEVEL=1","NUMBER_OF_PERIODS=-11","REVERSE_PERIOD_ORDER=N","PRODUCT_GEO_OVERRIDE=G","FUND_PER",RIGHT($B$11,1),"ACCOUNTING_STANDARD_OVERRIDE",$H$7,"EQY_CONSOLIDATED",$H$9,"EQY_FUND_CRNCY",$L$7,"StartCol",H$12,"EndCol",H$12,"StartRow",$B63,"EndRow",$B63),1)="#","",_xll.BDS(Ticker,"PG_GROSS_PROFIT","PG_HIERARCHY_LEVEL=1","NUMBER_OF_PERIODS=-11","REVERSE_PERIOD_ORDER=N","PRODUCT_GEO_OVERRIDE=G","FUND_PER",RIGHT($B$11,1),"ACCOUNTING_STANDARD_OVERRIDE",$H$7,"EQY_CONSOLIDATED",$H$9,"EQY_FUND_CRNCY",$L$7,"StartCol",H$12,"EndCol",H$12,"StartRow",$B63,"EndRow",$B63))</f>
        <v/>
      </c>
      <c r="I63" s="218" t="str">
        <f>IF(LEFT(_xll.BDS(Ticker,"PG_GROSS_PROFIT","PG_HIERARCHY_LEVEL=1","NUMBER_OF_PERIODS=-11","REVERSE_PERIOD_ORDER=N","PRODUCT_GEO_OVERRIDE=G","FUND_PER",RIGHT($B$11,1),"ACCOUNTING_STANDARD_OVERRIDE",$H$7,"EQY_CONSOLIDATED",$H$9,"EQY_FUND_CRNCY",$L$7,"StartCol",I$12,"EndCol",I$12,"StartRow",$B63,"EndRow",$B63),1)="#","",_xll.BDS(Ticker,"PG_GROSS_PROFIT","PG_HIERARCHY_LEVEL=1","NUMBER_OF_PERIODS=-11","REVERSE_PERIOD_ORDER=N","PRODUCT_GEO_OVERRIDE=G","FUND_PER",RIGHT($B$11,1),"ACCOUNTING_STANDARD_OVERRIDE",$H$7,"EQY_CONSOLIDATED",$H$9,"EQY_FUND_CRNCY",$L$7,"StartCol",I$12,"EndCol",I$12,"StartRow",$B63,"EndRow",$B63))</f>
        <v/>
      </c>
      <c r="J63" s="218" t="str">
        <f>IF(LEFT(_xll.BDS(Ticker,"PG_GROSS_PROFIT","PG_HIERARCHY_LEVEL=1","NUMBER_OF_PERIODS=-11","REVERSE_PERIOD_ORDER=N","PRODUCT_GEO_OVERRIDE=G","FUND_PER",RIGHT($B$11,1),"ACCOUNTING_STANDARD_OVERRIDE",$H$7,"EQY_CONSOLIDATED",$H$9,"EQY_FUND_CRNCY",$L$7,"StartCol",J$12,"EndCol",J$12,"StartRow",$B63,"EndRow",$B63),1)="#","",_xll.BDS(Ticker,"PG_GROSS_PROFIT","PG_HIERARCHY_LEVEL=1","NUMBER_OF_PERIODS=-11","REVERSE_PERIOD_ORDER=N","PRODUCT_GEO_OVERRIDE=G","FUND_PER",RIGHT($B$11,1),"ACCOUNTING_STANDARD_OVERRIDE",$H$7,"EQY_CONSOLIDATED",$H$9,"EQY_FUND_CRNCY",$L$7,"StartCol",J$12,"EndCol",J$12,"StartRow",$B63,"EndRow",$B63))</f>
        <v/>
      </c>
      <c r="K63" s="218" t="str">
        <f>IF(LEFT(_xll.BDS(Ticker,"PG_GROSS_PROFIT","PG_HIERARCHY_LEVEL=1","NUMBER_OF_PERIODS=-11","REVERSE_PERIOD_ORDER=N","PRODUCT_GEO_OVERRIDE=G","FUND_PER",RIGHT($B$11,1),"ACCOUNTING_STANDARD_OVERRIDE",$H$7,"EQY_CONSOLIDATED",$H$9,"EQY_FUND_CRNCY",$L$7,"StartCol",K$12,"EndCol",K$12,"StartRow",$B63,"EndRow",$B63),1)="#","",_xll.BDS(Ticker,"PG_GROSS_PROFIT","PG_HIERARCHY_LEVEL=1","NUMBER_OF_PERIODS=-11","REVERSE_PERIOD_ORDER=N","PRODUCT_GEO_OVERRIDE=G","FUND_PER",RIGHT($B$11,1),"ACCOUNTING_STANDARD_OVERRIDE",$H$7,"EQY_CONSOLIDATED",$H$9,"EQY_FUND_CRNCY",$L$7,"StartCol",K$12,"EndCol",K$12,"StartRow",$B63,"EndRow",$B63))</f>
        <v/>
      </c>
      <c r="L63" s="218" t="str">
        <f>IF(LEFT(_xll.BDS(Ticker,"PG_GROSS_PROFIT","PG_HIERARCHY_LEVEL=1","NUMBER_OF_PERIODS=-11","REVERSE_PERIOD_ORDER=N","PRODUCT_GEO_OVERRIDE=G","FUND_PER",RIGHT($B$11,1),"ACCOUNTING_STANDARD_OVERRIDE",$H$7,"EQY_CONSOLIDATED",$H$9,"EQY_FUND_CRNCY",$L$7,"StartCol",L$12,"EndCol",L$12,"StartRow",$B63,"EndRow",$B63),1)="#","",_xll.BDS(Ticker,"PG_GROSS_PROFIT","PG_HIERARCHY_LEVEL=1","NUMBER_OF_PERIODS=-11","REVERSE_PERIOD_ORDER=N","PRODUCT_GEO_OVERRIDE=G","FUND_PER",RIGHT($B$11,1),"ACCOUNTING_STANDARD_OVERRIDE",$H$7,"EQY_CONSOLIDATED",$H$9,"EQY_FUND_CRNCY",$L$7,"StartCol",L$12,"EndCol",L$12,"StartRow",$B63,"EndRow",$B63))</f>
        <v/>
      </c>
      <c r="M63" s="218" t="str">
        <f>IF(LEFT(_xll.BDS(Ticker,"PG_GROSS_PROFIT","PG_HIERARCHY_LEVEL=1","NUMBER_OF_PERIODS=-11","REVERSE_PERIOD_ORDER=N","PRODUCT_GEO_OVERRIDE=G","FUND_PER",RIGHT($B$11,1),"ACCOUNTING_STANDARD_OVERRIDE",$H$7,"EQY_CONSOLIDATED",$H$9,"EQY_FUND_CRNCY",$L$7,"StartCol",M$12,"EndCol",M$12,"StartRow",$B63,"EndRow",$B63),1)="#","",_xll.BDS(Ticker,"PG_GROSS_PROFIT","PG_HIERARCHY_LEVEL=1","NUMBER_OF_PERIODS=-11","REVERSE_PERIOD_ORDER=N","PRODUCT_GEO_OVERRIDE=G","FUND_PER",RIGHT($B$11,1),"ACCOUNTING_STANDARD_OVERRIDE",$H$7,"EQY_CONSOLIDATED",$H$9,"EQY_FUND_CRNCY",$L$7,"StartCol",M$12,"EndCol",M$12,"StartRow",$B63,"EndRow",$B63))</f>
        <v/>
      </c>
      <c r="N63" s="218" t="str">
        <f>IF(LEFT(_xll.BDS(Ticker,"PG_GROSS_PROFIT","PG_HIERARCHY_LEVEL=1","NUMBER_OF_PERIODS=-11","REVERSE_PERIOD_ORDER=N","PRODUCT_GEO_OVERRIDE=G","FUND_PER",RIGHT($B$11,1),"ACCOUNTING_STANDARD_OVERRIDE",$H$7,"EQY_CONSOLIDATED",$H$9,"EQY_FUND_CRNCY",$L$7,"StartCol",N$12,"EndCol",N$12,"StartRow",$B63,"EndRow",$B63),1)="#","",_xll.BDS(Ticker,"PG_GROSS_PROFIT","PG_HIERARCHY_LEVEL=1","NUMBER_OF_PERIODS=-11","REVERSE_PERIOD_ORDER=N","PRODUCT_GEO_OVERRIDE=G","FUND_PER",RIGHT($B$11,1),"ACCOUNTING_STANDARD_OVERRIDE",$H$7,"EQY_CONSOLIDATED",$H$9,"EQY_FUND_CRNCY",$L$7,"StartCol",N$12,"EndCol",N$12,"StartRow",$B63,"EndRow",$B63))</f>
        <v/>
      </c>
    </row>
    <row r="64" spans="2:14" hidden="1" outlineLevel="1">
      <c r="B64" s="214">
        <v>5</v>
      </c>
      <c r="C64" s="216" t="str">
        <f>IF(LEFT(_xll.BDS(Ticker,"PG_GROSS_PROFIT","PG_HIERARCHY_LEVEL=1","NUMBER_OF_PERIODS=-11","REVERSE_PERIOD_ORDER=N","PRODUCT_GEO_OVERRIDE=G","FUND_PER",RIGHT($B$11,1),"ACCOUNTING_STANDARD_OVERRIDE",$H$7,"EQY_CONSOLIDATED",$H$9,"EQY_FUND_CRNCY",$L$7,"StartCol",C$12,"EndCol",C$12,"StartRow",$B64,"EndRow",$B64),1)="#","",_xll.BDS(Ticker,"PG_GROSS_PROFIT","PG_HIERARCHY_LEVEL=1","NUMBER_OF_PERIODS=-11","REVERSE_PERIOD_ORDER=N","PRODUCT_GEO_OVERRIDE=G","FUND_PER",RIGHT($B$11,1),"ACCOUNTING_STANDARD_OVERRIDE",$H$7,"EQY_CONSOLIDATED",$H$9,"EQY_FUND_CRNCY",$L$7,"StartCol",C$12,"EndCol",C$12,"StartRow",$B64,"EndRow",$B64))</f>
        <v/>
      </c>
      <c r="D64" s="218" t="str">
        <f>IF(LEFT(_xll.BDS(Ticker,"PG_GROSS_PROFIT","PG_HIERARCHY_LEVEL=1","NUMBER_OF_PERIODS=-11","REVERSE_PERIOD_ORDER=N","PRODUCT_GEO_OVERRIDE=G","FUND_PER",RIGHT($B$11,1),"ACCOUNTING_STANDARD_OVERRIDE",$H$7,"EQY_CONSOLIDATED",$H$9,"EQY_FUND_CRNCY",$L$7,"StartCol",D$12,"EndCol",D$12,"StartRow",$B64,"EndRow",$B64),1)="#","",_xll.BDS(Ticker,"PG_GROSS_PROFIT","PG_HIERARCHY_LEVEL=1","NUMBER_OF_PERIODS=-11","REVERSE_PERIOD_ORDER=N","PRODUCT_GEO_OVERRIDE=G","FUND_PER",RIGHT($B$11,1),"ACCOUNTING_STANDARD_OVERRIDE",$H$7,"EQY_CONSOLIDATED",$H$9,"EQY_FUND_CRNCY",$L$7,"StartCol",D$12,"EndCol",D$12,"StartRow",$B64,"EndRow",$B64))</f>
        <v/>
      </c>
      <c r="E64" s="218" t="str">
        <f>IF(LEFT(_xll.BDS(Ticker,"PG_GROSS_PROFIT","PG_HIERARCHY_LEVEL=1","NUMBER_OF_PERIODS=-11","REVERSE_PERIOD_ORDER=N","PRODUCT_GEO_OVERRIDE=G","FUND_PER",RIGHT($B$11,1),"ACCOUNTING_STANDARD_OVERRIDE",$H$7,"EQY_CONSOLIDATED",$H$9,"EQY_FUND_CRNCY",$L$7,"StartCol",E$12,"EndCol",E$12,"StartRow",$B64,"EndRow",$B64),1)="#","",_xll.BDS(Ticker,"PG_GROSS_PROFIT","PG_HIERARCHY_LEVEL=1","NUMBER_OF_PERIODS=-11","REVERSE_PERIOD_ORDER=N","PRODUCT_GEO_OVERRIDE=G","FUND_PER",RIGHT($B$11,1),"ACCOUNTING_STANDARD_OVERRIDE",$H$7,"EQY_CONSOLIDATED",$H$9,"EQY_FUND_CRNCY",$L$7,"StartCol",E$12,"EndCol",E$12,"StartRow",$B64,"EndRow",$B64))</f>
        <v/>
      </c>
      <c r="F64" s="218" t="str">
        <f>IF(LEFT(_xll.BDS(Ticker,"PG_GROSS_PROFIT","PG_HIERARCHY_LEVEL=1","NUMBER_OF_PERIODS=-11","REVERSE_PERIOD_ORDER=N","PRODUCT_GEO_OVERRIDE=G","FUND_PER",RIGHT($B$11,1),"ACCOUNTING_STANDARD_OVERRIDE",$H$7,"EQY_CONSOLIDATED",$H$9,"EQY_FUND_CRNCY",$L$7,"StartCol",F$12,"EndCol",F$12,"StartRow",$B64,"EndRow",$B64),1)="#","",_xll.BDS(Ticker,"PG_GROSS_PROFIT","PG_HIERARCHY_LEVEL=1","NUMBER_OF_PERIODS=-11","REVERSE_PERIOD_ORDER=N","PRODUCT_GEO_OVERRIDE=G","FUND_PER",RIGHT($B$11,1),"ACCOUNTING_STANDARD_OVERRIDE",$H$7,"EQY_CONSOLIDATED",$H$9,"EQY_FUND_CRNCY",$L$7,"StartCol",F$12,"EndCol",F$12,"StartRow",$B64,"EndRow",$B64))</f>
        <v/>
      </c>
      <c r="G64" s="218" t="str">
        <f>IF(LEFT(_xll.BDS(Ticker,"PG_GROSS_PROFIT","PG_HIERARCHY_LEVEL=1","NUMBER_OF_PERIODS=-11","REVERSE_PERIOD_ORDER=N","PRODUCT_GEO_OVERRIDE=G","FUND_PER",RIGHT($B$11,1),"ACCOUNTING_STANDARD_OVERRIDE",$H$7,"EQY_CONSOLIDATED",$H$9,"EQY_FUND_CRNCY",$L$7,"StartCol",G$12,"EndCol",G$12,"StartRow",$B64,"EndRow",$B64),1)="#","",_xll.BDS(Ticker,"PG_GROSS_PROFIT","PG_HIERARCHY_LEVEL=1","NUMBER_OF_PERIODS=-11","REVERSE_PERIOD_ORDER=N","PRODUCT_GEO_OVERRIDE=G","FUND_PER",RIGHT($B$11,1),"ACCOUNTING_STANDARD_OVERRIDE",$H$7,"EQY_CONSOLIDATED",$H$9,"EQY_FUND_CRNCY",$L$7,"StartCol",G$12,"EndCol",G$12,"StartRow",$B64,"EndRow",$B64))</f>
        <v/>
      </c>
      <c r="H64" s="218" t="str">
        <f>IF(LEFT(_xll.BDS(Ticker,"PG_GROSS_PROFIT","PG_HIERARCHY_LEVEL=1","NUMBER_OF_PERIODS=-11","REVERSE_PERIOD_ORDER=N","PRODUCT_GEO_OVERRIDE=G","FUND_PER",RIGHT($B$11,1),"ACCOUNTING_STANDARD_OVERRIDE",$H$7,"EQY_CONSOLIDATED",$H$9,"EQY_FUND_CRNCY",$L$7,"StartCol",H$12,"EndCol",H$12,"StartRow",$B64,"EndRow",$B64),1)="#","",_xll.BDS(Ticker,"PG_GROSS_PROFIT","PG_HIERARCHY_LEVEL=1","NUMBER_OF_PERIODS=-11","REVERSE_PERIOD_ORDER=N","PRODUCT_GEO_OVERRIDE=G","FUND_PER",RIGHT($B$11,1),"ACCOUNTING_STANDARD_OVERRIDE",$H$7,"EQY_CONSOLIDATED",$H$9,"EQY_FUND_CRNCY",$L$7,"StartCol",H$12,"EndCol",H$12,"StartRow",$B64,"EndRow",$B64))</f>
        <v/>
      </c>
      <c r="I64" s="218" t="str">
        <f>IF(LEFT(_xll.BDS(Ticker,"PG_GROSS_PROFIT","PG_HIERARCHY_LEVEL=1","NUMBER_OF_PERIODS=-11","REVERSE_PERIOD_ORDER=N","PRODUCT_GEO_OVERRIDE=G","FUND_PER",RIGHT($B$11,1),"ACCOUNTING_STANDARD_OVERRIDE",$H$7,"EQY_CONSOLIDATED",$H$9,"EQY_FUND_CRNCY",$L$7,"StartCol",I$12,"EndCol",I$12,"StartRow",$B64,"EndRow",$B64),1)="#","",_xll.BDS(Ticker,"PG_GROSS_PROFIT","PG_HIERARCHY_LEVEL=1","NUMBER_OF_PERIODS=-11","REVERSE_PERIOD_ORDER=N","PRODUCT_GEO_OVERRIDE=G","FUND_PER",RIGHT($B$11,1),"ACCOUNTING_STANDARD_OVERRIDE",$H$7,"EQY_CONSOLIDATED",$H$9,"EQY_FUND_CRNCY",$L$7,"StartCol",I$12,"EndCol",I$12,"StartRow",$B64,"EndRow",$B64))</f>
        <v/>
      </c>
      <c r="J64" s="218" t="str">
        <f>IF(LEFT(_xll.BDS(Ticker,"PG_GROSS_PROFIT","PG_HIERARCHY_LEVEL=1","NUMBER_OF_PERIODS=-11","REVERSE_PERIOD_ORDER=N","PRODUCT_GEO_OVERRIDE=G","FUND_PER",RIGHT($B$11,1),"ACCOUNTING_STANDARD_OVERRIDE",$H$7,"EQY_CONSOLIDATED",$H$9,"EQY_FUND_CRNCY",$L$7,"StartCol",J$12,"EndCol",J$12,"StartRow",$B64,"EndRow",$B64),1)="#","",_xll.BDS(Ticker,"PG_GROSS_PROFIT","PG_HIERARCHY_LEVEL=1","NUMBER_OF_PERIODS=-11","REVERSE_PERIOD_ORDER=N","PRODUCT_GEO_OVERRIDE=G","FUND_PER",RIGHT($B$11,1),"ACCOUNTING_STANDARD_OVERRIDE",$H$7,"EQY_CONSOLIDATED",$H$9,"EQY_FUND_CRNCY",$L$7,"StartCol",J$12,"EndCol",J$12,"StartRow",$B64,"EndRow",$B64))</f>
        <v/>
      </c>
      <c r="K64" s="218" t="str">
        <f>IF(LEFT(_xll.BDS(Ticker,"PG_GROSS_PROFIT","PG_HIERARCHY_LEVEL=1","NUMBER_OF_PERIODS=-11","REVERSE_PERIOD_ORDER=N","PRODUCT_GEO_OVERRIDE=G","FUND_PER",RIGHT($B$11,1),"ACCOUNTING_STANDARD_OVERRIDE",$H$7,"EQY_CONSOLIDATED",$H$9,"EQY_FUND_CRNCY",$L$7,"StartCol",K$12,"EndCol",K$12,"StartRow",$B64,"EndRow",$B64),1)="#","",_xll.BDS(Ticker,"PG_GROSS_PROFIT","PG_HIERARCHY_LEVEL=1","NUMBER_OF_PERIODS=-11","REVERSE_PERIOD_ORDER=N","PRODUCT_GEO_OVERRIDE=G","FUND_PER",RIGHT($B$11,1),"ACCOUNTING_STANDARD_OVERRIDE",$H$7,"EQY_CONSOLIDATED",$H$9,"EQY_FUND_CRNCY",$L$7,"StartCol",K$12,"EndCol",K$12,"StartRow",$B64,"EndRow",$B64))</f>
        <v/>
      </c>
      <c r="L64" s="218" t="str">
        <f>IF(LEFT(_xll.BDS(Ticker,"PG_GROSS_PROFIT","PG_HIERARCHY_LEVEL=1","NUMBER_OF_PERIODS=-11","REVERSE_PERIOD_ORDER=N","PRODUCT_GEO_OVERRIDE=G","FUND_PER",RIGHT($B$11,1),"ACCOUNTING_STANDARD_OVERRIDE",$H$7,"EQY_CONSOLIDATED",$H$9,"EQY_FUND_CRNCY",$L$7,"StartCol",L$12,"EndCol",L$12,"StartRow",$B64,"EndRow",$B64),1)="#","",_xll.BDS(Ticker,"PG_GROSS_PROFIT","PG_HIERARCHY_LEVEL=1","NUMBER_OF_PERIODS=-11","REVERSE_PERIOD_ORDER=N","PRODUCT_GEO_OVERRIDE=G","FUND_PER",RIGHT($B$11,1),"ACCOUNTING_STANDARD_OVERRIDE",$H$7,"EQY_CONSOLIDATED",$H$9,"EQY_FUND_CRNCY",$L$7,"StartCol",L$12,"EndCol",L$12,"StartRow",$B64,"EndRow",$B64))</f>
        <v/>
      </c>
      <c r="M64" s="218" t="str">
        <f>IF(LEFT(_xll.BDS(Ticker,"PG_GROSS_PROFIT","PG_HIERARCHY_LEVEL=1","NUMBER_OF_PERIODS=-11","REVERSE_PERIOD_ORDER=N","PRODUCT_GEO_OVERRIDE=G","FUND_PER",RIGHT($B$11,1),"ACCOUNTING_STANDARD_OVERRIDE",$H$7,"EQY_CONSOLIDATED",$H$9,"EQY_FUND_CRNCY",$L$7,"StartCol",M$12,"EndCol",M$12,"StartRow",$B64,"EndRow",$B64),1)="#","",_xll.BDS(Ticker,"PG_GROSS_PROFIT","PG_HIERARCHY_LEVEL=1","NUMBER_OF_PERIODS=-11","REVERSE_PERIOD_ORDER=N","PRODUCT_GEO_OVERRIDE=G","FUND_PER",RIGHT($B$11,1),"ACCOUNTING_STANDARD_OVERRIDE",$H$7,"EQY_CONSOLIDATED",$H$9,"EQY_FUND_CRNCY",$L$7,"StartCol",M$12,"EndCol",M$12,"StartRow",$B64,"EndRow",$B64))</f>
        <v/>
      </c>
      <c r="N64" s="218" t="str">
        <f>IF(LEFT(_xll.BDS(Ticker,"PG_GROSS_PROFIT","PG_HIERARCHY_LEVEL=1","NUMBER_OF_PERIODS=-11","REVERSE_PERIOD_ORDER=N","PRODUCT_GEO_OVERRIDE=G","FUND_PER",RIGHT($B$11,1),"ACCOUNTING_STANDARD_OVERRIDE",$H$7,"EQY_CONSOLIDATED",$H$9,"EQY_FUND_CRNCY",$L$7,"StartCol",N$12,"EndCol",N$12,"StartRow",$B64,"EndRow",$B64),1)="#","",_xll.BDS(Ticker,"PG_GROSS_PROFIT","PG_HIERARCHY_LEVEL=1","NUMBER_OF_PERIODS=-11","REVERSE_PERIOD_ORDER=N","PRODUCT_GEO_OVERRIDE=G","FUND_PER",RIGHT($B$11,1),"ACCOUNTING_STANDARD_OVERRIDE",$H$7,"EQY_CONSOLIDATED",$H$9,"EQY_FUND_CRNCY",$L$7,"StartCol",N$12,"EndCol",N$12,"StartRow",$B64,"EndRow",$B64))</f>
        <v/>
      </c>
    </row>
    <row r="65" spans="2:14" hidden="1" outlineLevel="1">
      <c r="B65" s="214">
        <v>6</v>
      </c>
      <c r="C65" s="216" t="str">
        <f>IF(LEFT(_xll.BDS(Ticker,"PG_GROSS_PROFIT","PG_HIERARCHY_LEVEL=1","NUMBER_OF_PERIODS=-11","REVERSE_PERIOD_ORDER=N","PRODUCT_GEO_OVERRIDE=G","FUND_PER",RIGHT($B$11,1),"ACCOUNTING_STANDARD_OVERRIDE",$H$7,"EQY_CONSOLIDATED",$H$9,"EQY_FUND_CRNCY",$L$7,"StartCol",C$12,"EndCol",C$12,"StartRow",$B65,"EndRow",$B65),1)="#","",_xll.BDS(Ticker,"PG_GROSS_PROFIT","PG_HIERARCHY_LEVEL=1","NUMBER_OF_PERIODS=-11","REVERSE_PERIOD_ORDER=N","PRODUCT_GEO_OVERRIDE=G","FUND_PER",RIGHT($B$11,1),"ACCOUNTING_STANDARD_OVERRIDE",$H$7,"EQY_CONSOLIDATED",$H$9,"EQY_FUND_CRNCY",$L$7,"StartCol",C$12,"EndCol",C$12,"StartRow",$B65,"EndRow",$B65))</f>
        <v/>
      </c>
      <c r="D65" s="218" t="str">
        <f>IF(LEFT(_xll.BDS(Ticker,"PG_GROSS_PROFIT","PG_HIERARCHY_LEVEL=1","NUMBER_OF_PERIODS=-11","REVERSE_PERIOD_ORDER=N","PRODUCT_GEO_OVERRIDE=G","FUND_PER",RIGHT($B$11,1),"ACCOUNTING_STANDARD_OVERRIDE",$H$7,"EQY_CONSOLIDATED",$H$9,"EQY_FUND_CRNCY",$L$7,"StartCol",D$12,"EndCol",D$12,"StartRow",$B65,"EndRow",$B65),1)="#","",_xll.BDS(Ticker,"PG_GROSS_PROFIT","PG_HIERARCHY_LEVEL=1","NUMBER_OF_PERIODS=-11","REVERSE_PERIOD_ORDER=N","PRODUCT_GEO_OVERRIDE=G","FUND_PER",RIGHT($B$11,1),"ACCOUNTING_STANDARD_OVERRIDE",$H$7,"EQY_CONSOLIDATED",$H$9,"EQY_FUND_CRNCY",$L$7,"StartCol",D$12,"EndCol",D$12,"StartRow",$B65,"EndRow",$B65))</f>
        <v/>
      </c>
      <c r="E65" s="218" t="str">
        <f>IF(LEFT(_xll.BDS(Ticker,"PG_GROSS_PROFIT","PG_HIERARCHY_LEVEL=1","NUMBER_OF_PERIODS=-11","REVERSE_PERIOD_ORDER=N","PRODUCT_GEO_OVERRIDE=G","FUND_PER",RIGHT($B$11,1),"ACCOUNTING_STANDARD_OVERRIDE",$H$7,"EQY_CONSOLIDATED",$H$9,"EQY_FUND_CRNCY",$L$7,"StartCol",E$12,"EndCol",E$12,"StartRow",$B65,"EndRow",$B65),1)="#","",_xll.BDS(Ticker,"PG_GROSS_PROFIT","PG_HIERARCHY_LEVEL=1","NUMBER_OF_PERIODS=-11","REVERSE_PERIOD_ORDER=N","PRODUCT_GEO_OVERRIDE=G","FUND_PER",RIGHT($B$11,1),"ACCOUNTING_STANDARD_OVERRIDE",$H$7,"EQY_CONSOLIDATED",$H$9,"EQY_FUND_CRNCY",$L$7,"StartCol",E$12,"EndCol",E$12,"StartRow",$B65,"EndRow",$B65))</f>
        <v/>
      </c>
      <c r="F65" s="218" t="str">
        <f>IF(LEFT(_xll.BDS(Ticker,"PG_GROSS_PROFIT","PG_HIERARCHY_LEVEL=1","NUMBER_OF_PERIODS=-11","REVERSE_PERIOD_ORDER=N","PRODUCT_GEO_OVERRIDE=G","FUND_PER",RIGHT($B$11,1),"ACCOUNTING_STANDARD_OVERRIDE",$H$7,"EQY_CONSOLIDATED",$H$9,"EQY_FUND_CRNCY",$L$7,"StartCol",F$12,"EndCol",F$12,"StartRow",$B65,"EndRow",$B65),1)="#","",_xll.BDS(Ticker,"PG_GROSS_PROFIT","PG_HIERARCHY_LEVEL=1","NUMBER_OF_PERIODS=-11","REVERSE_PERIOD_ORDER=N","PRODUCT_GEO_OVERRIDE=G","FUND_PER",RIGHT($B$11,1),"ACCOUNTING_STANDARD_OVERRIDE",$H$7,"EQY_CONSOLIDATED",$H$9,"EQY_FUND_CRNCY",$L$7,"StartCol",F$12,"EndCol",F$12,"StartRow",$B65,"EndRow",$B65))</f>
        <v/>
      </c>
      <c r="G65" s="218" t="str">
        <f>IF(LEFT(_xll.BDS(Ticker,"PG_GROSS_PROFIT","PG_HIERARCHY_LEVEL=1","NUMBER_OF_PERIODS=-11","REVERSE_PERIOD_ORDER=N","PRODUCT_GEO_OVERRIDE=G","FUND_PER",RIGHT($B$11,1),"ACCOUNTING_STANDARD_OVERRIDE",$H$7,"EQY_CONSOLIDATED",$H$9,"EQY_FUND_CRNCY",$L$7,"StartCol",G$12,"EndCol",G$12,"StartRow",$B65,"EndRow",$B65),1)="#","",_xll.BDS(Ticker,"PG_GROSS_PROFIT","PG_HIERARCHY_LEVEL=1","NUMBER_OF_PERIODS=-11","REVERSE_PERIOD_ORDER=N","PRODUCT_GEO_OVERRIDE=G","FUND_PER",RIGHT($B$11,1),"ACCOUNTING_STANDARD_OVERRIDE",$H$7,"EQY_CONSOLIDATED",$H$9,"EQY_FUND_CRNCY",$L$7,"StartCol",G$12,"EndCol",G$12,"StartRow",$B65,"EndRow",$B65))</f>
        <v/>
      </c>
      <c r="H65" s="218" t="str">
        <f>IF(LEFT(_xll.BDS(Ticker,"PG_GROSS_PROFIT","PG_HIERARCHY_LEVEL=1","NUMBER_OF_PERIODS=-11","REVERSE_PERIOD_ORDER=N","PRODUCT_GEO_OVERRIDE=G","FUND_PER",RIGHT($B$11,1),"ACCOUNTING_STANDARD_OVERRIDE",$H$7,"EQY_CONSOLIDATED",$H$9,"EQY_FUND_CRNCY",$L$7,"StartCol",H$12,"EndCol",H$12,"StartRow",$B65,"EndRow",$B65),1)="#","",_xll.BDS(Ticker,"PG_GROSS_PROFIT","PG_HIERARCHY_LEVEL=1","NUMBER_OF_PERIODS=-11","REVERSE_PERIOD_ORDER=N","PRODUCT_GEO_OVERRIDE=G","FUND_PER",RIGHT($B$11,1),"ACCOUNTING_STANDARD_OVERRIDE",$H$7,"EQY_CONSOLIDATED",$H$9,"EQY_FUND_CRNCY",$L$7,"StartCol",H$12,"EndCol",H$12,"StartRow",$B65,"EndRow",$B65))</f>
        <v/>
      </c>
      <c r="I65" s="218" t="str">
        <f>IF(LEFT(_xll.BDS(Ticker,"PG_GROSS_PROFIT","PG_HIERARCHY_LEVEL=1","NUMBER_OF_PERIODS=-11","REVERSE_PERIOD_ORDER=N","PRODUCT_GEO_OVERRIDE=G","FUND_PER",RIGHT($B$11,1),"ACCOUNTING_STANDARD_OVERRIDE",$H$7,"EQY_CONSOLIDATED",$H$9,"EQY_FUND_CRNCY",$L$7,"StartCol",I$12,"EndCol",I$12,"StartRow",$B65,"EndRow",$B65),1)="#","",_xll.BDS(Ticker,"PG_GROSS_PROFIT","PG_HIERARCHY_LEVEL=1","NUMBER_OF_PERIODS=-11","REVERSE_PERIOD_ORDER=N","PRODUCT_GEO_OVERRIDE=G","FUND_PER",RIGHT($B$11,1),"ACCOUNTING_STANDARD_OVERRIDE",$H$7,"EQY_CONSOLIDATED",$H$9,"EQY_FUND_CRNCY",$L$7,"StartCol",I$12,"EndCol",I$12,"StartRow",$B65,"EndRow",$B65))</f>
        <v/>
      </c>
      <c r="J65" s="218" t="str">
        <f>IF(LEFT(_xll.BDS(Ticker,"PG_GROSS_PROFIT","PG_HIERARCHY_LEVEL=1","NUMBER_OF_PERIODS=-11","REVERSE_PERIOD_ORDER=N","PRODUCT_GEO_OVERRIDE=G","FUND_PER",RIGHT($B$11,1),"ACCOUNTING_STANDARD_OVERRIDE",$H$7,"EQY_CONSOLIDATED",$H$9,"EQY_FUND_CRNCY",$L$7,"StartCol",J$12,"EndCol",J$12,"StartRow",$B65,"EndRow",$B65),1)="#","",_xll.BDS(Ticker,"PG_GROSS_PROFIT","PG_HIERARCHY_LEVEL=1","NUMBER_OF_PERIODS=-11","REVERSE_PERIOD_ORDER=N","PRODUCT_GEO_OVERRIDE=G","FUND_PER",RIGHT($B$11,1),"ACCOUNTING_STANDARD_OVERRIDE",$H$7,"EQY_CONSOLIDATED",$H$9,"EQY_FUND_CRNCY",$L$7,"StartCol",J$12,"EndCol",J$12,"StartRow",$B65,"EndRow",$B65))</f>
        <v/>
      </c>
      <c r="K65" s="218" t="str">
        <f>IF(LEFT(_xll.BDS(Ticker,"PG_GROSS_PROFIT","PG_HIERARCHY_LEVEL=1","NUMBER_OF_PERIODS=-11","REVERSE_PERIOD_ORDER=N","PRODUCT_GEO_OVERRIDE=G","FUND_PER",RIGHT($B$11,1),"ACCOUNTING_STANDARD_OVERRIDE",$H$7,"EQY_CONSOLIDATED",$H$9,"EQY_FUND_CRNCY",$L$7,"StartCol",K$12,"EndCol",K$12,"StartRow",$B65,"EndRow",$B65),1)="#","",_xll.BDS(Ticker,"PG_GROSS_PROFIT","PG_HIERARCHY_LEVEL=1","NUMBER_OF_PERIODS=-11","REVERSE_PERIOD_ORDER=N","PRODUCT_GEO_OVERRIDE=G","FUND_PER",RIGHT($B$11,1),"ACCOUNTING_STANDARD_OVERRIDE",$H$7,"EQY_CONSOLIDATED",$H$9,"EQY_FUND_CRNCY",$L$7,"StartCol",K$12,"EndCol",K$12,"StartRow",$B65,"EndRow",$B65))</f>
        <v/>
      </c>
      <c r="L65" s="218" t="str">
        <f>IF(LEFT(_xll.BDS(Ticker,"PG_GROSS_PROFIT","PG_HIERARCHY_LEVEL=1","NUMBER_OF_PERIODS=-11","REVERSE_PERIOD_ORDER=N","PRODUCT_GEO_OVERRIDE=G","FUND_PER",RIGHT($B$11,1),"ACCOUNTING_STANDARD_OVERRIDE",$H$7,"EQY_CONSOLIDATED",$H$9,"EQY_FUND_CRNCY",$L$7,"StartCol",L$12,"EndCol",L$12,"StartRow",$B65,"EndRow",$B65),1)="#","",_xll.BDS(Ticker,"PG_GROSS_PROFIT","PG_HIERARCHY_LEVEL=1","NUMBER_OF_PERIODS=-11","REVERSE_PERIOD_ORDER=N","PRODUCT_GEO_OVERRIDE=G","FUND_PER",RIGHT($B$11,1),"ACCOUNTING_STANDARD_OVERRIDE",$H$7,"EQY_CONSOLIDATED",$H$9,"EQY_FUND_CRNCY",$L$7,"StartCol",L$12,"EndCol",L$12,"StartRow",$B65,"EndRow",$B65))</f>
        <v/>
      </c>
      <c r="M65" s="218" t="str">
        <f>IF(LEFT(_xll.BDS(Ticker,"PG_GROSS_PROFIT","PG_HIERARCHY_LEVEL=1","NUMBER_OF_PERIODS=-11","REVERSE_PERIOD_ORDER=N","PRODUCT_GEO_OVERRIDE=G","FUND_PER",RIGHT($B$11,1),"ACCOUNTING_STANDARD_OVERRIDE",$H$7,"EQY_CONSOLIDATED",$H$9,"EQY_FUND_CRNCY",$L$7,"StartCol",M$12,"EndCol",M$12,"StartRow",$B65,"EndRow",$B65),1)="#","",_xll.BDS(Ticker,"PG_GROSS_PROFIT","PG_HIERARCHY_LEVEL=1","NUMBER_OF_PERIODS=-11","REVERSE_PERIOD_ORDER=N","PRODUCT_GEO_OVERRIDE=G","FUND_PER",RIGHT($B$11,1),"ACCOUNTING_STANDARD_OVERRIDE",$H$7,"EQY_CONSOLIDATED",$H$9,"EQY_FUND_CRNCY",$L$7,"StartCol",M$12,"EndCol",M$12,"StartRow",$B65,"EndRow",$B65))</f>
        <v/>
      </c>
      <c r="N65" s="218" t="str">
        <f>IF(LEFT(_xll.BDS(Ticker,"PG_GROSS_PROFIT","PG_HIERARCHY_LEVEL=1","NUMBER_OF_PERIODS=-11","REVERSE_PERIOD_ORDER=N","PRODUCT_GEO_OVERRIDE=G","FUND_PER",RIGHT($B$11,1),"ACCOUNTING_STANDARD_OVERRIDE",$H$7,"EQY_CONSOLIDATED",$H$9,"EQY_FUND_CRNCY",$L$7,"StartCol",N$12,"EndCol",N$12,"StartRow",$B65,"EndRow",$B65),1)="#","",_xll.BDS(Ticker,"PG_GROSS_PROFIT","PG_HIERARCHY_LEVEL=1","NUMBER_OF_PERIODS=-11","REVERSE_PERIOD_ORDER=N","PRODUCT_GEO_OVERRIDE=G","FUND_PER",RIGHT($B$11,1),"ACCOUNTING_STANDARD_OVERRIDE",$H$7,"EQY_CONSOLIDATED",$H$9,"EQY_FUND_CRNCY",$L$7,"StartCol",N$12,"EndCol",N$12,"StartRow",$B65,"EndRow",$B65))</f>
        <v/>
      </c>
    </row>
    <row r="66" spans="2:14" hidden="1" outlineLevel="1">
      <c r="B66" s="214">
        <v>7</v>
      </c>
      <c r="C66" s="216" t="str">
        <f>IF(LEFT(_xll.BDS(Ticker,"PG_GROSS_PROFIT","PG_HIERARCHY_LEVEL=1","NUMBER_OF_PERIODS=-11","REVERSE_PERIOD_ORDER=N","PRODUCT_GEO_OVERRIDE=G","FUND_PER",RIGHT($B$11,1),"ACCOUNTING_STANDARD_OVERRIDE",$H$7,"EQY_CONSOLIDATED",$H$9,"EQY_FUND_CRNCY",$L$7,"StartCol",C$12,"EndCol",C$12,"StartRow",$B66,"EndRow",$B66),1)="#","",_xll.BDS(Ticker,"PG_GROSS_PROFIT","PG_HIERARCHY_LEVEL=1","NUMBER_OF_PERIODS=-11","REVERSE_PERIOD_ORDER=N","PRODUCT_GEO_OVERRIDE=G","FUND_PER",RIGHT($B$11,1),"ACCOUNTING_STANDARD_OVERRIDE",$H$7,"EQY_CONSOLIDATED",$H$9,"EQY_FUND_CRNCY",$L$7,"StartCol",C$12,"EndCol",C$12,"StartRow",$B66,"EndRow",$B66))</f>
        <v/>
      </c>
      <c r="D66" s="218" t="str">
        <f>IF(LEFT(_xll.BDS(Ticker,"PG_GROSS_PROFIT","PG_HIERARCHY_LEVEL=1","NUMBER_OF_PERIODS=-11","REVERSE_PERIOD_ORDER=N","PRODUCT_GEO_OVERRIDE=G","FUND_PER",RIGHT($B$11,1),"ACCOUNTING_STANDARD_OVERRIDE",$H$7,"EQY_CONSOLIDATED",$H$9,"EQY_FUND_CRNCY",$L$7,"StartCol",D$12,"EndCol",D$12,"StartRow",$B66,"EndRow",$B66),1)="#","",_xll.BDS(Ticker,"PG_GROSS_PROFIT","PG_HIERARCHY_LEVEL=1","NUMBER_OF_PERIODS=-11","REVERSE_PERIOD_ORDER=N","PRODUCT_GEO_OVERRIDE=G","FUND_PER",RIGHT($B$11,1),"ACCOUNTING_STANDARD_OVERRIDE",$H$7,"EQY_CONSOLIDATED",$H$9,"EQY_FUND_CRNCY",$L$7,"StartCol",D$12,"EndCol",D$12,"StartRow",$B66,"EndRow",$B66))</f>
        <v/>
      </c>
      <c r="E66" s="218" t="str">
        <f>IF(LEFT(_xll.BDS(Ticker,"PG_GROSS_PROFIT","PG_HIERARCHY_LEVEL=1","NUMBER_OF_PERIODS=-11","REVERSE_PERIOD_ORDER=N","PRODUCT_GEO_OVERRIDE=G","FUND_PER",RIGHT($B$11,1),"ACCOUNTING_STANDARD_OVERRIDE",$H$7,"EQY_CONSOLIDATED",$H$9,"EQY_FUND_CRNCY",$L$7,"StartCol",E$12,"EndCol",E$12,"StartRow",$B66,"EndRow",$B66),1)="#","",_xll.BDS(Ticker,"PG_GROSS_PROFIT","PG_HIERARCHY_LEVEL=1","NUMBER_OF_PERIODS=-11","REVERSE_PERIOD_ORDER=N","PRODUCT_GEO_OVERRIDE=G","FUND_PER",RIGHT($B$11,1),"ACCOUNTING_STANDARD_OVERRIDE",$H$7,"EQY_CONSOLIDATED",$H$9,"EQY_FUND_CRNCY",$L$7,"StartCol",E$12,"EndCol",E$12,"StartRow",$B66,"EndRow",$B66))</f>
        <v/>
      </c>
      <c r="F66" s="218" t="str">
        <f>IF(LEFT(_xll.BDS(Ticker,"PG_GROSS_PROFIT","PG_HIERARCHY_LEVEL=1","NUMBER_OF_PERIODS=-11","REVERSE_PERIOD_ORDER=N","PRODUCT_GEO_OVERRIDE=G","FUND_PER",RIGHT($B$11,1),"ACCOUNTING_STANDARD_OVERRIDE",$H$7,"EQY_CONSOLIDATED",$H$9,"EQY_FUND_CRNCY",$L$7,"StartCol",F$12,"EndCol",F$12,"StartRow",$B66,"EndRow",$B66),1)="#","",_xll.BDS(Ticker,"PG_GROSS_PROFIT","PG_HIERARCHY_LEVEL=1","NUMBER_OF_PERIODS=-11","REVERSE_PERIOD_ORDER=N","PRODUCT_GEO_OVERRIDE=G","FUND_PER",RIGHT($B$11,1),"ACCOUNTING_STANDARD_OVERRIDE",$H$7,"EQY_CONSOLIDATED",$H$9,"EQY_FUND_CRNCY",$L$7,"StartCol",F$12,"EndCol",F$12,"StartRow",$B66,"EndRow",$B66))</f>
        <v/>
      </c>
      <c r="G66" s="218" t="str">
        <f>IF(LEFT(_xll.BDS(Ticker,"PG_GROSS_PROFIT","PG_HIERARCHY_LEVEL=1","NUMBER_OF_PERIODS=-11","REVERSE_PERIOD_ORDER=N","PRODUCT_GEO_OVERRIDE=G","FUND_PER",RIGHT($B$11,1),"ACCOUNTING_STANDARD_OVERRIDE",$H$7,"EQY_CONSOLIDATED",$H$9,"EQY_FUND_CRNCY",$L$7,"StartCol",G$12,"EndCol",G$12,"StartRow",$B66,"EndRow",$B66),1)="#","",_xll.BDS(Ticker,"PG_GROSS_PROFIT","PG_HIERARCHY_LEVEL=1","NUMBER_OF_PERIODS=-11","REVERSE_PERIOD_ORDER=N","PRODUCT_GEO_OVERRIDE=G","FUND_PER",RIGHT($B$11,1),"ACCOUNTING_STANDARD_OVERRIDE",$H$7,"EQY_CONSOLIDATED",$H$9,"EQY_FUND_CRNCY",$L$7,"StartCol",G$12,"EndCol",G$12,"StartRow",$B66,"EndRow",$B66))</f>
        <v/>
      </c>
      <c r="H66" s="218" t="str">
        <f>IF(LEFT(_xll.BDS(Ticker,"PG_GROSS_PROFIT","PG_HIERARCHY_LEVEL=1","NUMBER_OF_PERIODS=-11","REVERSE_PERIOD_ORDER=N","PRODUCT_GEO_OVERRIDE=G","FUND_PER",RIGHT($B$11,1),"ACCOUNTING_STANDARD_OVERRIDE",$H$7,"EQY_CONSOLIDATED",$H$9,"EQY_FUND_CRNCY",$L$7,"StartCol",H$12,"EndCol",H$12,"StartRow",$B66,"EndRow",$B66),1)="#","",_xll.BDS(Ticker,"PG_GROSS_PROFIT","PG_HIERARCHY_LEVEL=1","NUMBER_OF_PERIODS=-11","REVERSE_PERIOD_ORDER=N","PRODUCT_GEO_OVERRIDE=G","FUND_PER",RIGHT($B$11,1),"ACCOUNTING_STANDARD_OVERRIDE",$H$7,"EQY_CONSOLIDATED",$H$9,"EQY_FUND_CRNCY",$L$7,"StartCol",H$12,"EndCol",H$12,"StartRow",$B66,"EndRow",$B66))</f>
        <v/>
      </c>
      <c r="I66" s="218" t="str">
        <f>IF(LEFT(_xll.BDS(Ticker,"PG_GROSS_PROFIT","PG_HIERARCHY_LEVEL=1","NUMBER_OF_PERIODS=-11","REVERSE_PERIOD_ORDER=N","PRODUCT_GEO_OVERRIDE=G","FUND_PER",RIGHT($B$11,1),"ACCOUNTING_STANDARD_OVERRIDE",$H$7,"EQY_CONSOLIDATED",$H$9,"EQY_FUND_CRNCY",$L$7,"StartCol",I$12,"EndCol",I$12,"StartRow",$B66,"EndRow",$B66),1)="#","",_xll.BDS(Ticker,"PG_GROSS_PROFIT","PG_HIERARCHY_LEVEL=1","NUMBER_OF_PERIODS=-11","REVERSE_PERIOD_ORDER=N","PRODUCT_GEO_OVERRIDE=G","FUND_PER",RIGHT($B$11,1),"ACCOUNTING_STANDARD_OVERRIDE",$H$7,"EQY_CONSOLIDATED",$H$9,"EQY_FUND_CRNCY",$L$7,"StartCol",I$12,"EndCol",I$12,"StartRow",$B66,"EndRow",$B66))</f>
        <v/>
      </c>
      <c r="J66" s="218" t="str">
        <f>IF(LEFT(_xll.BDS(Ticker,"PG_GROSS_PROFIT","PG_HIERARCHY_LEVEL=1","NUMBER_OF_PERIODS=-11","REVERSE_PERIOD_ORDER=N","PRODUCT_GEO_OVERRIDE=G","FUND_PER",RIGHT($B$11,1),"ACCOUNTING_STANDARD_OVERRIDE",$H$7,"EQY_CONSOLIDATED",$H$9,"EQY_FUND_CRNCY",$L$7,"StartCol",J$12,"EndCol",J$12,"StartRow",$B66,"EndRow",$B66),1)="#","",_xll.BDS(Ticker,"PG_GROSS_PROFIT","PG_HIERARCHY_LEVEL=1","NUMBER_OF_PERIODS=-11","REVERSE_PERIOD_ORDER=N","PRODUCT_GEO_OVERRIDE=G","FUND_PER",RIGHT($B$11,1),"ACCOUNTING_STANDARD_OVERRIDE",$H$7,"EQY_CONSOLIDATED",$H$9,"EQY_FUND_CRNCY",$L$7,"StartCol",J$12,"EndCol",J$12,"StartRow",$B66,"EndRow",$B66))</f>
        <v/>
      </c>
      <c r="K66" s="218" t="str">
        <f>IF(LEFT(_xll.BDS(Ticker,"PG_GROSS_PROFIT","PG_HIERARCHY_LEVEL=1","NUMBER_OF_PERIODS=-11","REVERSE_PERIOD_ORDER=N","PRODUCT_GEO_OVERRIDE=G","FUND_PER",RIGHT($B$11,1),"ACCOUNTING_STANDARD_OVERRIDE",$H$7,"EQY_CONSOLIDATED",$H$9,"EQY_FUND_CRNCY",$L$7,"StartCol",K$12,"EndCol",K$12,"StartRow",$B66,"EndRow",$B66),1)="#","",_xll.BDS(Ticker,"PG_GROSS_PROFIT","PG_HIERARCHY_LEVEL=1","NUMBER_OF_PERIODS=-11","REVERSE_PERIOD_ORDER=N","PRODUCT_GEO_OVERRIDE=G","FUND_PER",RIGHT($B$11,1),"ACCOUNTING_STANDARD_OVERRIDE",$H$7,"EQY_CONSOLIDATED",$H$9,"EQY_FUND_CRNCY",$L$7,"StartCol",K$12,"EndCol",K$12,"StartRow",$B66,"EndRow",$B66))</f>
        <v/>
      </c>
      <c r="L66" s="218" t="str">
        <f>IF(LEFT(_xll.BDS(Ticker,"PG_GROSS_PROFIT","PG_HIERARCHY_LEVEL=1","NUMBER_OF_PERIODS=-11","REVERSE_PERIOD_ORDER=N","PRODUCT_GEO_OVERRIDE=G","FUND_PER",RIGHT($B$11,1),"ACCOUNTING_STANDARD_OVERRIDE",$H$7,"EQY_CONSOLIDATED",$H$9,"EQY_FUND_CRNCY",$L$7,"StartCol",L$12,"EndCol",L$12,"StartRow",$B66,"EndRow",$B66),1)="#","",_xll.BDS(Ticker,"PG_GROSS_PROFIT","PG_HIERARCHY_LEVEL=1","NUMBER_OF_PERIODS=-11","REVERSE_PERIOD_ORDER=N","PRODUCT_GEO_OVERRIDE=G","FUND_PER",RIGHT($B$11,1),"ACCOUNTING_STANDARD_OVERRIDE",$H$7,"EQY_CONSOLIDATED",$H$9,"EQY_FUND_CRNCY",$L$7,"StartCol",L$12,"EndCol",L$12,"StartRow",$B66,"EndRow",$B66))</f>
        <v/>
      </c>
      <c r="M66" s="218" t="str">
        <f>IF(LEFT(_xll.BDS(Ticker,"PG_GROSS_PROFIT","PG_HIERARCHY_LEVEL=1","NUMBER_OF_PERIODS=-11","REVERSE_PERIOD_ORDER=N","PRODUCT_GEO_OVERRIDE=G","FUND_PER",RIGHT($B$11,1),"ACCOUNTING_STANDARD_OVERRIDE",$H$7,"EQY_CONSOLIDATED",$H$9,"EQY_FUND_CRNCY",$L$7,"StartCol",M$12,"EndCol",M$12,"StartRow",$B66,"EndRow",$B66),1)="#","",_xll.BDS(Ticker,"PG_GROSS_PROFIT","PG_HIERARCHY_LEVEL=1","NUMBER_OF_PERIODS=-11","REVERSE_PERIOD_ORDER=N","PRODUCT_GEO_OVERRIDE=G","FUND_PER",RIGHT($B$11,1),"ACCOUNTING_STANDARD_OVERRIDE",$H$7,"EQY_CONSOLIDATED",$H$9,"EQY_FUND_CRNCY",$L$7,"StartCol",M$12,"EndCol",M$12,"StartRow",$B66,"EndRow",$B66))</f>
        <v/>
      </c>
      <c r="N66" s="218" t="str">
        <f>IF(LEFT(_xll.BDS(Ticker,"PG_GROSS_PROFIT","PG_HIERARCHY_LEVEL=1","NUMBER_OF_PERIODS=-11","REVERSE_PERIOD_ORDER=N","PRODUCT_GEO_OVERRIDE=G","FUND_PER",RIGHT($B$11,1),"ACCOUNTING_STANDARD_OVERRIDE",$H$7,"EQY_CONSOLIDATED",$H$9,"EQY_FUND_CRNCY",$L$7,"StartCol",N$12,"EndCol",N$12,"StartRow",$B66,"EndRow",$B66),1)="#","",_xll.BDS(Ticker,"PG_GROSS_PROFIT","PG_HIERARCHY_LEVEL=1","NUMBER_OF_PERIODS=-11","REVERSE_PERIOD_ORDER=N","PRODUCT_GEO_OVERRIDE=G","FUND_PER",RIGHT($B$11,1),"ACCOUNTING_STANDARD_OVERRIDE",$H$7,"EQY_CONSOLIDATED",$H$9,"EQY_FUND_CRNCY",$L$7,"StartCol",N$12,"EndCol",N$12,"StartRow",$B66,"EndRow",$B66))</f>
        <v/>
      </c>
    </row>
    <row r="67" spans="2:14" hidden="1" outlineLevel="1">
      <c r="B67" s="214">
        <v>8</v>
      </c>
      <c r="C67" s="216" t="str">
        <f>IF(LEFT(_xll.BDS(Ticker,"PG_GROSS_PROFIT","PG_HIERARCHY_LEVEL=1","NUMBER_OF_PERIODS=-11","REVERSE_PERIOD_ORDER=N","PRODUCT_GEO_OVERRIDE=G","FUND_PER",RIGHT($B$11,1),"ACCOUNTING_STANDARD_OVERRIDE",$H$7,"EQY_CONSOLIDATED",$H$9,"EQY_FUND_CRNCY",$L$7,"StartCol",C$12,"EndCol",C$12,"StartRow",$B67,"EndRow",$B67),1)="#","",_xll.BDS(Ticker,"PG_GROSS_PROFIT","PG_HIERARCHY_LEVEL=1","NUMBER_OF_PERIODS=-11","REVERSE_PERIOD_ORDER=N","PRODUCT_GEO_OVERRIDE=G","FUND_PER",RIGHT($B$11,1),"ACCOUNTING_STANDARD_OVERRIDE",$H$7,"EQY_CONSOLIDATED",$H$9,"EQY_FUND_CRNCY",$L$7,"StartCol",C$12,"EndCol",C$12,"StartRow",$B67,"EndRow",$B67))</f>
        <v/>
      </c>
      <c r="D67" s="218" t="str">
        <f>IF(LEFT(_xll.BDS(Ticker,"PG_GROSS_PROFIT","PG_HIERARCHY_LEVEL=1","NUMBER_OF_PERIODS=-11","REVERSE_PERIOD_ORDER=N","PRODUCT_GEO_OVERRIDE=G","FUND_PER",RIGHT($B$11,1),"ACCOUNTING_STANDARD_OVERRIDE",$H$7,"EQY_CONSOLIDATED",$H$9,"EQY_FUND_CRNCY",$L$7,"StartCol",D$12,"EndCol",D$12,"StartRow",$B67,"EndRow",$B67),1)="#","",_xll.BDS(Ticker,"PG_GROSS_PROFIT","PG_HIERARCHY_LEVEL=1","NUMBER_OF_PERIODS=-11","REVERSE_PERIOD_ORDER=N","PRODUCT_GEO_OVERRIDE=G","FUND_PER",RIGHT($B$11,1),"ACCOUNTING_STANDARD_OVERRIDE",$H$7,"EQY_CONSOLIDATED",$H$9,"EQY_FUND_CRNCY",$L$7,"StartCol",D$12,"EndCol",D$12,"StartRow",$B67,"EndRow",$B67))</f>
        <v/>
      </c>
      <c r="E67" s="218" t="str">
        <f>IF(LEFT(_xll.BDS(Ticker,"PG_GROSS_PROFIT","PG_HIERARCHY_LEVEL=1","NUMBER_OF_PERIODS=-11","REVERSE_PERIOD_ORDER=N","PRODUCT_GEO_OVERRIDE=G","FUND_PER",RIGHT($B$11,1),"ACCOUNTING_STANDARD_OVERRIDE",$H$7,"EQY_CONSOLIDATED",$H$9,"EQY_FUND_CRNCY",$L$7,"StartCol",E$12,"EndCol",E$12,"StartRow",$B67,"EndRow",$B67),1)="#","",_xll.BDS(Ticker,"PG_GROSS_PROFIT","PG_HIERARCHY_LEVEL=1","NUMBER_OF_PERIODS=-11","REVERSE_PERIOD_ORDER=N","PRODUCT_GEO_OVERRIDE=G","FUND_PER",RIGHT($B$11,1),"ACCOUNTING_STANDARD_OVERRIDE",$H$7,"EQY_CONSOLIDATED",$H$9,"EQY_FUND_CRNCY",$L$7,"StartCol",E$12,"EndCol",E$12,"StartRow",$B67,"EndRow",$B67))</f>
        <v/>
      </c>
      <c r="F67" s="218" t="str">
        <f>IF(LEFT(_xll.BDS(Ticker,"PG_GROSS_PROFIT","PG_HIERARCHY_LEVEL=1","NUMBER_OF_PERIODS=-11","REVERSE_PERIOD_ORDER=N","PRODUCT_GEO_OVERRIDE=G","FUND_PER",RIGHT($B$11,1),"ACCOUNTING_STANDARD_OVERRIDE",$H$7,"EQY_CONSOLIDATED",$H$9,"EQY_FUND_CRNCY",$L$7,"StartCol",F$12,"EndCol",F$12,"StartRow",$B67,"EndRow",$B67),1)="#","",_xll.BDS(Ticker,"PG_GROSS_PROFIT","PG_HIERARCHY_LEVEL=1","NUMBER_OF_PERIODS=-11","REVERSE_PERIOD_ORDER=N","PRODUCT_GEO_OVERRIDE=G","FUND_PER",RIGHT($B$11,1),"ACCOUNTING_STANDARD_OVERRIDE",$H$7,"EQY_CONSOLIDATED",$H$9,"EQY_FUND_CRNCY",$L$7,"StartCol",F$12,"EndCol",F$12,"StartRow",$B67,"EndRow",$B67))</f>
        <v/>
      </c>
      <c r="G67" s="218" t="str">
        <f>IF(LEFT(_xll.BDS(Ticker,"PG_GROSS_PROFIT","PG_HIERARCHY_LEVEL=1","NUMBER_OF_PERIODS=-11","REVERSE_PERIOD_ORDER=N","PRODUCT_GEO_OVERRIDE=G","FUND_PER",RIGHT($B$11,1),"ACCOUNTING_STANDARD_OVERRIDE",$H$7,"EQY_CONSOLIDATED",$H$9,"EQY_FUND_CRNCY",$L$7,"StartCol",G$12,"EndCol",G$12,"StartRow",$B67,"EndRow",$B67),1)="#","",_xll.BDS(Ticker,"PG_GROSS_PROFIT","PG_HIERARCHY_LEVEL=1","NUMBER_OF_PERIODS=-11","REVERSE_PERIOD_ORDER=N","PRODUCT_GEO_OVERRIDE=G","FUND_PER",RIGHT($B$11,1),"ACCOUNTING_STANDARD_OVERRIDE",$H$7,"EQY_CONSOLIDATED",$H$9,"EQY_FUND_CRNCY",$L$7,"StartCol",G$12,"EndCol",G$12,"StartRow",$B67,"EndRow",$B67))</f>
        <v/>
      </c>
      <c r="H67" s="218" t="str">
        <f>IF(LEFT(_xll.BDS(Ticker,"PG_GROSS_PROFIT","PG_HIERARCHY_LEVEL=1","NUMBER_OF_PERIODS=-11","REVERSE_PERIOD_ORDER=N","PRODUCT_GEO_OVERRIDE=G","FUND_PER",RIGHT($B$11,1),"ACCOUNTING_STANDARD_OVERRIDE",$H$7,"EQY_CONSOLIDATED",$H$9,"EQY_FUND_CRNCY",$L$7,"StartCol",H$12,"EndCol",H$12,"StartRow",$B67,"EndRow",$B67),1)="#","",_xll.BDS(Ticker,"PG_GROSS_PROFIT","PG_HIERARCHY_LEVEL=1","NUMBER_OF_PERIODS=-11","REVERSE_PERIOD_ORDER=N","PRODUCT_GEO_OVERRIDE=G","FUND_PER",RIGHT($B$11,1),"ACCOUNTING_STANDARD_OVERRIDE",$H$7,"EQY_CONSOLIDATED",$H$9,"EQY_FUND_CRNCY",$L$7,"StartCol",H$12,"EndCol",H$12,"StartRow",$B67,"EndRow",$B67))</f>
        <v/>
      </c>
      <c r="I67" s="218" t="str">
        <f>IF(LEFT(_xll.BDS(Ticker,"PG_GROSS_PROFIT","PG_HIERARCHY_LEVEL=1","NUMBER_OF_PERIODS=-11","REVERSE_PERIOD_ORDER=N","PRODUCT_GEO_OVERRIDE=G","FUND_PER",RIGHT($B$11,1),"ACCOUNTING_STANDARD_OVERRIDE",$H$7,"EQY_CONSOLIDATED",$H$9,"EQY_FUND_CRNCY",$L$7,"StartCol",I$12,"EndCol",I$12,"StartRow",$B67,"EndRow",$B67),1)="#","",_xll.BDS(Ticker,"PG_GROSS_PROFIT","PG_HIERARCHY_LEVEL=1","NUMBER_OF_PERIODS=-11","REVERSE_PERIOD_ORDER=N","PRODUCT_GEO_OVERRIDE=G","FUND_PER",RIGHT($B$11,1),"ACCOUNTING_STANDARD_OVERRIDE",$H$7,"EQY_CONSOLIDATED",$H$9,"EQY_FUND_CRNCY",$L$7,"StartCol",I$12,"EndCol",I$12,"StartRow",$B67,"EndRow",$B67))</f>
        <v/>
      </c>
      <c r="J67" s="218" t="str">
        <f>IF(LEFT(_xll.BDS(Ticker,"PG_GROSS_PROFIT","PG_HIERARCHY_LEVEL=1","NUMBER_OF_PERIODS=-11","REVERSE_PERIOD_ORDER=N","PRODUCT_GEO_OVERRIDE=G","FUND_PER",RIGHT($B$11,1),"ACCOUNTING_STANDARD_OVERRIDE",$H$7,"EQY_CONSOLIDATED",$H$9,"EQY_FUND_CRNCY",$L$7,"StartCol",J$12,"EndCol",J$12,"StartRow",$B67,"EndRow",$B67),1)="#","",_xll.BDS(Ticker,"PG_GROSS_PROFIT","PG_HIERARCHY_LEVEL=1","NUMBER_OF_PERIODS=-11","REVERSE_PERIOD_ORDER=N","PRODUCT_GEO_OVERRIDE=G","FUND_PER",RIGHT($B$11,1),"ACCOUNTING_STANDARD_OVERRIDE",$H$7,"EQY_CONSOLIDATED",$H$9,"EQY_FUND_CRNCY",$L$7,"StartCol",J$12,"EndCol",J$12,"StartRow",$B67,"EndRow",$B67))</f>
        <v/>
      </c>
      <c r="K67" s="218" t="str">
        <f>IF(LEFT(_xll.BDS(Ticker,"PG_GROSS_PROFIT","PG_HIERARCHY_LEVEL=1","NUMBER_OF_PERIODS=-11","REVERSE_PERIOD_ORDER=N","PRODUCT_GEO_OVERRIDE=G","FUND_PER",RIGHT($B$11,1),"ACCOUNTING_STANDARD_OVERRIDE",$H$7,"EQY_CONSOLIDATED",$H$9,"EQY_FUND_CRNCY",$L$7,"StartCol",K$12,"EndCol",K$12,"StartRow",$B67,"EndRow",$B67),1)="#","",_xll.BDS(Ticker,"PG_GROSS_PROFIT","PG_HIERARCHY_LEVEL=1","NUMBER_OF_PERIODS=-11","REVERSE_PERIOD_ORDER=N","PRODUCT_GEO_OVERRIDE=G","FUND_PER",RIGHT($B$11,1),"ACCOUNTING_STANDARD_OVERRIDE",$H$7,"EQY_CONSOLIDATED",$H$9,"EQY_FUND_CRNCY",$L$7,"StartCol",K$12,"EndCol",K$12,"StartRow",$B67,"EndRow",$B67))</f>
        <v/>
      </c>
      <c r="L67" s="218" t="str">
        <f>IF(LEFT(_xll.BDS(Ticker,"PG_GROSS_PROFIT","PG_HIERARCHY_LEVEL=1","NUMBER_OF_PERIODS=-11","REVERSE_PERIOD_ORDER=N","PRODUCT_GEO_OVERRIDE=G","FUND_PER",RIGHT($B$11,1),"ACCOUNTING_STANDARD_OVERRIDE",$H$7,"EQY_CONSOLIDATED",$H$9,"EQY_FUND_CRNCY",$L$7,"StartCol",L$12,"EndCol",L$12,"StartRow",$B67,"EndRow",$B67),1)="#","",_xll.BDS(Ticker,"PG_GROSS_PROFIT","PG_HIERARCHY_LEVEL=1","NUMBER_OF_PERIODS=-11","REVERSE_PERIOD_ORDER=N","PRODUCT_GEO_OVERRIDE=G","FUND_PER",RIGHT($B$11,1),"ACCOUNTING_STANDARD_OVERRIDE",$H$7,"EQY_CONSOLIDATED",$H$9,"EQY_FUND_CRNCY",$L$7,"StartCol",L$12,"EndCol",L$12,"StartRow",$B67,"EndRow",$B67))</f>
        <v/>
      </c>
      <c r="M67" s="218" t="str">
        <f>IF(LEFT(_xll.BDS(Ticker,"PG_GROSS_PROFIT","PG_HIERARCHY_LEVEL=1","NUMBER_OF_PERIODS=-11","REVERSE_PERIOD_ORDER=N","PRODUCT_GEO_OVERRIDE=G","FUND_PER",RIGHT($B$11,1),"ACCOUNTING_STANDARD_OVERRIDE",$H$7,"EQY_CONSOLIDATED",$H$9,"EQY_FUND_CRNCY",$L$7,"StartCol",M$12,"EndCol",M$12,"StartRow",$B67,"EndRow",$B67),1)="#","",_xll.BDS(Ticker,"PG_GROSS_PROFIT","PG_HIERARCHY_LEVEL=1","NUMBER_OF_PERIODS=-11","REVERSE_PERIOD_ORDER=N","PRODUCT_GEO_OVERRIDE=G","FUND_PER",RIGHT($B$11,1),"ACCOUNTING_STANDARD_OVERRIDE",$H$7,"EQY_CONSOLIDATED",$H$9,"EQY_FUND_CRNCY",$L$7,"StartCol",M$12,"EndCol",M$12,"StartRow",$B67,"EndRow",$B67))</f>
        <v/>
      </c>
      <c r="N67" s="218" t="str">
        <f>IF(LEFT(_xll.BDS(Ticker,"PG_GROSS_PROFIT","PG_HIERARCHY_LEVEL=1","NUMBER_OF_PERIODS=-11","REVERSE_PERIOD_ORDER=N","PRODUCT_GEO_OVERRIDE=G","FUND_PER",RIGHT($B$11,1),"ACCOUNTING_STANDARD_OVERRIDE",$H$7,"EQY_CONSOLIDATED",$H$9,"EQY_FUND_CRNCY",$L$7,"StartCol",N$12,"EndCol",N$12,"StartRow",$B67,"EndRow",$B67),1)="#","",_xll.BDS(Ticker,"PG_GROSS_PROFIT","PG_HIERARCHY_LEVEL=1","NUMBER_OF_PERIODS=-11","REVERSE_PERIOD_ORDER=N","PRODUCT_GEO_OVERRIDE=G","FUND_PER",RIGHT($B$11,1),"ACCOUNTING_STANDARD_OVERRIDE",$H$7,"EQY_CONSOLIDATED",$H$9,"EQY_FUND_CRNCY",$L$7,"StartCol",N$12,"EndCol",N$12,"StartRow",$B67,"EndRow",$B67))</f>
        <v/>
      </c>
    </row>
    <row r="68" spans="2:14" hidden="1" outlineLevel="1">
      <c r="B68" s="214">
        <v>9</v>
      </c>
      <c r="C68" s="216" t="str">
        <f>IF(LEFT(_xll.BDS(Ticker,"PG_GROSS_PROFIT","PG_HIERARCHY_LEVEL=1","NUMBER_OF_PERIODS=-11","REVERSE_PERIOD_ORDER=N","PRODUCT_GEO_OVERRIDE=G","FUND_PER",RIGHT($B$11,1),"ACCOUNTING_STANDARD_OVERRIDE",$H$7,"EQY_CONSOLIDATED",$H$9,"EQY_FUND_CRNCY",$L$7,"StartCol",C$12,"EndCol",C$12,"StartRow",$B68,"EndRow",$B68),1)="#","",_xll.BDS(Ticker,"PG_GROSS_PROFIT","PG_HIERARCHY_LEVEL=1","NUMBER_OF_PERIODS=-11","REVERSE_PERIOD_ORDER=N","PRODUCT_GEO_OVERRIDE=G","FUND_PER",RIGHT($B$11,1),"ACCOUNTING_STANDARD_OVERRIDE",$H$7,"EQY_CONSOLIDATED",$H$9,"EQY_FUND_CRNCY",$L$7,"StartCol",C$12,"EndCol",C$12,"StartRow",$B68,"EndRow",$B68))</f>
        <v/>
      </c>
      <c r="D68" s="218" t="str">
        <f>IF(LEFT(_xll.BDS(Ticker,"PG_GROSS_PROFIT","PG_HIERARCHY_LEVEL=1","NUMBER_OF_PERIODS=-11","REVERSE_PERIOD_ORDER=N","PRODUCT_GEO_OVERRIDE=G","FUND_PER",RIGHT($B$11,1),"ACCOUNTING_STANDARD_OVERRIDE",$H$7,"EQY_CONSOLIDATED",$H$9,"EQY_FUND_CRNCY",$L$7,"StartCol",D$12,"EndCol",D$12,"StartRow",$B68,"EndRow",$B68),1)="#","",_xll.BDS(Ticker,"PG_GROSS_PROFIT","PG_HIERARCHY_LEVEL=1","NUMBER_OF_PERIODS=-11","REVERSE_PERIOD_ORDER=N","PRODUCT_GEO_OVERRIDE=G","FUND_PER",RIGHT($B$11,1),"ACCOUNTING_STANDARD_OVERRIDE",$H$7,"EQY_CONSOLIDATED",$H$9,"EQY_FUND_CRNCY",$L$7,"StartCol",D$12,"EndCol",D$12,"StartRow",$B68,"EndRow",$B68))</f>
        <v/>
      </c>
      <c r="E68" s="218" t="str">
        <f>IF(LEFT(_xll.BDS(Ticker,"PG_GROSS_PROFIT","PG_HIERARCHY_LEVEL=1","NUMBER_OF_PERIODS=-11","REVERSE_PERIOD_ORDER=N","PRODUCT_GEO_OVERRIDE=G","FUND_PER",RIGHT($B$11,1),"ACCOUNTING_STANDARD_OVERRIDE",$H$7,"EQY_CONSOLIDATED",$H$9,"EQY_FUND_CRNCY",$L$7,"StartCol",E$12,"EndCol",E$12,"StartRow",$B68,"EndRow",$B68),1)="#","",_xll.BDS(Ticker,"PG_GROSS_PROFIT","PG_HIERARCHY_LEVEL=1","NUMBER_OF_PERIODS=-11","REVERSE_PERIOD_ORDER=N","PRODUCT_GEO_OVERRIDE=G","FUND_PER",RIGHT($B$11,1),"ACCOUNTING_STANDARD_OVERRIDE",$H$7,"EQY_CONSOLIDATED",$H$9,"EQY_FUND_CRNCY",$L$7,"StartCol",E$12,"EndCol",E$12,"StartRow",$B68,"EndRow",$B68))</f>
        <v/>
      </c>
      <c r="F68" s="218" t="str">
        <f>IF(LEFT(_xll.BDS(Ticker,"PG_GROSS_PROFIT","PG_HIERARCHY_LEVEL=1","NUMBER_OF_PERIODS=-11","REVERSE_PERIOD_ORDER=N","PRODUCT_GEO_OVERRIDE=G","FUND_PER",RIGHT($B$11,1),"ACCOUNTING_STANDARD_OVERRIDE",$H$7,"EQY_CONSOLIDATED",$H$9,"EQY_FUND_CRNCY",$L$7,"StartCol",F$12,"EndCol",F$12,"StartRow",$B68,"EndRow",$B68),1)="#","",_xll.BDS(Ticker,"PG_GROSS_PROFIT","PG_HIERARCHY_LEVEL=1","NUMBER_OF_PERIODS=-11","REVERSE_PERIOD_ORDER=N","PRODUCT_GEO_OVERRIDE=G","FUND_PER",RIGHT($B$11,1),"ACCOUNTING_STANDARD_OVERRIDE",$H$7,"EQY_CONSOLIDATED",$H$9,"EQY_FUND_CRNCY",$L$7,"StartCol",F$12,"EndCol",F$12,"StartRow",$B68,"EndRow",$B68))</f>
        <v/>
      </c>
      <c r="G68" s="218" t="str">
        <f>IF(LEFT(_xll.BDS(Ticker,"PG_GROSS_PROFIT","PG_HIERARCHY_LEVEL=1","NUMBER_OF_PERIODS=-11","REVERSE_PERIOD_ORDER=N","PRODUCT_GEO_OVERRIDE=G","FUND_PER",RIGHT($B$11,1),"ACCOUNTING_STANDARD_OVERRIDE",$H$7,"EQY_CONSOLIDATED",$H$9,"EQY_FUND_CRNCY",$L$7,"StartCol",G$12,"EndCol",G$12,"StartRow",$B68,"EndRow",$B68),1)="#","",_xll.BDS(Ticker,"PG_GROSS_PROFIT","PG_HIERARCHY_LEVEL=1","NUMBER_OF_PERIODS=-11","REVERSE_PERIOD_ORDER=N","PRODUCT_GEO_OVERRIDE=G","FUND_PER",RIGHT($B$11,1),"ACCOUNTING_STANDARD_OVERRIDE",$H$7,"EQY_CONSOLIDATED",$H$9,"EQY_FUND_CRNCY",$L$7,"StartCol",G$12,"EndCol",G$12,"StartRow",$B68,"EndRow",$B68))</f>
        <v/>
      </c>
      <c r="H68" s="218" t="str">
        <f>IF(LEFT(_xll.BDS(Ticker,"PG_GROSS_PROFIT","PG_HIERARCHY_LEVEL=1","NUMBER_OF_PERIODS=-11","REVERSE_PERIOD_ORDER=N","PRODUCT_GEO_OVERRIDE=G","FUND_PER",RIGHT($B$11,1),"ACCOUNTING_STANDARD_OVERRIDE",$H$7,"EQY_CONSOLIDATED",$H$9,"EQY_FUND_CRNCY",$L$7,"StartCol",H$12,"EndCol",H$12,"StartRow",$B68,"EndRow",$B68),1)="#","",_xll.BDS(Ticker,"PG_GROSS_PROFIT","PG_HIERARCHY_LEVEL=1","NUMBER_OF_PERIODS=-11","REVERSE_PERIOD_ORDER=N","PRODUCT_GEO_OVERRIDE=G","FUND_PER",RIGHT($B$11,1),"ACCOUNTING_STANDARD_OVERRIDE",$H$7,"EQY_CONSOLIDATED",$H$9,"EQY_FUND_CRNCY",$L$7,"StartCol",H$12,"EndCol",H$12,"StartRow",$B68,"EndRow",$B68))</f>
        <v/>
      </c>
      <c r="I68" s="218" t="str">
        <f>IF(LEFT(_xll.BDS(Ticker,"PG_GROSS_PROFIT","PG_HIERARCHY_LEVEL=1","NUMBER_OF_PERIODS=-11","REVERSE_PERIOD_ORDER=N","PRODUCT_GEO_OVERRIDE=G","FUND_PER",RIGHT($B$11,1),"ACCOUNTING_STANDARD_OVERRIDE",$H$7,"EQY_CONSOLIDATED",$H$9,"EQY_FUND_CRNCY",$L$7,"StartCol",I$12,"EndCol",I$12,"StartRow",$B68,"EndRow",$B68),1)="#","",_xll.BDS(Ticker,"PG_GROSS_PROFIT","PG_HIERARCHY_LEVEL=1","NUMBER_OF_PERIODS=-11","REVERSE_PERIOD_ORDER=N","PRODUCT_GEO_OVERRIDE=G","FUND_PER",RIGHT($B$11,1),"ACCOUNTING_STANDARD_OVERRIDE",$H$7,"EQY_CONSOLIDATED",$H$9,"EQY_FUND_CRNCY",$L$7,"StartCol",I$12,"EndCol",I$12,"StartRow",$B68,"EndRow",$B68))</f>
        <v/>
      </c>
      <c r="J68" s="218" t="str">
        <f>IF(LEFT(_xll.BDS(Ticker,"PG_GROSS_PROFIT","PG_HIERARCHY_LEVEL=1","NUMBER_OF_PERIODS=-11","REVERSE_PERIOD_ORDER=N","PRODUCT_GEO_OVERRIDE=G","FUND_PER",RIGHT($B$11,1),"ACCOUNTING_STANDARD_OVERRIDE",$H$7,"EQY_CONSOLIDATED",$H$9,"EQY_FUND_CRNCY",$L$7,"StartCol",J$12,"EndCol",J$12,"StartRow",$B68,"EndRow",$B68),1)="#","",_xll.BDS(Ticker,"PG_GROSS_PROFIT","PG_HIERARCHY_LEVEL=1","NUMBER_OF_PERIODS=-11","REVERSE_PERIOD_ORDER=N","PRODUCT_GEO_OVERRIDE=G","FUND_PER",RIGHT($B$11,1),"ACCOUNTING_STANDARD_OVERRIDE",$H$7,"EQY_CONSOLIDATED",$H$9,"EQY_FUND_CRNCY",$L$7,"StartCol",J$12,"EndCol",J$12,"StartRow",$B68,"EndRow",$B68))</f>
        <v/>
      </c>
      <c r="K68" s="218" t="str">
        <f>IF(LEFT(_xll.BDS(Ticker,"PG_GROSS_PROFIT","PG_HIERARCHY_LEVEL=1","NUMBER_OF_PERIODS=-11","REVERSE_PERIOD_ORDER=N","PRODUCT_GEO_OVERRIDE=G","FUND_PER",RIGHT($B$11,1),"ACCOUNTING_STANDARD_OVERRIDE",$H$7,"EQY_CONSOLIDATED",$H$9,"EQY_FUND_CRNCY",$L$7,"StartCol",K$12,"EndCol",K$12,"StartRow",$B68,"EndRow",$B68),1)="#","",_xll.BDS(Ticker,"PG_GROSS_PROFIT","PG_HIERARCHY_LEVEL=1","NUMBER_OF_PERIODS=-11","REVERSE_PERIOD_ORDER=N","PRODUCT_GEO_OVERRIDE=G","FUND_PER",RIGHT($B$11,1),"ACCOUNTING_STANDARD_OVERRIDE",$H$7,"EQY_CONSOLIDATED",$H$9,"EQY_FUND_CRNCY",$L$7,"StartCol",K$12,"EndCol",K$12,"StartRow",$B68,"EndRow",$B68))</f>
        <v/>
      </c>
      <c r="L68" s="218" t="str">
        <f>IF(LEFT(_xll.BDS(Ticker,"PG_GROSS_PROFIT","PG_HIERARCHY_LEVEL=1","NUMBER_OF_PERIODS=-11","REVERSE_PERIOD_ORDER=N","PRODUCT_GEO_OVERRIDE=G","FUND_PER",RIGHT($B$11,1),"ACCOUNTING_STANDARD_OVERRIDE",$H$7,"EQY_CONSOLIDATED",$H$9,"EQY_FUND_CRNCY",$L$7,"StartCol",L$12,"EndCol",L$12,"StartRow",$B68,"EndRow",$B68),1)="#","",_xll.BDS(Ticker,"PG_GROSS_PROFIT","PG_HIERARCHY_LEVEL=1","NUMBER_OF_PERIODS=-11","REVERSE_PERIOD_ORDER=N","PRODUCT_GEO_OVERRIDE=G","FUND_PER",RIGHT($B$11,1),"ACCOUNTING_STANDARD_OVERRIDE",$H$7,"EQY_CONSOLIDATED",$H$9,"EQY_FUND_CRNCY",$L$7,"StartCol",L$12,"EndCol",L$12,"StartRow",$B68,"EndRow",$B68))</f>
        <v/>
      </c>
      <c r="M68" s="218" t="str">
        <f>IF(LEFT(_xll.BDS(Ticker,"PG_GROSS_PROFIT","PG_HIERARCHY_LEVEL=1","NUMBER_OF_PERIODS=-11","REVERSE_PERIOD_ORDER=N","PRODUCT_GEO_OVERRIDE=G","FUND_PER",RIGHT($B$11,1),"ACCOUNTING_STANDARD_OVERRIDE",$H$7,"EQY_CONSOLIDATED",$H$9,"EQY_FUND_CRNCY",$L$7,"StartCol",M$12,"EndCol",M$12,"StartRow",$B68,"EndRow",$B68),1)="#","",_xll.BDS(Ticker,"PG_GROSS_PROFIT","PG_HIERARCHY_LEVEL=1","NUMBER_OF_PERIODS=-11","REVERSE_PERIOD_ORDER=N","PRODUCT_GEO_OVERRIDE=G","FUND_PER",RIGHT($B$11,1),"ACCOUNTING_STANDARD_OVERRIDE",$H$7,"EQY_CONSOLIDATED",$H$9,"EQY_FUND_CRNCY",$L$7,"StartCol",M$12,"EndCol",M$12,"StartRow",$B68,"EndRow",$B68))</f>
        <v/>
      </c>
      <c r="N68" s="218" t="str">
        <f>IF(LEFT(_xll.BDS(Ticker,"PG_GROSS_PROFIT","PG_HIERARCHY_LEVEL=1","NUMBER_OF_PERIODS=-11","REVERSE_PERIOD_ORDER=N","PRODUCT_GEO_OVERRIDE=G","FUND_PER",RIGHT($B$11,1),"ACCOUNTING_STANDARD_OVERRIDE",$H$7,"EQY_CONSOLIDATED",$H$9,"EQY_FUND_CRNCY",$L$7,"StartCol",N$12,"EndCol",N$12,"StartRow",$B68,"EndRow",$B68),1)="#","",_xll.BDS(Ticker,"PG_GROSS_PROFIT","PG_HIERARCHY_LEVEL=1","NUMBER_OF_PERIODS=-11","REVERSE_PERIOD_ORDER=N","PRODUCT_GEO_OVERRIDE=G","FUND_PER",RIGHT($B$11,1),"ACCOUNTING_STANDARD_OVERRIDE",$H$7,"EQY_CONSOLIDATED",$H$9,"EQY_FUND_CRNCY",$L$7,"StartCol",N$12,"EndCol",N$12,"StartRow",$B68,"EndRow",$B68))</f>
        <v/>
      </c>
    </row>
    <row r="69" spans="2:14" hidden="1" outlineLevel="1">
      <c r="B69" s="214">
        <v>10</v>
      </c>
      <c r="C69" s="216" t="str">
        <f>IF(LEFT(_xll.BDS(Ticker,"PG_GROSS_PROFIT","PG_HIERARCHY_LEVEL=1","NUMBER_OF_PERIODS=-11","REVERSE_PERIOD_ORDER=N","PRODUCT_GEO_OVERRIDE=G","FUND_PER",RIGHT($B$11,1),"ACCOUNTING_STANDARD_OVERRIDE",$H$7,"EQY_CONSOLIDATED",$H$9,"EQY_FUND_CRNCY",$L$7,"StartCol",C$12,"EndCol",C$12,"StartRow",$B69,"EndRow",$B69),1)="#","",_xll.BDS(Ticker,"PG_GROSS_PROFIT","PG_HIERARCHY_LEVEL=1","NUMBER_OF_PERIODS=-11","REVERSE_PERIOD_ORDER=N","PRODUCT_GEO_OVERRIDE=G","FUND_PER",RIGHT($B$11,1),"ACCOUNTING_STANDARD_OVERRIDE",$H$7,"EQY_CONSOLIDATED",$H$9,"EQY_FUND_CRNCY",$L$7,"StartCol",C$12,"EndCol",C$12,"StartRow",$B69,"EndRow",$B69))</f>
        <v/>
      </c>
      <c r="D69" s="218" t="str">
        <f>IF(LEFT(_xll.BDS(Ticker,"PG_GROSS_PROFIT","PG_HIERARCHY_LEVEL=1","NUMBER_OF_PERIODS=-11","REVERSE_PERIOD_ORDER=N","PRODUCT_GEO_OVERRIDE=G","FUND_PER",RIGHT($B$11,1),"ACCOUNTING_STANDARD_OVERRIDE",$H$7,"EQY_CONSOLIDATED",$H$9,"EQY_FUND_CRNCY",$L$7,"StartCol",D$12,"EndCol",D$12,"StartRow",$B69,"EndRow",$B69),1)="#","",_xll.BDS(Ticker,"PG_GROSS_PROFIT","PG_HIERARCHY_LEVEL=1","NUMBER_OF_PERIODS=-11","REVERSE_PERIOD_ORDER=N","PRODUCT_GEO_OVERRIDE=G","FUND_PER",RIGHT($B$11,1),"ACCOUNTING_STANDARD_OVERRIDE",$H$7,"EQY_CONSOLIDATED",$H$9,"EQY_FUND_CRNCY",$L$7,"StartCol",D$12,"EndCol",D$12,"StartRow",$B69,"EndRow",$B69))</f>
        <v/>
      </c>
      <c r="E69" s="218" t="str">
        <f>IF(LEFT(_xll.BDS(Ticker,"PG_GROSS_PROFIT","PG_HIERARCHY_LEVEL=1","NUMBER_OF_PERIODS=-11","REVERSE_PERIOD_ORDER=N","PRODUCT_GEO_OVERRIDE=G","FUND_PER",RIGHT($B$11,1),"ACCOUNTING_STANDARD_OVERRIDE",$H$7,"EQY_CONSOLIDATED",$H$9,"EQY_FUND_CRNCY",$L$7,"StartCol",E$12,"EndCol",E$12,"StartRow",$B69,"EndRow",$B69),1)="#","",_xll.BDS(Ticker,"PG_GROSS_PROFIT","PG_HIERARCHY_LEVEL=1","NUMBER_OF_PERIODS=-11","REVERSE_PERIOD_ORDER=N","PRODUCT_GEO_OVERRIDE=G","FUND_PER",RIGHT($B$11,1),"ACCOUNTING_STANDARD_OVERRIDE",$H$7,"EQY_CONSOLIDATED",$H$9,"EQY_FUND_CRNCY",$L$7,"StartCol",E$12,"EndCol",E$12,"StartRow",$B69,"EndRow",$B69))</f>
        <v/>
      </c>
      <c r="F69" s="218" t="str">
        <f>IF(LEFT(_xll.BDS(Ticker,"PG_GROSS_PROFIT","PG_HIERARCHY_LEVEL=1","NUMBER_OF_PERIODS=-11","REVERSE_PERIOD_ORDER=N","PRODUCT_GEO_OVERRIDE=G","FUND_PER",RIGHT($B$11,1),"ACCOUNTING_STANDARD_OVERRIDE",$H$7,"EQY_CONSOLIDATED",$H$9,"EQY_FUND_CRNCY",$L$7,"StartCol",F$12,"EndCol",F$12,"StartRow",$B69,"EndRow",$B69),1)="#","",_xll.BDS(Ticker,"PG_GROSS_PROFIT","PG_HIERARCHY_LEVEL=1","NUMBER_OF_PERIODS=-11","REVERSE_PERIOD_ORDER=N","PRODUCT_GEO_OVERRIDE=G","FUND_PER",RIGHT($B$11,1),"ACCOUNTING_STANDARD_OVERRIDE",$H$7,"EQY_CONSOLIDATED",$H$9,"EQY_FUND_CRNCY",$L$7,"StartCol",F$12,"EndCol",F$12,"StartRow",$B69,"EndRow",$B69))</f>
        <v/>
      </c>
      <c r="G69" s="218" t="str">
        <f>IF(LEFT(_xll.BDS(Ticker,"PG_GROSS_PROFIT","PG_HIERARCHY_LEVEL=1","NUMBER_OF_PERIODS=-11","REVERSE_PERIOD_ORDER=N","PRODUCT_GEO_OVERRIDE=G","FUND_PER",RIGHT($B$11,1),"ACCOUNTING_STANDARD_OVERRIDE",$H$7,"EQY_CONSOLIDATED",$H$9,"EQY_FUND_CRNCY",$L$7,"StartCol",G$12,"EndCol",G$12,"StartRow",$B69,"EndRow",$B69),1)="#","",_xll.BDS(Ticker,"PG_GROSS_PROFIT","PG_HIERARCHY_LEVEL=1","NUMBER_OF_PERIODS=-11","REVERSE_PERIOD_ORDER=N","PRODUCT_GEO_OVERRIDE=G","FUND_PER",RIGHT($B$11,1),"ACCOUNTING_STANDARD_OVERRIDE",$H$7,"EQY_CONSOLIDATED",$H$9,"EQY_FUND_CRNCY",$L$7,"StartCol",G$12,"EndCol",G$12,"StartRow",$B69,"EndRow",$B69))</f>
        <v/>
      </c>
      <c r="H69" s="218" t="str">
        <f>IF(LEFT(_xll.BDS(Ticker,"PG_GROSS_PROFIT","PG_HIERARCHY_LEVEL=1","NUMBER_OF_PERIODS=-11","REVERSE_PERIOD_ORDER=N","PRODUCT_GEO_OVERRIDE=G","FUND_PER",RIGHT($B$11,1),"ACCOUNTING_STANDARD_OVERRIDE",$H$7,"EQY_CONSOLIDATED",$H$9,"EQY_FUND_CRNCY",$L$7,"StartCol",H$12,"EndCol",H$12,"StartRow",$B69,"EndRow",$B69),1)="#","",_xll.BDS(Ticker,"PG_GROSS_PROFIT","PG_HIERARCHY_LEVEL=1","NUMBER_OF_PERIODS=-11","REVERSE_PERIOD_ORDER=N","PRODUCT_GEO_OVERRIDE=G","FUND_PER",RIGHT($B$11,1),"ACCOUNTING_STANDARD_OVERRIDE",$H$7,"EQY_CONSOLIDATED",$H$9,"EQY_FUND_CRNCY",$L$7,"StartCol",H$12,"EndCol",H$12,"StartRow",$B69,"EndRow",$B69))</f>
        <v/>
      </c>
      <c r="I69" s="218" t="str">
        <f>IF(LEFT(_xll.BDS(Ticker,"PG_GROSS_PROFIT","PG_HIERARCHY_LEVEL=1","NUMBER_OF_PERIODS=-11","REVERSE_PERIOD_ORDER=N","PRODUCT_GEO_OVERRIDE=G","FUND_PER",RIGHT($B$11,1),"ACCOUNTING_STANDARD_OVERRIDE",$H$7,"EQY_CONSOLIDATED",$H$9,"EQY_FUND_CRNCY",$L$7,"StartCol",I$12,"EndCol",I$12,"StartRow",$B69,"EndRow",$B69),1)="#","",_xll.BDS(Ticker,"PG_GROSS_PROFIT","PG_HIERARCHY_LEVEL=1","NUMBER_OF_PERIODS=-11","REVERSE_PERIOD_ORDER=N","PRODUCT_GEO_OVERRIDE=G","FUND_PER",RIGHT($B$11,1),"ACCOUNTING_STANDARD_OVERRIDE",$H$7,"EQY_CONSOLIDATED",$H$9,"EQY_FUND_CRNCY",$L$7,"StartCol",I$12,"EndCol",I$12,"StartRow",$B69,"EndRow",$B69))</f>
        <v/>
      </c>
      <c r="J69" s="218" t="str">
        <f>IF(LEFT(_xll.BDS(Ticker,"PG_GROSS_PROFIT","PG_HIERARCHY_LEVEL=1","NUMBER_OF_PERIODS=-11","REVERSE_PERIOD_ORDER=N","PRODUCT_GEO_OVERRIDE=G","FUND_PER",RIGHT($B$11,1),"ACCOUNTING_STANDARD_OVERRIDE",$H$7,"EQY_CONSOLIDATED",$H$9,"EQY_FUND_CRNCY",$L$7,"StartCol",J$12,"EndCol",J$12,"StartRow",$B69,"EndRow",$B69),1)="#","",_xll.BDS(Ticker,"PG_GROSS_PROFIT","PG_HIERARCHY_LEVEL=1","NUMBER_OF_PERIODS=-11","REVERSE_PERIOD_ORDER=N","PRODUCT_GEO_OVERRIDE=G","FUND_PER",RIGHT($B$11,1),"ACCOUNTING_STANDARD_OVERRIDE",$H$7,"EQY_CONSOLIDATED",$H$9,"EQY_FUND_CRNCY",$L$7,"StartCol",J$12,"EndCol",J$12,"StartRow",$B69,"EndRow",$B69))</f>
        <v/>
      </c>
      <c r="K69" s="218" t="str">
        <f>IF(LEFT(_xll.BDS(Ticker,"PG_GROSS_PROFIT","PG_HIERARCHY_LEVEL=1","NUMBER_OF_PERIODS=-11","REVERSE_PERIOD_ORDER=N","PRODUCT_GEO_OVERRIDE=G","FUND_PER",RIGHT($B$11,1),"ACCOUNTING_STANDARD_OVERRIDE",$H$7,"EQY_CONSOLIDATED",$H$9,"EQY_FUND_CRNCY",$L$7,"StartCol",K$12,"EndCol",K$12,"StartRow",$B69,"EndRow",$B69),1)="#","",_xll.BDS(Ticker,"PG_GROSS_PROFIT","PG_HIERARCHY_LEVEL=1","NUMBER_OF_PERIODS=-11","REVERSE_PERIOD_ORDER=N","PRODUCT_GEO_OVERRIDE=G","FUND_PER",RIGHT($B$11,1),"ACCOUNTING_STANDARD_OVERRIDE",$H$7,"EQY_CONSOLIDATED",$H$9,"EQY_FUND_CRNCY",$L$7,"StartCol",K$12,"EndCol",K$12,"StartRow",$B69,"EndRow",$B69))</f>
        <v/>
      </c>
      <c r="L69" s="218" t="str">
        <f>IF(LEFT(_xll.BDS(Ticker,"PG_GROSS_PROFIT","PG_HIERARCHY_LEVEL=1","NUMBER_OF_PERIODS=-11","REVERSE_PERIOD_ORDER=N","PRODUCT_GEO_OVERRIDE=G","FUND_PER",RIGHT($B$11,1),"ACCOUNTING_STANDARD_OVERRIDE",$H$7,"EQY_CONSOLIDATED",$H$9,"EQY_FUND_CRNCY",$L$7,"StartCol",L$12,"EndCol",L$12,"StartRow",$B69,"EndRow",$B69),1)="#","",_xll.BDS(Ticker,"PG_GROSS_PROFIT","PG_HIERARCHY_LEVEL=1","NUMBER_OF_PERIODS=-11","REVERSE_PERIOD_ORDER=N","PRODUCT_GEO_OVERRIDE=G","FUND_PER",RIGHT($B$11,1),"ACCOUNTING_STANDARD_OVERRIDE",$H$7,"EQY_CONSOLIDATED",$H$9,"EQY_FUND_CRNCY",$L$7,"StartCol",L$12,"EndCol",L$12,"StartRow",$B69,"EndRow",$B69))</f>
        <v/>
      </c>
      <c r="M69" s="218" t="str">
        <f>IF(LEFT(_xll.BDS(Ticker,"PG_GROSS_PROFIT","PG_HIERARCHY_LEVEL=1","NUMBER_OF_PERIODS=-11","REVERSE_PERIOD_ORDER=N","PRODUCT_GEO_OVERRIDE=G","FUND_PER",RIGHT($B$11,1),"ACCOUNTING_STANDARD_OVERRIDE",$H$7,"EQY_CONSOLIDATED",$H$9,"EQY_FUND_CRNCY",$L$7,"StartCol",M$12,"EndCol",M$12,"StartRow",$B69,"EndRow",$B69),1)="#","",_xll.BDS(Ticker,"PG_GROSS_PROFIT","PG_HIERARCHY_LEVEL=1","NUMBER_OF_PERIODS=-11","REVERSE_PERIOD_ORDER=N","PRODUCT_GEO_OVERRIDE=G","FUND_PER",RIGHT($B$11,1),"ACCOUNTING_STANDARD_OVERRIDE",$H$7,"EQY_CONSOLIDATED",$H$9,"EQY_FUND_CRNCY",$L$7,"StartCol",M$12,"EndCol",M$12,"StartRow",$B69,"EndRow",$B69))</f>
        <v/>
      </c>
      <c r="N69" s="218" t="str">
        <f>IF(LEFT(_xll.BDS(Ticker,"PG_GROSS_PROFIT","PG_HIERARCHY_LEVEL=1","NUMBER_OF_PERIODS=-11","REVERSE_PERIOD_ORDER=N","PRODUCT_GEO_OVERRIDE=G","FUND_PER",RIGHT($B$11,1),"ACCOUNTING_STANDARD_OVERRIDE",$H$7,"EQY_CONSOLIDATED",$H$9,"EQY_FUND_CRNCY",$L$7,"StartCol",N$12,"EndCol",N$12,"StartRow",$B69,"EndRow",$B69),1)="#","",_xll.BDS(Ticker,"PG_GROSS_PROFIT","PG_HIERARCHY_LEVEL=1","NUMBER_OF_PERIODS=-11","REVERSE_PERIOD_ORDER=N","PRODUCT_GEO_OVERRIDE=G","FUND_PER",RIGHT($B$11,1),"ACCOUNTING_STANDARD_OVERRIDE",$H$7,"EQY_CONSOLIDATED",$H$9,"EQY_FUND_CRNCY",$L$7,"StartCol",N$12,"EndCol",N$12,"StartRow",$B69,"EndRow",$B69))</f>
        <v/>
      </c>
    </row>
    <row r="70" spans="2:14" ht="15" customHeight="1" collapsed="1">
      <c r="B70" s="214"/>
      <c r="C70" s="205"/>
      <c r="D70" s="204"/>
      <c r="E70" s="204"/>
      <c r="F70" s="204"/>
      <c r="G70" s="204"/>
      <c r="H70" s="204"/>
      <c r="I70" s="204"/>
      <c r="J70" s="204"/>
      <c r="K70" s="204"/>
      <c r="L70" s="204"/>
      <c r="M70" s="204"/>
      <c r="N70" s="204"/>
    </row>
    <row r="71" spans="2:14">
      <c r="B71" s="223"/>
      <c r="C71" s="206" t="s">
        <v>188</v>
      </c>
      <c r="D71" s="131"/>
      <c r="E71" s="131"/>
      <c r="F71" s="131"/>
      <c r="G71" s="131"/>
      <c r="H71" s="131"/>
      <c r="I71" s="131"/>
      <c r="J71" s="131"/>
      <c r="K71" s="131"/>
      <c r="L71" s="131"/>
      <c r="M71" s="131"/>
      <c r="N71" s="202"/>
    </row>
    <row r="72" spans="2:14" hidden="1" outlineLevel="1">
      <c r="B72" s="220"/>
      <c r="C72" s="233" t="s">
        <v>183</v>
      </c>
      <c r="D72"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72"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72"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72"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72"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72"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72"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72"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72"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72"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72"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73" spans="2:14" hidden="1" outlineLevel="1">
      <c r="B73" s="222"/>
      <c r="C73" s="233" t="s">
        <v>356</v>
      </c>
      <c r="D73" s="231" t="str">
        <f>IF(LEFT(_xll.BDP(Ticker,"LATEST_PERIOD_END_DT_FULL_RECORD","EQY_FUND_RELATIVE_PERIOD",D$11,"EQY_CONSOLIDATED",$H$9),1)="#","--",_xll.BDP(Ticker,"LATEST_PERIOD_END_DT_FULL_RECORD","EQY_FUND_RELATIVE_PERIOD",D$11,"EQY_CONSOLIDATED",$H$9))</f>
        <v>12/31/2008</v>
      </c>
      <c r="E73" s="231" t="str">
        <f>IF(LEFT(_xll.BDP(Ticker,"LATEST_PERIOD_END_DT_FULL_RECORD","EQY_FUND_RELATIVE_PERIOD",E$11,"EQY_CONSOLIDATED",$H$9),1)="#","--",_xll.BDP(Ticker,"LATEST_PERIOD_END_DT_FULL_RECORD","EQY_FUND_RELATIVE_PERIOD",E$11,"EQY_CONSOLIDATED",$H$9))</f>
        <v>12/31/2009</v>
      </c>
      <c r="F73" s="231" t="str">
        <f>IF(LEFT(_xll.BDP(Ticker,"LATEST_PERIOD_END_DT_FULL_RECORD","EQY_FUND_RELATIVE_PERIOD",F$11,"EQY_CONSOLIDATED",$H$9),1)="#","--",_xll.BDP(Ticker,"LATEST_PERIOD_END_DT_FULL_RECORD","EQY_FUND_RELATIVE_PERIOD",F$11,"EQY_CONSOLIDATED",$H$9))</f>
        <v>12/31/2010</v>
      </c>
      <c r="G73" s="231" t="str">
        <f>IF(LEFT(_xll.BDP(Ticker,"LATEST_PERIOD_END_DT_FULL_RECORD","EQY_FUND_RELATIVE_PERIOD",G$11,"EQY_CONSOLIDATED",$H$9),1)="#","--",_xll.BDP(Ticker,"LATEST_PERIOD_END_DT_FULL_RECORD","EQY_FUND_RELATIVE_PERIOD",G$11,"EQY_CONSOLIDATED",$H$9))</f>
        <v>12/31/2011</v>
      </c>
      <c r="H73" s="231" t="str">
        <f>IF(LEFT(_xll.BDP(Ticker,"LATEST_PERIOD_END_DT_FULL_RECORD","EQY_FUND_RELATIVE_PERIOD",H$11,"EQY_CONSOLIDATED",$H$9),1)="#","--",_xll.BDP(Ticker,"LATEST_PERIOD_END_DT_FULL_RECORD","EQY_FUND_RELATIVE_PERIOD",H$11,"EQY_CONSOLIDATED",$H$9))</f>
        <v>12/31/2012</v>
      </c>
      <c r="I73" s="231" t="str">
        <f>IF(LEFT(_xll.BDP(Ticker,"LATEST_PERIOD_END_DT_FULL_RECORD","EQY_FUND_RELATIVE_PERIOD",I$11,"EQY_CONSOLIDATED",$H$9),1)="#","--",_xll.BDP(Ticker,"LATEST_PERIOD_END_DT_FULL_RECORD","EQY_FUND_RELATIVE_PERIOD",I$11,"EQY_CONSOLIDATED",$H$9))</f>
        <v>12/31/2013</v>
      </c>
      <c r="J73" s="231" t="str">
        <f>IF(LEFT(_xll.BDP(Ticker,"LATEST_PERIOD_END_DT_FULL_RECORD","EQY_FUND_RELATIVE_PERIOD",J$11,"EQY_CONSOLIDATED",$H$9),1)="#","--",_xll.BDP(Ticker,"LATEST_PERIOD_END_DT_FULL_RECORD","EQY_FUND_RELATIVE_PERIOD",J$11,"EQY_CONSOLIDATED",$H$9))</f>
        <v>12/31/2014</v>
      </c>
      <c r="K73" s="231" t="str">
        <f>IF(LEFT(_xll.BDP(Ticker,"LATEST_PERIOD_END_DT_FULL_RECORD","EQY_FUND_RELATIVE_PERIOD",K$11,"EQY_CONSOLIDATED",$H$9),1)="#","--",_xll.BDP(Ticker,"LATEST_PERIOD_END_DT_FULL_RECORD","EQY_FUND_RELATIVE_PERIOD",K$11,"EQY_CONSOLIDATED",$H$9))</f>
        <v>12/31/2015</v>
      </c>
      <c r="L73" s="231" t="str">
        <f>IF(LEFT(_xll.BDP(Ticker,"LATEST_PERIOD_END_DT_FULL_RECORD","EQY_FUND_RELATIVE_PERIOD",L$11,"EQY_CONSOLIDATED",$H$9),1)="#","--",_xll.BDP(Ticker,"LATEST_PERIOD_END_DT_FULL_RECORD","EQY_FUND_RELATIVE_PERIOD",L$11,"EQY_CONSOLIDATED",$H$9))</f>
        <v>12/31/2016</v>
      </c>
      <c r="M73" s="231" t="str">
        <f>IF(LEFT(_xll.BDP(Ticker,"LATEST_PERIOD_END_DT_FULL_RECORD","EQY_FUND_RELATIVE_PERIOD",M$11,"EQY_CONSOLIDATED",$H$9),1)="#","--",_xll.BDP(Ticker,"LATEST_PERIOD_END_DT_FULL_RECORD","EQY_FUND_RELATIVE_PERIOD",M$11,"EQY_CONSOLIDATED",$H$9))</f>
        <v>12/31/2017</v>
      </c>
      <c r="N73" s="231" t="str">
        <f>IF(LEFT(_xll.BDP(Ticker,"LATEST_PERIOD_END_DT_FULL_RECORD","EQY_FUND_RELATIVE_PERIOD",N$11,"EQY_CONSOLIDATED",$H$9),1)="#","--",_xll.BDP(Ticker,"LATEST_PERIOD_END_DT_FULL_RECORD","EQY_FUND_RELATIVE_PERIOD",N$11,"EQY_CONSOLIDATED",$H$9))</f>
        <v>12/31/2018</v>
      </c>
    </row>
    <row r="74" spans="2:14" hidden="1" outlineLevel="1">
      <c r="B74" s="215"/>
      <c r="C74" s="207" t="s">
        <v>183</v>
      </c>
      <c r="D74" s="275" t="str">
        <f t="shared" ref="D74:I74" si="3">IF(LEN(D75),SUM(D75:D84),"")</f>
        <v/>
      </c>
      <c r="E74" s="275" t="str">
        <f t="shared" si="3"/>
        <v/>
      </c>
      <c r="F74" s="275" t="str">
        <f t="shared" si="3"/>
        <v/>
      </c>
      <c r="G74" s="275" t="str">
        <f t="shared" si="3"/>
        <v/>
      </c>
      <c r="H74" s="275" t="str">
        <f t="shared" si="3"/>
        <v/>
      </c>
      <c r="I74" s="275">
        <f t="shared" si="3"/>
        <v>1256</v>
      </c>
      <c r="J74" s="275">
        <f>IF(LEN(J75),SUM(J75:J84),"")</f>
        <v>1246</v>
      </c>
      <c r="K74" s="275">
        <f>IF(LEN(K75),SUM(K75:K84),"")</f>
        <v>1861</v>
      </c>
      <c r="L74" s="275">
        <f>IF(LEN(L75),SUM(L75:L84),"")</f>
        <v>2175</v>
      </c>
      <c r="M74" s="275">
        <f>IF(LEN(M75),SUM(M75:M84),"")</f>
        <v>2297</v>
      </c>
      <c r="N74" s="275">
        <f>IF(LEN(N75),SUM(N75:N84),"")</f>
        <v>2537</v>
      </c>
    </row>
    <row r="75" spans="2:14" hidden="1" outlineLevel="1">
      <c r="B75" s="214">
        <v>1</v>
      </c>
      <c r="C75" s="216" t="str">
        <f>IF(LEFT(_xll.BDS(Ticker,"PG_OPERATING_INCOME","PG_HIERARCHY_LEVEL=1","NUMBER_OF_PERIODS=-11","REVERSE_PERIOD_ORDER=N","PRODUCT_GEO_OVERRIDE=P","FUND_PER",RIGHT($B$11,1),"ACCOUNTING_STANDARD_OVERRIDE",$H$7,"EQY_CONSOLIDATED",$H$9,"EQY_FUND_CRNCY",$L$7,"StartCol",C$12,"EndCol",C$12,"StartRow",$B75,"EndRow",$B75),1)="#","",_xll.BDS(Ticker,"PG_OPERATING_INCOME","PG_HIERARCHY_LEVEL=1","NUMBER_OF_PERIODS=-11","REVERSE_PERIOD_ORDER=N","PRODUCT_GEO_OVERRIDE=P","FUND_PER",RIGHT($B$11,1),"ACCOUNTING_STANDARD_OVERRIDE",$H$7,"EQY_CONSOLIDATED",$H$9,"EQY_FUND_CRNCY",$L$7,"StartCol",C$12,"EndCol",C$12,"StartRow",$B75,"EndRow",$B75))</f>
        <v>Orthopaedics</v>
      </c>
      <c r="D75" s="218" t="str">
        <f>IF(LEFT(_xll.BDS(Ticker,"PG_OPERATING_INCOME","PG_HIERARCHY_LEVEL=1","NUMBER_OF_PERIODS=-11","REVERSE_PERIOD_ORDER=N","PRODUCT_GEO_OVERRIDE=P","FUND_PER",RIGHT($B$11,1),"ACCOUNTING_STANDARD_OVERRIDE",$H$7,"EQY_CONSOLIDATED",$H$9,"EQY_FUND_CRNCY",$L$7,"StartCol",D$12,"EndCol",D$12,"StartRow",$B75,"EndRow",$B75),1)="#","",_xll.BDS(Ticker,"PG_OPERATING_INCOME","PG_HIERARCHY_LEVEL=1","NUMBER_OF_PERIODS=-11","REVERSE_PERIOD_ORDER=N","PRODUCT_GEO_OVERRIDE=P","FUND_PER",RIGHT($B$11,1),"ACCOUNTING_STANDARD_OVERRIDE",$H$7,"EQY_CONSOLIDATED",$H$9,"EQY_FUND_CRNCY",$L$7,"StartCol",D$12,"EndCol",D$12,"StartRow",$B75,"EndRow",$B75))</f>
        <v/>
      </c>
      <c r="E75" s="218" t="str">
        <f>IF(LEFT(_xll.BDS(Ticker,"PG_OPERATING_INCOME","PG_HIERARCHY_LEVEL=1","NUMBER_OF_PERIODS=-11","REVERSE_PERIOD_ORDER=N","PRODUCT_GEO_OVERRIDE=P","FUND_PER",RIGHT($B$11,1),"ACCOUNTING_STANDARD_OVERRIDE",$H$7,"EQY_CONSOLIDATED",$H$9,"EQY_FUND_CRNCY",$L$7,"StartCol",E$12,"EndCol",E$12,"StartRow",$B75,"EndRow",$B75),1)="#","",_xll.BDS(Ticker,"PG_OPERATING_INCOME","PG_HIERARCHY_LEVEL=1","NUMBER_OF_PERIODS=-11","REVERSE_PERIOD_ORDER=N","PRODUCT_GEO_OVERRIDE=P","FUND_PER",RIGHT($B$11,1),"ACCOUNTING_STANDARD_OVERRIDE",$H$7,"EQY_CONSOLIDATED",$H$9,"EQY_FUND_CRNCY",$L$7,"StartCol",E$12,"EndCol",E$12,"StartRow",$B75,"EndRow",$B75))</f>
        <v/>
      </c>
      <c r="F75" s="218" t="str">
        <f>IF(LEFT(_xll.BDS(Ticker,"PG_OPERATING_INCOME","PG_HIERARCHY_LEVEL=1","NUMBER_OF_PERIODS=-11","REVERSE_PERIOD_ORDER=N","PRODUCT_GEO_OVERRIDE=P","FUND_PER",RIGHT($B$11,1),"ACCOUNTING_STANDARD_OVERRIDE",$H$7,"EQY_CONSOLIDATED",$H$9,"EQY_FUND_CRNCY",$L$7,"StartCol",F$12,"EndCol",F$12,"StartRow",$B75,"EndRow",$B75),1)="#","",_xll.BDS(Ticker,"PG_OPERATING_INCOME","PG_HIERARCHY_LEVEL=1","NUMBER_OF_PERIODS=-11","REVERSE_PERIOD_ORDER=N","PRODUCT_GEO_OVERRIDE=P","FUND_PER",RIGHT($B$11,1),"ACCOUNTING_STANDARD_OVERRIDE",$H$7,"EQY_CONSOLIDATED",$H$9,"EQY_FUND_CRNCY",$L$7,"StartCol",F$12,"EndCol",F$12,"StartRow",$B75,"EndRow",$B75))</f>
        <v/>
      </c>
      <c r="G75" s="218" t="str">
        <f>IF(LEFT(_xll.BDS(Ticker,"PG_OPERATING_INCOME","PG_HIERARCHY_LEVEL=1","NUMBER_OF_PERIODS=-11","REVERSE_PERIOD_ORDER=N","PRODUCT_GEO_OVERRIDE=P","FUND_PER",RIGHT($B$11,1),"ACCOUNTING_STANDARD_OVERRIDE",$H$7,"EQY_CONSOLIDATED",$H$9,"EQY_FUND_CRNCY",$L$7,"StartCol",G$12,"EndCol",G$12,"StartRow",$B75,"EndRow",$B75),1)="#","",_xll.BDS(Ticker,"PG_OPERATING_INCOME","PG_HIERARCHY_LEVEL=1","NUMBER_OF_PERIODS=-11","REVERSE_PERIOD_ORDER=N","PRODUCT_GEO_OVERRIDE=P","FUND_PER",RIGHT($B$11,1),"ACCOUNTING_STANDARD_OVERRIDE",$H$7,"EQY_CONSOLIDATED",$H$9,"EQY_FUND_CRNCY",$L$7,"StartCol",G$12,"EndCol",G$12,"StartRow",$B75,"EndRow",$B75))</f>
        <v/>
      </c>
      <c r="H75" s="218" t="str">
        <f>IF(LEFT(_xll.BDS(Ticker,"PG_OPERATING_INCOME","PG_HIERARCHY_LEVEL=1","NUMBER_OF_PERIODS=-11","REVERSE_PERIOD_ORDER=N","PRODUCT_GEO_OVERRIDE=P","FUND_PER",RIGHT($B$11,1),"ACCOUNTING_STANDARD_OVERRIDE",$H$7,"EQY_CONSOLIDATED",$H$9,"EQY_FUND_CRNCY",$L$7,"StartCol",H$12,"EndCol",H$12,"StartRow",$B75,"EndRow",$B75),1)="#","",_xll.BDS(Ticker,"PG_OPERATING_INCOME","PG_HIERARCHY_LEVEL=1","NUMBER_OF_PERIODS=-11","REVERSE_PERIOD_ORDER=N","PRODUCT_GEO_OVERRIDE=P","FUND_PER",RIGHT($B$11,1),"ACCOUNTING_STANDARD_OVERRIDE",$H$7,"EQY_CONSOLIDATED",$H$9,"EQY_FUND_CRNCY",$L$7,"StartCol",H$12,"EndCol",H$12,"StartRow",$B75,"EndRow",$B75))</f>
        <v/>
      </c>
      <c r="I75" s="218">
        <f>IF(LEFT(_xll.BDS(Ticker,"PG_OPERATING_INCOME","PG_HIERARCHY_LEVEL=1","NUMBER_OF_PERIODS=-11","REVERSE_PERIOD_ORDER=N","PRODUCT_GEO_OVERRIDE=P","FUND_PER",RIGHT($B$11,1),"ACCOUNTING_STANDARD_OVERRIDE",$H$7,"EQY_CONSOLIDATED",$H$9,"EQY_FUND_CRNCY",$L$7,"StartCol",I$12,"EndCol",I$12,"StartRow",$B75,"EndRow",$B75),1)="#","",_xll.BDS(Ticker,"PG_OPERATING_INCOME","PG_HIERARCHY_LEVEL=1","NUMBER_OF_PERIODS=-11","REVERSE_PERIOD_ORDER=N","PRODUCT_GEO_OVERRIDE=P","FUND_PER",RIGHT($B$11,1),"ACCOUNTING_STANDARD_OVERRIDE",$H$7,"EQY_CONSOLIDATED",$H$9,"EQY_FUND_CRNCY",$L$7,"StartCol",I$12,"EndCol",I$12,"StartRow",$B75,"EndRow",$B75))</f>
        <v>1353</v>
      </c>
      <c r="J75" s="218">
        <f>IF(LEFT(_xll.BDS(Ticker,"PG_OPERATING_INCOME","PG_HIERARCHY_LEVEL=1","NUMBER_OF_PERIODS=-11","REVERSE_PERIOD_ORDER=N","PRODUCT_GEO_OVERRIDE=P","FUND_PER",RIGHT($B$11,1),"ACCOUNTING_STANDARD_OVERRIDE",$H$7,"EQY_CONSOLIDATED",$H$9,"EQY_FUND_CRNCY",$L$7,"StartCol",J$12,"EndCol",J$12,"StartRow",$B75,"EndRow",$B75),1)="#","",_xll.BDS(Ticker,"PG_OPERATING_INCOME","PG_HIERARCHY_LEVEL=1","NUMBER_OF_PERIODS=-11","REVERSE_PERIOD_ORDER=N","PRODUCT_GEO_OVERRIDE=P","FUND_PER",RIGHT($B$11,1),"ACCOUNTING_STANDARD_OVERRIDE",$H$7,"EQY_CONSOLIDATED",$H$9,"EQY_FUND_CRNCY",$L$7,"StartCol",J$12,"EndCol",J$12,"StartRow",$B75,"EndRow",$B75))</f>
        <v>1410</v>
      </c>
      <c r="K75" s="218">
        <f>IF(LEFT(_xll.BDS(Ticker,"PG_OPERATING_INCOME","PG_HIERARCHY_LEVEL=1","NUMBER_OF_PERIODS=-11","REVERSE_PERIOD_ORDER=N","PRODUCT_GEO_OVERRIDE=P","FUND_PER",RIGHT($B$11,1),"ACCOUNTING_STANDARD_OVERRIDE",$H$7,"EQY_CONSOLIDATED",$H$9,"EQY_FUND_CRNCY",$L$7,"StartCol",K$12,"EndCol",K$12,"StartRow",$B75,"EndRow",$B75),1)="#","",_xll.BDS(Ticker,"PG_OPERATING_INCOME","PG_HIERARCHY_LEVEL=1","NUMBER_OF_PERIODS=-11","REVERSE_PERIOD_ORDER=N","PRODUCT_GEO_OVERRIDE=P","FUND_PER",RIGHT($B$11,1),"ACCOUNTING_STANDARD_OVERRIDE",$H$7,"EQY_CONSOLIDATED",$H$9,"EQY_FUND_CRNCY",$L$7,"StartCol",K$12,"EndCol",K$12,"StartRow",$B75,"EndRow",$B75))</f>
        <v>1487</v>
      </c>
      <c r="L75" s="218">
        <f>IF(LEFT(_xll.BDS(Ticker,"PG_OPERATING_INCOME","PG_HIERARCHY_LEVEL=1","NUMBER_OF_PERIODS=-11","REVERSE_PERIOD_ORDER=N","PRODUCT_GEO_OVERRIDE=P","FUND_PER",RIGHT($B$11,1),"ACCOUNTING_STANDARD_OVERRIDE",$H$7,"EQY_CONSOLIDATED",$H$9,"EQY_FUND_CRNCY",$L$7,"StartCol",L$12,"EndCol",L$12,"StartRow",$B75,"EndRow",$B75),1)="#","",_xll.BDS(Ticker,"PG_OPERATING_INCOME","PG_HIERARCHY_LEVEL=1","NUMBER_OF_PERIODS=-11","REVERSE_PERIOD_ORDER=N","PRODUCT_GEO_OVERRIDE=P","FUND_PER",RIGHT($B$11,1),"ACCOUNTING_STANDARD_OVERRIDE",$H$7,"EQY_CONSOLIDATED",$H$9,"EQY_FUND_CRNCY",$L$7,"StartCol",L$12,"EndCol",L$12,"StartRow",$B75,"EndRow",$B75))</f>
        <v>1602</v>
      </c>
      <c r="M75" s="218">
        <f>IF(LEFT(_xll.BDS(Ticker,"PG_OPERATING_INCOME","PG_HIERARCHY_LEVEL=1","NUMBER_OF_PERIODS=-11","REVERSE_PERIOD_ORDER=N","PRODUCT_GEO_OVERRIDE=P","FUND_PER",RIGHT($B$11,1),"ACCOUNTING_STANDARD_OVERRIDE",$H$7,"EQY_CONSOLIDATED",$H$9,"EQY_FUND_CRNCY",$L$7,"StartCol",M$12,"EndCol",M$12,"StartRow",$B75,"EndRow",$B75),1)="#","",_xll.BDS(Ticker,"PG_OPERATING_INCOME","PG_HIERARCHY_LEVEL=1","NUMBER_OF_PERIODS=-11","REVERSE_PERIOD_ORDER=N","PRODUCT_GEO_OVERRIDE=P","FUND_PER",RIGHT($B$11,1),"ACCOUNTING_STANDARD_OVERRIDE",$H$7,"EQY_CONSOLIDATED",$H$9,"EQY_FUND_CRNCY",$L$7,"StartCol",M$12,"EndCol",M$12,"StartRow",$B75,"EndRow",$B75))</f>
        <v>1681</v>
      </c>
      <c r="N75" s="218">
        <f>IF(LEFT(_xll.BDS(Ticker,"PG_OPERATING_INCOME","PG_HIERARCHY_LEVEL=1","NUMBER_OF_PERIODS=-11","REVERSE_PERIOD_ORDER=N","PRODUCT_GEO_OVERRIDE=P","FUND_PER",RIGHT($B$11,1),"ACCOUNTING_STANDARD_OVERRIDE",$H$7,"EQY_CONSOLIDATED",$H$9,"EQY_FUND_CRNCY",$L$7,"StartCol",N$12,"EndCol",N$12,"StartRow",$B75,"EndRow",$B75),1)="#","",_xll.BDS(Ticker,"PG_OPERATING_INCOME","PG_HIERARCHY_LEVEL=1","NUMBER_OF_PERIODS=-11","REVERSE_PERIOD_ORDER=N","PRODUCT_GEO_OVERRIDE=P","FUND_PER",RIGHT($B$11,1),"ACCOUNTING_STANDARD_OVERRIDE",$H$7,"EQY_CONSOLIDATED",$H$9,"EQY_FUND_CRNCY",$L$7,"StartCol",N$12,"EndCol",N$12,"StartRow",$B75,"EndRow",$B75))</f>
        <v>1804</v>
      </c>
    </row>
    <row r="76" spans="2:14" hidden="1" outlineLevel="1">
      <c r="B76" s="214">
        <v>2</v>
      </c>
      <c r="C76" s="216" t="str">
        <f>IF(LEFT(_xll.BDS(Ticker,"PG_OPERATING_INCOME","PG_HIERARCHY_LEVEL=1","NUMBER_OF_PERIODS=-11","REVERSE_PERIOD_ORDER=N","PRODUCT_GEO_OVERRIDE=P","FUND_PER",RIGHT($B$11,1),"ACCOUNTING_STANDARD_OVERRIDE",$H$7,"EQY_CONSOLIDATED",$H$9,"EQY_FUND_CRNCY",$L$7,"StartCol",C$12,"EndCol",C$12,"StartRow",$B76,"EndRow",$B76),1)="#","",_xll.BDS(Ticker,"PG_OPERATING_INCOME","PG_HIERARCHY_LEVEL=1","NUMBER_OF_PERIODS=-11","REVERSE_PERIOD_ORDER=N","PRODUCT_GEO_OVERRIDE=P","FUND_PER",RIGHT($B$11,1),"ACCOUNTING_STANDARD_OVERRIDE",$H$7,"EQY_CONSOLIDATED",$H$9,"EQY_FUND_CRNCY",$L$7,"StartCol",C$12,"EndCol",C$12,"StartRow",$B76,"EndRow",$B76))</f>
        <v>MedSurg Equipment</v>
      </c>
      <c r="D76" s="218" t="str">
        <f>IF(LEFT(_xll.BDS(Ticker,"PG_OPERATING_INCOME","PG_HIERARCHY_LEVEL=1","NUMBER_OF_PERIODS=-11","REVERSE_PERIOD_ORDER=N","PRODUCT_GEO_OVERRIDE=P","FUND_PER",RIGHT($B$11,1),"ACCOUNTING_STANDARD_OVERRIDE",$H$7,"EQY_CONSOLIDATED",$H$9,"EQY_FUND_CRNCY",$L$7,"StartCol",D$12,"EndCol",D$12,"StartRow",$B76,"EndRow",$B76),1)="#","",_xll.BDS(Ticker,"PG_OPERATING_INCOME","PG_HIERARCHY_LEVEL=1","NUMBER_OF_PERIODS=-11","REVERSE_PERIOD_ORDER=N","PRODUCT_GEO_OVERRIDE=P","FUND_PER",RIGHT($B$11,1),"ACCOUNTING_STANDARD_OVERRIDE",$H$7,"EQY_CONSOLIDATED",$H$9,"EQY_FUND_CRNCY",$L$7,"StartCol",D$12,"EndCol",D$12,"StartRow",$B76,"EndRow",$B76))</f>
        <v/>
      </c>
      <c r="E76" s="218" t="str">
        <f>IF(LEFT(_xll.BDS(Ticker,"PG_OPERATING_INCOME","PG_HIERARCHY_LEVEL=1","NUMBER_OF_PERIODS=-11","REVERSE_PERIOD_ORDER=N","PRODUCT_GEO_OVERRIDE=P","FUND_PER",RIGHT($B$11,1),"ACCOUNTING_STANDARD_OVERRIDE",$H$7,"EQY_CONSOLIDATED",$H$9,"EQY_FUND_CRNCY",$L$7,"StartCol",E$12,"EndCol",E$12,"StartRow",$B76,"EndRow",$B76),1)="#","",_xll.BDS(Ticker,"PG_OPERATING_INCOME","PG_HIERARCHY_LEVEL=1","NUMBER_OF_PERIODS=-11","REVERSE_PERIOD_ORDER=N","PRODUCT_GEO_OVERRIDE=P","FUND_PER",RIGHT($B$11,1),"ACCOUNTING_STANDARD_OVERRIDE",$H$7,"EQY_CONSOLIDATED",$H$9,"EQY_FUND_CRNCY",$L$7,"StartCol",E$12,"EndCol",E$12,"StartRow",$B76,"EndRow",$B76))</f>
        <v/>
      </c>
      <c r="F76" s="218" t="str">
        <f>IF(LEFT(_xll.BDS(Ticker,"PG_OPERATING_INCOME","PG_HIERARCHY_LEVEL=1","NUMBER_OF_PERIODS=-11","REVERSE_PERIOD_ORDER=N","PRODUCT_GEO_OVERRIDE=P","FUND_PER",RIGHT($B$11,1),"ACCOUNTING_STANDARD_OVERRIDE",$H$7,"EQY_CONSOLIDATED",$H$9,"EQY_FUND_CRNCY",$L$7,"StartCol",F$12,"EndCol",F$12,"StartRow",$B76,"EndRow",$B76),1)="#","",_xll.BDS(Ticker,"PG_OPERATING_INCOME","PG_HIERARCHY_LEVEL=1","NUMBER_OF_PERIODS=-11","REVERSE_PERIOD_ORDER=N","PRODUCT_GEO_OVERRIDE=P","FUND_PER",RIGHT($B$11,1),"ACCOUNTING_STANDARD_OVERRIDE",$H$7,"EQY_CONSOLIDATED",$H$9,"EQY_FUND_CRNCY",$L$7,"StartCol",F$12,"EndCol",F$12,"StartRow",$B76,"EndRow",$B76))</f>
        <v/>
      </c>
      <c r="G76" s="218" t="str">
        <f>IF(LEFT(_xll.BDS(Ticker,"PG_OPERATING_INCOME","PG_HIERARCHY_LEVEL=1","NUMBER_OF_PERIODS=-11","REVERSE_PERIOD_ORDER=N","PRODUCT_GEO_OVERRIDE=P","FUND_PER",RIGHT($B$11,1),"ACCOUNTING_STANDARD_OVERRIDE",$H$7,"EQY_CONSOLIDATED",$H$9,"EQY_FUND_CRNCY",$L$7,"StartCol",G$12,"EndCol",G$12,"StartRow",$B76,"EndRow",$B76),1)="#","",_xll.BDS(Ticker,"PG_OPERATING_INCOME","PG_HIERARCHY_LEVEL=1","NUMBER_OF_PERIODS=-11","REVERSE_PERIOD_ORDER=N","PRODUCT_GEO_OVERRIDE=P","FUND_PER",RIGHT($B$11,1),"ACCOUNTING_STANDARD_OVERRIDE",$H$7,"EQY_CONSOLIDATED",$H$9,"EQY_FUND_CRNCY",$L$7,"StartCol",G$12,"EndCol",G$12,"StartRow",$B76,"EndRow",$B76))</f>
        <v/>
      </c>
      <c r="H76" s="218" t="str">
        <f>IF(LEFT(_xll.BDS(Ticker,"PG_OPERATING_INCOME","PG_HIERARCHY_LEVEL=1","NUMBER_OF_PERIODS=-11","REVERSE_PERIOD_ORDER=N","PRODUCT_GEO_OVERRIDE=P","FUND_PER",RIGHT($B$11,1),"ACCOUNTING_STANDARD_OVERRIDE",$H$7,"EQY_CONSOLIDATED",$H$9,"EQY_FUND_CRNCY",$L$7,"StartCol",H$12,"EndCol",H$12,"StartRow",$B76,"EndRow",$B76),1)="#","",_xll.BDS(Ticker,"PG_OPERATING_INCOME","PG_HIERARCHY_LEVEL=1","NUMBER_OF_PERIODS=-11","REVERSE_PERIOD_ORDER=N","PRODUCT_GEO_OVERRIDE=P","FUND_PER",RIGHT($B$11,1),"ACCOUNTING_STANDARD_OVERRIDE",$H$7,"EQY_CONSOLIDATED",$H$9,"EQY_FUND_CRNCY",$L$7,"StartCol",H$12,"EndCol",H$12,"StartRow",$B76,"EndRow",$B76))</f>
        <v/>
      </c>
      <c r="I76" s="218">
        <f>IF(LEFT(_xll.BDS(Ticker,"PG_OPERATING_INCOME","PG_HIERARCHY_LEVEL=1","NUMBER_OF_PERIODS=-11","REVERSE_PERIOD_ORDER=N","PRODUCT_GEO_OVERRIDE=P","FUND_PER",RIGHT($B$11,1),"ACCOUNTING_STANDARD_OVERRIDE",$H$7,"EQY_CONSOLIDATED",$H$9,"EQY_FUND_CRNCY",$L$7,"StartCol",I$12,"EndCol",I$12,"StartRow",$B76,"EndRow",$B76),1)="#","",_xll.BDS(Ticker,"PG_OPERATING_INCOME","PG_HIERARCHY_LEVEL=1","NUMBER_OF_PERIODS=-11","REVERSE_PERIOD_ORDER=N","PRODUCT_GEO_OVERRIDE=P","FUND_PER",RIGHT($B$11,1),"ACCOUNTING_STANDARD_OVERRIDE",$H$7,"EQY_CONSOLIDATED",$H$9,"EQY_FUND_CRNCY",$L$7,"StartCol",I$12,"EndCol",I$12,"StartRow",$B76,"EndRow",$B76))</f>
        <v>802</v>
      </c>
      <c r="J76" s="218">
        <f>IF(LEFT(_xll.BDS(Ticker,"PG_OPERATING_INCOME","PG_HIERARCHY_LEVEL=1","NUMBER_OF_PERIODS=-11","REVERSE_PERIOD_ORDER=N","PRODUCT_GEO_OVERRIDE=P","FUND_PER",RIGHT($B$11,1),"ACCOUNTING_STANDARD_OVERRIDE",$H$7,"EQY_CONSOLIDATED",$H$9,"EQY_FUND_CRNCY",$L$7,"StartCol",J$12,"EndCol",J$12,"StartRow",$B76,"EndRow",$B76),1)="#","",_xll.BDS(Ticker,"PG_OPERATING_INCOME","PG_HIERARCHY_LEVEL=1","NUMBER_OF_PERIODS=-11","REVERSE_PERIOD_ORDER=N","PRODUCT_GEO_OVERRIDE=P","FUND_PER",RIGHT($B$11,1),"ACCOUNTING_STANDARD_OVERRIDE",$H$7,"EQY_CONSOLIDATED",$H$9,"EQY_FUND_CRNCY",$L$7,"StartCol",J$12,"EndCol",J$12,"StartRow",$B76,"EndRow",$B76))</f>
        <v>850</v>
      </c>
      <c r="K76" s="218">
        <f>IF(LEFT(_xll.BDS(Ticker,"PG_OPERATING_INCOME","PG_HIERARCHY_LEVEL=1","NUMBER_OF_PERIODS=-11","REVERSE_PERIOD_ORDER=N","PRODUCT_GEO_OVERRIDE=P","FUND_PER",RIGHT($B$11,1),"ACCOUNTING_STANDARD_OVERRIDE",$H$7,"EQY_CONSOLIDATED",$H$9,"EQY_FUND_CRNCY",$L$7,"StartCol",K$12,"EndCol",K$12,"StartRow",$B76,"EndRow",$B76),1)="#","",_xll.BDS(Ticker,"PG_OPERATING_INCOME","PG_HIERARCHY_LEVEL=1","NUMBER_OF_PERIODS=-11","REVERSE_PERIOD_ORDER=N","PRODUCT_GEO_OVERRIDE=P","FUND_PER",RIGHT($B$11,1),"ACCOUNTING_STANDARD_OVERRIDE",$H$7,"EQY_CONSOLIDATED",$H$9,"EQY_FUND_CRNCY",$L$7,"StartCol",K$12,"EndCol",K$12,"StartRow",$B76,"EndRow",$B76))</f>
        <v>822</v>
      </c>
      <c r="L76" s="218">
        <f>IF(LEFT(_xll.BDS(Ticker,"PG_OPERATING_INCOME","PG_HIERARCHY_LEVEL=1","NUMBER_OF_PERIODS=-11","REVERSE_PERIOD_ORDER=N","PRODUCT_GEO_OVERRIDE=P","FUND_PER",RIGHT($B$11,1),"ACCOUNTING_STANDARD_OVERRIDE",$H$7,"EQY_CONSOLIDATED",$H$9,"EQY_FUND_CRNCY",$L$7,"StartCol",L$12,"EndCol",L$12,"StartRow",$B76,"EndRow",$B76),1)="#","",_xll.BDS(Ticker,"PG_OPERATING_INCOME","PG_HIERARCHY_LEVEL=1","NUMBER_OF_PERIODS=-11","REVERSE_PERIOD_ORDER=N","PRODUCT_GEO_OVERRIDE=P","FUND_PER",RIGHT($B$11,1),"ACCOUNTING_STANDARD_OVERRIDE",$H$7,"EQY_CONSOLIDATED",$H$9,"EQY_FUND_CRNCY",$L$7,"StartCol",L$12,"EndCol",L$12,"StartRow",$B76,"EndRow",$B76))</f>
        <v>1087</v>
      </c>
      <c r="M76" s="218">
        <f>IF(LEFT(_xll.BDS(Ticker,"PG_OPERATING_INCOME","PG_HIERARCHY_LEVEL=1","NUMBER_OF_PERIODS=-11","REVERSE_PERIOD_ORDER=N","PRODUCT_GEO_OVERRIDE=P","FUND_PER",RIGHT($B$11,1),"ACCOUNTING_STANDARD_OVERRIDE",$H$7,"EQY_CONSOLIDATED",$H$9,"EQY_FUND_CRNCY",$L$7,"StartCol",M$12,"EndCol",M$12,"StartRow",$B76,"EndRow",$B76),1)="#","",_xll.BDS(Ticker,"PG_OPERATING_INCOME","PG_HIERARCHY_LEVEL=1","NUMBER_OF_PERIODS=-11","REVERSE_PERIOD_ORDER=N","PRODUCT_GEO_OVERRIDE=P","FUND_PER",RIGHT($B$11,1),"ACCOUNTING_STANDARD_OVERRIDE",$H$7,"EQY_CONSOLIDATED",$H$9,"EQY_FUND_CRNCY",$L$7,"StartCol",M$12,"EndCol",M$12,"StartRow",$B76,"EndRow",$B76))</f>
        <v>1228</v>
      </c>
      <c r="N76" s="218">
        <f>IF(LEFT(_xll.BDS(Ticker,"PG_OPERATING_INCOME","PG_HIERARCHY_LEVEL=1","NUMBER_OF_PERIODS=-11","REVERSE_PERIOD_ORDER=N","PRODUCT_GEO_OVERRIDE=P","FUND_PER",RIGHT($B$11,1),"ACCOUNTING_STANDARD_OVERRIDE",$H$7,"EQY_CONSOLIDATED",$H$9,"EQY_FUND_CRNCY",$L$7,"StartCol",N$12,"EndCol",N$12,"StartRow",$B76,"EndRow",$B76),1)="#","",_xll.BDS(Ticker,"PG_OPERATING_INCOME","PG_HIERARCHY_LEVEL=1","NUMBER_OF_PERIODS=-11","REVERSE_PERIOD_ORDER=N","PRODUCT_GEO_OVERRIDE=P","FUND_PER",RIGHT($B$11,1),"ACCOUNTING_STANDARD_OVERRIDE",$H$7,"EQY_CONSOLIDATED",$H$9,"EQY_FUND_CRNCY",$L$7,"StartCol",N$12,"EndCol",N$12,"StartRow",$B76,"EndRow",$B76))</f>
        <v>1444</v>
      </c>
    </row>
    <row r="77" spans="2:14" hidden="1" outlineLevel="1">
      <c r="B77" s="214">
        <v>3</v>
      </c>
      <c r="C77" s="216" t="str">
        <f>IF(LEFT(_xll.BDS(Ticker,"PG_OPERATING_INCOME","PG_HIERARCHY_LEVEL=1","NUMBER_OF_PERIODS=-11","REVERSE_PERIOD_ORDER=N","PRODUCT_GEO_OVERRIDE=P","FUND_PER",RIGHT($B$11,1),"ACCOUNTING_STANDARD_OVERRIDE",$H$7,"EQY_CONSOLIDATED",$H$9,"EQY_FUND_CRNCY",$L$7,"StartCol",C$12,"EndCol",C$12,"StartRow",$B77,"EndRow",$B77),1)="#","",_xll.BDS(Ticker,"PG_OPERATING_INCOME","PG_HIERARCHY_LEVEL=1","NUMBER_OF_PERIODS=-11","REVERSE_PERIOD_ORDER=N","PRODUCT_GEO_OVERRIDE=P","FUND_PER",RIGHT($B$11,1),"ACCOUNTING_STANDARD_OVERRIDE",$H$7,"EQY_CONSOLIDATED",$H$9,"EQY_FUND_CRNCY",$L$7,"StartCol",C$12,"EndCol",C$12,"StartRow",$B77,"EndRow",$B77))</f>
        <v>Neurotech and Spine</v>
      </c>
      <c r="D77" s="218" t="str">
        <f>IF(LEFT(_xll.BDS(Ticker,"PG_OPERATING_INCOME","PG_HIERARCHY_LEVEL=1","NUMBER_OF_PERIODS=-11","REVERSE_PERIOD_ORDER=N","PRODUCT_GEO_OVERRIDE=P","FUND_PER",RIGHT($B$11,1),"ACCOUNTING_STANDARD_OVERRIDE",$H$7,"EQY_CONSOLIDATED",$H$9,"EQY_FUND_CRNCY",$L$7,"StartCol",D$12,"EndCol",D$12,"StartRow",$B77,"EndRow",$B77),1)="#","",_xll.BDS(Ticker,"PG_OPERATING_INCOME","PG_HIERARCHY_LEVEL=1","NUMBER_OF_PERIODS=-11","REVERSE_PERIOD_ORDER=N","PRODUCT_GEO_OVERRIDE=P","FUND_PER",RIGHT($B$11,1),"ACCOUNTING_STANDARD_OVERRIDE",$H$7,"EQY_CONSOLIDATED",$H$9,"EQY_FUND_CRNCY",$L$7,"StartCol",D$12,"EndCol",D$12,"StartRow",$B77,"EndRow",$B77))</f>
        <v/>
      </c>
      <c r="E77" s="218" t="str">
        <f>IF(LEFT(_xll.BDS(Ticker,"PG_OPERATING_INCOME","PG_HIERARCHY_LEVEL=1","NUMBER_OF_PERIODS=-11","REVERSE_PERIOD_ORDER=N","PRODUCT_GEO_OVERRIDE=P","FUND_PER",RIGHT($B$11,1),"ACCOUNTING_STANDARD_OVERRIDE",$H$7,"EQY_CONSOLIDATED",$H$9,"EQY_FUND_CRNCY",$L$7,"StartCol",E$12,"EndCol",E$12,"StartRow",$B77,"EndRow",$B77),1)="#","",_xll.BDS(Ticker,"PG_OPERATING_INCOME","PG_HIERARCHY_LEVEL=1","NUMBER_OF_PERIODS=-11","REVERSE_PERIOD_ORDER=N","PRODUCT_GEO_OVERRIDE=P","FUND_PER",RIGHT($B$11,1),"ACCOUNTING_STANDARD_OVERRIDE",$H$7,"EQY_CONSOLIDATED",$H$9,"EQY_FUND_CRNCY",$L$7,"StartCol",E$12,"EndCol",E$12,"StartRow",$B77,"EndRow",$B77))</f>
        <v/>
      </c>
      <c r="F77" s="218" t="str">
        <f>IF(LEFT(_xll.BDS(Ticker,"PG_OPERATING_INCOME","PG_HIERARCHY_LEVEL=1","NUMBER_OF_PERIODS=-11","REVERSE_PERIOD_ORDER=N","PRODUCT_GEO_OVERRIDE=P","FUND_PER",RIGHT($B$11,1),"ACCOUNTING_STANDARD_OVERRIDE",$H$7,"EQY_CONSOLIDATED",$H$9,"EQY_FUND_CRNCY",$L$7,"StartCol",F$12,"EndCol",F$12,"StartRow",$B77,"EndRow",$B77),1)="#","",_xll.BDS(Ticker,"PG_OPERATING_INCOME","PG_HIERARCHY_LEVEL=1","NUMBER_OF_PERIODS=-11","REVERSE_PERIOD_ORDER=N","PRODUCT_GEO_OVERRIDE=P","FUND_PER",RIGHT($B$11,1),"ACCOUNTING_STANDARD_OVERRIDE",$H$7,"EQY_CONSOLIDATED",$H$9,"EQY_FUND_CRNCY",$L$7,"StartCol",F$12,"EndCol",F$12,"StartRow",$B77,"EndRow",$B77))</f>
        <v/>
      </c>
      <c r="G77" s="218" t="str">
        <f>IF(LEFT(_xll.BDS(Ticker,"PG_OPERATING_INCOME","PG_HIERARCHY_LEVEL=1","NUMBER_OF_PERIODS=-11","REVERSE_PERIOD_ORDER=N","PRODUCT_GEO_OVERRIDE=P","FUND_PER",RIGHT($B$11,1),"ACCOUNTING_STANDARD_OVERRIDE",$H$7,"EQY_CONSOLIDATED",$H$9,"EQY_FUND_CRNCY",$L$7,"StartCol",G$12,"EndCol",G$12,"StartRow",$B77,"EndRow",$B77),1)="#","",_xll.BDS(Ticker,"PG_OPERATING_INCOME","PG_HIERARCHY_LEVEL=1","NUMBER_OF_PERIODS=-11","REVERSE_PERIOD_ORDER=N","PRODUCT_GEO_OVERRIDE=P","FUND_PER",RIGHT($B$11,1),"ACCOUNTING_STANDARD_OVERRIDE",$H$7,"EQY_CONSOLIDATED",$H$9,"EQY_FUND_CRNCY",$L$7,"StartCol",G$12,"EndCol",G$12,"StartRow",$B77,"EndRow",$B77))</f>
        <v/>
      </c>
      <c r="H77" s="218" t="str">
        <f>IF(LEFT(_xll.BDS(Ticker,"PG_OPERATING_INCOME","PG_HIERARCHY_LEVEL=1","NUMBER_OF_PERIODS=-11","REVERSE_PERIOD_ORDER=N","PRODUCT_GEO_OVERRIDE=P","FUND_PER",RIGHT($B$11,1),"ACCOUNTING_STANDARD_OVERRIDE",$H$7,"EQY_CONSOLIDATED",$H$9,"EQY_FUND_CRNCY",$L$7,"StartCol",H$12,"EndCol",H$12,"StartRow",$B77,"EndRow",$B77),1)="#","",_xll.BDS(Ticker,"PG_OPERATING_INCOME","PG_HIERARCHY_LEVEL=1","NUMBER_OF_PERIODS=-11","REVERSE_PERIOD_ORDER=N","PRODUCT_GEO_OVERRIDE=P","FUND_PER",RIGHT($B$11,1),"ACCOUNTING_STANDARD_OVERRIDE",$H$7,"EQY_CONSOLIDATED",$H$9,"EQY_FUND_CRNCY",$L$7,"StartCol",H$12,"EndCol",H$12,"StartRow",$B77,"EndRow",$B77))</f>
        <v/>
      </c>
      <c r="I77" s="218">
        <f>IF(LEFT(_xll.BDS(Ticker,"PG_OPERATING_INCOME","PG_HIERARCHY_LEVEL=1","NUMBER_OF_PERIODS=-11","REVERSE_PERIOD_ORDER=N","PRODUCT_GEO_OVERRIDE=P","FUND_PER",RIGHT($B$11,1),"ACCOUNTING_STANDARD_OVERRIDE",$H$7,"EQY_CONSOLIDATED",$H$9,"EQY_FUND_CRNCY",$L$7,"StartCol",I$12,"EndCol",I$12,"StartRow",$B77,"EndRow",$B77),1)="#","",_xll.BDS(Ticker,"PG_OPERATING_INCOME","PG_HIERARCHY_LEVEL=1","NUMBER_OF_PERIODS=-11","REVERSE_PERIOD_ORDER=N","PRODUCT_GEO_OVERRIDE=P","FUND_PER",RIGHT($B$11,1),"ACCOUNTING_STANDARD_OVERRIDE",$H$7,"EQY_CONSOLIDATED",$H$9,"EQY_FUND_CRNCY",$L$7,"StartCol",I$12,"EndCol",I$12,"StartRow",$B77,"EndRow",$B77))</f>
        <v>430</v>
      </c>
      <c r="J77" s="218">
        <f>IF(LEFT(_xll.BDS(Ticker,"PG_OPERATING_INCOME","PG_HIERARCHY_LEVEL=1","NUMBER_OF_PERIODS=-11","REVERSE_PERIOD_ORDER=N","PRODUCT_GEO_OVERRIDE=P","FUND_PER",RIGHT($B$11,1),"ACCOUNTING_STANDARD_OVERRIDE",$H$7,"EQY_CONSOLIDATED",$H$9,"EQY_FUND_CRNCY",$L$7,"StartCol",J$12,"EndCol",J$12,"StartRow",$B77,"EndRow",$B77),1)="#","",_xll.BDS(Ticker,"PG_OPERATING_INCOME","PG_HIERARCHY_LEVEL=1","NUMBER_OF_PERIODS=-11","REVERSE_PERIOD_ORDER=N","PRODUCT_GEO_OVERRIDE=P","FUND_PER",RIGHT($B$11,1),"ACCOUNTING_STANDARD_OVERRIDE",$H$7,"EQY_CONSOLIDATED",$H$9,"EQY_FUND_CRNCY",$L$7,"StartCol",J$12,"EndCol",J$12,"StartRow",$B77,"EndRow",$B77))</f>
        <v>476</v>
      </c>
      <c r="K77" s="218">
        <f>IF(LEFT(_xll.BDS(Ticker,"PG_OPERATING_INCOME","PG_HIERARCHY_LEVEL=1","NUMBER_OF_PERIODS=-11","REVERSE_PERIOD_ORDER=N","PRODUCT_GEO_OVERRIDE=P","FUND_PER",RIGHT($B$11,1),"ACCOUNTING_STANDARD_OVERRIDE",$H$7,"EQY_CONSOLIDATED",$H$9,"EQY_FUND_CRNCY",$L$7,"StartCol",K$12,"EndCol",K$12,"StartRow",$B77,"EndRow",$B77),1)="#","",_xll.BDS(Ticker,"PG_OPERATING_INCOME","PG_HIERARCHY_LEVEL=1","NUMBER_OF_PERIODS=-11","REVERSE_PERIOD_ORDER=N","PRODUCT_GEO_OVERRIDE=P","FUND_PER",RIGHT($B$11,1),"ACCOUNTING_STANDARD_OVERRIDE",$H$7,"EQY_CONSOLIDATED",$H$9,"EQY_FUND_CRNCY",$L$7,"StartCol",K$12,"EndCol",K$12,"StartRow",$B77,"EndRow",$B77))</f>
        <v>474</v>
      </c>
      <c r="L77" s="218">
        <f>IF(LEFT(_xll.BDS(Ticker,"PG_OPERATING_INCOME","PG_HIERARCHY_LEVEL=1","NUMBER_OF_PERIODS=-11","REVERSE_PERIOD_ORDER=N","PRODUCT_GEO_OVERRIDE=P","FUND_PER",RIGHT($B$11,1),"ACCOUNTING_STANDARD_OVERRIDE",$H$7,"EQY_CONSOLIDATED",$H$9,"EQY_FUND_CRNCY",$L$7,"StartCol",L$12,"EndCol",L$12,"StartRow",$B77,"EndRow",$B77),1)="#","",_xll.BDS(Ticker,"PG_OPERATING_INCOME","PG_HIERARCHY_LEVEL=1","NUMBER_OF_PERIODS=-11","REVERSE_PERIOD_ORDER=N","PRODUCT_GEO_OVERRIDE=P","FUND_PER",RIGHT($B$11,1),"ACCOUNTING_STANDARD_OVERRIDE",$H$7,"EQY_CONSOLIDATED",$H$9,"EQY_FUND_CRNCY",$L$7,"StartCol",L$12,"EndCol",L$12,"StartRow",$B77,"EndRow",$B77))</f>
        <v>559</v>
      </c>
      <c r="M77" s="218">
        <f>IF(LEFT(_xll.BDS(Ticker,"PG_OPERATING_INCOME","PG_HIERARCHY_LEVEL=1","NUMBER_OF_PERIODS=-11","REVERSE_PERIOD_ORDER=N","PRODUCT_GEO_OVERRIDE=P","FUND_PER",RIGHT($B$11,1),"ACCOUNTING_STANDARD_OVERRIDE",$H$7,"EQY_CONSOLIDATED",$H$9,"EQY_FUND_CRNCY",$L$7,"StartCol",M$12,"EndCol",M$12,"StartRow",$B77,"EndRow",$B77),1)="#","",_xll.BDS(Ticker,"PG_OPERATING_INCOME","PG_HIERARCHY_LEVEL=1","NUMBER_OF_PERIODS=-11","REVERSE_PERIOD_ORDER=N","PRODUCT_GEO_OVERRIDE=P","FUND_PER",RIGHT($B$11,1),"ACCOUNTING_STANDARD_OVERRIDE",$H$7,"EQY_CONSOLIDATED",$H$9,"EQY_FUND_CRNCY",$L$7,"StartCol",M$12,"EndCol",M$12,"StartRow",$B77,"EndRow",$B77))</f>
        <v>631</v>
      </c>
      <c r="N77" s="218">
        <f>IF(LEFT(_xll.BDS(Ticker,"PG_OPERATING_INCOME","PG_HIERARCHY_LEVEL=1","NUMBER_OF_PERIODS=-11","REVERSE_PERIOD_ORDER=N","PRODUCT_GEO_OVERRIDE=P","FUND_PER",RIGHT($B$11,1),"ACCOUNTING_STANDARD_OVERRIDE",$H$7,"EQY_CONSOLIDATED",$H$9,"EQY_FUND_CRNCY",$L$7,"StartCol",N$12,"EndCol",N$12,"StartRow",$B77,"EndRow",$B77),1)="#","",_xll.BDS(Ticker,"PG_OPERATING_INCOME","PG_HIERARCHY_LEVEL=1","NUMBER_OF_PERIODS=-11","REVERSE_PERIOD_ORDER=N","PRODUCT_GEO_OVERRIDE=P","FUND_PER",RIGHT($B$11,1),"ACCOUNTING_STANDARD_OVERRIDE",$H$7,"EQY_CONSOLIDATED",$H$9,"EQY_FUND_CRNCY",$L$7,"StartCol",N$12,"EndCol",N$12,"StartRow",$B77,"EndRow",$B77))</f>
        <v>700</v>
      </c>
    </row>
    <row r="78" spans="2:14" hidden="1" outlineLevel="1">
      <c r="B78" s="214">
        <v>4</v>
      </c>
      <c r="C78" s="216" t="str">
        <f>IF(LEFT(_xll.BDS(Ticker,"PG_OPERATING_INCOME","PG_HIERARCHY_LEVEL=1","NUMBER_OF_PERIODS=-11","REVERSE_PERIOD_ORDER=N","PRODUCT_GEO_OVERRIDE=P","FUND_PER",RIGHT($B$11,1),"ACCOUNTING_STANDARD_OVERRIDE",$H$7,"EQY_CONSOLIDATED",$H$9,"EQY_FUND_CRNCY",$L$7,"StartCol",C$12,"EndCol",C$12,"StartRow",$B78,"EndRow",$B78),1)="#","",_xll.BDS(Ticker,"PG_OPERATING_INCOME","PG_HIERARCHY_LEVEL=1","NUMBER_OF_PERIODS=-11","REVERSE_PERIOD_ORDER=N","PRODUCT_GEO_OVERRIDE=P","FUND_PER",RIGHT($B$11,1),"ACCOUNTING_STANDARD_OVERRIDE",$H$7,"EQY_CONSOLIDATED",$H$9,"EQY_FUND_CRNCY",$L$7,"StartCol",C$12,"EndCol",C$12,"StartRow",$B78,"EndRow",$B78))</f>
        <v>Others</v>
      </c>
      <c r="D78" s="218" t="str">
        <f>IF(LEFT(_xll.BDS(Ticker,"PG_OPERATING_INCOME","PG_HIERARCHY_LEVEL=1","NUMBER_OF_PERIODS=-11","REVERSE_PERIOD_ORDER=N","PRODUCT_GEO_OVERRIDE=P","FUND_PER",RIGHT($B$11,1),"ACCOUNTING_STANDARD_OVERRIDE",$H$7,"EQY_CONSOLIDATED",$H$9,"EQY_FUND_CRNCY",$L$7,"StartCol",D$12,"EndCol",D$12,"StartRow",$B78,"EndRow",$B78),1)="#","",_xll.BDS(Ticker,"PG_OPERATING_INCOME","PG_HIERARCHY_LEVEL=1","NUMBER_OF_PERIODS=-11","REVERSE_PERIOD_ORDER=N","PRODUCT_GEO_OVERRIDE=P","FUND_PER",RIGHT($B$11,1),"ACCOUNTING_STANDARD_OVERRIDE",$H$7,"EQY_CONSOLIDATED",$H$9,"EQY_FUND_CRNCY",$L$7,"StartCol",D$12,"EndCol",D$12,"StartRow",$B78,"EndRow",$B78))</f>
        <v/>
      </c>
      <c r="E78" s="218" t="str">
        <f>IF(LEFT(_xll.BDS(Ticker,"PG_OPERATING_INCOME","PG_HIERARCHY_LEVEL=1","NUMBER_OF_PERIODS=-11","REVERSE_PERIOD_ORDER=N","PRODUCT_GEO_OVERRIDE=P","FUND_PER",RIGHT($B$11,1),"ACCOUNTING_STANDARD_OVERRIDE",$H$7,"EQY_CONSOLIDATED",$H$9,"EQY_FUND_CRNCY",$L$7,"StartCol",E$12,"EndCol",E$12,"StartRow",$B78,"EndRow",$B78),1)="#","",_xll.BDS(Ticker,"PG_OPERATING_INCOME","PG_HIERARCHY_LEVEL=1","NUMBER_OF_PERIODS=-11","REVERSE_PERIOD_ORDER=N","PRODUCT_GEO_OVERRIDE=P","FUND_PER",RIGHT($B$11,1),"ACCOUNTING_STANDARD_OVERRIDE",$H$7,"EQY_CONSOLIDATED",$H$9,"EQY_FUND_CRNCY",$L$7,"StartCol",E$12,"EndCol",E$12,"StartRow",$B78,"EndRow",$B78))</f>
        <v/>
      </c>
      <c r="F78" s="218" t="str">
        <f>IF(LEFT(_xll.BDS(Ticker,"PG_OPERATING_INCOME","PG_HIERARCHY_LEVEL=1","NUMBER_OF_PERIODS=-11","REVERSE_PERIOD_ORDER=N","PRODUCT_GEO_OVERRIDE=P","FUND_PER",RIGHT($B$11,1),"ACCOUNTING_STANDARD_OVERRIDE",$H$7,"EQY_CONSOLIDATED",$H$9,"EQY_FUND_CRNCY",$L$7,"StartCol",F$12,"EndCol",F$12,"StartRow",$B78,"EndRow",$B78),1)="#","",_xll.BDS(Ticker,"PG_OPERATING_INCOME","PG_HIERARCHY_LEVEL=1","NUMBER_OF_PERIODS=-11","REVERSE_PERIOD_ORDER=N","PRODUCT_GEO_OVERRIDE=P","FUND_PER",RIGHT($B$11,1),"ACCOUNTING_STANDARD_OVERRIDE",$H$7,"EQY_CONSOLIDATED",$H$9,"EQY_FUND_CRNCY",$L$7,"StartCol",F$12,"EndCol",F$12,"StartRow",$B78,"EndRow",$B78))</f>
        <v/>
      </c>
      <c r="G78" s="218" t="str">
        <f>IF(LEFT(_xll.BDS(Ticker,"PG_OPERATING_INCOME","PG_HIERARCHY_LEVEL=1","NUMBER_OF_PERIODS=-11","REVERSE_PERIOD_ORDER=N","PRODUCT_GEO_OVERRIDE=P","FUND_PER",RIGHT($B$11,1),"ACCOUNTING_STANDARD_OVERRIDE",$H$7,"EQY_CONSOLIDATED",$H$9,"EQY_FUND_CRNCY",$L$7,"StartCol",G$12,"EndCol",G$12,"StartRow",$B78,"EndRow",$B78),1)="#","",_xll.BDS(Ticker,"PG_OPERATING_INCOME","PG_HIERARCHY_LEVEL=1","NUMBER_OF_PERIODS=-11","REVERSE_PERIOD_ORDER=N","PRODUCT_GEO_OVERRIDE=P","FUND_PER",RIGHT($B$11,1),"ACCOUNTING_STANDARD_OVERRIDE",$H$7,"EQY_CONSOLIDATED",$H$9,"EQY_FUND_CRNCY",$L$7,"StartCol",G$12,"EndCol",G$12,"StartRow",$B78,"EndRow",$B78))</f>
        <v/>
      </c>
      <c r="H78" s="218" t="str">
        <f>IF(LEFT(_xll.BDS(Ticker,"PG_OPERATING_INCOME","PG_HIERARCHY_LEVEL=1","NUMBER_OF_PERIODS=-11","REVERSE_PERIOD_ORDER=N","PRODUCT_GEO_OVERRIDE=P","FUND_PER",RIGHT($B$11,1),"ACCOUNTING_STANDARD_OVERRIDE",$H$7,"EQY_CONSOLIDATED",$H$9,"EQY_FUND_CRNCY",$L$7,"StartCol",H$12,"EndCol",H$12,"StartRow",$B78,"EndRow",$B78),1)="#","",_xll.BDS(Ticker,"PG_OPERATING_INCOME","PG_HIERARCHY_LEVEL=1","NUMBER_OF_PERIODS=-11","REVERSE_PERIOD_ORDER=N","PRODUCT_GEO_OVERRIDE=P","FUND_PER",RIGHT($B$11,1),"ACCOUNTING_STANDARD_OVERRIDE",$H$7,"EQY_CONSOLIDATED",$H$9,"EQY_FUND_CRNCY",$L$7,"StartCol",H$12,"EndCol",H$12,"StartRow",$B78,"EndRow",$B78))</f>
        <v/>
      </c>
      <c r="I78" s="218">
        <f>IF(LEFT(_xll.BDS(Ticker,"PG_OPERATING_INCOME","PG_HIERARCHY_LEVEL=1","NUMBER_OF_PERIODS=-11","REVERSE_PERIOD_ORDER=N","PRODUCT_GEO_OVERRIDE=P","FUND_PER",RIGHT($B$11,1),"ACCOUNTING_STANDARD_OVERRIDE",$H$7,"EQY_CONSOLIDATED",$H$9,"EQY_FUND_CRNCY",$L$7,"StartCol",I$12,"EndCol",I$12,"StartRow",$B78,"EndRow",$B78),1)="#","",_xll.BDS(Ticker,"PG_OPERATING_INCOME","PG_HIERARCHY_LEVEL=1","NUMBER_OF_PERIODS=-11","REVERSE_PERIOD_ORDER=N","PRODUCT_GEO_OVERRIDE=P","FUND_PER",RIGHT($B$11,1),"ACCOUNTING_STANDARD_OVERRIDE",$H$7,"EQY_CONSOLIDATED",$H$9,"EQY_FUND_CRNCY",$L$7,"StartCol",I$12,"EndCol",I$12,"StartRow",$B78,"EndRow",$B78))</f>
        <v>-1329</v>
      </c>
      <c r="J78" s="218">
        <f>IF(LEFT(_xll.BDS(Ticker,"PG_OPERATING_INCOME","PG_HIERARCHY_LEVEL=1","NUMBER_OF_PERIODS=-11","REVERSE_PERIOD_ORDER=N","PRODUCT_GEO_OVERRIDE=P","FUND_PER",RIGHT($B$11,1),"ACCOUNTING_STANDARD_OVERRIDE",$H$7,"EQY_CONSOLIDATED",$H$9,"EQY_FUND_CRNCY",$L$7,"StartCol",J$12,"EndCol",J$12,"StartRow",$B78,"EndRow",$B78),1)="#","",_xll.BDS(Ticker,"PG_OPERATING_INCOME","PG_HIERARCHY_LEVEL=1","NUMBER_OF_PERIODS=-11","REVERSE_PERIOD_ORDER=N","PRODUCT_GEO_OVERRIDE=P","FUND_PER",RIGHT($B$11,1),"ACCOUNTING_STANDARD_OVERRIDE",$H$7,"EQY_CONSOLIDATED",$H$9,"EQY_FUND_CRNCY",$L$7,"StartCol",J$12,"EndCol",J$12,"StartRow",$B78,"EndRow",$B78))</f>
        <v>-1490</v>
      </c>
      <c r="K78" s="218">
        <f>IF(LEFT(_xll.BDS(Ticker,"PG_OPERATING_INCOME","PG_HIERARCHY_LEVEL=1","NUMBER_OF_PERIODS=-11","REVERSE_PERIOD_ORDER=N","PRODUCT_GEO_OVERRIDE=P","FUND_PER",RIGHT($B$11,1),"ACCOUNTING_STANDARD_OVERRIDE",$H$7,"EQY_CONSOLIDATED",$H$9,"EQY_FUND_CRNCY",$L$7,"StartCol",K$12,"EndCol",K$12,"StartRow",$B78,"EndRow",$B78),1)="#","",_xll.BDS(Ticker,"PG_OPERATING_INCOME","PG_HIERARCHY_LEVEL=1","NUMBER_OF_PERIODS=-11","REVERSE_PERIOD_ORDER=N","PRODUCT_GEO_OVERRIDE=P","FUND_PER",RIGHT($B$11,1),"ACCOUNTING_STANDARD_OVERRIDE",$H$7,"EQY_CONSOLIDATED",$H$9,"EQY_FUND_CRNCY",$L$7,"StartCol",K$12,"EndCol",K$12,"StartRow",$B78,"EndRow",$B78))</f>
        <v>-922</v>
      </c>
      <c r="L78" s="218">
        <f>IF(LEFT(_xll.BDS(Ticker,"PG_OPERATING_INCOME","PG_HIERARCHY_LEVEL=1","NUMBER_OF_PERIODS=-11","REVERSE_PERIOD_ORDER=N","PRODUCT_GEO_OVERRIDE=P","FUND_PER",RIGHT($B$11,1),"ACCOUNTING_STANDARD_OVERRIDE",$H$7,"EQY_CONSOLIDATED",$H$9,"EQY_FUND_CRNCY",$L$7,"StartCol",L$12,"EndCol",L$12,"StartRow",$B78,"EndRow",$B78),1)="#","",_xll.BDS(Ticker,"PG_OPERATING_INCOME","PG_HIERARCHY_LEVEL=1","NUMBER_OF_PERIODS=-11","REVERSE_PERIOD_ORDER=N","PRODUCT_GEO_OVERRIDE=P","FUND_PER",RIGHT($B$11,1),"ACCOUNTING_STANDARD_OVERRIDE",$H$7,"EQY_CONSOLIDATED",$H$9,"EQY_FUND_CRNCY",$L$7,"StartCol",L$12,"EndCol",L$12,"StartRow",$B78,"EndRow",$B78))</f>
        <v>-1073</v>
      </c>
      <c r="M78" s="218">
        <f>IF(LEFT(_xll.BDS(Ticker,"PG_OPERATING_INCOME","PG_HIERARCHY_LEVEL=1","NUMBER_OF_PERIODS=-11","REVERSE_PERIOD_ORDER=N","PRODUCT_GEO_OVERRIDE=P","FUND_PER",RIGHT($B$11,1),"ACCOUNTING_STANDARD_OVERRIDE",$H$7,"EQY_CONSOLIDATED",$H$9,"EQY_FUND_CRNCY",$L$7,"StartCol",M$12,"EndCol",M$12,"StartRow",$B78,"EndRow",$B78),1)="#","",_xll.BDS(Ticker,"PG_OPERATING_INCOME","PG_HIERARCHY_LEVEL=1","NUMBER_OF_PERIODS=-11","REVERSE_PERIOD_ORDER=N","PRODUCT_GEO_OVERRIDE=P","FUND_PER",RIGHT($B$11,1),"ACCOUNTING_STANDARD_OVERRIDE",$H$7,"EQY_CONSOLIDATED",$H$9,"EQY_FUND_CRNCY",$L$7,"StartCol",M$12,"EndCol",M$12,"StartRow",$B78,"EndRow",$B78))</f>
        <v>-1243</v>
      </c>
      <c r="N78" s="218">
        <f>IF(LEFT(_xll.BDS(Ticker,"PG_OPERATING_INCOME","PG_HIERARCHY_LEVEL=1","NUMBER_OF_PERIODS=-11","REVERSE_PERIOD_ORDER=N","PRODUCT_GEO_OVERRIDE=P","FUND_PER",RIGHT($B$11,1),"ACCOUNTING_STANDARD_OVERRIDE",$H$7,"EQY_CONSOLIDATED",$H$9,"EQY_FUND_CRNCY",$L$7,"StartCol",N$12,"EndCol",N$12,"StartRow",$B78,"EndRow",$B78),1)="#","",_xll.BDS(Ticker,"PG_OPERATING_INCOME","PG_HIERARCHY_LEVEL=1","NUMBER_OF_PERIODS=-11","REVERSE_PERIOD_ORDER=N","PRODUCT_GEO_OVERRIDE=P","FUND_PER",RIGHT($B$11,1),"ACCOUNTING_STANDARD_OVERRIDE",$H$7,"EQY_CONSOLIDATED",$H$9,"EQY_FUND_CRNCY",$L$7,"StartCol",N$12,"EndCol",N$12,"StartRow",$B78,"EndRow",$B78))</f>
        <v>-1411</v>
      </c>
    </row>
    <row r="79" spans="2:14" hidden="1" outlineLevel="1">
      <c r="B79" s="214">
        <v>5</v>
      </c>
      <c r="C79" s="216" t="str">
        <f>IF(LEFT(_xll.BDS(Ticker,"PG_OPERATING_INCOME","PG_HIERARCHY_LEVEL=1","NUMBER_OF_PERIODS=-11","REVERSE_PERIOD_ORDER=N","PRODUCT_GEO_OVERRIDE=P","FUND_PER",RIGHT($B$11,1),"ACCOUNTING_STANDARD_OVERRIDE",$H$7,"EQY_CONSOLIDATED",$H$9,"EQY_FUND_CRNCY",$L$7,"StartCol",C$12,"EndCol",C$12,"StartRow",$B79,"EndRow",$B79),1)="#","",_xll.BDS(Ticker,"PG_OPERATING_INCOME","PG_HIERARCHY_LEVEL=1","NUMBER_OF_PERIODS=-11","REVERSE_PERIOD_ORDER=N","PRODUCT_GEO_OVERRIDE=P","FUND_PER",RIGHT($B$11,1),"ACCOUNTING_STANDARD_OVERRIDE",$H$7,"EQY_CONSOLIDATED",$H$9,"EQY_FUND_CRNCY",$L$7,"StartCol",C$12,"EndCol",C$12,"StartRow",$B79,"EndRow",$B79))</f>
        <v/>
      </c>
      <c r="D79" s="218" t="str">
        <f>IF(LEFT(_xll.BDS(Ticker,"PG_OPERATING_INCOME","PG_HIERARCHY_LEVEL=1","NUMBER_OF_PERIODS=-11","REVERSE_PERIOD_ORDER=N","PRODUCT_GEO_OVERRIDE=P","FUND_PER",RIGHT($B$11,1),"ACCOUNTING_STANDARD_OVERRIDE",$H$7,"EQY_CONSOLIDATED",$H$9,"EQY_FUND_CRNCY",$L$7,"StartCol",D$12,"EndCol",D$12,"StartRow",$B79,"EndRow",$B79),1)="#","",_xll.BDS(Ticker,"PG_OPERATING_INCOME","PG_HIERARCHY_LEVEL=1","NUMBER_OF_PERIODS=-11","REVERSE_PERIOD_ORDER=N","PRODUCT_GEO_OVERRIDE=P","FUND_PER",RIGHT($B$11,1),"ACCOUNTING_STANDARD_OVERRIDE",$H$7,"EQY_CONSOLIDATED",$H$9,"EQY_FUND_CRNCY",$L$7,"StartCol",D$12,"EndCol",D$12,"StartRow",$B79,"EndRow",$B79))</f>
        <v/>
      </c>
      <c r="E79" s="218" t="str">
        <f>IF(LEFT(_xll.BDS(Ticker,"PG_OPERATING_INCOME","PG_HIERARCHY_LEVEL=1","NUMBER_OF_PERIODS=-11","REVERSE_PERIOD_ORDER=N","PRODUCT_GEO_OVERRIDE=P","FUND_PER",RIGHT($B$11,1),"ACCOUNTING_STANDARD_OVERRIDE",$H$7,"EQY_CONSOLIDATED",$H$9,"EQY_FUND_CRNCY",$L$7,"StartCol",E$12,"EndCol",E$12,"StartRow",$B79,"EndRow",$B79),1)="#","",_xll.BDS(Ticker,"PG_OPERATING_INCOME","PG_HIERARCHY_LEVEL=1","NUMBER_OF_PERIODS=-11","REVERSE_PERIOD_ORDER=N","PRODUCT_GEO_OVERRIDE=P","FUND_PER",RIGHT($B$11,1),"ACCOUNTING_STANDARD_OVERRIDE",$H$7,"EQY_CONSOLIDATED",$H$9,"EQY_FUND_CRNCY",$L$7,"StartCol",E$12,"EndCol",E$12,"StartRow",$B79,"EndRow",$B79))</f>
        <v/>
      </c>
      <c r="F79" s="218" t="str">
        <f>IF(LEFT(_xll.BDS(Ticker,"PG_OPERATING_INCOME","PG_HIERARCHY_LEVEL=1","NUMBER_OF_PERIODS=-11","REVERSE_PERIOD_ORDER=N","PRODUCT_GEO_OVERRIDE=P","FUND_PER",RIGHT($B$11,1),"ACCOUNTING_STANDARD_OVERRIDE",$H$7,"EQY_CONSOLIDATED",$H$9,"EQY_FUND_CRNCY",$L$7,"StartCol",F$12,"EndCol",F$12,"StartRow",$B79,"EndRow",$B79),1)="#","",_xll.BDS(Ticker,"PG_OPERATING_INCOME","PG_HIERARCHY_LEVEL=1","NUMBER_OF_PERIODS=-11","REVERSE_PERIOD_ORDER=N","PRODUCT_GEO_OVERRIDE=P","FUND_PER",RIGHT($B$11,1),"ACCOUNTING_STANDARD_OVERRIDE",$H$7,"EQY_CONSOLIDATED",$H$9,"EQY_FUND_CRNCY",$L$7,"StartCol",F$12,"EndCol",F$12,"StartRow",$B79,"EndRow",$B79))</f>
        <v/>
      </c>
      <c r="G79" s="218" t="str">
        <f>IF(LEFT(_xll.BDS(Ticker,"PG_OPERATING_INCOME","PG_HIERARCHY_LEVEL=1","NUMBER_OF_PERIODS=-11","REVERSE_PERIOD_ORDER=N","PRODUCT_GEO_OVERRIDE=P","FUND_PER",RIGHT($B$11,1),"ACCOUNTING_STANDARD_OVERRIDE",$H$7,"EQY_CONSOLIDATED",$H$9,"EQY_FUND_CRNCY",$L$7,"StartCol",G$12,"EndCol",G$12,"StartRow",$B79,"EndRow",$B79),1)="#","",_xll.BDS(Ticker,"PG_OPERATING_INCOME","PG_HIERARCHY_LEVEL=1","NUMBER_OF_PERIODS=-11","REVERSE_PERIOD_ORDER=N","PRODUCT_GEO_OVERRIDE=P","FUND_PER",RIGHT($B$11,1),"ACCOUNTING_STANDARD_OVERRIDE",$H$7,"EQY_CONSOLIDATED",$H$9,"EQY_FUND_CRNCY",$L$7,"StartCol",G$12,"EndCol",G$12,"StartRow",$B79,"EndRow",$B79))</f>
        <v/>
      </c>
      <c r="H79" s="218" t="str">
        <f>IF(LEFT(_xll.BDS(Ticker,"PG_OPERATING_INCOME","PG_HIERARCHY_LEVEL=1","NUMBER_OF_PERIODS=-11","REVERSE_PERIOD_ORDER=N","PRODUCT_GEO_OVERRIDE=P","FUND_PER",RIGHT($B$11,1),"ACCOUNTING_STANDARD_OVERRIDE",$H$7,"EQY_CONSOLIDATED",$H$9,"EQY_FUND_CRNCY",$L$7,"StartCol",H$12,"EndCol",H$12,"StartRow",$B79,"EndRow",$B79),1)="#","",_xll.BDS(Ticker,"PG_OPERATING_INCOME","PG_HIERARCHY_LEVEL=1","NUMBER_OF_PERIODS=-11","REVERSE_PERIOD_ORDER=N","PRODUCT_GEO_OVERRIDE=P","FUND_PER",RIGHT($B$11,1),"ACCOUNTING_STANDARD_OVERRIDE",$H$7,"EQY_CONSOLIDATED",$H$9,"EQY_FUND_CRNCY",$L$7,"StartCol",H$12,"EndCol",H$12,"StartRow",$B79,"EndRow",$B79))</f>
        <v/>
      </c>
      <c r="I79" s="218" t="str">
        <f>IF(LEFT(_xll.BDS(Ticker,"PG_OPERATING_INCOME","PG_HIERARCHY_LEVEL=1","NUMBER_OF_PERIODS=-11","REVERSE_PERIOD_ORDER=N","PRODUCT_GEO_OVERRIDE=P","FUND_PER",RIGHT($B$11,1),"ACCOUNTING_STANDARD_OVERRIDE",$H$7,"EQY_CONSOLIDATED",$H$9,"EQY_FUND_CRNCY",$L$7,"StartCol",I$12,"EndCol",I$12,"StartRow",$B79,"EndRow",$B79),1)="#","",_xll.BDS(Ticker,"PG_OPERATING_INCOME","PG_HIERARCHY_LEVEL=1","NUMBER_OF_PERIODS=-11","REVERSE_PERIOD_ORDER=N","PRODUCT_GEO_OVERRIDE=P","FUND_PER",RIGHT($B$11,1),"ACCOUNTING_STANDARD_OVERRIDE",$H$7,"EQY_CONSOLIDATED",$H$9,"EQY_FUND_CRNCY",$L$7,"StartCol",I$12,"EndCol",I$12,"StartRow",$B79,"EndRow",$B79))</f>
        <v/>
      </c>
      <c r="J79" s="218" t="str">
        <f>IF(LEFT(_xll.BDS(Ticker,"PG_OPERATING_INCOME","PG_HIERARCHY_LEVEL=1","NUMBER_OF_PERIODS=-11","REVERSE_PERIOD_ORDER=N","PRODUCT_GEO_OVERRIDE=P","FUND_PER",RIGHT($B$11,1),"ACCOUNTING_STANDARD_OVERRIDE",$H$7,"EQY_CONSOLIDATED",$H$9,"EQY_FUND_CRNCY",$L$7,"StartCol",J$12,"EndCol",J$12,"StartRow",$B79,"EndRow",$B79),1)="#","",_xll.BDS(Ticker,"PG_OPERATING_INCOME","PG_HIERARCHY_LEVEL=1","NUMBER_OF_PERIODS=-11","REVERSE_PERIOD_ORDER=N","PRODUCT_GEO_OVERRIDE=P","FUND_PER",RIGHT($B$11,1),"ACCOUNTING_STANDARD_OVERRIDE",$H$7,"EQY_CONSOLIDATED",$H$9,"EQY_FUND_CRNCY",$L$7,"StartCol",J$12,"EndCol",J$12,"StartRow",$B79,"EndRow",$B79))</f>
        <v/>
      </c>
      <c r="K79" s="218" t="str">
        <f>IF(LEFT(_xll.BDS(Ticker,"PG_OPERATING_INCOME","PG_HIERARCHY_LEVEL=1","NUMBER_OF_PERIODS=-11","REVERSE_PERIOD_ORDER=N","PRODUCT_GEO_OVERRIDE=P","FUND_PER",RIGHT($B$11,1),"ACCOUNTING_STANDARD_OVERRIDE",$H$7,"EQY_CONSOLIDATED",$H$9,"EQY_FUND_CRNCY",$L$7,"StartCol",K$12,"EndCol",K$12,"StartRow",$B79,"EndRow",$B79),1)="#","",_xll.BDS(Ticker,"PG_OPERATING_INCOME","PG_HIERARCHY_LEVEL=1","NUMBER_OF_PERIODS=-11","REVERSE_PERIOD_ORDER=N","PRODUCT_GEO_OVERRIDE=P","FUND_PER",RIGHT($B$11,1),"ACCOUNTING_STANDARD_OVERRIDE",$H$7,"EQY_CONSOLIDATED",$H$9,"EQY_FUND_CRNCY",$L$7,"StartCol",K$12,"EndCol",K$12,"StartRow",$B79,"EndRow",$B79))</f>
        <v/>
      </c>
      <c r="L79" s="218" t="str">
        <f>IF(LEFT(_xll.BDS(Ticker,"PG_OPERATING_INCOME","PG_HIERARCHY_LEVEL=1","NUMBER_OF_PERIODS=-11","REVERSE_PERIOD_ORDER=N","PRODUCT_GEO_OVERRIDE=P","FUND_PER",RIGHT($B$11,1),"ACCOUNTING_STANDARD_OVERRIDE",$H$7,"EQY_CONSOLIDATED",$H$9,"EQY_FUND_CRNCY",$L$7,"StartCol",L$12,"EndCol",L$12,"StartRow",$B79,"EndRow",$B79),1)="#","",_xll.BDS(Ticker,"PG_OPERATING_INCOME","PG_HIERARCHY_LEVEL=1","NUMBER_OF_PERIODS=-11","REVERSE_PERIOD_ORDER=N","PRODUCT_GEO_OVERRIDE=P","FUND_PER",RIGHT($B$11,1),"ACCOUNTING_STANDARD_OVERRIDE",$H$7,"EQY_CONSOLIDATED",$H$9,"EQY_FUND_CRNCY",$L$7,"StartCol",L$12,"EndCol",L$12,"StartRow",$B79,"EndRow",$B79))</f>
        <v/>
      </c>
      <c r="M79" s="218" t="str">
        <f>IF(LEFT(_xll.BDS(Ticker,"PG_OPERATING_INCOME","PG_HIERARCHY_LEVEL=1","NUMBER_OF_PERIODS=-11","REVERSE_PERIOD_ORDER=N","PRODUCT_GEO_OVERRIDE=P","FUND_PER",RIGHT($B$11,1),"ACCOUNTING_STANDARD_OVERRIDE",$H$7,"EQY_CONSOLIDATED",$H$9,"EQY_FUND_CRNCY",$L$7,"StartCol",M$12,"EndCol",M$12,"StartRow",$B79,"EndRow",$B79),1)="#","",_xll.BDS(Ticker,"PG_OPERATING_INCOME","PG_HIERARCHY_LEVEL=1","NUMBER_OF_PERIODS=-11","REVERSE_PERIOD_ORDER=N","PRODUCT_GEO_OVERRIDE=P","FUND_PER",RIGHT($B$11,1),"ACCOUNTING_STANDARD_OVERRIDE",$H$7,"EQY_CONSOLIDATED",$H$9,"EQY_FUND_CRNCY",$L$7,"StartCol",M$12,"EndCol",M$12,"StartRow",$B79,"EndRow",$B79))</f>
        <v/>
      </c>
      <c r="N79" s="218" t="str">
        <f>IF(LEFT(_xll.BDS(Ticker,"PG_OPERATING_INCOME","PG_HIERARCHY_LEVEL=1","NUMBER_OF_PERIODS=-11","REVERSE_PERIOD_ORDER=N","PRODUCT_GEO_OVERRIDE=P","FUND_PER",RIGHT($B$11,1),"ACCOUNTING_STANDARD_OVERRIDE",$H$7,"EQY_CONSOLIDATED",$H$9,"EQY_FUND_CRNCY",$L$7,"StartCol",N$12,"EndCol",N$12,"StartRow",$B79,"EndRow",$B79),1)="#","",_xll.BDS(Ticker,"PG_OPERATING_INCOME","PG_HIERARCHY_LEVEL=1","NUMBER_OF_PERIODS=-11","REVERSE_PERIOD_ORDER=N","PRODUCT_GEO_OVERRIDE=P","FUND_PER",RIGHT($B$11,1),"ACCOUNTING_STANDARD_OVERRIDE",$H$7,"EQY_CONSOLIDATED",$H$9,"EQY_FUND_CRNCY",$L$7,"StartCol",N$12,"EndCol",N$12,"StartRow",$B79,"EndRow",$B79))</f>
        <v/>
      </c>
    </row>
    <row r="80" spans="2:14" hidden="1" outlineLevel="1">
      <c r="B80" s="214">
        <v>6</v>
      </c>
      <c r="C80" s="216" t="str">
        <f>IF(LEFT(_xll.BDS(Ticker,"PG_OPERATING_INCOME","PG_HIERARCHY_LEVEL=1","NUMBER_OF_PERIODS=-11","REVERSE_PERIOD_ORDER=N","PRODUCT_GEO_OVERRIDE=P","FUND_PER",RIGHT($B$11,1),"ACCOUNTING_STANDARD_OVERRIDE",$H$7,"EQY_CONSOLIDATED",$H$9,"EQY_FUND_CRNCY",$L$7,"StartCol",C$12,"EndCol",C$12,"StartRow",$B80,"EndRow",$B80),1)="#","",_xll.BDS(Ticker,"PG_OPERATING_INCOME","PG_HIERARCHY_LEVEL=1","NUMBER_OF_PERIODS=-11","REVERSE_PERIOD_ORDER=N","PRODUCT_GEO_OVERRIDE=P","FUND_PER",RIGHT($B$11,1),"ACCOUNTING_STANDARD_OVERRIDE",$H$7,"EQY_CONSOLIDATED",$H$9,"EQY_FUND_CRNCY",$L$7,"StartCol",C$12,"EndCol",C$12,"StartRow",$B80,"EndRow",$B80))</f>
        <v/>
      </c>
      <c r="D80" s="218" t="str">
        <f>IF(LEFT(_xll.BDS(Ticker,"PG_OPERATING_INCOME","PG_HIERARCHY_LEVEL=1","NUMBER_OF_PERIODS=-11","REVERSE_PERIOD_ORDER=N","PRODUCT_GEO_OVERRIDE=P","FUND_PER",RIGHT($B$11,1),"ACCOUNTING_STANDARD_OVERRIDE",$H$7,"EQY_CONSOLIDATED",$H$9,"EQY_FUND_CRNCY",$L$7,"StartCol",D$12,"EndCol",D$12,"StartRow",$B80,"EndRow",$B80),1)="#","",_xll.BDS(Ticker,"PG_OPERATING_INCOME","PG_HIERARCHY_LEVEL=1","NUMBER_OF_PERIODS=-11","REVERSE_PERIOD_ORDER=N","PRODUCT_GEO_OVERRIDE=P","FUND_PER",RIGHT($B$11,1),"ACCOUNTING_STANDARD_OVERRIDE",$H$7,"EQY_CONSOLIDATED",$H$9,"EQY_FUND_CRNCY",$L$7,"StartCol",D$12,"EndCol",D$12,"StartRow",$B80,"EndRow",$B80))</f>
        <v/>
      </c>
      <c r="E80" s="218" t="str">
        <f>IF(LEFT(_xll.BDS(Ticker,"PG_OPERATING_INCOME","PG_HIERARCHY_LEVEL=1","NUMBER_OF_PERIODS=-11","REVERSE_PERIOD_ORDER=N","PRODUCT_GEO_OVERRIDE=P","FUND_PER",RIGHT($B$11,1),"ACCOUNTING_STANDARD_OVERRIDE",$H$7,"EQY_CONSOLIDATED",$H$9,"EQY_FUND_CRNCY",$L$7,"StartCol",E$12,"EndCol",E$12,"StartRow",$B80,"EndRow",$B80),1)="#","",_xll.BDS(Ticker,"PG_OPERATING_INCOME","PG_HIERARCHY_LEVEL=1","NUMBER_OF_PERIODS=-11","REVERSE_PERIOD_ORDER=N","PRODUCT_GEO_OVERRIDE=P","FUND_PER",RIGHT($B$11,1),"ACCOUNTING_STANDARD_OVERRIDE",$H$7,"EQY_CONSOLIDATED",$H$9,"EQY_FUND_CRNCY",$L$7,"StartCol",E$12,"EndCol",E$12,"StartRow",$B80,"EndRow",$B80))</f>
        <v/>
      </c>
      <c r="F80" s="218" t="str">
        <f>IF(LEFT(_xll.BDS(Ticker,"PG_OPERATING_INCOME","PG_HIERARCHY_LEVEL=1","NUMBER_OF_PERIODS=-11","REVERSE_PERIOD_ORDER=N","PRODUCT_GEO_OVERRIDE=P","FUND_PER",RIGHT($B$11,1),"ACCOUNTING_STANDARD_OVERRIDE",$H$7,"EQY_CONSOLIDATED",$H$9,"EQY_FUND_CRNCY",$L$7,"StartCol",F$12,"EndCol",F$12,"StartRow",$B80,"EndRow",$B80),1)="#","",_xll.BDS(Ticker,"PG_OPERATING_INCOME","PG_HIERARCHY_LEVEL=1","NUMBER_OF_PERIODS=-11","REVERSE_PERIOD_ORDER=N","PRODUCT_GEO_OVERRIDE=P","FUND_PER",RIGHT($B$11,1),"ACCOUNTING_STANDARD_OVERRIDE",$H$7,"EQY_CONSOLIDATED",$H$9,"EQY_FUND_CRNCY",$L$7,"StartCol",F$12,"EndCol",F$12,"StartRow",$B80,"EndRow",$B80))</f>
        <v/>
      </c>
      <c r="G80" s="218" t="str">
        <f>IF(LEFT(_xll.BDS(Ticker,"PG_OPERATING_INCOME","PG_HIERARCHY_LEVEL=1","NUMBER_OF_PERIODS=-11","REVERSE_PERIOD_ORDER=N","PRODUCT_GEO_OVERRIDE=P","FUND_PER",RIGHT($B$11,1),"ACCOUNTING_STANDARD_OVERRIDE",$H$7,"EQY_CONSOLIDATED",$H$9,"EQY_FUND_CRNCY",$L$7,"StartCol",G$12,"EndCol",G$12,"StartRow",$B80,"EndRow",$B80),1)="#","",_xll.BDS(Ticker,"PG_OPERATING_INCOME","PG_HIERARCHY_LEVEL=1","NUMBER_OF_PERIODS=-11","REVERSE_PERIOD_ORDER=N","PRODUCT_GEO_OVERRIDE=P","FUND_PER",RIGHT($B$11,1),"ACCOUNTING_STANDARD_OVERRIDE",$H$7,"EQY_CONSOLIDATED",$H$9,"EQY_FUND_CRNCY",$L$7,"StartCol",G$12,"EndCol",G$12,"StartRow",$B80,"EndRow",$B80))</f>
        <v/>
      </c>
      <c r="H80" s="218" t="str">
        <f>IF(LEFT(_xll.BDS(Ticker,"PG_OPERATING_INCOME","PG_HIERARCHY_LEVEL=1","NUMBER_OF_PERIODS=-11","REVERSE_PERIOD_ORDER=N","PRODUCT_GEO_OVERRIDE=P","FUND_PER",RIGHT($B$11,1),"ACCOUNTING_STANDARD_OVERRIDE",$H$7,"EQY_CONSOLIDATED",$H$9,"EQY_FUND_CRNCY",$L$7,"StartCol",H$12,"EndCol",H$12,"StartRow",$B80,"EndRow",$B80),1)="#","",_xll.BDS(Ticker,"PG_OPERATING_INCOME","PG_HIERARCHY_LEVEL=1","NUMBER_OF_PERIODS=-11","REVERSE_PERIOD_ORDER=N","PRODUCT_GEO_OVERRIDE=P","FUND_PER",RIGHT($B$11,1),"ACCOUNTING_STANDARD_OVERRIDE",$H$7,"EQY_CONSOLIDATED",$H$9,"EQY_FUND_CRNCY",$L$7,"StartCol",H$12,"EndCol",H$12,"StartRow",$B80,"EndRow",$B80))</f>
        <v/>
      </c>
      <c r="I80" s="218" t="str">
        <f>IF(LEFT(_xll.BDS(Ticker,"PG_OPERATING_INCOME","PG_HIERARCHY_LEVEL=1","NUMBER_OF_PERIODS=-11","REVERSE_PERIOD_ORDER=N","PRODUCT_GEO_OVERRIDE=P","FUND_PER",RIGHT($B$11,1),"ACCOUNTING_STANDARD_OVERRIDE",$H$7,"EQY_CONSOLIDATED",$H$9,"EQY_FUND_CRNCY",$L$7,"StartCol",I$12,"EndCol",I$12,"StartRow",$B80,"EndRow",$B80),1)="#","",_xll.BDS(Ticker,"PG_OPERATING_INCOME","PG_HIERARCHY_LEVEL=1","NUMBER_OF_PERIODS=-11","REVERSE_PERIOD_ORDER=N","PRODUCT_GEO_OVERRIDE=P","FUND_PER",RIGHT($B$11,1),"ACCOUNTING_STANDARD_OVERRIDE",$H$7,"EQY_CONSOLIDATED",$H$9,"EQY_FUND_CRNCY",$L$7,"StartCol",I$12,"EndCol",I$12,"StartRow",$B80,"EndRow",$B80))</f>
        <v/>
      </c>
      <c r="J80" s="218" t="str">
        <f>IF(LEFT(_xll.BDS(Ticker,"PG_OPERATING_INCOME","PG_HIERARCHY_LEVEL=1","NUMBER_OF_PERIODS=-11","REVERSE_PERIOD_ORDER=N","PRODUCT_GEO_OVERRIDE=P","FUND_PER",RIGHT($B$11,1),"ACCOUNTING_STANDARD_OVERRIDE",$H$7,"EQY_CONSOLIDATED",$H$9,"EQY_FUND_CRNCY",$L$7,"StartCol",J$12,"EndCol",J$12,"StartRow",$B80,"EndRow",$B80),1)="#","",_xll.BDS(Ticker,"PG_OPERATING_INCOME","PG_HIERARCHY_LEVEL=1","NUMBER_OF_PERIODS=-11","REVERSE_PERIOD_ORDER=N","PRODUCT_GEO_OVERRIDE=P","FUND_PER",RIGHT($B$11,1),"ACCOUNTING_STANDARD_OVERRIDE",$H$7,"EQY_CONSOLIDATED",$H$9,"EQY_FUND_CRNCY",$L$7,"StartCol",J$12,"EndCol",J$12,"StartRow",$B80,"EndRow",$B80))</f>
        <v/>
      </c>
      <c r="K80" s="218" t="str">
        <f>IF(LEFT(_xll.BDS(Ticker,"PG_OPERATING_INCOME","PG_HIERARCHY_LEVEL=1","NUMBER_OF_PERIODS=-11","REVERSE_PERIOD_ORDER=N","PRODUCT_GEO_OVERRIDE=P","FUND_PER",RIGHT($B$11,1),"ACCOUNTING_STANDARD_OVERRIDE",$H$7,"EQY_CONSOLIDATED",$H$9,"EQY_FUND_CRNCY",$L$7,"StartCol",K$12,"EndCol",K$12,"StartRow",$B80,"EndRow",$B80),1)="#","",_xll.BDS(Ticker,"PG_OPERATING_INCOME","PG_HIERARCHY_LEVEL=1","NUMBER_OF_PERIODS=-11","REVERSE_PERIOD_ORDER=N","PRODUCT_GEO_OVERRIDE=P","FUND_PER",RIGHT($B$11,1),"ACCOUNTING_STANDARD_OVERRIDE",$H$7,"EQY_CONSOLIDATED",$H$9,"EQY_FUND_CRNCY",$L$7,"StartCol",K$12,"EndCol",K$12,"StartRow",$B80,"EndRow",$B80))</f>
        <v/>
      </c>
      <c r="L80" s="218" t="str">
        <f>IF(LEFT(_xll.BDS(Ticker,"PG_OPERATING_INCOME","PG_HIERARCHY_LEVEL=1","NUMBER_OF_PERIODS=-11","REVERSE_PERIOD_ORDER=N","PRODUCT_GEO_OVERRIDE=P","FUND_PER",RIGHT($B$11,1),"ACCOUNTING_STANDARD_OVERRIDE",$H$7,"EQY_CONSOLIDATED",$H$9,"EQY_FUND_CRNCY",$L$7,"StartCol",L$12,"EndCol",L$12,"StartRow",$B80,"EndRow",$B80),1)="#","",_xll.BDS(Ticker,"PG_OPERATING_INCOME","PG_HIERARCHY_LEVEL=1","NUMBER_OF_PERIODS=-11","REVERSE_PERIOD_ORDER=N","PRODUCT_GEO_OVERRIDE=P","FUND_PER",RIGHT($B$11,1),"ACCOUNTING_STANDARD_OVERRIDE",$H$7,"EQY_CONSOLIDATED",$H$9,"EQY_FUND_CRNCY",$L$7,"StartCol",L$12,"EndCol",L$12,"StartRow",$B80,"EndRow",$B80))</f>
        <v/>
      </c>
      <c r="M80" s="218" t="str">
        <f>IF(LEFT(_xll.BDS(Ticker,"PG_OPERATING_INCOME","PG_HIERARCHY_LEVEL=1","NUMBER_OF_PERIODS=-11","REVERSE_PERIOD_ORDER=N","PRODUCT_GEO_OVERRIDE=P","FUND_PER",RIGHT($B$11,1),"ACCOUNTING_STANDARD_OVERRIDE",$H$7,"EQY_CONSOLIDATED",$H$9,"EQY_FUND_CRNCY",$L$7,"StartCol",M$12,"EndCol",M$12,"StartRow",$B80,"EndRow",$B80),1)="#","",_xll.BDS(Ticker,"PG_OPERATING_INCOME","PG_HIERARCHY_LEVEL=1","NUMBER_OF_PERIODS=-11","REVERSE_PERIOD_ORDER=N","PRODUCT_GEO_OVERRIDE=P","FUND_PER",RIGHT($B$11,1),"ACCOUNTING_STANDARD_OVERRIDE",$H$7,"EQY_CONSOLIDATED",$H$9,"EQY_FUND_CRNCY",$L$7,"StartCol",M$12,"EndCol",M$12,"StartRow",$B80,"EndRow",$B80))</f>
        <v/>
      </c>
      <c r="N80" s="218" t="str">
        <f>IF(LEFT(_xll.BDS(Ticker,"PG_OPERATING_INCOME","PG_HIERARCHY_LEVEL=1","NUMBER_OF_PERIODS=-11","REVERSE_PERIOD_ORDER=N","PRODUCT_GEO_OVERRIDE=P","FUND_PER",RIGHT($B$11,1),"ACCOUNTING_STANDARD_OVERRIDE",$H$7,"EQY_CONSOLIDATED",$H$9,"EQY_FUND_CRNCY",$L$7,"StartCol",N$12,"EndCol",N$12,"StartRow",$B80,"EndRow",$B80),1)="#","",_xll.BDS(Ticker,"PG_OPERATING_INCOME","PG_HIERARCHY_LEVEL=1","NUMBER_OF_PERIODS=-11","REVERSE_PERIOD_ORDER=N","PRODUCT_GEO_OVERRIDE=P","FUND_PER",RIGHT($B$11,1),"ACCOUNTING_STANDARD_OVERRIDE",$H$7,"EQY_CONSOLIDATED",$H$9,"EQY_FUND_CRNCY",$L$7,"StartCol",N$12,"EndCol",N$12,"StartRow",$B80,"EndRow",$B80))</f>
        <v/>
      </c>
    </row>
    <row r="81" spans="2:14" hidden="1" outlineLevel="1">
      <c r="B81" s="214">
        <v>7</v>
      </c>
      <c r="C81" s="216" t="str">
        <f>IF(LEFT(_xll.BDS(Ticker,"PG_OPERATING_INCOME","PG_HIERARCHY_LEVEL=1","NUMBER_OF_PERIODS=-11","REVERSE_PERIOD_ORDER=N","PRODUCT_GEO_OVERRIDE=P","FUND_PER",RIGHT($B$11,1),"ACCOUNTING_STANDARD_OVERRIDE",$H$7,"EQY_CONSOLIDATED",$H$9,"EQY_FUND_CRNCY",$L$7,"StartCol",C$12,"EndCol",C$12,"StartRow",$B81,"EndRow",$B81),1)="#","",_xll.BDS(Ticker,"PG_OPERATING_INCOME","PG_HIERARCHY_LEVEL=1","NUMBER_OF_PERIODS=-11","REVERSE_PERIOD_ORDER=N","PRODUCT_GEO_OVERRIDE=P","FUND_PER",RIGHT($B$11,1),"ACCOUNTING_STANDARD_OVERRIDE",$H$7,"EQY_CONSOLIDATED",$H$9,"EQY_FUND_CRNCY",$L$7,"StartCol",C$12,"EndCol",C$12,"StartRow",$B81,"EndRow",$B81))</f>
        <v/>
      </c>
      <c r="D81" s="218" t="str">
        <f>IF(LEFT(_xll.BDS(Ticker,"PG_OPERATING_INCOME","PG_HIERARCHY_LEVEL=1","NUMBER_OF_PERIODS=-11","REVERSE_PERIOD_ORDER=N","PRODUCT_GEO_OVERRIDE=P","FUND_PER",RIGHT($B$11,1),"ACCOUNTING_STANDARD_OVERRIDE",$H$7,"EQY_CONSOLIDATED",$H$9,"EQY_FUND_CRNCY",$L$7,"StartCol",D$12,"EndCol",D$12,"StartRow",$B81,"EndRow",$B81),1)="#","",_xll.BDS(Ticker,"PG_OPERATING_INCOME","PG_HIERARCHY_LEVEL=1","NUMBER_OF_PERIODS=-11","REVERSE_PERIOD_ORDER=N","PRODUCT_GEO_OVERRIDE=P","FUND_PER",RIGHT($B$11,1),"ACCOUNTING_STANDARD_OVERRIDE",$H$7,"EQY_CONSOLIDATED",$H$9,"EQY_FUND_CRNCY",$L$7,"StartCol",D$12,"EndCol",D$12,"StartRow",$B81,"EndRow",$B81))</f>
        <v/>
      </c>
      <c r="E81" s="218" t="str">
        <f>IF(LEFT(_xll.BDS(Ticker,"PG_OPERATING_INCOME","PG_HIERARCHY_LEVEL=1","NUMBER_OF_PERIODS=-11","REVERSE_PERIOD_ORDER=N","PRODUCT_GEO_OVERRIDE=P","FUND_PER",RIGHT($B$11,1),"ACCOUNTING_STANDARD_OVERRIDE",$H$7,"EQY_CONSOLIDATED",$H$9,"EQY_FUND_CRNCY",$L$7,"StartCol",E$12,"EndCol",E$12,"StartRow",$B81,"EndRow",$B81),1)="#","",_xll.BDS(Ticker,"PG_OPERATING_INCOME","PG_HIERARCHY_LEVEL=1","NUMBER_OF_PERIODS=-11","REVERSE_PERIOD_ORDER=N","PRODUCT_GEO_OVERRIDE=P","FUND_PER",RIGHT($B$11,1),"ACCOUNTING_STANDARD_OVERRIDE",$H$7,"EQY_CONSOLIDATED",$H$9,"EQY_FUND_CRNCY",$L$7,"StartCol",E$12,"EndCol",E$12,"StartRow",$B81,"EndRow",$B81))</f>
        <v/>
      </c>
      <c r="F81" s="218" t="str">
        <f>IF(LEFT(_xll.BDS(Ticker,"PG_OPERATING_INCOME","PG_HIERARCHY_LEVEL=1","NUMBER_OF_PERIODS=-11","REVERSE_PERIOD_ORDER=N","PRODUCT_GEO_OVERRIDE=P","FUND_PER",RIGHT($B$11,1),"ACCOUNTING_STANDARD_OVERRIDE",$H$7,"EQY_CONSOLIDATED",$H$9,"EQY_FUND_CRNCY",$L$7,"StartCol",F$12,"EndCol",F$12,"StartRow",$B81,"EndRow",$B81),1)="#","",_xll.BDS(Ticker,"PG_OPERATING_INCOME","PG_HIERARCHY_LEVEL=1","NUMBER_OF_PERIODS=-11","REVERSE_PERIOD_ORDER=N","PRODUCT_GEO_OVERRIDE=P","FUND_PER",RIGHT($B$11,1),"ACCOUNTING_STANDARD_OVERRIDE",$H$7,"EQY_CONSOLIDATED",$H$9,"EQY_FUND_CRNCY",$L$7,"StartCol",F$12,"EndCol",F$12,"StartRow",$B81,"EndRow",$B81))</f>
        <v/>
      </c>
      <c r="G81" s="218" t="str">
        <f>IF(LEFT(_xll.BDS(Ticker,"PG_OPERATING_INCOME","PG_HIERARCHY_LEVEL=1","NUMBER_OF_PERIODS=-11","REVERSE_PERIOD_ORDER=N","PRODUCT_GEO_OVERRIDE=P","FUND_PER",RIGHT($B$11,1),"ACCOUNTING_STANDARD_OVERRIDE",$H$7,"EQY_CONSOLIDATED",$H$9,"EQY_FUND_CRNCY",$L$7,"StartCol",G$12,"EndCol",G$12,"StartRow",$B81,"EndRow",$B81),1)="#","",_xll.BDS(Ticker,"PG_OPERATING_INCOME","PG_HIERARCHY_LEVEL=1","NUMBER_OF_PERIODS=-11","REVERSE_PERIOD_ORDER=N","PRODUCT_GEO_OVERRIDE=P","FUND_PER",RIGHT($B$11,1),"ACCOUNTING_STANDARD_OVERRIDE",$H$7,"EQY_CONSOLIDATED",$H$9,"EQY_FUND_CRNCY",$L$7,"StartCol",G$12,"EndCol",G$12,"StartRow",$B81,"EndRow",$B81))</f>
        <v/>
      </c>
      <c r="H81" s="218" t="str">
        <f>IF(LEFT(_xll.BDS(Ticker,"PG_OPERATING_INCOME","PG_HIERARCHY_LEVEL=1","NUMBER_OF_PERIODS=-11","REVERSE_PERIOD_ORDER=N","PRODUCT_GEO_OVERRIDE=P","FUND_PER",RIGHT($B$11,1),"ACCOUNTING_STANDARD_OVERRIDE",$H$7,"EQY_CONSOLIDATED",$H$9,"EQY_FUND_CRNCY",$L$7,"StartCol",H$12,"EndCol",H$12,"StartRow",$B81,"EndRow",$B81),1)="#","",_xll.BDS(Ticker,"PG_OPERATING_INCOME","PG_HIERARCHY_LEVEL=1","NUMBER_OF_PERIODS=-11","REVERSE_PERIOD_ORDER=N","PRODUCT_GEO_OVERRIDE=P","FUND_PER",RIGHT($B$11,1),"ACCOUNTING_STANDARD_OVERRIDE",$H$7,"EQY_CONSOLIDATED",$H$9,"EQY_FUND_CRNCY",$L$7,"StartCol",H$12,"EndCol",H$12,"StartRow",$B81,"EndRow",$B81))</f>
        <v/>
      </c>
      <c r="I81" s="218" t="str">
        <f>IF(LEFT(_xll.BDS(Ticker,"PG_OPERATING_INCOME","PG_HIERARCHY_LEVEL=1","NUMBER_OF_PERIODS=-11","REVERSE_PERIOD_ORDER=N","PRODUCT_GEO_OVERRIDE=P","FUND_PER",RIGHT($B$11,1),"ACCOUNTING_STANDARD_OVERRIDE",$H$7,"EQY_CONSOLIDATED",$H$9,"EQY_FUND_CRNCY",$L$7,"StartCol",I$12,"EndCol",I$12,"StartRow",$B81,"EndRow",$B81),1)="#","",_xll.BDS(Ticker,"PG_OPERATING_INCOME","PG_HIERARCHY_LEVEL=1","NUMBER_OF_PERIODS=-11","REVERSE_PERIOD_ORDER=N","PRODUCT_GEO_OVERRIDE=P","FUND_PER",RIGHT($B$11,1),"ACCOUNTING_STANDARD_OVERRIDE",$H$7,"EQY_CONSOLIDATED",$H$9,"EQY_FUND_CRNCY",$L$7,"StartCol",I$12,"EndCol",I$12,"StartRow",$B81,"EndRow",$B81))</f>
        <v/>
      </c>
      <c r="J81" s="218" t="str">
        <f>IF(LEFT(_xll.BDS(Ticker,"PG_OPERATING_INCOME","PG_HIERARCHY_LEVEL=1","NUMBER_OF_PERIODS=-11","REVERSE_PERIOD_ORDER=N","PRODUCT_GEO_OVERRIDE=P","FUND_PER",RIGHT($B$11,1),"ACCOUNTING_STANDARD_OVERRIDE",$H$7,"EQY_CONSOLIDATED",$H$9,"EQY_FUND_CRNCY",$L$7,"StartCol",J$12,"EndCol",J$12,"StartRow",$B81,"EndRow",$B81),1)="#","",_xll.BDS(Ticker,"PG_OPERATING_INCOME","PG_HIERARCHY_LEVEL=1","NUMBER_OF_PERIODS=-11","REVERSE_PERIOD_ORDER=N","PRODUCT_GEO_OVERRIDE=P","FUND_PER",RIGHT($B$11,1),"ACCOUNTING_STANDARD_OVERRIDE",$H$7,"EQY_CONSOLIDATED",$H$9,"EQY_FUND_CRNCY",$L$7,"StartCol",J$12,"EndCol",J$12,"StartRow",$B81,"EndRow",$B81))</f>
        <v/>
      </c>
      <c r="K81" s="218" t="str">
        <f>IF(LEFT(_xll.BDS(Ticker,"PG_OPERATING_INCOME","PG_HIERARCHY_LEVEL=1","NUMBER_OF_PERIODS=-11","REVERSE_PERIOD_ORDER=N","PRODUCT_GEO_OVERRIDE=P","FUND_PER",RIGHT($B$11,1),"ACCOUNTING_STANDARD_OVERRIDE",$H$7,"EQY_CONSOLIDATED",$H$9,"EQY_FUND_CRNCY",$L$7,"StartCol",K$12,"EndCol",K$12,"StartRow",$B81,"EndRow",$B81),1)="#","",_xll.BDS(Ticker,"PG_OPERATING_INCOME","PG_HIERARCHY_LEVEL=1","NUMBER_OF_PERIODS=-11","REVERSE_PERIOD_ORDER=N","PRODUCT_GEO_OVERRIDE=P","FUND_PER",RIGHT($B$11,1),"ACCOUNTING_STANDARD_OVERRIDE",$H$7,"EQY_CONSOLIDATED",$H$9,"EQY_FUND_CRNCY",$L$7,"StartCol",K$12,"EndCol",K$12,"StartRow",$B81,"EndRow",$B81))</f>
        <v/>
      </c>
      <c r="L81" s="218" t="str">
        <f>IF(LEFT(_xll.BDS(Ticker,"PG_OPERATING_INCOME","PG_HIERARCHY_LEVEL=1","NUMBER_OF_PERIODS=-11","REVERSE_PERIOD_ORDER=N","PRODUCT_GEO_OVERRIDE=P","FUND_PER",RIGHT($B$11,1),"ACCOUNTING_STANDARD_OVERRIDE",$H$7,"EQY_CONSOLIDATED",$H$9,"EQY_FUND_CRNCY",$L$7,"StartCol",L$12,"EndCol",L$12,"StartRow",$B81,"EndRow",$B81),1)="#","",_xll.BDS(Ticker,"PG_OPERATING_INCOME","PG_HIERARCHY_LEVEL=1","NUMBER_OF_PERIODS=-11","REVERSE_PERIOD_ORDER=N","PRODUCT_GEO_OVERRIDE=P","FUND_PER",RIGHT($B$11,1),"ACCOUNTING_STANDARD_OVERRIDE",$H$7,"EQY_CONSOLIDATED",$H$9,"EQY_FUND_CRNCY",$L$7,"StartCol",L$12,"EndCol",L$12,"StartRow",$B81,"EndRow",$B81))</f>
        <v/>
      </c>
      <c r="M81" s="218" t="str">
        <f>IF(LEFT(_xll.BDS(Ticker,"PG_OPERATING_INCOME","PG_HIERARCHY_LEVEL=1","NUMBER_OF_PERIODS=-11","REVERSE_PERIOD_ORDER=N","PRODUCT_GEO_OVERRIDE=P","FUND_PER",RIGHT($B$11,1),"ACCOUNTING_STANDARD_OVERRIDE",$H$7,"EQY_CONSOLIDATED",$H$9,"EQY_FUND_CRNCY",$L$7,"StartCol",M$12,"EndCol",M$12,"StartRow",$B81,"EndRow",$B81),1)="#","",_xll.BDS(Ticker,"PG_OPERATING_INCOME","PG_HIERARCHY_LEVEL=1","NUMBER_OF_PERIODS=-11","REVERSE_PERIOD_ORDER=N","PRODUCT_GEO_OVERRIDE=P","FUND_PER",RIGHT($B$11,1),"ACCOUNTING_STANDARD_OVERRIDE",$H$7,"EQY_CONSOLIDATED",$H$9,"EQY_FUND_CRNCY",$L$7,"StartCol",M$12,"EndCol",M$12,"StartRow",$B81,"EndRow",$B81))</f>
        <v/>
      </c>
      <c r="N81" s="218" t="str">
        <f>IF(LEFT(_xll.BDS(Ticker,"PG_OPERATING_INCOME","PG_HIERARCHY_LEVEL=1","NUMBER_OF_PERIODS=-11","REVERSE_PERIOD_ORDER=N","PRODUCT_GEO_OVERRIDE=P","FUND_PER",RIGHT($B$11,1),"ACCOUNTING_STANDARD_OVERRIDE",$H$7,"EQY_CONSOLIDATED",$H$9,"EQY_FUND_CRNCY",$L$7,"StartCol",N$12,"EndCol",N$12,"StartRow",$B81,"EndRow",$B81),1)="#","",_xll.BDS(Ticker,"PG_OPERATING_INCOME","PG_HIERARCHY_LEVEL=1","NUMBER_OF_PERIODS=-11","REVERSE_PERIOD_ORDER=N","PRODUCT_GEO_OVERRIDE=P","FUND_PER",RIGHT($B$11,1),"ACCOUNTING_STANDARD_OVERRIDE",$H$7,"EQY_CONSOLIDATED",$H$9,"EQY_FUND_CRNCY",$L$7,"StartCol",N$12,"EndCol",N$12,"StartRow",$B81,"EndRow",$B81))</f>
        <v/>
      </c>
    </row>
    <row r="82" spans="2:14" hidden="1" outlineLevel="1">
      <c r="B82" s="214">
        <v>8</v>
      </c>
      <c r="C82" s="216" t="str">
        <f>IF(LEFT(_xll.BDS(Ticker,"PG_OPERATING_INCOME","PG_HIERARCHY_LEVEL=1","NUMBER_OF_PERIODS=-11","REVERSE_PERIOD_ORDER=N","PRODUCT_GEO_OVERRIDE=P","FUND_PER",RIGHT($B$11,1),"ACCOUNTING_STANDARD_OVERRIDE",$H$7,"EQY_CONSOLIDATED",$H$9,"EQY_FUND_CRNCY",$L$7,"StartCol",C$12,"EndCol",C$12,"StartRow",$B82,"EndRow",$B82),1)="#","",_xll.BDS(Ticker,"PG_OPERATING_INCOME","PG_HIERARCHY_LEVEL=1","NUMBER_OF_PERIODS=-11","REVERSE_PERIOD_ORDER=N","PRODUCT_GEO_OVERRIDE=P","FUND_PER",RIGHT($B$11,1),"ACCOUNTING_STANDARD_OVERRIDE",$H$7,"EQY_CONSOLIDATED",$H$9,"EQY_FUND_CRNCY",$L$7,"StartCol",C$12,"EndCol",C$12,"StartRow",$B82,"EndRow",$B82))</f>
        <v/>
      </c>
      <c r="D82" s="218" t="str">
        <f>IF(LEFT(_xll.BDS(Ticker,"PG_OPERATING_INCOME","PG_HIERARCHY_LEVEL=1","NUMBER_OF_PERIODS=-11","REVERSE_PERIOD_ORDER=N","PRODUCT_GEO_OVERRIDE=P","FUND_PER",RIGHT($B$11,1),"ACCOUNTING_STANDARD_OVERRIDE",$H$7,"EQY_CONSOLIDATED",$H$9,"EQY_FUND_CRNCY",$L$7,"StartCol",D$12,"EndCol",D$12,"StartRow",$B82,"EndRow",$B82),1)="#","",_xll.BDS(Ticker,"PG_OPERATING_INCOME","PG_HIERARCHY_LEVEL=1","NUMBER_OF_PERIODS=-11","REVERSE_PERIOD_ORDER=N","PRODUCT_GEO_OVERRIDE=P","FUND_PER",RIGHT($B$11,1),"ACCOUNTING_STANDARD_OVERRIDE",$H$7,"EQY_CONSOLIDATED",$H$9,"EQY_FUND_CRNCY",$L$7,"StartCol",D$12,"EndCol",D$12,"StartRow",$B82,"EndRow",$B82))</f>
        <v/>
      </c>
      <c r="E82" s="218" t="str">
        <f>IF(LEFT(_xll.BDS(Ticker,"PG_OPERATING_INCOME","PG_HIERARCHY_LEVEL=1","NUMBER_OF_PERIODS=-11","REVERSE_PERIOD_ORDER=N","PRODUCT_GEO_OVERRIDE=P","FUND_PER",RIGHT($B$11,1),"ACCOUNTING_STANDARD_OVERRIDE",$H$7,"EQY_CONSOLIDATED",$H$9,"EQY_FUND_CRNCY",$L$7,"StartCol",E$12,"EndCol",E$12,"StartRow",$B82,"EndRow",$B82),1)="#","",_xll.BDS(Ticker,"PG_OPERATING_INCOME","PG_HIERARCHY_LEVEL=1","NUMBER_OF_PERIODS=-11","REVERSE_PERIOD_ORDER=N","PRODUCT_GEO_OVERRIDE=P","FUND_PER",RIGHT($B$11,1),"ACCOUNTING_STANDARD_OVERRIDE",$H$7,"EQY_CONSOLIDATED",$H$9,"EQY_FUND_CRNCY",$L$7,"StartCol",E$12,"EndCol",E$12,"StartRow",$B82,"EndRow",$B82))</f>
        <v/>
      </c>
      <c r="F82" s="218" t="str">
        <f>IF(LEFT(_xll.BDS(Ticker,"PG_OPERATING_INCOME","PG_HIERARCHY_LEVEL=1","NUMBER_OF_PERIODS=-11","REVERSE_PERIOD_ORDER=N","PRODUCT_GEO_OVERRIDE=P","FUND_PER",RIGHT($B$11,1),"ACCOUNTING_STANDARD_OVERRIDE",$H$7,"EQY_CONSOLIDATED",$H$9,"EQY_FUND_CRNCY",$L$7,"StartCol",F$12,"EndCol",F$12,"StartRow",$B82,"EndRow",$B82),1)="#","",_xll.BDS(Ticker,"PG_OPERATING_INCOME","PG_HIERARCHY_LEVEL=1","NUMBER_OF_PERIODS=-11","REVERSE_PERIOD_ORDER=N","PRODUCT_GEO_OVERRIDE=P","FUND_PER",RIGHT($B$11,1),"ACCOUNTING_STANDARD_OVERRIDE",$H$7,"EQY_CONSOLIDATED",$H$9,"EQY_FUND_CRNCY",$L$7,"StartCol",F$12,"EndCol",F$12,"StartRow",$B82,"EndRow",$B82))</f>
        <v/>
      </c>
      <c r="G82" s="218" t="str">
        <f>IF(LEFT(_xll.BDS(Ticker,"PG_OPERATING_INCOME","PG_HIERARCHY_LEVEL=1","NUMBER_OF_PERIODS=-11","REVERSE_PERIOD_ORDER=N","PRODUCT_GEO_OVERRIDE=P","FUND_PER",RIGHT($B$11,1),"ACCOUNTING_STANDARD_OVERRIDE",$H$7,"EQY_CONSOLIDATED",$H$9,"EQY_FUND_CRNCY",$L$7,"StartCol",G$12,"EndCol",G$12,"StartRow",$B82,"EndRow",$B82),1)="#","",_xll.BDS(Ticker,"PG_OPERATING_INCOME","PG_HIERARCHY_LEVEL=1","NUMBER_OF_PERIODS=-11","REVERSE_PERIOD_ORDER=N","PRODUCT_GEO_OVERRIDE=P","FUND_PER",RIGHT($B$11,1),"ACCOUNTING_STANDARD_OVERRIDE",$H$7,"EQY_CONSOLIDATED",$H$9,"EQY_FUND_CRNCY",$L$7,"StartCol",G$12,"EndCol",G$12,"StartRow",$B82,"EndRow",$B82))</f>
        <v/>
      </c>
      <c r="H82" s="218" t="str">
        <f>IF(LEFT(_xll.BDS(Ticker,"PG_OPERATING_INCOME","PG_HIERARCHY_LEVEL=1","NUMBER_OF_PERIODS=-11","REVERSE_PERIOD_ORDER=N","PRODUCT_GEO_OVERRIDE=P","FUND_PER",RIGHT($B$11,1),"ACCOUNTING_STANDARD_OVERRIDE",$H$7,"EQY_CONSOLIDATED",$H$9,"EQY_FUND_CRNCY",$L$7,"StartCol",H$12,"EndCol",H$12,"StartRow",$B82,"EndRow",$B82),1)="#","",_xll.BDS(Ticker,"PG_OPERATING_INCOME","PG_HIERARCHY_LEVEL=1","NUMBER_OF_PERIODS=-11","REVERSE_PERIOD_ORDER=N","PRODUCT_GEO_OVERRIDE=P","FUND_PER",RIGHT($B$11,1),"ACCOUNTING_STANDARD_OVERRIDE",$H$7,"EQY_CONSOLIDATED",$H$9,"EQY_FUND_CRNCY",$L$7,"StartCol",H$12,"EndCol",H$12,"StartRow",$B82,"EndRow",$B82))</f>
        <v/>
      </c>
      <c r="I82" s="218" t="str">
        <f>IF(LEFT(_xll.BDS(Ticker,"PG_OPERATING_INCOME","PG_HIERARCHY_LEVEL=1","NUMBER_OF_PERIODS=-11","REVERSE_PERIOD_ORDER=N","PRODUCT_GEO_OVERRIDE=P","FUND_PER",RIGHT($B$11,1),"ACCOUNTING_STANDARD_OVERRIDE",$H$7,"EQY_CONSOLIDATED",$H$9,"EQY_FUND_CRNCY",$L$7,"StartCol",I$12,"EndCol",I$12,"StartRow",$B82,"EndRow",$B82),1)="#","",_xll.BDS(Ticker,"PG_OPERATING_INCOME","PG_HIERARCHY_LEVEL=1","NUMBER_OF_PERIODS=-11","REVERSE_PERIOD_ORDER=N","PRODUCT_GEO_OVERRIDE=P","FUND_PER",RIGHT($B$11,1),"ACCOUNTING_STANDARD_OVERRIDE",$H$7,"EQY_CONSOLIDATED",$H$9,"EQY_FUND_CRNCY",$L$7,"StartCol",I$12,"EndCol",I$12,"StartRow",$B82,"EndRow",$B82))</f>
        <v/>
      </c>
      <c r="J82" s="218" t="str">
        <f>IF(LEFT(_xll.BDS(Ticker,"PG_OPERATING_INCOME","PG_HIERARCHY_LEVEL=1","NUMBER_OF_PERIODS=-11","REVERSE_PERIOD_ORDER=N","PRODUCT_GEO_OVERRIDE=P","FUND_PER",RIGHT($B$11,1),"ACCOUNTING_STANDARD_OVERRIDE",$H$7,"EQY_CONSOLIDATED",$H$9,"EQY_FUND_CRNCY",$L$7,"StartCol",J$12,"EndCol",J$12,"StartRow",$B82,"EndRow",$B82),1)="#","",_xll.BDS(Ticker,"PG_OPERATING_INCOME","PG_HIERARCHY_LEVEL=1","NUMBER_OF_PERIODS=-11","REVERSE_PERIOD_ORDER=N","PRODUCT_GEO_OVERRIDE=P","FUND_PER",RIGHT($B$11,1),"ACCOUNTING_STANDARD_OVERRIDE",$H$7,"EQY_CONSOLIDATED",$H$9,"EQY_FUND_CRNCY",$L$7,"StartCol",J$12,"EndCol",J$12,"StartRow",$B82,"EndRow",$B82))</f>
        <v/>
      </c>
      <c r="K82" s="218" t="str">
        <f>IF(LEFT(_xll.BDS(Ticker,"PG_OPERATING_INCOME","PG_HIERARCHY_LEVEL=1","NUMBER_OF_PERIODS=-11","REVERSE_PERIOD_ORDER=N","PRODUCT_GEO_OVERRIDE=P","FUND_PER",RIGHT($B$11,1),"ACCOUNTING_STANDARD_OVERRIDE",$H$7,"EQY_CONSOLIDATED",$H$9,"EQY_FUND_CRNCY",$L$7,"StartCol",K$12,"EndCol",K$12,"StartRow",$B82,"EndRow",$B82),1)="#","",_xll.BDS(Ticker,"PG_OPERATING_INCOME","PG_HIERARCHY_LEVEL=1","NUMBER_OF_PERIODS=-11","REVERSE_PERIOD_ORDER=N","PRODUCT_GEO_OVERRIDE=P","FUND_PER",RIGHT($B$11,1),"ACCOUNTING_STANDARD_OVERRIDE",$H$7,"EQY_CONSOLIDATED",$H$9,"EQY_FUND_CRNCY",$L$7,"StartCol",K$12,"EndCol",K$12,"StartRow",$B82,"EndRow",$B82))</f>
        <v/>
      </c>
      <c r="L82" s="218" t="str">
        <f>IF(LEFT(_xll.BDS(Ticker,"PG_OPERATING_INCOME","PG_HIERARCHY_LEVEL=1","NUMBER_OF_PERIODS=-11","REVERSE_PERIOD_ORDER=N","PRODUCT_GEO_OVERRIDE=P","FUND_PER",RIGHT($B$11,1),"ACCOUNTING_STANDARD_OVERRIDE",$H$7,"EQY_CONSOLIDATED",$H$9,"EQY_FUND_CRNCY",$L$7,"StartCol",L$12,"EndCol",L$12,"StartRow",$B82,"EndRow",$B82),1)="#","",_xll.BDS(Ticker,"PG_OPERATING_INCOME","PG_HIERARCHY_LEVEL=1","NUMBER_OF_PERIODS=-11","REVERSE_PERIOD_ORDER=N","PRODUCT_GEO_OVERRIDE=P","FUND_PER",RIGHT($B$11,1),"ACCOUNTING_STANDARD_OVERRIDE",$H$7,"EQY_CONSOLIDATED",$H$9,"EQY_FUND_CRNCY",$L$7,"StartCol",L$12,"EndCol",L$12,"StartRow",$B82,"EndRow",$B82))</f>
        <v/>
      </c>
      <c r="M82" s="218" t="str">
        <f>IF(LEFT(_xll.BDS(Ticker,"PG_OPERATING_INCOME","PG_HIERARCHY_LEVEL=1","NUMBER_OF_PERIODS=-11","REVERSE_PERIOD_ORDER=N","PRODUCT_GEO_OVERRIDE=P","FUND_PER",RIGHT($B$11,1),"ACCOUNTING_STANDARD_OVERRIDE",$H$7,"EQY_CONSOLIDATED",$H$9,"EQY_FUND_CRNCY",$L$7,"StartCol",M$12,"EndCol",M$12,"StartRow",$B82,"EndRow",$B82),1)="#","",_xll.BDS(Ticker,"PG_OPERATING_INCOME","PG_HIERARCHY_LEVEL=1","NUMBER_OF_PERIODS=-11","REVERSE_PERIOD_ORDER=N","PRODUCT_GEO_OVERRIDE=P","FUND_PER",RIGHT($B$11,1),"ACCOUNTING_STANDARD_OVERRIDE",$H$7,"EQY_CONSOLIDATED",$H$9,"EQY_FUND_CRNCY",$L$7,"StartCol",M$12,"EndCol",M$12,"StartRow",$B82,"EndRow",$B82))</f>
        <v/>
      </c>
      <c r="N82" s="218" t="str">
        <f>IF(LEFT(_xll.BDS(Ticker,"PG_OPERATING_INCOME","PG_HIERARCHY_LEVEL=1","NUMBER_OF_PERIODS=-11","REVERSE_PERIOD_ORDER=N","PRODUCT_GEO_OVERRIDE=P","FUND_PER",RIGHT($B$11,1),"ACCOUNTING_STANDARD_OVERRIDE",$H$7,"EQY_CONSOLIDATED",$H$9,"EQY_FUND_CRNCY",$L$7,"StartCol",N$12,"EndCol",N$12,"StartRow",$B82,"EndRow",$B82),1)="#","",_xll.BDS(Ticker,"PG_OPERATING_INCOME","PG_HIERARCHY_LEVEL=1","NUMBER_OF_PERIODS=-11","REVERSE_PERIOD_ORDER=N","PRODUCT_GEO_OVERRIDE=P","FUND_PER",RIGHT($B$11,1),"ACCOUNTING_STANDARD_OVERRIDE",$H$7,"EQY_CONSOLIDATED",$H$9,"EQY_FUND_CRNCY",$L$7,"StartCol",N$12,"EndCol",N$12,"StartRow",$B82,"EndRow",$B82))</f>
        <v/>
      </c>
    </row>
    <row r="83" spans="2:14" hidden="1" outlineLevel="1">
      <c r="B83" s="214">
        <v>9</v>
      </c>
      <c r="C83" s="216" t="str">
        <f>IF(LEFT(_xll.BDS(Ticker,"PG_OPERATING_INCOME","PG_HIERARCHY_LEVEL=1","NUMBER_OF_PERIODS=-11","REVERSE_PERIOD_ORDER=N","PRODUCT_GEO_OVERRIDE=P","FUND_PER",RIGHT($B$11,1),"ACCOUNTING_STANDARD_OVERRIDE",$H$7,"EQY_CONSOLIDATED",$H$9,"EQY_FUND_CRNCY",$L$7,"StartCol",C$12,"EndCol",C$12,"StartRow",$B83,"EndRow",$B83),1)="#","",_xll.BDS(Ticker,"PG_OPERATING_INCOME","PG_HIERARCHY_LEVEL=1","NUMBER_OF_PERIODS=-11","REVERSE_PERIOD_ORDER=N","PRODUCT_GEO_OVERRIDE=P","FUND_PER",RIGHT($B$11,1),"ACCOUNTING_STANDARD_OVERRIDE",$H$7,"EQY_CONSOLIDATED",$H$9,"EQY_FUND_CRNCY",$L$7,"StartCol",C$12,"EndCol",C$12,"StartRow",$B83,"EndRow",$B83))</f>
        <v/>
      </c>
      <c r="D83" s="218" t="str">
        <f>IF(LEFT(_xll.BDS(Ticker,"PG_OPERATING_INCOME","PG_HIERARCHY_LEVEL=1","NUMBER_OF_PERIODS=-11","REVERSE_PERIOD_ORDER=N","PRODUCT_GEO_OVERRIDE=P","FUND_PER",RIGHT($B$11,1),"ACCOUNTING_STANDARD_OVERRIDE",$H$7,"EQY_CONSOLIDATED",$H$9,"EQY_FUND_CRNCY",$L$7,"StartCol",D$12,"EndCol",D$12,"StartRow",$B83,"EndRow",$B83),1)="#","",_xll.BDS(Ticker,"PG_OPERATING_INCOME","PG_HIERARCHY_LEVEL=1","NUMBER_OF_PERIODS=-11","REVERSE_PERIOD_ORDER=N","PRODUCT_GEO_OVERRIDE=P","FUND_PER",RIGHT($B$11,1),"ACCOUNTING_STANDARD_OVERRIDE",$H$7,"EQY_CONSOLIDATED",$H$9,"EQY_FUND_CRNCY",$L$7,"StartCol",D$12,"EndCol",D$12,"StartRow",$B83,"EndRow",$B83))</f>
        <v/>
      </c>
      <c r="E83" s="218" t="str">
        <f>IF(LEFT(_xll.BDS(Ticker,"PG_OPERATING_INCOME","PG_HIERARCHY_LEVEL=1","NUMBER_OF_PERIODS=-11","REVERSE_PERIOD_ORDER=N","PRODUCT_GEO_OVERRIDE=P","FUND_PER",RIGHT($B$11,1),"ACCOUNTING_STANDARD_OVERRIDE",$H$7,"EQY_CONSOLIDATED",$H$9,"EQY_FUND_CRNCY",$L$7,"StartCol",E$12,"EndCol",E$12,"StartRow",$B83,"EndRow",$B83),1)="#","",_xll.BDS(Ticker,"PG_OPERATING_INCOME","PG_HIERARCHY_LEVEL=1","NUMBER_OF_PERIODS=-11","REVERSE_PERIOD_ORDER=N","PRODUCT_GEO_OVERRIDE=P","FUND_PER",RIGHT($B$11,1),"ACCOUNTING_STANDARD_OVERRIDE",$H$7,"EQY_CONSOLIDATED",$H$9,"EQY_FUND_CRNCY",$L$7,"StartCol",E$12,"EndCol",E$12,"StartRow",$B83,"EndRow",$B83))</f>
        <v/>
      </c>
      <c r="F83" s="218" t="str">
        <f>IF(LEFT(_xll.BDS(Ticker,"PG_OPERATING_INCOME","PG_HIERARCHY_LEVEL=1","NUMBER_OF_PERIODS=-11","REVERSE_PERIOD_ORDER=N","PRODUCT_GEO_OVERRIDE=P","FUND_PER",RIGHT($B$11,1),"ACCOUNTING_STANDARD_OVERRIDE",$H$7,"EQY_CONSOLIDATED",$H$9,"EQY_FUND_CRNCY",$L$7,"StartCol",F$12,"EndCol",F$12,"StartRow",$B83,"EndRow",$B83),1)="#","",_xll.BDS(Ticker,"PG_OPERATING_INCOME","PG_HIERARCHY_LEVEL=1","NUMBER_OF_PERIODS=-11","REVERSE_PERIOD_ORDER=N","PRODUCT_GEO_OVERRIDE=P","FUND_PER",RIGHT($B$11,1),"ACCOUNTING_STANDARD_OVERRIDE",$H$7,"EQY_CONSOLIDATED",$H$9,"EQY_FUND_CRNCY",$L$7,"StartCol",F$12,"EndCol",F$12,"StartRow",$B83,"EndRow",$B83))</f>
        <v/>
      </c>
      <c r="G83" s="218" t="str">
        <f>IF(LEFT(_xll.BDS(Ticker,"PG_OPERATING_INCOME","PG_HIERARCHY_LEVEL=1","NUMBER_OF_PERIODS=-11","REVERSE_PERIOD_ORDER=N","PRODUCT_GEO_OVERRIDE=P","FUND_PER",RIGHT($B$11,1),"ACCOUNTING_STANDARD_OVERRIDE",$H$7,"EQY_CONSOLIDATED",$H$9,"EQY_FUND_CRNCY",$L$7,"StartCol",G$12,"EndCol",G$12,"StartRow",$B83,"EndRow",$B83),1)="#","",_xll.BDS(Ticker,"PG_OPERATING_INCOME","PG_HIERARCHY_LEVEL=1","NUMBER_OF_PERIODS=-11","REVERSE_PERIOD_ORDER=N","PRODUCT_GEO_OVERRIDE=P","FUND_PER",RIGHT($B$11,1),"ACCOUNTING_STANDARD_OVERRIDE",$H$7,"EQY_CONSOLIDATED",$H$9,"EQY_FUND_CRNCY",$L$7,"StartCol",G$12,"EndCol",G$12,"StartRow",$B83,"EndRow",$B83))</f>
        <v/>
      </c>
      <c r="H83" s="218" t="str">
        <f>IF(LEFT(_xll.BDS(Ticker,"PG_OPERATING_INCOME","PG_HIERARCHY_LEVEL=1","NUMBER_OF_PERIODS=-11","REVERSE_PERIOD_ORDER=N","PRODUCT_GEO_OVERRIDE=P","FUND_PER",RIGHT($B$11,1),"ACCOUNTING_STANDARD_OVERRIDE",$H$7,"EQY_CONSOLIDATED",$H$9,"EQY_FUND_CRNCY",$L$7,"StartCol",H$12,"EndCol",H$12,"StartRow",$B83,"EndRow",$B83),1)="#","",_xll.BDS(Ticker,"PG_OPERATING_INCOME","PG_HIERARCHY_LEVEL=1","NUMBER_OF_PERIODS=-11","REVERSE_PERIOD_ORDER=N","PRODUCT_GEO_OVERRIDE=P","FUND_PER",RIGHT($B$11,1),"ACCOUNTING_STANDARD_OVERRIDE",$H$7,"EQY_CONSOLIDATED",$H$9,"EQY_FUND_CRNCY",$L$7,"StartCol",H$12,"EndCol",H$12,"StartRow",$B83,"EndRow",$B83))</f>
        <v/>
      </c>
      <c r="I83" s="218" t="str">
        <f>IF(LEFT(_xll.BDS(Ticker,"PG_OPERATING_INCOME","PG_HIERARCHY_LEVEL=1","NUMBER_OF_PERIODS=-11","REVERSE_PERIOD_ORDER=N","PRODUCT_GEO_OVERRIDE=P","FUND_PER",RIGHT($B$11,1),"ACCOUNTING_STANDARD_OVERRIDE",$H$7,"EQY_CONSOLIDATED",$H$9,"EQY_FUND_CRNCY",$L$7,"StartCol",I$12,"EndCol",I$12,"StartRow",$B83,"EndRow",$B83),1)="#","",_xll.BDS(Ticker,"PG_OPERATING_INCOME","PG_HIERARCHY_LEVEL=1","NUMBER_OF_PERIODS=-11","REVERSE_PERIOD_ORDER=N","PRODUCT_GEO_OVERRIDE=P","FUND_PER",RIGHT($B$11,1),"ACCOUNTING_STANDARD_OVERRIDE",$H$7,"EQY_CONSOLIDATED",$H$9,"EQY_FUND_CRNCY",$L$7,"StartCol",I$12,"EndCol",I$12,"StartRow",$B83,"EndRow",$B83))</f>
        <v/>
      </c>
      <c r="J83" s="218" t="str">
        <f>IF(LEFT(_xll.BDS(Ticker,"PG_OPERATING_INCOME","PG_HIERARCHY_LEVEL=1","NUMBER_OF_PERIODS=-11","REVERSE_PERIOD_ORDER=N","PRODUCT_GEO_OVERRIDE=P","FUND_PER",RIGHT($B$11,1),"ACCOUNTING_STANDARD_OVERRIDE",$H$7,"EQY_CONSOLIDATED",$H$9,"EQY_FUND_CRNCY",$L$7,"StartCol",J$12,"EndCol",J$12,"StartRow",$B83,"EndRow",$B83),1)="#","",_xll.BDS(Ticker,"PG_OPERATING_INCOME","PG_HIERARCHY_LEVEL=1","NUMBER_OF_PERIODS=-11","REVERSE_PERIOD_ORDER=N","PRODUCT_GEO_OVERRIDE=P","FUND_PER",RIGHT($B$11,1),"ACCOUNTING_STANDARD_OVERRIDE",$H$7,"EQY_CONSOLIDATED",$H$9,"EQY_FUND_CRNCY",$L$7,"StartCol",J$12,"EndCol",J$12,"StartRow",$B83,"EndRow",$B83))</f>
        <v/>
      </c>
      <c r="K83" s="218" t="str">
        <f>IF(LEFT(_xll.BDS(Ticker,"PG_OPERATING_INCOME","PG_HIERARCHY_LEVEL=1","NUMBER_OF_PERIODS=-11","REVERSE_PERIOD_ORDER=N","PRODUCT_GEO_OVERRIDE=P","FUND_PER",RIGHT($B$11,1),"ACCOUNTING_STANDARD_OVERRIDE",$H$7,"EQY_CONSOLIDATED",$H$9,"EQY_FUND_CRNCY",$L$7,"StartCol",K$12,"EndCol",K$12,"StartRow",$B83,"EndRow",$B83),1)="#","",_xll.BDS(Ticker,"PG_OPERATING_INCOME","PG_HIERARCHY_LEVEL=1","NUMBER_OF_PERIODS=-11","REVERSE_PERIOD_ORDER=N","PRODUCT_GEO_OVERRIDE=P","FUND_PER",RIGHT($B$11,1),"ACCOUNTING_STANDARD_OVERRIDE",$H$7,"EQY_CONSOLIDATED",$H$9,"EQY_FUND_CRNCY",$L$7,"StartCol",K$12,"EndCol",K$12,"StartRow",$B83,"EndRow",$B83))</f>
        <v/>
      </c>
      <c r="L83" s="218" t="str">
        <f>IF(LEFT(_xll.BDS(Ticker,"PG_OPERATING_INCOME","PG_HIERARCHY_LEVEL=1","NUMBER_OF_PERIODS=-11","REVERSE_PERIOD_ORDER=N","PRODUCT_GEO_OVERRIDE=P","FUND_PER",RIGHT($B$11,1),"ACCOUNTING_STANDARD_OVERRIDE",$H$7,"EQY_CONSOLIDATED",$H$9,"EQY_FUND_CRNCY",$L$7,"StartCol",L$12,"EndCol",L$12,"StartRow",$B83,"EndRow",$B83),1)="#","",_xll.BDS(Ticker,"PG_OPERATING_INCOME","PG_HIERARCHY_LEVEL=1","NUMBER_OF_PERIODS=-11","REVERSE_PERIOD_ORDER=N","PRODUCT_GEO_OVERRIDE=P","FUND_PER",RIGHT($B$11,1),"ACCOUNTING_STANDARD_OVERRIDE",$H$7,"EQY_CONSOLIDATED",$H$9,"EQY_FUND_CRNCY",$L$7,"StartCol",L$12,"EndCol",L$12,"StartRow",$B83,"EndRow",$B83))</f>
        <v/>
      </c>
      <c r="M83" s="218" t="str">
        <f>IF(LEFT(_xll.BDS(Ticker,"PG_OPERATING_INCOME","PG_HIERARCHY_LEVEL=1","NUMBER_OF_PERIODS=-11","REVERSE_PERIOD_ORDER=N","PRODUCT_GEO_OVERRIDE=P","FUND_PER",RIGHT($B$11,1),"ACCOUNTING_STANDARD_OVERRIDE",$H$7,"EQY_CONSOLIDATED",$H$9,"EQY_FUND_CRNCY",$L$7,"StartCol",M$12,"EndCol",M$12,"StartRow",$B83,"EndRow",$B83),1)="#","",_xll.BDS(Ticker,"PG_OPERATING_INCOME","PG_HIERARCHY_LEVEL=1","NUMBER_OF_PERIODS=-11","REVERSE_PERIOD_ORDER=N","PRODUCT_GEO_OVERRIDE=P","FUND_PER",RIGHT($B$11,1),"ACCOUNTING_STANDARD_OVERRIDE",$H$7,"EQY_CONSOLIDATED",$H$9,"EQY_FUND_CRNCY",$L$7,"StartCol",M$12,"EndCol",M$12,"StartRow",$B83,"EndRow",$B83))</f>
        <v/>
      </c>
      <c r="N83" s="218" t="str">
        <f>IF(LEFT(_xll.BDS(Ticker,"PG_OPERATING_INCOME","PG_HIERARCHY_LEVEL=1","NUMBER_OF_PERIODS=-11","REVERSE_PERIOD_ORDER=N","PRODUCT_GEO_OVERRIDE=P","FUND_PER",RIGHT($B$11,1),"ACCOUNTING_STANDARD_OVERRIDE",$H$7,"EQY_CONSOLIDATED",$H$9,"EQY_FUND_CRNCY",$L$7,"StartCol",N$12,"EndCol",N$12,"StartRow",$B83,"EndRow",$B83),1)="#","",_xll.BDS(Ticker,"PG_OPERATING_INCOME","PG_HIERARCHY_LEVEL=1","NUMBER_OF_PERIODS=-11","REVERSE_PERIOD_ORDER=N","PRODUCT_GEO_OVERRIDE=P","FUND_PER",RIGHT($B$11,1),"ACCOUNTING_STANDARD_OVERRIDE",$H$7,"EQY_CONSOLIDATED",$H$9,"EQY_FUND_CRNCY",$L$7,"StartCol",N$12,"EndCol",N$12,"StartRow",$B83,"EndRow",$B83))</f>
        <v/>
      </c>
    </row>
    <row r="84" spans="2:14" hidden="1" outlineLevel="1">
      <c r="B84" s="214">
        <v>10</v>
      </c>
      <c r="C84" s="216" t="str">
        <f>IF(LEFT(_xll.BDS(Ticker,"PG_OPERATING_INCOME","PG_HIERARCHY_LEVEL=1","NUMBER_OF_PERIODS=-11","REVERSE_PERIOD_ORDER=N","PRODUCT_GEO_OVERRIDE=P","FUND_PER",RIGHT($B$11,1),"ACCOUNTING_STANDARD_OVERRIDE",$H$7,"EQY_CONSOLIDATED",$H$9,"EQY_FUND_CRNCY",$L$7,"StartCol",C$12,"EndCol",C$12,"StartRow",$B84,"EndRow",$B84),1)="#","",_xll.BDS(Ticker,"PG_OPERATING_INCOME","PG_HIERARCHY_LEVEL=1","NUMBER_OF_PERIODS=-11","REVERSE_PERIOD_ORDER=N","PRODUCT_GEO_OVERRIDE=P","FUND_PER",RIGHT($B$11,1),"ACCOUNTING_STANDARD_OVERRIDE",$H$7,"EQY_CONSOLIDATED",$H$9,"EQY_FUND_CRNCY",$L$7,"StartCol",C$12,"EndCol",C$12,"StartRow",$B84,"EndRow",$B84))</f>
        <v/>
      </c>
      <c r="D84" s="218" t="str">
        <f>IF(LEFT(_xll.BDS(Ticker,"PG_OPERATING_INCOME","PG_HIERARCHY_LEVEL=1","NUMBER_OF_PERIODS=-11","REVERSE_PERIOD_ORDER=N","PRODUCT_GEO_OVERRIDE=P","FUND_PER",RIGHT($B$11,1),"ACCOUNTING_STANDARD_OVERRIDE",$H$7,"EQY_CONSOLIDATED",$H$9,"EQY_FUND_CRNCY",$L$7,"StartCol",D$12,"EndCol",D$12,"StartRow",$B84,"EndRow",$B84),1)="#","",_xll.BDS(Ticker,"PG_OPERATING_INCOME","PG_HIERARCHY_LEVEL=1","NUMBER_OF_PERIODS=-11","REVERSE_PERIOD_ORDER=N","PRODUCT_GEO_OVERRIDE=P","FUND_PER",RIGHT($B$11,1),"ACCOUNTING_STANDARD_OVERRIDE",$H$7,"EQY_CONSOLIDATED",$H$9,"EQY_FUND_CRNCY",$L$7,"StartCol",D$12,"EndCol",D$12,"StartRow",$B84,"EndRow",$B84))</f>
        <v/>
      </c>
      <c r="E84" s="218" t="str">
        <f>IF(LEFT(_xll.BDS(Ticker,"PG_OPERATING_INCOME","PG_HIERARCHY_LEVEL=1","NUMBER_OF_PERIODS=-11","REVERSE_PERIOD_ORDER=N","PRODUCT_GEO_OVERRIDE=P","FUND_PER",RIGHT($B$11,1),"ACCOUNTING_STANDARD_OVERRIDE",$H$7,"EQY_CONSOLIDATED",$H$9,"EQY_FUND_CRNCY",$L$7,"StartCol",E$12,"EndCol",E$12,"StartRow",$B84,"EndRow",$B84),1)="#","",_xll.BDS(Ticker,"PG_OPERATING_INCOME","PG_HIERARCHY_LEVEL=1","NUMBER_OF_PERIODS=-11","REVERSE_PERIOD_ORDER=N","PRODUCT_GEO_OVERRIDE=P","FUND_PER",RIGHT($B$11,1),"ACCOUNTING_STANDARD_OVERRIDE",$H$7,"EQY_CONSOLIDATED",$H$9,"EQY_FUND_CRNCY",$L$7,"StartCol",E$12,"EndCol",E$12,"StartRow",$B84,"EndRow",$B84))</f>
        <v/>
      </c>
      <c r="F84" s="218" t="str">
        <f>IF(LEFT(_xll.BDS(Ticker,"PG_OPERATING_INCOME","PG_HIERARCHY_LEVEL=1","NUMBER_OF_PERIODS=-11","REVERSE_PERIOD_ORDER=N","PRODUCT_GEO_OVERRIDE=P","FUND_PER",RIGHT($B$11,1),"ACCOUNTING_STANDARD_OVERRIDE",$H$7,"EQY_CONSOLIDATED",$H$9,"EQY_FUND_CRNCY",$L$7,"StartCol",F$12,"EndCol",F$12,"StartRow",$B84,"EndRow",$B84),1)="#","",_xll.BDS(Ticker,"PG_OPERATING_INCOME","PG_HIERARCHY_LEVEL=1","NUMBER_OF_PERIODS=-11","REVERSE_PERIOD_ORDER=N","PRODUCT_GEO_OVERRIDE=P","FUND_PER",RIGHT($B$11,1),"ACCOUNTING_STANDARD_OVERRIDE",$H$7,"EQY_CONSOLIDATED",$H$9,"EQY_FUND_CRNCY",$L$7,"StartCol",F$12,"EndCol",F$12,"StartRow",$B84,"EndRow",$B84))</f>
        <v/>
      </c>
      <c r="G84" s="218" t="str">
        <f>IF(LEFT(_xll.BDS(Ticker,"PG_OPERATING_INCOME","PG_HIERARCHY_LEVEL=1","NUMBER_OF_PERIODS=-11","REVERSE_PERIOD_ORDER=N","PRODUCT_GEO_OVERRIDE=P","FUND_PER",RIGHT($B$11,1),"ACCOUNTING_STANDARD_OVERRIDE",$H$7,"EQY_CONSOLIDATED",$H$9,"EQY_FUND_CRNCY",$L$7,"StartCol",G$12,"EndCol",G$12,"StartRow",$B84,"EndRow",$B84),1)="#","",_xll.BDS(Ticker,"PG_OPERATING_INCOME","PG_HIERARCHY_LEVEL=1","NUMBER_OF_PERIODS=-11","REVERSE_PERIOD_ORDER=N","PRODUCT_GEO_OVERRIDE=P","FUND_PER",RIGHT($B$11,1),"ACCOUNTING_STANDARD_OVERRIDE",$H$7,"EQY_CONSOLIDATED",$H$9,"EQY_FUND_CRNCY",$L$7,"StartCol",G$12,"EndCol",G$12,"StartRow",$B84,"EndRow",$B84))</f>
        <v/>
      </c>
      <c r="H84" s="218" t="str">
        <f>IF(LEFT(_xll.BDS(Ticker,"PG_OPERATING_INCOME","PG_HIERARCHY_LEVEL=1","NUMBER_OF_PERIODS=-11","REVERSE_PERIOD_ORDER=N","PRODUCT_GEO_OVERRIDE=P","FUND_PER",RIGHT($B$11,1),"ACCOUNTING_STANDARD_OVERRIDE",$H$7,"EQY_CONSOLIDATED",$H$9,"EQY_FUND_CRNCY",$L$7,"StartCol",H$12,"EndCol",H$12,"StartRow",$B84,"EndRow",$B84),1)="#","",_xll.BDS(Ticker,"PG_OPERATING_INCOME","PG_HIERARCHY_LEVEL=1","NUMBER_OF_PERIODS=-11","REVERSE_PERIOD_ORDER=N","PRODUCT_GEO_OVERRIDE=P","FUND_PER",RIGHT($B$11,1),"ACCOUNTING_STANDARD_OVERRIDE",$H$7,"EQY_CONSOLIDATED",$H$9,"EQY_FUND_CRNCY",$L$7,"StartCol",H$12,"EndCol",H$12,"StartRow",$B84,"EndRow",$B84))</f>
        <v/>
      </c>
      <c r="I84" s="218" t="str">
        <f>IF(LEFT(_xll.BDS(Ticker,"PG_OPERATING_INCOME","PG_HIERARCHY_LEVEL=1","NUMBER_OF_PERIODS=-11","REVERSE_PERIOD_ORDER=N","PRODUCT_GEO_OVERRIDE=P","FUND_PER",RIGHT($B$11,1),"ACCOUNTING_STANDARD_OVERRIDE",$H$7,"EQY_CONSOLIDATED",$H$9,"EQY_FUND_CRNCY",$L$7,"StartCol",I$12,"EndCol",I$12,"StartRow",$B84,"EndRow",$B84),1)="#","",_xll.BDS(Ticker,"PG_OPERATING_INCOME","PG_HIERARCHY_LEVEL=1","NUMBER_OF_PERIODS=-11","REVERSE_PERIOD_ORDER=N","PRODUCT_GEO_OVERRIDE=P","FUND_PER",RIGHT($B$11,1),"ACCOUNTING_STANDARD_OVERRIDE",$H$7,"EQY_CONSOLIDATED",$H$9,"EQY_FUND_CRNCY",$L$7,"StartCol",I$12,"EndCol",I$12,"StartRow",$B84,"EndRow",$B84))</f>
        <v/>
      </c>
      <c r="J84" s="218" t="str">
        <f>IF(LEFT(_xll.BDS(Ticker,"PG_OPERATING_INCOME","PG_HIERARCHY_LEVEL=1","NUMBER_OF_PERIODS=-11","REVERSE_PERIOD_ORDER=N","PRODUCT_GEO_OVERRIDE=P","FUND_PER",RIGHT($B$11,1),"ACCOUNTING_STANDARD_OVERRIDE",$H$7,"EQY_CONSOLIDATED",$H$9,"EQY_FUND_CRNCY",$L$7,"StartCol",J$12,"EndCol",J$12,"StartRow",$B84,"EndRow",$B84),1)="#","",_xll.BDS(Ticker,"PG_OPERATING_INCOME","PG_HIERARCHY_LEVEL=1","NUMBER_OF_PERIODS=-11","REVERSE_PERIOD_ORDER=N","PRODUCT_GEO_OVERRIDE=P","FUND_PER",RIGHT($B$11,1),"ACCOUNTING_STANDARD_OVERRIDE",$H$7,"EQY_CONSOLIDATED",$H$9,"EQY_FUND_CRNCY",$L$7,"StartCol",J$12,"EndCol",J$12,"StartRow",$B84,"EndRow",$B84))</f>
        <v/>
      </c>
      <c r="K84" s="218" t="str">
        <f>IF(LEFT(_xll.BDS(Ticker,"PG_OPERATING_INCOME","PG_HIERARCHY_LEVEL=1","NUMBER_OF_PERIODS=-11","REVERSE_PERIOD_ORDER=N","PRODUCT_GEO_OVERRIDE=P","FUND_PER",RIGHT($B$11,1),"ACCOUNTING_STANDARD_OVERRIDE",$H$7,"EQY_CONSOLIDATED",$H$9,"EQY_FUND_CRNCY",$L$7,"StartCol",K$12,"EndCol",K$12,"StartRow",$B84,"EndRow",$B84),1)="#","",_xll.BDS(Ticker,"PG_OPERATING_INCOME","PG_HIERARCHY_LEVEL=1","NUMBER_OF_PERIODS=-11","REVERSE_PERIOD_ORDER=N","PRODUCT_GEO_OVERRIDE=P","FUND_PER",RIGHT($B$11,1),"ACCOUNTING_STANDARD_OVERRIDE",$H$7,"EQY_CONSOLIDATED",$H$9,"EQY_FUND_CRNCY",$L$7,"StartCol",K$12,"EndCol",K$12,"StartRow",$B84,"EndRow",$B84))</f>
        <v/>
      </c>
      <c r="L84" s="218" t="str">
        <f>IF(LEFT(_xll.BDS(Ticker,"PG_OPERATING_INCOME","PG_HIERARCHY_LEVEL=1","NUMBER_OF_PERIODS=-11","REVERSE_PERIOD_ORDER=N","PRODUCT_GEO_OVERRIDE=P","FUND_PER",RIGHT($B$11,1),"ACCOUNTING_STANDARD_OVERRIDE",$H$7,"EQY_CONSOLIDATED",$H$9,"EQY_FUND_CRNCY",$L$7,"StartCol",L$12,"EndCol",L$12,"StartRow",$B84,"EndRow",$B84),1)="#","",_xll.BDS(Ticker,"PG_OPERATING_INCOME","PG_HIERARCHY_LEVEL=1","NUMBER_OF_PERIODS=-11","REVERSE_PERIOD_ORDER=N","PRODUCT_GEO_OVERRIDE=P","FUND_PER",RIGHT($B$11,1),"ACCOUNTING_STANDARD_OVERRIDE",$H$7,"EQY_CONSOLIDATED",$H$9,"EQY_FUND_CRNCY",$L$7,"StartCol",L$12,"EndCol",L$12,"StartRow",$B84,"EndRow",$B84))</f>
        <v/>
      </c>
      <c r="M84" s="218" t="str">
        <f>IF(LEFT(_xll.BDS(Ticker,"PG_OPERATING_INCOME","PG_HIERARCHY_LEVEL=1","NUMBER_OF_PERIODS=-11","REVERSE_PERIOD_ORDER=N","PRODUCT_GEO_OVERRIDE=P","FUND_PER",RIGHT($B$11,1),"ACCOUNTING_STANDARD_OVERRIDE",$H$7,"EQY_CONSOLIDATED",$H$9,"EQY_FUND_CRNCY",$L$7,"StartCol",M$12,"EndCol",M$12,"StartRow",$B84,"EndRow",$B84),1)="#","",_xll.BDS(Ticker,"PG_OPERATING_INCOME","PG_HIERARCHY_LEVEL=1","NUMBER_OF_PERIODS=-11","REVERSE_PERIOD_ORDER=N","PRODUCT_GEO_OVERRIDE=P","FUND_PER",RIGHT($B$11,1),"ACCOUNTING_STANDARD_OVERRIDE",$H$7,"EQY_CONSOLIDATED",$H$9,"EQY_FUND_CRNCY",$L$7,"StartCol",M$12,"EndCol",M$12,"StartRow",$B84,"EndRow",$B84))</f>
        <v/>
      </c>
      <c r="N84" s="218" t="str">
        <f>IF(LEFT(_xll.BDS(Ticker,"PG_OPERATING_INCOME","PG_HIERARCHY_LEVEL=1","NUMBER_OF_PERIODS=-11","REVERSE_PERIOD_ORDER=N","PRODUCT_GEO_OVERRIDE=P","FUND_PER",RIGHT($B$11,1),"ACCOUNTING_STANDARD_OVERRIDE",$H$7,"EQY_CONSOLIDATED",$H$9,"EQY_FUND_CRNCY",$L$7,"StartCol",N$12,"EndCol",N$12,"StartRow",$B84,"EndRow",$B84),1)="#","",_xll.BDS(Ticker,"PG_OPERATING_INCOME","PG_HIERARCHY_LEVEL=1","NUMBER_OF_PERIODS=-11","REVERSE_PERIOD_ORDER=N","PRODUCT_GEO_OVERRIDE=P","FUND_PER",RIGHT($B$11,1),"ACCOUNTING_STANDARD_OVERRIDE",$H$7,"EQY_CONSOLIDATED",$H$9,"EQY_FUND_CRNCY",$L$7,"StartCol",N$12,"EndCol",N$12,"StartRow",$B84,"EndRow",$B84))</f>
        <v/>
      </c>
    </row>
    <row r="85" spans="2:14" hidden="1" outlineLevel="1">
      <c r="B85" s="214"/>
      <c r="C85" s="208"/>
      <c r="D85" s="208"/>
      <c r="E85" s="208"/>
      <c r="F85" s="208"/>
      <c r="G85" s="208"/>
      <c r="H85" s="208"/>
      <c r="I85" s="208"/>
      <c r="J85" s="208"/>
      <c r="K85" s="208"/>
      <c r="L85" s="208"/>
      <c r="M85" s="208"/>
      <c r="N85" s="208"/>
    </row>
    <row r="86" spans="2:14" hidden="1" outlineLevel="1">
      <c r="B86" s="220"/>
      <c r="C86" s="233" t="s">
        <v>183</v>
      </c>
      <c r="D86"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86"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86"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86"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86"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86"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86"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86"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86"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86"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86"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87" spans="2:14" hidden="1" outlineLevel="1">
      <c r="B87" s="222"/>
      <c r="C87" s="233" t="s">
        <v>357</v>
      </c>
      <c r="D87" s="231" t="str">
        <f>IF(LEFT(_xll.BDP(Ticker,"LATEST_PERIOD_END_DT_FULL_RECORD","EQY_FUND_RELATIVE_PERIOD",D$11,"EQY_CONSOLIDATED",$H$9),1)="#","--",_xll.BDP(Ticker,"LATEST_PERIOD_END_DT_FULL_RECORD","EQY_FUND_RELATIVE_PERIOD",D$11,"EQY_CONSOLIDATED",$H$9))</f>
        <v>12/31/2008</v>
      </c>
      <c r="E87" s="231" t="str">
        <f>IF(LEFT(_xll.BDP(Ticker,"LATEST_PERIOD_END_DT_FULL_RECORD","EQY_FUND_RELATIVE_PERIOD",E$11,"EQY_CONSOLIDATED",$H$9),1)="#","--",_xll.BDP(Ticker,"LATEST_PERIOD_END_DT_FULL_RECORD","EQY_FUND_RELATIVE_PERIOD",E$11,"EQY_CONSOLIDATED",$H$9))</f>
        <v>12/31/2009</v>
      </c>
      <c r="F87" s="231" t="str">
        <f>IF(LEFT(_xll.BDP(Ticker,"LATEST_PERIOD_END_DT_FULL_RECORD","EQY_FUND_RELATIVE_PERIOD",F$11,"EQY_CONSOLIDATED",$H$9),1)="#","--",_xll.BDP(Ticker,"LATEST_PERIOD_END_DT_FULL_RECORD","EQY_FUND_RELATIVE_PERIOD",F$11,"EQY_CONSOLIDATED",$H$9))</f>
        <v>12/31/2010</v>
      </c>
      <c r="G87" s="231" t="str">
        <f>IF(LEFT(_xll.BDP(Ticker,"LATEST_PERIOD_END_DT_FULL_RECORD","EQY_FUND_RELATIVE_PERIOD",G$11,"EQY_CONSOLIDATED",$H$9),1)="#","--",_xll.BDP(Ticker,"LATEST_PERIOD_END_DT_FULL_RECORD","EQY_FUND_RELATIVE_PERIOD",G$11,"EQY_CONSOLIDATED",$H$9))</f>
        <v>12/31/2011</v>
      </c>
      <c r="H87" s="231" t="str">
        <f>IF(LEFT(_xll.BDP(Ticker,"LATEST_PERIOD_END_DT_FULL_RECORD","EQY_FUND_RELATIVE_PERIOD",H$11,"EQY_CONSOLIDATED",$H$9),1)="#","--",_xll.BDP(Ticker,"LATEST_PERIOD_END_DT_FULL_RECORD","EQY_FUND_RELATIVE_PERIOD",H$11,"EQY_CONSOLIDATED",$H$9))</f>
        <v>12/31/2012</v>
      </c>
      <c r="I87" s="231" t="str">
        <f>IF(LEFT(_xll.BDP(Ticker,"LATEST_PERIOD_END_DT_FULL_RECORD","EQY_FUND_RELATIVE_PERIOD",I$11,"EQY_CONSOLIDATED",$H$9),1)="#","--",_xll.BDP(Ticker,"LATEST_PERIOD_END_DT_FULL_RECORD","EQY_FUND_RELATIVE_PERIOD",I$11,"EQY_CONSOLIDATED",$H$9))</f>
        <v>12/31/2013</v>
      </c>
      <c r="J87" s="231" t="str">
        <f>IF(LEFT(_xll.BDP(Ticker,"LATEST_PERIOD_END_DT_FULL_RECORD","EQY_FUND_RELATIVE_PERIOD",J$11,"EQY_CONSOLIDATED",$H$9),1)="#","--",_xll.BDP(Ticker,"LATEST_PERIOD_END_DT_FULL_RECORD","EQY_FUND_RELATIVE_PERIOD",J$11,"EQY_CONSOLIDATED",$H$9))</f>
        <v>12/31/2014</v>
      </c>
      <c r="K87" s="231" t="str">
        <f>IF(LEFT(_xll.BDP(Ticker,"LATEST_PERIOD_END_DT_FULL_RECORD","EQY_FUND_RELATIVE_PERIOD",K$11,"EQY_CONSOLIDATED",$H$9),1)="#","--",_xll.BDP(Ticker,"LATEST_PERIOD_END_DT_FULL_RECORD","EQY_FUND_RELATIVE_PERIOD",K$11,"EQY_CONSOLIDATED",$H$9))</f>
        <v>12/31/2015</v>
      </c>
      <c r="L87" s="231" t="str">
        <f>IF(LEFT(_xll.BDP(Ticker,"LATEST_PERIOD_END_DT_FULL_RECORD","EQY_FUND_RELATIVE_PERIOD",L$11,"EQY_CONSOLIDATED",$H$9),1)="#","--",_xll.BDP(Ticker,"LATEST_PERIOD_END_DT_FULL_RECORD","EQY_FUND_RELATIVE_PERIOD",L$11,"EQY_CONSOLIDATED",$H$9))</f>
        <v>12/31/2016</v>
      </c>
      <c r="M87" s="231" t="str">
        <f>IF(LEFT(_xll.BDP(Ticker,"LATEST_PERIOD_END_DT_FULL_RECORD","EQY_FUND_RELATIVE_PERIOD",M$11,"EQY_CONSOLIDATED",$H$9),1)="#","--",_xll.BDP(Ticker,"LATEST_PERIOD_END_DT_FULL_RECORD","EQY_FUND_RELATIVE_PERIOD",M$11,"EQY_CONSOLIDATED",$H$9))</f>
        <v>12/31/2017</v>
      </c>
      <c r="N87" s="231" t="str">
        <f>IF(LEFT(_xll.BDP(Ticker,"LATEST_PERIOD_END_DT_FULL_RECORD","EQY_FUND_RELATIVE_PERIOD",N$11,"EQY_CONSOLIDATED",$H$9),1)="#","--",_xll.BDP(Ticker,"LATEST_PERIOD_END_DT_FULL_RECORD","EQY_FUND_RELATIVE_PERIOD",N$11,"EQY_CONSOLIDATED",$H$9))</f>
        <v>12/31/2018</v>
      </c>
    </row>
    <row r="88" spans="2:14" hidden="1" outlineLevel="1">
      <c r="B88" s="215"/>
      <c r="C88" s="207" t="s">
        <v>183</v>
      </c>
      <c r="D88" s="275" t="str">
        <f t="shared" ref="D88:I88" si="4">IF(LEN(D89),SUM(D89:D98),"")</f>
        <v/>
      </c>
      <c r="E88" s="275" t="str">
        <f t="shared" si="4"/>
        <v/>
      </c>
      <c r="F88" s="275" t="str">
        <f t="shared" si="4"/>
        <v/>
      </c>
      <c r="G88" s="275" t="str">
        <f t="shared" si="4"/>
        <v/>
      </c>
      <c r="H88" s="275" t="str">
        <f t="shared" si="4"/>
        <v/>
      </c>
      <c r="I88" s="275" t="str">
        <f t="shared" si="4"/>
        <v/>
      </c>
      <c r="J88" s="275" t="str">
        <f>IF(LEN(J89),SUM(J89:J98),"")</f>
        <v/>
      </c>
      <c r="K88" s="275" t="str">
        <f>IF(LEN(K89),SUM(K89:K98),"")</f>
        <v/>
      </c>
      <c r="L88" s="275" t="str">
        <f>IF(LEN(L89),SUM(L89:L98),"")</f>
        <v/>
      </c>
      <c r="M88" s="275" t="str">
        <f>IF(LEN(M89),SUM(M89:M98),"")</f>
        <v/>
      </c>
      <c r="N88" s="275" t="str">
        <f>IF(LEN(N89),SUM(N89:N98),"")</f>
        <v/>
      </c>
    </row>
    <row r="89" spans="2:14" hidden="1" outlineLevel="1">
      <c r="B89" s="214">
        <v>1</v>
      </c>
      <c r="C89" s="216" t="str">
        <f>IF(LEFT(_xll.BDS(Ticker,"PG_OPERATING_INCOME","PG_HIERARCHY_LEVEL=1","NUMBER_OF_PERIODS=-11","REVERSE_PERIOD_ORDER=N","PRODUCT_GEO_OVERRIDE=G","FUND_PER",RIGHT($B$11,1),"ACCOUNTING_STANDARD_OVERRIDE",$H$7,"EQY_CONSOLIDATED",$H$9,"EQY_FUND_CRNCY",$L$7,"StartCol",C$12,"EndCol",C$12,"StartRow",$B89,"EndRow",$B89),1)="#","",_xll.BDS(Ticker,"PG_OPERATING_INCOME","PG_HIERARCHY_LEVEL=1","NUMBER_OF_PERIODS=-11","REVERSE_PERIOD_ORDER=N","PRODUCT_GEO_OVERRIDE=G","FUND_PER",RIGHT($B$11,1),"ACCOUNTING_STANDARD_OVERRIDE",$H$7,"EQY_CONSOLIDATED",$H$9,"EQY_FUND_CRNCY",$L$7,"StartCol",C$12,"EndCol",C$12,"StartRow",$B89,"EndRow",$B89))</f>
        <v/>
      </c>
      <c r="D89" s="218" t="str">
        <f>IF(LEFT(_xll.BDS(Ticker,"PG_OPERATING_INCOME","PG_HIERARCHY_LEVEL=1","NUMBER_OF_PERIODS=-11","REVERSE_PERIOD_ORDER=N","PRODUCT_GEO_OVERRIDE=G","FUND_PER",RIGHT($B$11,1),"ACCOUNTING_STANDARD_OVERRIDE",$H$7,"EQY_CONSOLIDATED",$H$9,"EQY_FUND_CRNCY",$L$7,"StartCol",D$12,"EndCol",D$12,"StartRow",$B89,"EndRow",$B89),1)="#","",_xll.BDS(Ticker,"PG_OPERATING_INCOME","PG_HIERARCHY_LEVEL=1","NUMBER_OF_PERIODS=-11","REVERSE_PERIOD_ORDER=N","PRODUCT_GEO_OVERRIDE=G","FUND_PER",RIGHT($B$11,1),"ACCOUNTING_STANDARD_OVERRIDE",$H$7,"EQY_CONSOLIDATED",$H$9,"EQY_FUND_CRNCY",$L$7,"StartCol",D$12,"EndCol",D$12,"StartRow",$B89,"EndRow",$B89))</f>
        <v/>
      </c>
      <c r="E89" s="218" t="str">
        <f>IF(LEFT(_xll.BDS(Ticker,"PG_OPERATING_INCOME","PG_HIERARCHY_LEVEL=1","NUMBER_OF_PERIODS=-11","REVERSE_PERIOD_ORDER=N","PRODUCT_GEO_OVERRIDE=G","FUND_PER",RIGHT($B$11,1),"ACCOUNTING_STANDARD_OVERRIDE",$H$7,"EQY_CONSOLIDATED",$H$9,"EQY_FUND_CRNCY",$L$7,"StartCol",E$12,"EndCol",E$12,"StartRow",$B89,"EndRow",$B89),1)="#","",_xll.BDS(Ticker,"PG_OPERATING_INCOME","PG_HIERARCHY_LEVEL=1","NUMBER_OF_PERIODS=-11","REVERSE_PERIOD_ORDER=N","PRODUCT_GEO_OVERRIDE=G","FUND_PER",RIGHT($B$11,1),"ACCOUNTING_STANDARD_OVERRIDE",$H$7,"EQY_CONSOLIDATED",$H$9,"EQY_FUND_CRNCY",$L$7,"StartCol",E$12,"EndCol",E$12,"StartRow",$B89,"EndRow",$B89))</f>
        <v/>
      </c>
      <c r="F89" s="218" t="str">
        <f>IF(LEFT(_xll.BDS(Ticker,"PG_OPERATING_INCOME","PG_HIERARCHY_LEVEL=1","NUMBER_OF_PERIODS=-11","REVERSE_PERIOD_ORDER=N","PRODUCT_GEO_OVERRIDE=G","FUND_PER",RIGHT($B$11,1),"ACCOUNTING_STANDARD_OVERRIDE",$H$7,"EQY_CONSOLIDATED",$H$9,"EQY_FUND_CRNCY",$L$7,"StartCol",F$12,"EndCol",F$12,"StartRow",$B89,"EndRow",$B89),1)="#","",_xll.BDS(Ticker,"PG_OPERATING_INCOME","PG_HIERARCHY_LEVEL=1","NUMBER_OF_PERIODS=-11","REVERSE_PERIOD_ORDER=N","PRODUCT_GEO_OVERRIDE=G","FUND_PER",RIGHT($B$11,1),"ACCOUNTING_STANDARD_OVERRIDE",$H$7,"EQY_CONSOLIDATED",$H$9,"EQY_FUND_CRNCY",$L$7,"StartCol",F$12,"EndCol",F$12,"StartRow",$B89,"EndRow",$B89))</f>
        <v/>
      </c>
      <c r="G89" s="218" t="str">
        <f>IF(LEFT(_xll.BDS(Ticker,"PG_OPERATING_INCOME","PG_HIERARCHY_LEVEL=1","NUMBER_OF_PERIODS=-11","REVERSE_PERIOD_ORDER=N","PRODUCT_GEO_OVERRIDE=G","FUND_PER",RIGHT($B$11,1),"ACCOUNTING_STANDARD_OVERRIDE",$H$7,"EQY_CONSOLIDATED",$H$9,"EQY_FUND_CRNCY",$L$7,"StartCol",G$12,"EndCol",G$12,"StartRow",$B89,"EndRow",$B89),1)="#","",_xll.BDS(Ticker,"PG_OPERATING_INCOME","PG_HIERARCHY_LEVEL=1","NUMBER_OF_PERIODS=-11","REVERSE_PERIOD_ORDER=N","PRODUCT_GEO_OVERRIDE=G","FUND_PER",RIGHT($B$11,1),"ACCOUNTING_STANDARD_OVERRIDE",$H$7,"EQY_CONSOLIDATED",$H$9,"EQY_FUND_CRNCY",$L$7,"StartCol",G$12,"EndCol",G$12,"StartRow",$B89,"EndRow",$B89))</f>
        <v/>
      </c>
      <c r="H89" s="218" t="str">
        <f>IF(LEFT(_xll.BDS(Ticker,"PG_OPERATING_INCOME","PG_HIERARCHY_LEVEL=1","NUMBER_OF_PERIODS=-11","REVERSE_PERIOD_ORDER=N","PRODUCT_GEO_OVERRIDE=G","FUND_PER",RIGHT($B$11,1),"ACCOUNTING_STANDARD_OVERRIDE",$H$7,"EQY_CONSOLIDATED",$H$9,"EQY_FUND_CRNCY",$L$7,"StartCol",H$12,"EndCol",H$12,"StartRow",$B89,"EndRow",$B89),1)="#","",_xll.BDS(Ticker,"PG_OPERATING_INCOME","PG_HIERARCHY_LEVEL=1","NUMBER_OF_PERIODS=-11","REVERSE_PERIOD_ORDER=N","PRODUCT_GEO_OVERRIDE=G","FUND_PER",RIGHT($B$11,1),"ACCOUNTING_STANDARD_OVERRIDE",$H$7,"EQY_CONSOLIDATED",$H$9,"EQY_FUND_CRNCY",$L$7,"StartCol",H$12,"EndCol",H$12,"StartRow",$B89,"EndRow",$B89))</f>
        <v/>
      </c>
      <c r="I89" s="218" t="str">
        <f>IF(LEFT(_xll.BDS(Ticker,"PG_OPERATING_INCOME","PG_HIERARCHY_LEVEL=1","NUMBER_OF_PERIODS=-11","REVERSE_PERIOD_ORDER=N","PRODUCT_GEO_OVERRIDE=G","FUND_PER",RIGHT($B$11,1),"ACCOUNTING_STANDARD_OVERRIDE",$H$7,"EQY_CONSOLIDATED",$H$9,"EQY_FUND_CRNCY",$L$7,"StartCol",I$12,"EndCol",I$12,"StartRow",$B89,"EndRow",$B89),1)="#","",_xll.BDS(Ticker,"PG_OPERATING_INCOME","PG_HIERARCHY_LEVEL=1","NUMBER_OF_PERIODS=-11","REVERSE_PERIOD_ORDER=N","PRODUCT_GEO_OVERRIDE=G","FUND_PER",RIGHT($B$11,1),"ACCOUNTING_STANDARD_OVERRIDE",$H$7,"EQY_CONSOLIDATED",$H$9,"EQY_FUND_CRNCY",$L$7,"StartCol",I$12,"EndCol",I$12,"StartRow",$B89,"EndRow",$B89))</f>
        <v/>
      </c>
      <c r="J89" s="218" t="str">
        <f>IF(LEFT(_xll.BDS(Ticker,"PG_OPERATING_INCOME","PG_HIERARCHY_LEVEL=1","NUMBER_OF_PERIODS=-11","REVERSE_PERIOD_ORDER=N","PRODUCT_GEO_OVERRIDE=G","FUND_PER",RIGHT($B$11,1),"ACCOUNTING_STANDARD_OVERRIDE",$H$7,"EQY_CONSOLIDATED",$H$9,"EQY_FUND_CRNCY",$L$7,"StartCol",J$12,"EndCol",J$12,"StartRow",$B89,"EndRow",$B89),1)="#","",_xll.BDS(Ticker,"PG_OPERATING_INCOME","PG_HIERARCHY_LEVEL=1","NUMBER_OF_PERIODS=-11","REVERSE_PERIOD_ORDER=N","PRODUCT_GEO_OVERRIDE=G","FUND_PER",RIGHT($B$11,1),"ACCOUNTING_STANDARD_OVERRIDE",$H$7,"EQY_CONSOLIDATED",$H$9,"EQY_FUND_CRNCY",$L$7,"StartCol",J$12,"EndCol",J$12,"StartRow",$B89,"EndRow",$B89))</f>
        <v/>
      </c>
      <c r="K89" s="218" t="str">
        <f>IF(LEFT(_xll.BDS(Ticker,"PG_OPERATING_INCOME","PG_HIERARCHY_LEVEL=1","NUMBER_OF_PERIODS=-11","REVERSE_PERIOD_ORDER=N","PRODUCT_GEO_OVERRIDE=G","FUND_PER",RIGHT($B$11,1),"ACCOUNTING_STANDARD_OVERRIDE",$H$7,"EQY_CONSOLIDATED",$H$9,"EQY_FUND_CRNCY",$L$7,"StartCol",K$12,"EndCol",K$12,"StartRow",$B89,"EndRow",$B89),1)="#","",_xll.BDS(Ticker,"PG_OPERATING_INCOME","PG_HIERARCHY_LEVEL=1","NUMBER_OF_PERIODS=-11","REVERSE_PERIOD_ORDER=N","PRODUCT_GEO_OVERRIDE=G","FUND_PER",RIGHT($B$11,1),"ACCOUNTING_STANDARD_OVERRIDE",$H$7,"EQY_CONSOLIDATED",$H$9,"EQY_FUND_CRNCY",$L$7,"StartCol",K$12,"EndCol",K$12,"StartRow",$B89,"EndRow",$B89))</f>
        <v/>
      </c>
      <c r="L89" s="218" t="str">
        <f>IF(LEFT(_xll.BDS(Ticker,"PG_OPERATING_INCOME","PG_HIERARCHY_LEVEL=1","NUMBER_OF_PERIODS=-11","REVERSE_PERIOD_ORDER=N","PRODUCT_GEO_OVERRIDE=G","FUND_PER",RIGHT($B$11,1),"ACCOUNTING_STANDARD_OVERRIDE",$H$7,"EQY_CONSOLIDATED",$H$9,"EQY_FUND_CRNCY",$L$7,"StartCol",L$12,"EndCol",L$12,"StartRow",$B89,"EndRow",$B89),1)="#","",_xll.BDS(Ticker,"PG_OPERATING_INCOME","PG_HIERARCHY_LEVEL=1","NUMBER_OF_PERIODS=-11","REVERSE_PERIOD_ORDER=N","PRODUCT_GEO_OVERRIDE=G","FUND_PER",RIGHT($B$11,1),"ACCOUNTING_STANDARD_OVERRIDE",$H$7,"EQY_CONSOLIDATED",$H$9,"EQY_FUND_CRNCY",$L$7,"StartCol",L$12,"EndCol",L$12,"StartRow",$B89,"EndRow",$B89))</f>
        <v/>
      </c>
      <c r="M89" s="218" t="str">
        <f>IF(LEFT(_xll.BDS(Ticker,"PG_OPERATING_INCOME","PG_HIERARCHY_LEVEL=1","NUMBER_OF_PERIODS=-11","REVERSE_PERIOD_ORDER=N","PRODUCT_GEO_OVERRIDE=G","FUND_PER",RIGHT($B$11,1),"ACCOUNTING_STANDARD_OVERRIDE",$H$7,"EQY_CONSOLIDATED",$H$9,"EQY_FUND_CRNCY",$L$7,"StartCol",M$12,"EndCol",M$12,"StartRow",$B89,"EndRow",$B89),1)="#","",_xll.BDS(Ticker,"PG_OPERATING_INCOME","PG_HIERARCHY_LEVEL=1","NUMBER_OF_PERIODS=-11","REVERSE_PERIOD_ORDER=N","PRODUCT_GEO_OVERRIDE=G","FUND_PER",RIGHT($B$11,1),"ACCOUNTING_STANDARD_OVERRIDE",$H$7,"EQY_CONSOLIDATED",$H$9,"EQY_FUND_CRNCY",$L$7,"StartCol",M$12,"EndCol",M$12,"StartRow",$B89,"EndRow",$B89))</f>
        <v/>
      </c>
      <c r="N89" s="218" t="str">
        <f>IF(LEFT(_xll.BDS(Ticker,"PG_OPERATING_INCOME","PG_HIERARCHY_LEVEL=1","NUMBER_OF_PERIODS=-11","REVERSE_PERIOD_ORDER=N","PRODUCT_GEO_OVERRIDE=G","FUND_PER",RIGHT($B$11,1),"ACCOUNTING_STANDARD_OVERRIDE",$H$7,"EQY_CONSOLIDATED",$H$9,"EQY_FUND_CRNCY",$L$7,"StartCol",N$12,"EndCol",N$12,"StartRow",$B89,"EndRow",$B89),1)="#","",_xll.BDS(Ticker,"PG_OPERATING_INCOME","PG_HIERARCHY_LEVEL=1","NUMBER_OF_PERIODS=-11","REVERSE_PERIOD_ORDER=N","PRODUCT_GEO_OVERRIDE=G","FUND_PER",RIGHT($B$11,1),"ACCOUNTING_STANDARD_OVERRIDE",$H$7,"EQY_CONSOLIDATED",$H$9,"EQY_FUND_CRNCY",$L$7,"StartCol",N$12,"EndCol",N$12,"StartRow",$B89,"EndRow",$B89))</f>
        <v/>
      </c>
    </row>
    <row r="90" spans="2:14" hidden="1" outlineLevel="1">
      <c r="B90" s="214">
        <v>2</v>
      </c>
      <c r="C90" s="216" t="str">
        <f>IF(LEFT(_xll.BDS(Ticker,"PG_OPERATING_INCOME","PG_HIERARCHY_LEVEL=1","NUMBER_OF_PERIODS=-11","REVERSE_PERIOD_ORDER=N","PRODUCT_GEO_OVERRIDE=G","FUND_PER",RIGHT($B$11,1),"ACCOUNTING_STANDARD_OVERRIDE",$H$7,"EQY_CONSOLIDATED",$H$9,"EQY_FUND_CRNCY",$L$7,"StartCol",C$12,"EndCol",C$12,"StartRow",$B90,"EndRow",$B90),1)="#","",_xll.BDS(Ticker,"PG_OPERATING_INCOME","PG_HIERARCHY_LEVEL=1","NUMBER_OF_PERIODS=-11","REVERSE_PERIOD_ORDER=N","PRODUCT_GEO_OVERRIDE=G","FUND_PER",RIGHT($B$11,1),"ACCOUNTING_STANDARD_OVERRIDE",$H$7,"EQY_CONSOLIDATED",$H$9,"EQY_FUND_CRNCY",$L$7,"StartCol",C$12,"EndCol",C$12,"StartRow",$B90,"EndRow",$B90))</f>
        <v/>
      </c>
      <c r="D90" s="218" t="str">
        <f>IF(LEFT(_xll.BDS(Ticker,"PG_OPERATING_INCOME","PG_HIERARCHY_LEVEL=1","NUMBER_OF_PERIODS=-11","REVERSE_PERIOD_ORDER=N","PRODUCT_GEO_OVERRIDE=G","FUND_PER",RIGHT($B$11,1),"ACCOUNTING_STANDARD_OVERRIDE",$H$7,"EQY_CONSOLIDATED",$H$9,"EQY_FUND_CRNCY",$L$7,"StartCol",D$12,"EndCol",D$12,"StartRow",$B90,"EndRow",$B90),1)="#","",_xll.BDS(Ticker,"PG_OPERATING_INCOME","PG_HIERARCHY_LEVEL=1","NUMBER_OF_PERIODS=-11","REVERSE_PERIOD_ORDER=N","PRODUCT_GEO_OVERRIDE=G","FUND_PER",RIGHT($B$11,1),"ACCOUNTING_STANDARD_OVERRIDE",$H$7,"EQY_CONSOLIDATED",$H$9,"EQY_FUND_CRNCY",$L$7,"StartCol",D$12,"EndCol",D$12,"StartRow",$B90,"EndRow",$B90))</f>
        <v/>
      </c>
      <c r="E90" s="218" t="str">
        <f>IF(LEFT(_xll.BDS(Ticker,"PG_OPERATING_INCOME","PG_HIERARCHY_LEVEL=1","NUMBER_OF_PERIODS=-11","REVERSE_PERIOD_ORDER=N","PRODUCT_GEO_OVERRIDE=G","FUND_PER",RIGHT($B$11,1),"ACCOUNTING_STANDARD_OVERRIDE",$H$7,"EQY_CONSOLIDATED",$H$9,"EQY_FUND_CRNCY",$L$7,"StartCol",E$12,"EndCol",E$12,"StartRow",$B90,"EndRow",$B90),1)="#","",_xll.BDS(Ticker,"PG_OPERATING_INCOME","PG_HIERARCHY_LEVEL=1","NUMBER_OF_PERIODS=-11","REVERSE_PERIOD_ORDER=N","PRODUCT_GEO_OVERRIDE=G","FUND_PER",RIGHT($B$11,1),"ACCOUNTING_STANDARD_OVERRIDE",$H$7,"EQY_CONSOLIDATED",$H$9,"EQY_FUND_CRNCY",$L$7,"StartCol",E$12,"EndCol",E$12,"StartRow",$B90,"EndRow",$B90))</f>
        <v/>
      </c>
      <c r="F90" s="218" t="str">
        <f>IF(LEFT(_xll.BDS(Ticker,"PG_OPERATING_INCOME","PG_HIERARCHY_LEVEL=1","NUMBER_OF_PERIODS=-11","REVERSE_PERIOD_ORDER=N","PRODUCT_GEO_OVERRIDE=G","FUND_PER",RIGHT($B$11,1),"ACCOUNTING_STANDARD_OVERRIDE",$H$7,"EQY_CONSOLIDATED",$H$9,"EQY_FUND_CRNCY",$L$7,"StartCol",F$12,"EndCol",F$12,"StartRow",$B90,"EndRow",$B90),1)="#","",_xll.BDS(Ticker,"PG_OPERATING_INCOME","PG_HIERARCHY_LEVEL=1","NUMBER_OF_PERIODS=-11","REVERSE_PERIOD_ORDER=N","PRODUCT_GEO_OVERRIDE=G","FUND_PER",RIGHT($B$11,1),"ACCOUNTING_STANDARD_OVERRIDE",$H$7,"EQY_CONSOLIDATED",$H$9,"EQY_FUND_CRNCY",$L$7,"StartCol",F$12,"EndCol",F$12,"StartRow",$B90,"EndRow",$B90))</f>
        <v/>
      </c>
      <c r="G90" s="218" t="str">
        <f>IF(LEFT(_xll.BDS(Ticker,"PG_OPERATING_INCOME","PG_HIERARCHY_LEVEL=1","NUMBER_OF_PERIODS=-11","REVERSE_PERIOD_ORDER=N","PRODUCT_GEO_OVERRIDE=G","FUND_PER",RIGHT($B$11,1),"ACCOUNTING_STANDARD_OVERRIDE",$H$7,"EQY_CONSOLIDATED",$H$9,"EQY_FUND_CRNCY",$L$7,"StartCol",G$12,"EndCol",G$12,"StartRow",$B90,"EndRow",$B90),1)="#","",_xll.BDS(Ticker,"PG_OPERATING_INCOME","PG_HIERARCHY_LEVEL=1","NUMBER_OF_PERIODS=-11","REVERSE_PERIOD_ORDER=N","PRODUCT_GEO_OVERRIDE=G","FUND_PER",RIGHT($B$11,1),"ACCOUNTING_STANDARD_OVERRIDE",$H$7,"EQY_CONSOLIDATED",$H$9,"EQY_FUND_CRNCY",$L$7,"StartCol",G$12,"EndCol",G$12,"StartRow",$B90,"EndRow",$B90))</f>
        <v/>
      </c>
      <c r="H90" s="218" t="str">
        <f>IF(LEFT(_xll.BDS(Ticker,"PG_OPERATING_INCOME","PG_HIERARCHY_LEVEL=1","NUMBER_OF_PERIODS=-11","REVERSE_PERIOD_ORDER=N","PRODUCT_GEO_OVERRIDE=G","FUND_PER",RIGHT($B$11,1),"ACCOUNTING_STANDARD_OVERRIDE",$H$7,"EQY_CONSOLIDATED",$H$9,"EQY_FUND_CRNCY",$L$7,"StartCol",H$12,"EndCol",H$12,"StartRow",$B90,"EndRow",$B90),1)="#","",_xll.BDS(Ticker,"PG_OPERATING_INCOME","PG_HIERARCHY_LEVEL=1","NUMBER_OF_PERIODS=-11","REVERSE_PERIOD_ORDER=N","PRODUCT_GEO_OVERRIDE=G","FUND_PER",RIGHT($B$11,1),"ACCOUNTING_STANDARD_OVERRIDE",$H$7,"EQY_CONSOLIDATED",$H$9,"EQY_FUND_CRNCY",$L$7,"StartCol",H$12,"EndCol",H$12,"StartRow",$B90,"EndRow",$B90))</f>
        <v/>
      </c>
      <c r="I90" s="218" t="str">
        <f>IF(LEFT(_xll.BDS(Ticker,"PG_OPERATING_INCOME","PG_HIERARCHY_LEVEL=1","NUMBER_OF_PERIODS=-11","REVERSE_PERIOD_ORDER=N","PRODUCT_GEO_OVERRIDE=G","FUND_PER",RIGHT($B$11,1),"ACCOUNTING_STANDARD_OVERRIDE",$H$7,"EQY_CONSOLIDATED",$H$9,"EQY_FUND_CRNCY",$L$7,"StartCol",I$12,"EndCol",I$12,"StartRow",$B90,"EndRow",$B90),1)="#","",_xll.BDS(Ticker,"PG_OPERATING_INCOME","PG_HIERARCHY_LEVEL=1","NUMBER_OF_PERIODS=-11","REVERSE_PERIOD_ORDER=N","PRODUCT_GEO_OVERRIDE=G","FUND_PER",RIGHT($B$11,1),"ACCOUNTING_STANDARD_OVERRIDE",$H$7,"EQY_CONSOLIDATED",$H$9,"EQY_FUND_CRNCY",$L$7,"StartCol",I$12,"EndCol",I$12,"StartRow",$B90,"EndRow",$B90))</f>
        <v/>
      </c>
      <c r="J90" s="218" t="str">
        <f>IF(LEFT(_xll.BDS(Ticker,"PG_OPERATING_INCOME","PG_HIERARCHY_LEVEL=1","NUMBER_OF_PERIODS=-11","REVERSE_PERIOD_ORDER=N","PRODUCT_GEO_OVERRIDE=G","FUND_PER",RIGHT($B$11,1),"ACCOUNTING_STANDARD_OVERRIDE",$H$7,"EQY_CONSOLIDATED",$H$9,"EQY_FUND_CRNCY",$L$7,"StartCol",J$12,"EndCol",J$12,"StartRow",$B90,"EndRow",$B90),1)="#","",_xll.BDS(Ticker,"PG_OPERATING_INCOME","PG_HIERARCHY_LEVEL=1","NUMBER_OF_PERIODS=-11","REVERSE_PERIOD_ORDER=N","PRODUCT_GEO_OVERRIDE=G","FUND_PER",RIGHT($B$11,1),"ACCOUNTING_STANDARD_OVERRIDE",$H$7,"EQY_CONSOLIDATED",$H$9,"EQY_FUND_CRNCY",$L$7,"StartCol",J$12,"EndCol",J$12,"StartRow",$B90,"EndRow",$B90))</f>
        <v/>
      </c>
      <c r="K90" s="218" t="str">
        <f>IF(LEFT(_xll.BDS(Ticker,"PG_OPERATING_INCOME","PG_HIERARCHY_LEVEL=1","NUMBER_OF_PERIODS=-11","REVERSE_PERIOD_ORDER=N","PRODUCT_GEO_OVERRIDE=G","FUND_PER",RIGHT($B$11,1),"ACCOUNTING_STANDARD_OVERRIDE",$H$7,"EQY_CONSOLIDATED",$H$9,"EQY_FUND_CRNCY",$L$7,"StartCol",K$12,"EndCol",K$12,"StartRow",$B90,"EndRow",$B90),1)="#","",_xll.BDS(Ticker,"PG_OPERATING_INCOME","PG_HIERARCHY_LEVEL=1","NUMBER_OF_PERIODS=-11","REVERSE_PERIOD_ORDER=N","PRODUCT_GEO_OVERRIDE=G","FUND_PER",RIGHT($B$11,1),"ACCOUNTING_STANDARD_OVERRIDE",$H$7,"EQY_CONSOLIDATED",$H$9,"EQY_FUND_CRNCY",$L$7,"StartCol",K$12,"EndCol",K$12,"StartRow",$B90,"EndRow",$B90))</f>
        <v/>
      </c>
      <c r="L90" s="218" t="str">
        <f>IF(LEFT(_xll.BDS(Ticker,"PG_OPERATING_INCOME","PG_HIERARCHY_LEVEL=1","NUMBER_OF_PERIODS=-11","REVERSE_PERIOD_ORDER=N","PRODUCT_GEO_OVERRIDE=G","FUND_PER",RIGHT($B$11,1),"ACCOUNTING_STANDARD_OVERRIDE",$H$7,"EQY_CONSOLIDATED",$H$9,"EQY_FUND_CRNCY",$L$7,"StartCol",L$12,"EndCol",L$12,"StartRow",$B90,"EndRow",$B90),1)="#","",_xll.BDS(Ticker,"PG_OPERATING_INCOME","PG_HIERARCHY_LEVEL=1","NUMBER_OF_PERIODS=-11","REVERSE_PERIOD_ORDER=N","PRODUCT_GEO_OVERRIDE=G","FUND_PER",RIGHT($B$11,1),"ACCOUNTING_STANDARD_OVERRIDE",$H$7,"EQY_CONSOLIDATED",$H$9,"EQY_FUND_CRNCY",$L$7,"StartCol",L$12,"EndCol",L$12,"StartRow",$B90,"EndRow",$B90))</f>
        <v/>
      </c>
      <c r="M90" s="218" t="str">
        <f>IF(LEFT(_xll.BDS(Ticker,"PG_OPERATING_INCOME","PG_HIERARCHY_LEVEL=1","NUMBER_OF_PERIODS=-11","REVERSE_PERIOD_ORDER=N","PRODUCT_GEO_OVERRIDE=G","FUND_PER",RIGHT($B$11,1),"ACCOUNTING_STANDARD_OVERRIDE",$H$7,"EQY_CONSOLIDATED",$H$9,"EQY_FUND_CRNCY",$L$7,"StartCol",M$12,"EndCol",M$12,"StartRow",$B90,"EndRow",$B90),1)="#","",_xll.BDS(Ticker,"PG_OPERATING_INCOME","PG_HIERARCHY_LEVEL=1","NUMBER_OF_PERIODS=-11","REVERSE_PERIOD_ORDER=N","PRODUCT_GEO_OVERRIDE=G","FUND_PER",RIGHT($B$11,1),"ACCOUNTING_STANDARD_OVERRIDE",$H$7,"EQY_CONSOLIDATED",$H$9,"EQY_FUND_CRNCY",$L$7,"StartCol",M$12,"EndCol",M$12,"StartRow",$B90,"EndRow",$B90))</f>
        <v/>
      </c>
      <c r="N90" s="218" t="str">
        <f>IF(LEFT(_xll.BDS(Ticker,"PG_OPERATING_INCOME","PG_HIERARCHY_LEVEL=1","NUMBER_OF_PERIODS=-11","REVERSE_PERIOD_ORDER=N","PRODUCT_GEO_OVERRIDE=G","FUND_PER",RIGHT($B$11,1),"ACCOUNTING_STANDARD_OVERRIDE",$H$7,"EQY_CONSOLIDATED",$H$9,"EQY_FUND_CRNCY",$L$7,"StartCol",N$12,"EndCol",N$12,"StartRow",$B90,"EndRow",$B90),1)="#","",_xll.BDS(Ticker,"PG_OPERATING_INCOME","PG_HIERARCHY_LEVEL=1","NUMBER_OF_PERIODS=-11","REVERSE_PERIOD_ORDER=N","PRODUCT_GEO_OVERRIDE=G","FUND_PER",RIGHT($B$11,1),"ACCOUNTING_STANDARD_OVERRIDE",$H$7,"EQY_CONSOLIDATED",$H$9,"EQY_FUND_CRNCY",$L$7,"StartCol",N$12,"EndCol",N$12,"StartRow",$B90,"EndRow",$B90))</f>
        <v/>
      </c>
    </row>
    <row r="91" spans="2:14" hidden="1" outlineLevel="1">
      <c r="B91" s="214">
        <v>3</v>
      </c>
      <c r="C91" s="216" t="str">
        <f>IF(LEFT(_xll.BDS(Ticker,"PG_OPERATING_INCOME","PG_HIERARCHY_LEVEL=1","NUMBER_OF_PERIODS=-11","REVERSE_PERIOD_ORDER=N","PRODUCT_GEO_OVERRIDE=G","FUND_PER",RIGHT($B$11,1),"ACCOUNTING_STANDARD_OVERRIDE",$H$7,"EQY_CONSOLIDATED",$H$9,"EQY_FUND_CRNCY",$L$7,"StartCol",C$12,"EndCol",C$12,"StartRow",$B91,"EndRow",$B91),1)="#","",_xll.BDS(Ticker,"PG_OPERATING_INCOME","PG_HIERARCHY_LEVEL=1","NUMBER_OF_PERIODS=-11","REVERSE_PERIOD_ORDER=N","PRODUCT_GEO_OVERRIDE=G","FUND_PER",RIGHT($B$11,1),"ACCOUNTING_STANDARD_OVERRIDE",$H$7,"EQY_CONSOLIDATED",$H$9,"EQY_FUND_CRNCY",$L$7,"StartCol",C$12,"EndCol",C$12,"StartRow",$B91,"EndRow",$B91))</f>
        <v/>
      </c>
      <c r="D91" s="218" t="str">
        <f>IF(LEFT(_xll.BDS(Ticker,"PG_OPERATING_INCOME","PG_HIERARCHY_LEVEL=1","NUMBER_OF_PERIODS=-11","REVERSE_PERIOD_ORDER=N","PRODUCT_GEO_OVERRIDE=G","FUND_PER",RIGHT($B$11,1),"ACCOUNTING_STANDARD_OVERRIDE",$H$7,"EQY_CONSOLIDATED",$H$9,"EQY_FUND_CRNCY",$L$7,"StartCol",D$12,"EndCol",D$12,"StartRow",$B91,"EndRow",$B91),1)="#","",_xll.BDS(Ticker,"PG_OPERATING_INCOME","PG_HIERARCHY_LEVEL=1","NUMBER_OF_PERIODS=-11","REVERSE_PERIOD_ORDER=N","PRODUCT_GEO_OVERRIDE=G","FUND_PER",RIGHT($B$11,1),"ACCOUNTING_STANDARD_OVERRIDE",$H$7,"EQY_CONSOLIDATED",$H$9,"EQY_FUND_CRNCY",$L$7,"StartCol",D$12,"EndCol",D$12,"StartRow",$B91,"EndRow",$B91))</f>
        <v/>
      </c>
      <c r="E91" s="218" t="str">
        <f>IF(LEFT(_xll.BDS(Ticker,"PG_OPERATING_INCOME","PG_HIERARCHY_LEVEL=1","NUMBER_OF_PERIODS=-11","REVERSE_PERIOD_ORDER=N","PRODUCT_GEO_OVERRIDE=G","FUND_PER",RIGHT($B$11,1),"ACCOUNTING_STANDARD_OVERRIDE",$H$7,"EQY_CONSOLIDATED",$H$9,"EQY_FUND_CRNCY",$L$7,"StartCol",E$12,"EndCol",E$12,"StartRow",$B91,"EndRow",$B91),1)="#","",_xll.BDS(Ticker,"PG_OPERATING_INCOME","PG_HIERARCHY_LEVEL=1","NUMBER_OF_PERIODS=-11","REVERSE_PERIOD_ORDER=N","PRODUCT_GEO_OVERRIDE=G","FUND_PER",RIGHT($B$11,1),"ACCOUNTING_STANDARD_OVERRIDE",$H$7,"EQY_CONSOLIDATED",$H$9,"EQY_FUND_CRNCY",$L$7,"StartCol",E$12,"EndCol",E$12,"StartRow",$B91,"EndRow",$B91))</f>
        <v/>
      </c>
      <c r="F91" s="218" t="str">
        <f>IF(LEFT(_xll.BDS(Ticker,"PG_OPERATING_INCOME","PG_HIERARCHY_LEVEL=1","NUMBER_OF_PERIODS=-11","REVERSE_PERIOD_ORDER=N","PRODUCT_GEO_OVERRIDE=G","FUND_PER",RIGHT($B$11,1),"ACCOUNTING_STANDARD_OVERRIDE",$H$7,"EQY_CONSOLIDATED",$H$9,"EQY_FUND_CRNCY",$L$7,"StartCol",F$12,"EndCol",F$12,"StartRow",$B91,"EndRow",$B91),1)="#","",_xll.BDS(Ticker,"PG_OPERATING_INCOME","PG_HIERARCHY_LEVEL=1","NUMBER_OF_PERIODS=-11","REVERSE_PERIOD_ORDER=N","PRODUCT_GEO_OVERRIDE=G","FUND_PER",RIGHT($B$11,1),"ACCOUNTING_STANDARD_OVERRIDE",$H$7,"EQY_CONSOLIDATED",$H$9,"EQY_FUND_CRNCY",$L$7,"StartCol",F$12,"EndCol",F$12,"StartRow",$B91,"EndRow",$B91))</f>
        <v/>
      </c>
      <c r="G91" s="218" t="str">
        <f>IF(LEFT(_xll.BDS(Ticker,"PG_OPERATING_INCOME","PG_HIERARCHY_LEVEL=1","NUMBER_OF_PERIODS=-11","REVERSE_PERIOD_ORDER=N","PRODUCT_GEO_OVERRIDE=G","FUND_PER",RIGHT($B$11,1),"ACCOUNTING_STANDARD_OVERRIDE",$H$7,"EQY_CONSOLIDATED",$H$9,"EQY_FUND_CRNCY",$L$7,"StartCol",G$12,"EndCol",G$12,"StartRow",$B91,"EndRow",$B91),1)="#","",_xll.BDS(Ticker,"PG_OPERATING_INCOME","PG_HIERARCHY_LEVEL=1","NUMBER_OF_PERIODS=-11","REVERSE_PERIOD_ORDER=N","PRODUCT_GEO_OVERRIDE=G","FUND_PER",RIGHT($B$11,1),"ACCOUNTING_STANDARD_OVERRIDE",$H$7,"EQY_CONSOLIDATED",$H$9,"EQY_FUND_CRNCY",$L$7,"StartCol",G$12,"EndCol",G$12,"StartRow",$B91,"EndRow",$B91))</f>
        <v/>
      </c>
      <c r="H91" s="218" t="str">
        <f>IF(LEFT(_xll.BDS(Ticker,"PG_OPERATING_INCOME","PG_HIERARCHY_LEVEL=1","NUMBER_OF_PERIODS=-11","REVERSE_PERIOD_ORDER=N","PRODUCT_GEO_OVERRIDE=G","FUND_PER",RIGHT($B$11,1),"ACCOUNTING_STANDARD_OVERRIDE",$H$7,"EQY_CONSOLIDATED",$H$9,"EQY_FUND_CRNCY",$L$7,"StartCol",H$12,"EndCol",H$12,"StartRow",$B91,"EndRow",$B91),1)="#","",_xll.BDS(Ticker,"PG_OPERATING_INCOME","PG_HIERARCHY_LEVEL=1","NUMBER_OF_PERIODS=-11","REVERSE_PERIOD_ORDER=N","PRODUCT_GEO_OVERRIDE=G","FUND_PER",RIGHT($B$11,1),"ACCOUNTING_STANDARD_OVERRIDE",$H$7,"EQY_CONSOLIDATED",$H$9,"EQY_FUND_CRNCY",$L$7,"StartCol",H$12,"EndCol",H$12,"StartRow",$B91,"EndRow",$B91))</f>
        <v/>
      </c>
      <c r="I91" s="218" t="str">
        <f>IF(LEFT(_xll.BDS(Ticker,"PG_OPERATING_INCOME","PG_HIERARCHY_LEVEL=1","NUMBER_OF_PERIODS=-11","REVERSE_PERIOD_ORDER=N","PRODUCT_GEO_OVERRIDE=G","FUND_PER",RIGHT($B$11,1),"ACCOUNTING_STANDARD_OVERRIDE",$H$7,"EQY_CONSOLIDATED",$H$9,"EQY_FUND_CRNCY",$L$7,"StartCol",I$12,"EndCol",I$12,"StartRow",$B91,"EndRow",$B91),1)="#","",_xll.BDS(Ticker,"PG_OPERATING_INCOME","PG_HIERARCHY_LEVEL=1","NUMBER_OF_PERIODS=-11","REVERSE_PERIOD_ORDER=N","PRODUCT_GEO_OVERRIDE=G","FUND_PER",RIGHT($B$11,1),"ACCOUNTING_STANDARD_OVERRIDE",$H$7,"EQY_CONSOLIDATED",$H$9,"EQY_FUND_CRNCY",$L$7,"StartCol",I$12,"EndCol",I$12,"StartRow",$B91,"EndRow",$B91))</f>
        <v/>
      </c>
      <c r="J91" s="218" t="str">
        <f>IF(LEFT(_xll.BDS(Ticker,"PG_OPERATING_INCOME","PG_HIERARCHY_LEVEL=1","NUMBER_OF_PERIODS=-11","REVERSE_PERIOD_ORDER=N","PRODUCT_GEO_OVERRIDE=G","FUND_PER",RIGHT($B$11,1),"ACCOUNTING_STANDARD_OVERRIDE",$H$7,"EQY_CONSOLIDATED",$H$9,"EQY_FUND_CRNCY",$L$7,"StartCol",J$12,"EndCol",J$12,"StartRow",$B91,"EndRow",$B91),1)="#","",_xll.BDS(Ticker,"PG_OPERATING_INCOME","PG_HIERARCHY_LEVEL=1","NUMBER_OF_PERIODS=-11","REVERSE_PERIOD_ORDER=N","PRODUCT_GEO_OVERRIDE=G","FUND_PER",RIGHT($B$11,1),"ACCOUNTING_STANDARD_OVERRIDE",$H$7,"EQY_CONSOLIDATED",$H$9,"EQY_FUND_CRNCY",$L$7,"StartCol",J$12,"EndCol",J$12,"StartRow",$B91,"EndRow",$B91))</f>
        <v/>
      </c>
      <c r="K91" s="218" t="str">
        <f>IF(LEFT(_xll.BDS(Ticker,"PG_OPERATING_INCOME","PG_HIERARCHY_LEVEL=1","NUMBER_OF_PERIODS=-11","REVERSE_PERIOD_ORDER=N","PRODUCT_GEO_OVERRIDE=G","FUND_PER",RIGHT($B$11,1),"ACCOUNTING_STANDARD_OVERRIDE",$H$7,"EQY_CONSOLIDATED",$H$9,"EQY_FUND_CRNCY",$L$7,"StartCol",K$12,"EndCol",K$12,"StartRow",$B91,"EndRow",$B91),1)="#","",_xll.BDS(Ticker,"PG_OPERATING_INCOME","PG_HIERARCHY_LEVEL=1","NUMBER_OF_PERIODS=-11","REVERSE_PERIOD_ORDER=N","PRODUCT_GEO_OVERRIDE=G","FUND_PER",RIGHT($B$11,1),"ACCOUNTING_STANDARD_OVERRIDE",$H$7,"EQY_CONSOLIDATED",$H$9,"EQY_FUND_CRNCY",$L$7,"StartCol",K$12,"EndCol",K$12,"StartRow",$B91,"EndRow",$B91))</f>
        <v/>
      </c>
      <c r="L91" s="218" t="str">
        <f>IF(LEFT(_xll.BDS(Ticker,"PG_OPERATING_INCOME","PG_HIERARCHY_LEVEL=1","NUMBER_OF_PERIODS=-11","REVERSE_PERIOD_ORDER=N","PRODUCT_GEO_OVERRIDE=G","FUND_PER",RIGHT($B$11,1),"ACCOUNTING_STANDARD_OVERRIDE",$H$7,"EQY_CONSOLIDATED",$H$9,"EQY_FUND_CRNCY",$L$7,"StartCol",L$12,"EndCol",L$12,"StartRow",$B91,"EndRow",$B91),1)="#","",_xll.BDS(Ticker,"PG_OPERATING_INCOME","PG_HIERARCHY_LEVEL=1","NUMBER_OF_PERIODS=-11","REVERSE_PERIOD_ORDER=N","PRODUCT_GEO_OVERRIDE=G","FUND_PER",RIGHT($B$11,1),"ACCOUNTING_STANDARD_OVERRIDE",$H$7,"EQY_CONSOLIDATED",$H$9,"EQY_FUND_CRNCY",$L$7,"StartCol",L$12,"EndCol",L$12,"StartRow",$B91,"EndRow",$B91))</f>
        <v/>
      </c>
      <c r="M91" s="218" t="str">
        <f>IF(LEFT(_xll.BDS(Ticker,"PG_OPERATING_INCOME","PG_HIERARCHY_LEVEL=1","NUMBER_OF_PERIODS=-11","REVERSE_PERIOD_ORDER=N","PRODUCT_GEO_OVERRIDE=G","FUND_PER",RIGHT($B$11,1),"ACCOUNTING_STANDARD_OVERRIDE",$H$7,"EQY_CONSOLIDATED",$H$9,"EQY_FUND_CRNCY",$L$7,"StartCol",M$12,"EndCol",M$12,"StartRow",$B91,"EndRow",$B91),1)="#","",_xll.BDS(Ticker,"PG_OPERATING_INCOME","PG_HIERARCHY_LEVEL=1","NUMBER_OF_PERIODS=-11","REVERSE_PERIOD_ORDER=N","PRODUCT_GEO_OVERRIDE=G","FUND_PER",RIGHT($B$11,1),"ACCOUNTING_STANDARD_OVERRIDE",$H$7,"EQY_CONSOLIDATED",$H$9,"EQY_FUND_CRNCY",$L$7,"StartCol",M$12,"EndCol",M$12,"StartRow",$B91,"EndRow",$B91))</f>
        <v/>
      </c>
      <c r="N91" s="218" t="str">
        <f>IF(LEFT(_xll.BDS(Ticker,"PG_OPERATING_INCOME","PG_HIERARCHY_LEVEL=1","NUMBER_OF_PERIODS=-11","REVERSE_PERIOD_ORDER=N","PRODUCT_GEO_OVERRIDE=G","FUND_PER",RIGHT($B$11,1),"ACCOUNTING_STANDARD_OVERRIDE",$H$7,"EQY_CONSOLIDATED",$H$9,"EQY_FUND_CRNCY",$L$7,"StartCol",N$12,"EndCol",N$12,"StartRow",$B91,"EndRow",$B91),1)="#","",_xll.BDS(Ticker,"PG_OPERATING_INCOME","PG_HIERARCHY_LEVEL=1","NUMBER_OF_PERIODS=-11","REVERSE_PERIOD_ORDER=N","PRODUCT_GEO_OVERRIDE=G","FUND_PER",RIGHT($B$11,1),"ACCOUNTING_STANDARD_OVERRIDE",$H$7,"EQY_CONSOLIDATED",$H$9,"EQY_FUND_CRNCY",$L$7,"StartCol",N$12,"EndCol",N$12,"StartRow",$B91,"EndRow",$B91))</f>
        <v/>
      </c>
    </row>
    <row r="92" spans="2:14" hidden="1" outlineLevel="1">
      <c r="B92" s="214">
        <v>4</v>
      </c>
      <c r="C92" s="216" t="str">
        <f>IF(LEFT(_xll.BDS(Ticker,"PG_OPERATING_INCOME","PG_HIERARCHY_LEVEL=1","NUMBER_OF_PERIODS=-11","REVERSE_PERIOD_ORDER=N","PRODUCT_GEO_OVERRIDE=G","FUND_PER",RIGHT($B$11,1),"ACCOUNTING_STANDARD_OVERRIDE",$H$7,"EQY_CONSOLIDATED",$H$9,"EQY_FUND_CRNCY",$L$7,"StartCol",C$12,"EndCol",C$12,"StartRow",$B92,"EndRow",$B92),1)="#","",_xll.BDS(Ticker,"PG_OPERATING_INCOME","PG_HIERARCHY_LEVEL=1","NUMBER_OF_PERIODS=-11","REVERSE_PERIOD_ORDER=N","PRODUCT_GEO_OVERRIDE=G","FUND_PER",RIGHT($B$11,1),"ACCOUNTING_STANDARD_OVERRIDE",$H$7,"EQY_CONSOLIDATED",$H$9,"EQY_FUND_CRNCY",$L$7,"StartCol",C$12,"EndCol",C$12,"StartRow",$B92,"EndRow",$B92))</f>
        <v/>
      </c>
      <c r="D92" s="218" t="str">
        <f>IF(LEFT(_xll.BDS(Ticker,"PG_OPERATING_INCOME","PG_HIERARCHY_LEVEL=1","NUMBER_OF_PERIODS=-11","REVERSE_PERIOD_ORDER=N","PRODUCT_GEO_OVERRIDE=G","FUND_PER",RIGHT($B$11,1),"ACCOUNTING_STANDARD_OVERRIDE",$H$7,"EQY_CONSOLIDATED",$H$9,"EQY_FUND_CRNCY",$L$7,"StartCol",D$12,"EndCol",D$12,"StartRow",$B92,"EndRow",$B92),1)="#","",_xll.BDS(Ticker,"PG_OPERATING_INCOME","PG_HIERARCHY_LEVEL=1","NUMBER_OF_PERIODS=-11","REVERSE_PERIOD_ORDER=N","PRODUCT_GEO_OVERRIDE=G","FUND_PER",RIGHT($B$11,1),"ACCOUNTING_STANDARD_OVERRIDE",$H$7,"EQY_CONSOLIDATED",$H$9,"EQY_FUND_CRNCY",$L$7,"StartCol",D$12,"EndCol",D$12,"StartRow",$B92,"EndRow",$B92))</f>
        <v/>
      </c>
      <c r="E92" s="218" t="str">
        <f>IF(LEFT(_xll.BDS(Ticker,"PG_OPERATING_INCOME","PG_HIERARCHY_LEVEL=1","NUMBER_OF_PERIODS=-11","REVERSE_PERIOD_ORDER=N","PRODUCT_GEO_OVERRIDE=G","FUND_PER",RIGHT($B$11,1),"ACCOUNTING_STANDARD_OVERRIDE",$H$7,"EQY_CONSOLIDATED",$H$9,"EQY_FUND_CRNCY",$L$7,"StartCol",E$12,"EndCol",E$12,"StartRow",$B92,"EndRow",$B92),1)="#","",_xll.BDS(Ticker,"PG_OPERATING_INCOME","PG_HIERARCHY_LEVEL=1","NUMBER_OF_PERIODS=-11","REVERSE_PERIOD_ORDER=N","PRODUCT_GEO_OVERRIDE=G","FUND_PER",RIGHT($B$11,1),"ACCOUNTING_STANDARD_OVERRIDE",$H$7,"EQY_CONSOLIDATED",$H$9,"EQY_FUND_CRNCY",$L$7,"StartCol",E$12,"EndCol",E$12,"StartRow",$B92,"EndRow",$B92))</f>
        <v/>
      </c>
      <c r="F92" s="218" t="str">
        <f>IF(LEFT(_xll.BDS(Ticker,"PG_OPERATING_INCOME","PG_HIERARCHY_LEVEL=1","NUMBER_OF_PERIODS=-11","REVERSE_PERIOD_ORDER=N","PRODUCT_GEO_OVERRIDE=G","FUND_PER",RIGHT($B$11,1),"ACCOUNTING_STANDARD_OVERRIDE",$H$7,"EQY_CONSOLIDATED",$H$9,"EQY_FUND_CRNCY",$L$7,"StartCol",F$12,"EndCol",F$12,"StartRow",$B92,"EndRow",$B92),1)="#","",_xll.BDS(Ticker,"PG_OPERATING_INCOME","PG_HIERARCHY_LEVEL=1","NUMBER_OF_PERIODS=-11","REVERSE_PERIOD_ORDER=N","PRODUCT_GEO_OVERRIDE=G","FUND_PER",RIGHT($B$11,1),"ACCOUNTING_STANDARD_OVERRIDE",$H$7,"EQY_CONSOLIDATED",$H$9,"EQY_FUND_CRNCY",$L$7,"StartCol",F$12,"EndCol",F$12,"StartRow",$B92,"EndRow",$B92))</f>
        <v/>
      </c>
      <c r="G92" s="218" t="str">
        <f>IF(LEFT(_xll.BDS(Ticker,"PG_OPERATING_INCOME","PG_HIERARCHY_LEVEL=1","NUMBER_OF_PERIODS=-11","REVERSE_PERIOD_ORDER=N","PRODUCT_GEO_OVERRIDE=G","FUND_PER",RIGHT($B$11,1),"ACCOUNTING_STANDARD_OVERRIDE",$H$7,"EQY_CONSOLIDATED",$H$9,"EQY_FUND_CRNCY",$L$7,"StartCol",G$12,"EndCol",G$12,"StartRow",$B92,"EndRow",$B92),1)="#","",_xll.BDS(Ticker,"PG_OPERATING_INCOME","PG_HIERARCHY_LEVEL=1","NUMBER_OF_PERIODS=-11","REVERSE_PERIOD_ORDER=N","PRODUCT_GEO_OVERRIDE=G","FUND_PER",RIGHT($B$11,1),"ACCOUNTING_STANDARD_OVERRIDE",$H$7,"EQY_CONSOLIDATED",$H$9,"EQY_FUND_CRNCY",$L$7,"StartCol",G$12,"EndCol",G$12,"StartRow",$B92,"EndRow",$B92))</f>
        <v/>
      </c>
      <c r="H92" s="218" t="str">
        <f>IF(LEFT(_xll.BDS(Ticker,"PG_OPERATING_INCOME","PG_HIERARCHY_LEVEL=1","NUMBER_OF_PERIODS=-11","REVERSE_PERIOD_ORDER=N","PRODUCT_GEO_OVERRIDE=G","FUND_PER",RIGHT($B$11,1),"ACCOUNTING_STANDARD_OVERRIDE",$H$7,"EQY_CONSOLIDATED",$H$9,"EQY_FUND_CRNCY",$L$7,"StartCol",H$12,"EndCol",H$12,"StartRow",$B92,"EndRow",$B92),1)="#","",_xll.BDS(Ticker,"PG_OPERATING_INCOME","PG_HIERARCHY_LEVEL=1","NUMBER_OF_PERIODS=-11","REVERSE_PERIOD_ORDER=N","PRODUCT_GEO_OVERRIDE=G","FUND_PER",RIGHT($B$11,1),"ACCOUNTING_STANDARD_OVERRIDE",$H$7,"EQY_CONSOLIDATED",$H$9,"EQY_FUND_CRNCY",$L$7,"StartCol",H$12,"EndCol",H$12,"StartRow",$B92,"EndRow",$B92))</f>
        <v/>
      </c>
      <c r="I92" s="218" t="str">
        <f>IF(LEFT(_xll.BDS(Ticker,"PG_OPERATING_INCOME","PG_HIERARCHY_LEVEL=1","NUMBER_OF_PERIODS=-11","REVERSE_PERIOD_ORDER=N","PRODUCT_GEO_OVERRIDE=G","FUND_PER",RIGHT($B$11,1),"ACCOUNTING_STANDARD_OVERRIDE",$H$7,"EQY_CONSOLIDATED",$H$9,"EQY_FUND_CRNCY",$L$7,"StartCol",I$12,"EndCol",I$12,"StartRow",$B92,"EndRow",$B92),1)="#","",_xll.BDS(Ticker,"PG_OPERATING_INCOME","PG_HIERARCHY_LEVEL=1","NUMBER_OF_PERIODS=-11","REVERSE_PERIOD_ORDER=N","PRODUCT_GEO_OVERRIDE=G","FUND_PER",RIGHT($B$11,1),"ACCOUNTING_STANDARD_OVERRIDE",$H$7,"EQY_CONSOLIDATED",$H$9,"EQY_FUND_CRNCY",$L$7,"StartCol",I$12,"EndCol",I$12,"StartRow",$B92,"EndRow",$B92))</f>
        <v/>
      </c>
      <c r="J92" s="218" t="str">
        <f>IF(LEFT(_xll.BDS(Ticker,"PG_OPERATING_INCOME","PG_HIERARCHY_LEVEL=1","NUMBER_OF_PERIODS=-11","REVERSE_PERIOD_ORDER=N","PRODUCT_GEO_OVERRIDE=G","FUND_PER",RIGHT($B$11,1),"ACCOUNTING_STANDARD_OVERRIDE",$H$7,"EQY_CONSOLIDATED",$H$9,"EQY_FUND_CRNCY",$L$7,"StartCol",J$12,"EndCol",J$12,"StartRow",$B92,"EndRow",$B92),1)="#","",_xll.BDS(Ticker,"PG_OPERATING_INCOME","PG_HIERARCHY_LEVEL=1","NUMBER_OF_PERIODS=-11","REVERSE_PERIOD_ORDER=N","PRODUCT_GEO_OVERRIDE=G","FUND_PER",RIGHT($B$11,1),"ACCOUNTING_STANDARD_OVERRIDE",$H$7,"EQY_CONSOLIDATED",$H$9,"EQY_FUND_CRNCY",$L$7,"StartCol",J$12,"EndCol",J$12,"StartRow",$B92,"EndRow",$B92))</f>
        <v/>
      </c>
      <c r="K92" s="218" t="str">
        <f>IF(LEFT(_xll.BDS(Ticker,"PG_OPERATING_INCOME","PG_HIERARCHY_LEVEL=1","NUMBER_OF_PERIODS=-11","REVERSE_PERIOD_ORDER=N","PRODUCT_GEO_OVERRIDE=G","FUND_PER",RIGHT($B$11,1),"ACCOUNTING_STANDARD_OVERRIDE",$H$7,"EQY_CONSOLIDATED",$H$9,"EQY_FUND_CRNCY",$L$7,"StartCol",K$12,"EndCol",K$12,"StartRow",$B92,"EndRow",$B92),1)="#","",_xll.BDS(Ticker,"PG_OPERATING_INCOME","PG_HIERARCHY_LEVEL=1","NUMBER_OF_PERIODS=-11","REVERSE_PERIOD_ORDER=N","PRODUCT_GEO_OVERRIDE=G","FUND_PER",RIGHT($B$11,1),"ACCOUNTING_STANDARD_OVERRIDE",$H$7,"EQY_CONSOLIDATED",$H$9,"EQY_FUND_CRNCY",$L$7,"StartCol",K$12,"EndCol",K$12,"StartRow",$B92,"EndRow",$B92))</f>
        <v/>
      </c>
      <c r="L92" s="218" t="str">
        <f>IF(LEFT(_xll.BDS(Ticker,"PG_OPERATING_INCOME","PG_HIERARCHY_LEVEL=1","NUMBER_OF_PERIODS=-11","REVERSE_PERIOD_ORDER=N","PRODUCT_GEO_OVERRIDE=G","FUND_PER",RIGHT($B$11,1),"ACCOUNTING_STANDARD_OVERRIDE",$H$7,"EQY_CONSOLIDATED",$H$9,"EQY_FUND_CRNCY",$L$7,"StartCol",L$12,"EndCol",L$12,"StartRow",$B92,"EndRow",$B92),1)="#","",_xll.BDS(Ticker,"PG_OPERATING_INCOME","PG_HIERARCHY_LEVEL=1","NUMBER_OF_PERIODS=-11","REVERSE_PERIOD_ORDER=N","PRODUCT_GEO_OVERRIDE=G","FUND_PER",RIGHT($B$11,1),"ACCOUNTING_STANDARD_OVERRIDE",$H$7,"EQY_CONSOLIDATED",$H$9,"EQY_FUND_CRNCY",$L$7,"StartCol",L$12,"EndCol",L$12,"StartRow",$B92,"EndRow",$B92))</f>
        <v/>
      </c>
      <c r="M92" s="218" t="str">
        <f>IF(LEFT(_xll.BDS(Ticker,"PG_OPERATING_INCOME","PG_HIERARCHY_LEVEL=1","NUMBER_OF_PERIODS=-11","REVERSE_PERIOD_ORDER=N","PRODUCT_GEO_OVERRIDE=G","FUND_PER",RIGHT($B$11,1),"ACCOUNTING_STANDARD_OVERRIDE",$H$7,"EQY_CONSOLIDATED",$H$9,"EQY_FUND_CRNCY",$L$7,"StartCol",M$12,"EndCol",M$12,"StartRow",$B92,"EndRow",$B92),1)="#","",_xll.BDS(Ticker,"PG_OPERATING_INCOME","PG_HIERARCHY_LEVEL=1","NUMBER_OF_PERIODS=-11","REVERSE_PERIOD_ORDER=N","PRODUCT_GEO_OVERRIDE=G","FUND_PER",RIGHT($B$11,1),"ACCOUNTING_STANDARD_OVERRIDE",$H$7,"EQY_CONSOLIDATED",$H$9,"EQY_FUND_CRNCY",$L$7,"StartCol",M$12,"EndCol",M$12,"StartRow",$B92,"EndRow",$B92))</f>
        <v/>
      </c>
      <c r="N92" s="218" t="str">
        <f>IF(LEFT(_xll.BDS(Ticker,"PG_OPERATING_INCOME","PG_HIERARCHY_LEVEL=1","NUMBER_OF_PERIODS=-11","REVERSE_PERIOD_ORDER=N","PRODUCT_GEO_OVERRIDE=G","FUND_PER",RIGHT($B$11,1),"ACCOUNTING_STANDARD_OVERRIDE",$H$7,"EQY_CONSOLIDATED",$H$9,"EQY_FUND_CRNCY",$L$7,"StartCol",N$12,"EndCol",N$12,"StartRow",$B92,"EndRow",$B92),1)="#","",_xll.BDS(Ticker,"PG_OPERATING_INCOME","PG_HIERARCHY_LEVEL=1","NUMBER_OF_PERIODS=-11","REVERSE_PERIOD_ORDER=N","PRODUCT_GEO_OVERRIDE=G","FUND_PER",RIGHT($B$11,1),"ACCOUNTING_STANDARD_OVERRIDE",$H$7,"EQY_CONSOLIDATED",$H$9,"EQY_FUND_CRNCY",$L$7,"StartCol",N$12,"EndCol",N$12,"StartRow",$B92,"EndRow",$B92))</f>
        <v/>
      </c>
    </row>
    <row r="93" spans="2:14" hidden="1" outlineLevel="1">
      <c r="B93" s="214">
        <v>5</v>
      </c>
      <c r="C93" s="216" t="str">
        <f>IF(LEFT(_xll.BDS(Ticker,"PG_OPERATING_INCOME","PG_HIERARCHY_LEVEL=1","NUMBER_OF_PERIODS=-11","REVERSE_PERIOD_ORDER=N","PRODUCT_GEO_OVERRIDE=G","FUND_PER",RIGHT($B$11,1),"ACCOUNTING_STANDARD_OVERRIDE",$H$7,"EQY_CONSOLIDATED",$H$9,"EQY_FUND_CRNCY",$L$7,"StartCol",C$12,"EndCol",C$12,"StartRow",$B93,"EndRow",$B93),1)="#","",_xll.BDS(Ticker,"PG_OPERATING_INCOME","PG_HIERARCHY_LEVEL=1","NUMBER_OF_PERIODS=-11","REVERSE_PERIOD_ORDER=N","PRODUCT_GEO_OVERRIDE=G","FUND_PER",RIGHT($B$11,1),"ACCOUNTING_STANDARD_OVERRIDE",$H$7,"EQY_CONSOLIDATED",$H$9,"EQY_FUND_CRNCY",$L$7,"StartCol",C$12,"EndCol",C$12,"StartRow",$B93,"EndRow",$B93))</f>
        <v/>
      </c>
      <c r="D93" s="218" t="str">
        <f>IF(LEFT(_xll.BDS(Ticker,"PG_OPERATING_INCOME","PG_HIERARCHY_LEVEL=1","NUMBER_OF_PERIODS=-11","REVERSE_PERIOD_ORDER=N","PRODUCT_GEO_OVERRIDE=G","FUND_PER",RIGHT($B$11,1),"ACCOUNTING_STANDARD_OVERRIDE",$H$7,"EQY_CONSOLIDATED",$H$9,"EQY_FUND_CRNCY",$L$7,"StartCol",D$12,"EndCol",D$12,"StartRow",$B93,"EndRow",$B93),1)="#","",_xll.BDS(Ticker,"PG_OPERATING_INCOME","PG_HIERARCHY_LEVEL=1","NUMBER_OF_PERIODS=-11","REVERSE_PERIOD_ORDER=N","PRODUCT_GEO_OVERRIDE=G","FUND_PER",RIGHT($B$11,1),"ACCOUNTING_STANDARD_OVERRIDE",$H$7,"EQY_CONSOLIDATED",$H$9,"EQY_FUND_CRNCY",$L$7,"StartCol",D$12,"EndCol",D$12,"StartRow",$B93,"EndRow",$B93))</f>
        <v/>
      </c>
      <c r="E93" s="218" t="str">
        <f>IF(LEFT(_xll.BDS(Ticker,"PG_OPERATING_INCOME","PG_HIERARCHY_LEVEL=1","NUMBER_OF_PERIODS=-11","REVERSE_PERIOD_ORDER=N","PRODUCT_GEO_OVERRIDE=G","FUND_PER",RIGHT($B$11,1),"ACCOUNTING_STANDARD_OVERRIDE",$H$7,"EQY_CONSOLIDATED",$H$9,"EQY_FUND_CRNCY",$L$7,"StartCol",E$12,"EndCol",E$12,"StartRow",$B93,"EndRow",$B93),1)="#","",_xll.BDS(Ticker,"PG_OPERATING_INCOME","PG_HIERARCHY_LEVEL=1","NUMBER_OF_PERIODS=-11","REVERSE_PERIOD_ORDER=N","PRODUCT_GEO_OVERRIDE=G","FUND_PER",RIGHT($B$11,1),"ACCOUNTING_STANDARD_OVERRIDE",$H$7,"EQY_CONSOLIDATED",$H$9,"EQY_FUND_CRNCY",$L$7,"StartCol",E$12,"EndCol",E$12,"StartRow",$B93,"EndRow",$B93))</f>
        <v/>
      </c>
      <c r="F93" s="218" t="str">
        <f>IF(LEFT(_xll.BDS(Ticker,"PG_OPERATING_INCOME","PG_HIERARCHY_LEVEL=1","NUMBER_OF_PERIODS=-11","REVERSE_PERIOD_ORDER=N","PRODUCT_GEO_OVERRIDE=G","FUND_PER",RIGHT($B$11,1),"ACCOUNTING_STANDARD_OVERRIDE",$H$7,"EQY_CONSOLIDATED",$H$9,"EQY_FUND_CRNCY",$L$7,"StartCol",F$12,"EndCol",F$12,"StartRow",$B93,"EndRow",$B93),1)="#","",_xll.BDS(Ticker,"PG_OPERATING_INCOME","PG_HIERARCHY_LEVEL=1","NUMBER_OF_PERIODS=-11","REVERSE_PERIOD_ORDER=N","PRODUCT_GEO_OVERRIDE=G","FUND_PER",RIGHT($B$11,1),"ACCOUNTING_STANDARD_OVERRIDE",$H$7,"EQY_CONSOLIDATED",$H$9,"EQY_FUND_CRNCY",$L$7,"StartCol",F$12,"EndCol",F$12,"StartRow",$B93,"EndRow",$B93))</f>
        <v/>
      </c>
      <c r="G93" s="218" t="str">
        <f>IF(LEFT(_xll.BDS(Ticker,"PG_OPERATING_INCOME","PG_HIERARCHY_LEVEL=1","NUMBER_OF_PERIODS=-11","REVERSE_PERIOD_ORDER=N","PRODUCT_GEO_OVERRIDE=G","FUND_PER",RIGHT($B$11,1),"ACCOUNTING_STANDARD_OVERRIDE",$H$7,"EQY_CONSOLIDATED",$H$9,"EQY_FUND_CRNCY",$L$7,"StartCol",G$12,"EndCol",G$12,"StartRow",$B93,"EndRow",$B93),1)="#","",_xll.BDS(Ticker,"PG_OPERATING_INCOME","PG_HIERARCHY_LEVEL=1","NUMBER_OF_PERIODS=-11","REVERSE_PERIOD_ORDER=N","PRODUCT_GEO_OVERRIDE=G","FUND_PER",RIGHT($B$11,1),"ACCOUNTING_STANDARD_OVERRIDE",$H$7,"EQY_CONSOLIDATED",$H$9,"EQY_FUND_CRNCY",$L$7,"StartCol",G$12,"EndCol",G$12,"StartRow",$B93,"EndRow",$B93))</f>
        <v/>
      </c>
      <c r="H93" s="218" t="str">
        <f>IF(LEFT(_xll.BDS(Ticker,"PG_OPERATING_INCOME","PG_HIERARCHY_LEVEL=1","NUMBER_OF_PERIODS=-11","REVERSE_PERIOD_ORDER=N","PRODUCT_GEO_OVERRIDE=G","FUND_PER",RIGHT($B$11,1),"ACCOUNTING_STANDARD_OVERRIDE",$H$7,"EQY_CONSOLIDATED",$H$9,"EQY_FUND_CRNCY",$L$7,"StartCol",H$12,"EndCol",H$12,"StartRow",$B93,"EndRow",$B93),1)="#","",_xll.BDS(Ticker,"PG_OPERATING_INCOME","PG_HIERARCHY_LEVEL=1","NUMBER_OF_PERIODS=-11","REVERSE_PERIOD_ORDER=N","PRODUCT_GEO_OVERRIDE=G","FUND_PER",RIGHT($B$11,1),"ACCOUNTING_STANDARD_OVERRIDE",$H$7,"EQY_CONSOLIDATED",$H$9,"EQY_FUND_CRNCY",$L$7,"StartCol",H$12,"EndCol",H$12,"StartRow",$B93,"EndRow",$B93))</f>
        <v/>
      </c>
      <c r="I93" s="218" t="str">
        <f>IF(LEFT(_xll.BDS(Ticker,"PG_OPERATING_INCOME","PG_HIERARCHY_LEVEL=1","NUMBER_OF_PERIODS=-11","REVERSE_PERIOD_ORDER=N","PRODUCT_GEO_OVERRIDE=G","FUND_PER",RIGHT($B$11,1),"ACCOUNTING_STANDARD_OVERRIDE",$H$7,"EQY_CONSOLIDATED",$H$9,"EQY_FUND_CRNCY",$L$7,"StartCol",I$12,"EndCol",I$12,"StartRow",$B93,"EndRow",$B93),1)="#","",_xll.BDS(Ticker,"PG_OPERATING_INCOME","PG_HIERARCHY_LEVEL=1","NUMBER_OF_PERIODS=-11","REVERSE_PERIOD_ORDER=N","PRODUCT_GEO_OVERRIDE=G","FUND_PER",RIGHT($B$11,1),"ACCOUNTING_STANDARD_OVERRIDE",$H$7,"EQY_CONSOLIDATED",$H$9,"EQY_FUND_CRNCY",$L$7,"StartCol",I$12,"EndCol",I$12,"StartRow",$B93,"EndRow",$B93))</f>
        <v/>
      </c>
      <c r="J93" s="218" t="str">
        <f>IF(LEFT(_xll.BDS(Ticker,"PG_OPERATING_INCOME","PG_HIERARCHY_LEVEL=1","NUMBER_OF_PERIODS=-11","REVERSE_PERIOD_ORDER=N","PRODUCT_GEO_OVERRIDE=G","FUND_PER",RIGHT($B$11,1),"ACCOUNTING_STANDARD_OVERRIDE",$H$7,"EQY_CONSOLIDATED",$H$9,"EQY_FUND_CRNCY",$L$7,"StartCol",J$12,"EndCol",J$12,"StartRow",$B93,"EndRow",$B93),1)="#","",_xll.BDS(Ticker,"PG_OPERATING_INCOME","PG_HIERARCHY_LEVEL=1","NUMBER_OF_PERIODS=-11","REVERSE_PERIOD_ORDER=N","PRODUCT_GEO_OVERRIDE=G","FUND_PER",RIGHT($B$11,1),"ACCOUNTING_STANDARD_OVERRIDE",$H$7,"EQY_CONSOLIDATED",$H$9,"EQY_FUND_CRNCY",$L$7,"StartCol",J$12,"EndCol",J$12,"StartRow",$B93,"EndRow",$B93))</f>
        <v/>
      </c>
      <c r="K93" s="218" t="str">
        <f>IF(LEFT(_xll.BDS(Ticker,"PG_OPERATING_INCOME","PG_HIERARCHY_LEVEL=1","NUMBER_OF_PERIODS=-11","REVERSE_PERIOD_ORDER=N","PRODUCT_GEO_OVERRIDE=G","FUND_PER",RIGHT($B$11,1),"ACCOUNTING_STANDARD_OVERRIDE",$H$7,"EQY_CONSOLIDATED",$H$9,"EQY_FUND_CRNCY",$L$7,"StartCol",K$12,"EndCol",K$12,"StartRow",$B93,"EndRow",$B93),1)="#","",_xll.BDS(Ticker,"PG_OPERATING_INCOME","PG_HIERARCHY_LEVEL=1","NUMBER_OF_PERIODS=-11","REVERSE_PERIOD_ORDER=N","PRODUCT_GEO_OVERRIDE=G","FUND_PER",RIGHT($B$11,1),"ACCOUNTING_STANDARD_OVERRIDE",$H$7,"EQY_CONSOLIDATED",$H$9,"EQY_FUND_CRNCY",$L$7,"StartCol",K$12,"EndCol",K$12,"StartRow",$B93,"EndRow",$B93))</f>
        <v/>
      </c>
      <c r="L93" s="218" t="str">
        <f>IF(LEFT(_xll.BDS(Ticker,"PG_OPERATING_INCOME","PG_HIERARCHY_LEVEL=1","NUMBER_OF_PERIODS=-11","REVERSE_PERIOD_ORDER=N","PRODUCT_GEO_OVERRIDE=G","FUND_PER",RIGHT($B$11,1),"ACCOUNTING_STANDARD_OVERRIDE",$H$7,"EQY_CONSOLIDATED",$H$9,"EQY_FUND_CRNCY",$L$7,"StartCol",L$12,"EndCol",L$12,"StartRow",$B93,"EndRow",$B93),1)="#","",_xll.BDS(Ticker,"PG_OPERATING_INCOME","PG_HIERARCHY_LEVEL=1","NUMBER_OF_PERIODS=-11","REVERSE_PERIOD_ORDER=N","PRODUCT_GEO_OVERRIDE=G","FUND_PER",RIGHT($B$11,1),"ACCOUNTING_STANDARD_OVERRIDE",$H$7,"EQY_CONSOLIDATED",$H$9,"EQY_FUND_CRNCY",$L$7,"StartCol",L$12,"EndCol",L$12,"StartRow",$B93,"EndRow",$B93))</f>
        <v/>
      </c>
      <c r="M93" s="218" t="str">
        <f>IF(LEFT(_xll.BDS(Ticker,"PG_OPERATING_INCOME","PG_HIERARCHY_LEVEL=1","NUMBER_OF_PERIODS=-11","REVERSE_PERIOD_ORDER=N","PRODUCT_GEO_OVERRIDE=G","FUND_PER",RIGHT($B$11,1),"ACCOUNTING_STANDARD_OVERRIDE",$H$7,"EQY_CONSOLIDATED",$H$9,"EQY_FUND_CRNCY",$L$7,"StartCol",M$12,"EndCol",M$12,"StartRow",$B93,"EndRow",$B93),1)="#","",_xll.BDS(Ticker,"PG_OPERATING_INCOME","PG_HIERARCHY_LEVEL=1","NUMBER_OF_PERIODS=-11","REVERSE_PERIOD_ORDER=N","PRODUCT_GEO_OVERRIDE=G","FUND_PER",RIGHT($B$11,1),"ACCOUNTING_STANDARD_OVERRIDE",$H$7,"EQY_CONSOLIDATED",$H$9,"EQY_FUND_CRNCY",$L$7,"StartCol",M$12,"EndCol",M$12,"StartRow",$B93,"EndRow",$B93))</f>
        <v/>
      </c>
      <c r="N93" s="218" t="str">
        <f>IF(LEFT(_xll.BDS(Ticker,"PG_OPERATING_INCOME","PG_HIERARCHY_LEVEL=1","NUMBER_OF_PERIODS=-11","REVERSE_PERIOD_ORDER=N","PRODUCT_GEO_OVERRIDE=G","FUND_PER",RIGHT($B$11,1),"ACCOUNTING_STANDARD_OVERRIDE",$H$7,"EQY_CONSOLIDATED",$H$9,"EQY_FUND_CRNCY",$L$7,"StartCol",N$12,"EndCol",N$12,"StartRow",$B93,"EndRow",$B93),1)="#","",_xll.BDS(Ticker,"PG_OPERATING_INCOME","PG_HIERARCHY_LEVEL=1","NUMBER_OF_PERIODS=-11","REVERSE_PERIOD_ORDER=N","PRODUCT_GEO_OVERRIDE=G","FUND_PER",RIGHT($B$11,1),"ACCOUNTING_STANDARD_OVERRIDE",$H$7,"EQY_CONSOLIDATED",$H$9,"EQY_FUND_CRNCY",$L$7,"StartCol",N$12,"EndCol",N$12,"StartRow",$B93,"EndRow",$B93))</f>
        <v/>
      </c>
    </row>
    <row r="94" spans="2:14" hidden="1" outlineLevel="1">
      <c r="B94" s="214">
        <v>6</v>
      </c>
      <c r="C94" s="216" t="str">
        <f>IF(LEFT(_xll.BDS(Ticker,"PG_OPERATING_INCOME","PG_HIERARCHY_LEVEL=1","NUMBER_OF_PERIODS=-11","REVERSE_PERIOD_ORDER=N","PRODUCT_GEO_OVERRIDE=G","FUND_PER",RIGHT($B$11,1),"ACCOUNTING_STANDARD_OVERRIDE",$H$7,"EQY_CONSOLIDATED",$H$9,"EQY_FUND_CRNCY",$L$7,"StartCol",C$12,"EndCol",C$12,"StartRow",$B94,"EndRow",$B94),1)="#","",_xll.BDS(Ticker,"PG_OPERATING_INCOME","PG_HIERARCHY_LEVEL=1","NUMBER_OF_PERIODS=-11","REVERSE_PERIOD_ORDER=N","PRODUCT_GEO_OVERRIDE=G","FUND_PER",RIGHT($B$11,1),"ACCOUNTING_STANDARD_OVERRIDE",$H$7,"EQY_CONSOLIDATED",$H$9,"EQY_FUND_CRNCY",$L$7,"StartCol",C$12,"EndCol",C$12,"StartRow",$B94,"EndRow",$B94))</f>
        <v/>
      </c>
      <c r="D94" s="218" t="str">
        <f>IF(LEFT(_xll.BDS(Ticker,"PG_OPERATING_INCOME","PG_HIERARCHY_LEVEL=1","NUMBER_OF_PERIODS=-11","REVERSE_PERIOD_ORDER=N","PRODUCT_GEO_OVERRIDE=G","FUND_PER",RIGHT($B$11,1),"ACCOUNTING_STANDARD_OVERRIDE",$H$7,"EQY_CONSOLIDATED",$H$9,"EQY_FUND_CRNCY",$L$7,"StartCol",D$12,"EndCol",D$12,"StartRow",$B94,"EndRow",$B94),1)="#","",_xll.BDS(Ticker,"PG_OPERATING_INCOME","PG_HIERARCHY_LEVEL=1","NUMBER_OF_PERIODS=-11","REVERSE_PERIOD_ORDER=N","PRODUCT_GEO_OVERRIDE=G","FUND_PER",RIGHT($B$11,1),"ACCOUNTING_STANDARD_OVERRIDE",$H$7,"EQY_CONSOLIDATED",$H$9,"EQY_FUND_CRNCY",$L$7,"StartCol",D$12,"EndCol",D$12,"StartRow",$B94,"EndRow",$B94))</f>
        <v/>
      </c>
      <c r="E94" s="218" t="str">
        <f>IF(LEFT(_xll.BDS(Ticker,"PG_OPERATING_INCOME","PG_HIERARCHY_LEVEL=1","NUMBER_OF_PERIODS=-11","REVERSE_PERIOD_ORDER=N","PRODUCT_GEO_OVERRIDE=G","FUND_PER",RIGHT($B$11,1),"ACCOUNTING_STANDARD_OVERRIDE",$H$7,"EQY_CONSOLIDATED",$H$9,"EQY_FUND_CRNCY",$L$7,"StartCol",E$12,"EndCol",E$12,"StartRow",$B94,"EndRow",$B94),1)="#","",_xll.BDS(Ticker,"PG_OPERATING_INCOME","PG_HIERARCHY_LEVEL=1","NUMBER_OF_PERIODS=-11","REVERSE_PERIOD_ORDER=N","PRODUCT_GEO_OVERRIDE=G","FUND_PER",RIGHT($B$11,1),"ACCOUNTING_STANDARD_OVERRIDE",$H$7,"EQY_CONSOLIDATED",$H$9,"EQY_FUND_CRNCY",$L$7,"StartCol",E$12,"EndCol",E$12,"StartRow",$B94,"EndRow",$B94))</f>
        <v/>
      </c>
      <c r="F94" s="218" t="str">
        <f>IF(LEFT(_xll.BDS(Ticker,"PG_OPERATING_INCOME","PG_HIERARCHY_LEVEL=1","NUMBER_OF_PERIODS=-11","REVERSE_PERIOD_ORDER=N","PRODUCT_GEO_OVERRIDE=G","FUND_PER",RIGHT($B$11,1),"ACCOUNTING_STANDARD_OVERRIDE",$H$7,"EQY_CONSOLIDATED",$H$9,"EQY_FUND_CRNCY",$L$7,"StartCol",F$12,"EndCol",F$12,"StartRow",$B94,"EndRow",$B94),1)="#","",_xll.BDS(Ticker,"PG_OPERATING_INCOME","PG_HIERARCHY_LEVEL=1","NUMBER_OF_PERIODS=-11","REVERSE_PERIOD_ORDER=N","PRODUCT_GEO_OVERRIDE=G","FUND_PER",RIGHT($B$11,1),"ACCOUNTING_STANDARD_OVERRIDE",$H$7,"EQY_CONSOLIDATED",$H$9,"EQY_FUND_CRNCY",$L$7,"StartCol",F$12,"EndCol",F$12,"StartRow",$B94,"EndRow",$B94))</f>
        <v/>
      </c>
      <c r="G94" s="218" t="str">
        <f>IF(LEFT(_xll.BDS(Ticker,"PG_OPERATING_INCOME","PG_HIERARCHY_LEVEL=1","NUMBER_OF_PERIODS=-11","REVERSE_PERIOD_ORDER=N","PRODUCT_GEO_OVERRIDE=G","FUND_PER",RIGHT($B$11,1),"ACCOUNTING_STANDARD_OVERRIDE",$H$7,"EQY_CONSOLIDATED",$H$9,"EQY_FUND_CRNCY",$L$7,"StartCol",G$12,"EndCol",G$12,"StartRow",$B94,"EndRow",$B94),1)="#","",_xll.BDS(Ticker,"PG_OPERATING_INCOME","PG_HIERARCHY_LEVEL=1","NUMBER_OF_PERIODS=-11","REVERSE_PERIOD_ORDER=N","PRODUCT_GEO_OVERRIDE=G","FUND_PER",RIGHT($B$11,1),"ACCOUNTING_STANDARD_OVERRIDE",$H$7,"EQY_CONSOLIDATED",$H$9,"EQY_FUND_CRNCY",$L$7,"StartCol",G$12,"EndCol",G$12,"StartRow",$B94,"EndRow",$B94))</f>
        <v/>
      </c>
      <c r="H94" s="218" t="str">
        <f>IF(LEFT(_xll.BDS(Ticker,"PG_OPERATING_INCOME","PG_HIERARCHY_LEVEL=1","NUMBER_OF_PERIODS=-11","REVERSE_PERIOD_ORDER=N","PRODUCT_GEO_OVERRIDE=G","FUND_PER",RIGHT($B$11,1),"ACCOUNTING_STANDARD_OVERRIDE",$H$7,"EQY_CONSOLIDATED",$H$9,"EQY_FUND_CRNCY",$L$7,"StartCol",H$12,"EndCol",H$12,"StartRow",$B94,"EndRow",$B94),1)="#","",_xll.BDS(Ticker,"PG_OPERATING_INCOME","PG_HIERARCHY_LEVEL=1","NUMBER_OF_PERIODS=-11","REVERSE_PERIOD_ORDER=N","PRODUCT_GEO_OVERRIDE=G","FUND_PER",RIGHT($B$11,1),"ACCOUNTING_STANDARD_OVERRIDE",$H$7,"EQY_CONSOLIDATED",$H$9,"EQY_FUND_CRNCY",$L$7,"StartCol",H$12,"EndCol",H$12,"StartRow",$B94,"EndRow",$B94))</f>
        <v/>
      </c>
      <c r="I94" s="218" t="str">
        <f>IF(LEFT(_xll.BDS(Ticker,"PG_OPERATING_INCOME","PG_HIERARCHY_LEVEL=1","NUMBER_OF_PERIODS=-11","REVERSE_PERIOD_ORDER=N","PRODUCT_GEO_OVERRIDE=G","FUND_PER",RIGHT($B$11,1),"ACCOUNTING_STANDARD_OVERRIDE",$H$7,"EQY_CONSOLIDATED",$H$9,"EQY_FUND_CRNCY",$L$7,"StartCol",I$12,"EndCol",I$12,"StartRow",$B94,"EndRow",$B94),1)="#","",_xll.BDS(Ticker,"PG_OPERATING_INCOME","PG_HIERARCHY_LEVEL=1","NUMBER_OF_PERIODS=-11","REVERSE_PERIOD_ORDER=N","PRODUCT_GEO_OVERRIDE=G","FUND_PER",RIGHT($B$11,1),"ACCOUNTING_STANDARD_OVERRIDE",$H$7,"EQY_CONSOLIDATED",$H$9,"EQY_FUND_CRNCY",$L$7,"StartCol",I$12,"EndCol",I$12,"StartRow",$B94,"EndRow",$B94))</f>
        <v/>
      </c>
      <c r="J94" s="218" t="str">
        <f>IF(LEFT(_xll.BDS(Ticker,"PG_OPERATING_INCOME","PG_HIERARCHY_LEVEL=1","NUMBER_OF_PERIODS=-11","REVERSE_PERIOD_ORDER=N","PRODUCT_GEO_OVERRIDE=G","FUND_PER",RIGHT($B$11,1),"ACCOUNTING_STANDARD_OVERRIDE",$H$7,"EQY_CONSOLIDATED",$H$9,"EQY_FUND_CRNCY",$L$7,"StartCol",J$12,"EndCol",J$12,"StartRow",$B94,"EndRow",$B94),1)="#","",_xll.BDS(Ticker,"PG_OPERATING_INCOME","PG_HIERARCHY_LEVEL=1","NUMBER_OF_PERIODS=-11","REVERSE_PERIOD_ORDER=N","PRODUCT_GEO_OVERRIDE=G","FUND_PER",RIGHT($B$11,1),"ACCOUNTING_STANDARD_OVERRIDE",$H$7,"EQY_CONSOLIDATED",$H$9,"EQY_FUND_CRNCY",$L$7,"StartCol",J$12,"EndCol",J$12,"StartRow",$B94,"EndRow",$B94))</f>
        <v/>
      </c>
      <c r="K94" s="218" t="str">
        <f>IF(LEFT(_xll.BDS(Ticker,"PG_OPERATING_INCOME","PG_HIERARCHY_LEVEL=1","NUMBER_OF_PERIODS=-11","REVERSE_PERIOD_ORDER=N","PRODUCT_GEO_OVERRIDE=G","FUND_PER",RIGHT($B$11,1),"ACCOUNTING_STANDARD_OVERRIDE",$H$7,"EQY_CONSOLIDATED",$H$9,"EQY_FUND_CRNCY",$L$7,"StartCol",K$12,"EndCol",K$12,"StartRow",$B94,"EndRow",$B94),1)="#","",_xll.BDS(Ticker,"PG_OPERATING_INCOME","PG_HIERARCHY_LEVEL=1","NUMBER_OF_PERIODS=-11","REVERSE_PERIOD_ORDER=N","PRODUCT_GEO_OVERRIDE=G","FUND_PER",RIGHT($B$11,1),"ACCOUNTING_STANDARD_OVERRIDE",$H$7,"EQY_CONSOLIDATED",$H$9,"EQY_FUND_CRNCY",$L$7,"StartCol",K$12,"EndCol",K$12,"StartRow",$B94,"EndRow",$B94))</f>
        <v/>
      </c>
      <c r="L94" s="218" t="str">
        <f>IF(LEFT(_xll.BDS(Ticker,"PG_OPERATING_INCOME","PG_HIERARCHY_LEVEL=1","NUMBER_OF_PERIODS=-11","REVERSE_PERIOD_ORDER=N","PRODUCT_GEO_OVERRIDE=G","FUND_PER",RIGHT($B$11,1),"ACCOUNTING_STANDARD_OVERRIDE",$H$7,"EQY_CONSOLIDATED",$H$9,"EQY_FUND_CRNCY",$L$7,"StartCol",L$12,"EndCol",L$12,"StartRow",$B94,"EndRow",$B94),1)="#","",_xll.BDS(Ticker,"PG_OPERATING_INCOME","PG_HIERARCHY_LEVEL=1","NUMBER_OF_PERIODS=-11","REVERSE_PERIOD_ORDER=N","PRODUCT_GEO_OVERRIDE=G","FUND_PER",RIGHT($B$11,1),"ACCOUNTING_STANDARD_OVERRIDE",$H$7,"EQY_CONSOLIDATED",$H$9,"EQY_FUND_CRNCY",$L$7,"StartCol",L$12,"EndCol",L$12,"StartRow",$B94,"EndRow",$B94))</f>
        <v/>
      </c>
      <c r="M94" s="218" t="str">
        <f>IF(LEFT(_xll.BDS(Ticker,"PG_OPERATING_INCOME","PG_HIERARCHY_LEVEL=1","NUMBER_OF_PERIODS=-11","REVERSE_PERIOD_ORDER=N","PRODUCT_GEO_OVERRIDE=G","FUND_PER",RIGHT($B$11,1),"ACCOUNTING_STANDARD_OVERRIDE",$H$7,"EQY_CONSOLIDATED",$H$9,"EQY_FUND_CRNCY",$L$7,"StartCol",M$12,"EndCol",M$12,"StartRow",$B94,"EndRow",$B94),1)="#","",_xll.BDS(Ticker,"PG_OPERATING_INCOME","PG_HIERARCHY_LEVEL=1","NUMBER_OF_PERIODS=-11","REVERSE_PERIOD_ORDER=N","PRODUCT_GEO_OVERRIDE=G","FUND_PER",RIGHT($B$11,1),"ACCOUNTING_STANDARD_OVERRIDE",$H$7,"EQY_CONSOLIDATED",$H$9,"EQY_FUND_CRNCY",$L$7,"StartCol",M$12,"EndCol",M$12,"StartRow",$B94,"EndRow",$B94))</f>
        <v/>
      </c>
      <c r="N94" s="218" t="str">
        <f>IF(LEFT(_xll.BDS(Ticker,"PG_OPERATING_INCOME","PG_HIERARCHY_LEVEL=1","NUMBER_OF_PERIODS=-11","REVERSE_PERIOD_ORDER=N","PRODUCT_GEO_OVERRIDE=G","FUND_PER",RIGHT($B$11,1),"ACCOUNTING_STANDARD_OVERRIDE",$H$7,"EQY_CONSOLIDATED",$H$9,"EQY_FUND_CRNCY",$L$7,"StartCol",N$12,"EndCol",N$12,"StartRow",$B94,"EndRow",$B94),1)="#","",_xll.BDS(Ticker,"PG_OPERATING_INCOME","PG_HIERARCHY_LEVEL=1","NUMBER_OF_PERIODS=-11","REVERSE_PERIOD_ORDER=N","PRODUCT_GEO_OVERRIDE=G","FUND_PER",RIGHT($B$11,1),"ACCOUNTING_STANDARD_OVERRIDE",$H$7,"EQY_CONSOLIDATED",$H$9,"EQY_FUND_CRNCY",$L$7,"StartCol",N$12,"EndCol",N$12,"StartRow",$B94,"EndRow",$B94))</f>
        <v/>
      </c>
    </row>
    <row r="95" spans="2:14" hidden="1" outlineLevel="1">
      <c r="B95" s="214">
        <v>7</v>
      </c>
      <c r="C95" s="216" t="str">
        <f>IF(LEFT(_xll.BDS(Ticker,"PG_OPERATING_INCOME","PG_HIERARCHY_LEVEL=1","NUMBER_OF_PERIODS=-11","REVERSE_PERIOD_ORDER=N","PRODUCT_GEO_OVERRIDE=G","FUND_PER",RIGHT($B$11,1),"ACCOUNTING_STANDARD_OVERRIDE",$H$7,"EQY_CONSOLIDATED",$H$9,"EQY_FUND_CRNCY",$L$7,"StartCol",C$12,"EndCol",C$12,"StartRow",$B95,"EndRow",$B95),1)="#","",_xll.BDS(Ticker,"PG_OPERATING_INCOME","PG_HIERARCHY_LEVEL=1","NUMBER_OF_PERIODS=-11","REVERSE_PERIOD_ORDER=N","PRODUCT_GEO_OVERRIDE=G","FUND_PER",RIGHT($B$11,1),"ACCOUNTING_STANDARD_OVERRIDE",$H$7,"EQY_CONSOLIDATED",$H$9,"EQY_FUND_CRNCY",$L$7,"StartCol",C$12,"EndCol",C$12,"StartRow",$B95,"EndRow",$B95))</f>
        <v/>
      </c>
      <c r="D95" s="218" t="str">
        <f>IF(LEFT(_xll.BDS(Ticker,"PG_OPERATING_INCOME","PG_HIERARCHY_LEVEL=1","NUMBER_OF_PERIODS=-11","REVERSE_PERIOD_ORDER=N","PRODUCT_GEO_OVERRIDE=G","FUND_PER",RIGHT($B$11,1),"ACCOUNTING_STANDARD_OVERRIDE",$H$7,"EQY_CONSOLIDATED",$H$9,"EQY_FUND_CRNCY",$L$7,"StartCol",D$12,"EndCol",D$12,"StartRow",$B95,"EndRow",$B95),1)="#","",_xll.BDS(Ticker,"PG_OPERATING_INCOME","PG_HIERARCHY_LEVEL=1","NUMBER_OF_PERIODS=-11","REVERSE_PERIOD_ORDER=N","PRODUCT_GEO_OVERRIDE=G","FUND_PER",RIGHT($B$11,1),"ACCOUNTING_STANDARD_OVERRIDE",$H$7,"EQY_CONSOLIDATED",$H$9,"EQY_FUND_CRNCY",$L$7,"StartCol",D$12,"EndCol",D$12,"StartRow",$B95,"EndRow",$B95))</f>
        <v/>
      </c>
      <c r="E95" s="218" t="str">
        <f>IF(LEFT(_xll.BDS(Ticker,"PG_OPERATING_INCOME","PG_HIERARCHY_LEVEL=1","NUMBER_OF_PERIODS=-11","REVERSE_PERIOD_ORDER=N","PRODUCT_GEO_OVERRIDE=G","FUND_PER",RIGHT($B$11,1),"ACCOUNTING_STANDARD_OVERRIDE",$H$7,"EQY_CONSOLIDATED",$H$9,"EQY_FUND_CRNCY",$L$7,"StartCol",E$12,"EndCol",E$12,"StartRow",$B95,"EndRow",$B95),1)="#","",_xll.BDS(Ticker,"PG_OPERATING_INCOME","PG_HIERARCHY_LEVEL=1","NUMBER_OF_PERIODS=-11","REVERSE_PERIOD_ORDER=N","PRODUCT_GEO_OVERRIDE=G","FUND_PER",RIGHT($B$11,1),"ACCOUNTING_STANDARD_OVERRIDE",$H$7,"EQY_CONSOLIDATED",$H$9,"EQY_FUND_CRNCY",$L$7,"StartCol",E$12,"EndCol",E$12,"StartRow",$B95,"EndRow",$B95))</f>
        <v/>
      </c>
      <c r="F95" s="218" t="str">
        <f>IF(LEFT(_xll.BDS(Ticker,"PG_OPERATING_INCOME","PG_HIERARCHY_LEVEL=1","NUMBER_OF_PERIODS=-11","REVERSE_PERIOD_ORDER=N","PRODUCT_GEO_OVERRIDE=G","FUND_PER",RIGHT($B$11,1),"ACCOUNTING_STANDARD_OVERRIDE",$H$7,"EQY_CONSOLIDATED",$H$9,"EQY_FUND_CRNCY",$L$7,"StartCol",F$12,"EndCol",F$12,"StartRow",$B95,"EndRow",$B95),1)="#","",_xll.BDS(Ticker,"PG_OPERATING_INCOME","PG_HIERARCHY_LEVEL=1","NUMBER_OF_PERIODS=-11","REVERSE_PERIOD_ORDER=N","PRODUCT_GEO_OVERRIDE=G","FUND_PER",RIGHT($B$11,1),"ACCOUNTING_STANDARD_OVERRIDE",$H$7,"EQY_CONSOLIDATED",$H$9,"EQY_FUND_CRNCY",$L$7,"StartCol",F$12,"EndCol",F$12,"StartRow",$B95,"EndRow",$B95))</f>
        <v/>
      </c>
      <c r="G95" s="218" t="str">
        <f>IF(LEFT(_xll.BDS(Ticker,"PG_OPERATING_INCOME","PG_HIERARCHY_LEVEL=1","NUMBER_OF_PERIODS=-11","REVERSE_PERIOD_ORDER=N","PRODUCT_GEO_OVERRIDE=G","FUND_PER",RIGHT($B$11,1),"ACCOUNTING_STANDARD_OVERRIDE",$H$7,"EQY_CONSOLIDATED",$H$9,"EQY_FUND_CRNCY",$L$7,"StartCol",G$12,"EndCol",G$12,"StartRow",$B95,"EndRow",$B95),1)="#","",_xll.BDS(Ticker,"PG_OPERATING_INCOME","PG_HIERARCHY_LEVEL=1","NUMBER_OF_PERIODS=-11","REVERSE_PERIOD_ORDER=N","PRODUCT_GEO_OVERRIDE=G","FUND_PER",RIGHT($B$11,1),"ACCOUNTING_STANDARD_OVERRIDE",$H$7,"EQY_CONSOLIDATED",$H$9,"EQY_FUND_CRNCY",$L$7,"StartCol",G$12,"EndCol",G$12,"StartRow",$B95,"EndRow",$B95))</f>
        <v/>
      </c>
      <c r="H95" s="218" t="str">
        <f>IF(LEFT(_xll.BDS(Ticker,"PG_OPERATING_INCOME","PG_HIERARCHY_LEVEL=1","NUMBER_OF_PERIODS=-11","REVERSE_PERIOD_ORDER=N","PRODUCT_GEO_OVERRIDE=G","FUND_PER",RIGHT($B$11,1),"ACCOUNTING_STANDARD_OVERRIDE",$H$7,"EQY_CONSOLIDATED",$H$9,"EQY_FUND_CRNCY",$L$7,"StartCol",H$12,"EndCol",H$12,"StartRow",$B95,"EndRow",$B95),1)="#","",_xll.BDS(Ticker,"PG_OPERATING_INCOME","PG_HIERARCHY_LEVEL=1","NUMBER_OF_PERIODS=-11","REVERSE_PERIOD_ORDER=N","PRODUCT_GEO_OVERRIDE=G","FUND_PER",RIGHT($B$11,1),"ACCOUNTING_STANDARD_OVERRIDE",$H$7,"EQY_CONSOLIDATED",$H$9,"EQY_FUND_CRNCY",$L$7,"StartCol",H$12,"EndCol",H$12,"StartRow",$B95,"EndRow",$B95))</f>
        <v/>
      </c>
      <c r="I95" s="218" t="str">
        <f>IF(LEFT(_xll.BDS(Ticker,"PG_OPERATING_INCOME","PG_HIERARCHY_LEVEL=1","NUMBER_OF_PERIODS=-11","REVERSE_PERIOD_ORDER=N","PRODUCT_GEO_OVERRIDE=G","FUND_PER",RIGHT($B$11,1),"ACCOUNTING_STANDARD_OVERRIDE",$H$7,"EQY_CONSOLIDATED",$H$9,"EQY_FUND_CRNCY",$L$7,"StartCol",I$12,"EndCol",I$12,"StartRow",$B95,"EndRow",$B95),1)="#","",_xll.BDS(Ticker,"PG_OPERATING_INCOME","PG_HIERARCHY_LEVEL=1","NUMBER_OF_PERIODS=-11","REVERSE_PERIOD_ORDER=N","PRODUCT_GEO_OVERRIDE=G","FUND_PER",RIGHT($B$11,1),"ACCOUNTING_STANDARD_OVERRIDE",$H$7,"EQY_CONSOLIDATED",$H$9,"EQY_FUND_CRNCY",$L$7,"StartCol",I$12,"EndCol",I$12,"StartRow",$B95,"EndRow",$B95))</f>
        <v/>
      </c>
      <c r="J95" s="218" t="str">
        <f>IF(LEFT(_xll.BDS(Ticker,"PG_OPERATING_INCOME","PG_HIERARCHY_LEVEL=1","NUMBER_OF_PERIODS=-11","REVERSE_PERIOD_ORDER=N","PRODUCT_GEO_OVERRIDE=G","FUND_PER",RIGHT($B$11,1),"ACCOUNTING_STANDARD_OVERRIDE",$H$7,"EQY_CONSOLIDATED",$H$9,"EQY_FUND_CRNCY",$L$7,"StartCol",J$12,"EndCol",J$12,"StartRow",$B95,"EndRow",$B95),1)="#","",_xll.BDS(Ticker,"PG_OPERATING_INCOME","PG_HIERARCHY_LEVEL=1","NUMBER_OF_PERIODS=-11","REVERSE_PERIOD_ORDER=N","PRODUCT_GEO_OVERRIDE=G","FUND_PER",RIGHT($B$11,1),"ACCOUNTING_STANDARD_OVERRIDE",$H$7,"EQY_CONSOLIDATED",$H$9,"EQY_FUND_CRNCY",$L$7,"StartCol",J$12,"EndCol",J$12,"StartRow",$B95,"EndRow",$B95))</f>
        <v/>
      </c>
      <c r="K95" s="218" t="str">
        <f>IF(LEFT(_xll.BDS(Ticker,"PG_OPERATING_INCOME","PG_HIERARCHY_LEVEL=1","NUMBER_OF_PERIODS=-11","REVERSE_PERIOD_ORDER=N","PRODUCT_GEO_OVERRIDE=G","FUND_PER",RIGHT($B$11,1),"ACCOUNTING_STANDARD_OVERRIDE",$H$7,"EQY_CONSOLIDATED",$H$9,"EQY_FUND_CRNCY",$L$7,"StartCol",K$12,"EndCol",K$12,"StartRow",$B95,"EndRow",$B95),1)="#","",_xll.BDS(Ticker,"PG_OPERATING_INCOME","PG_HIERARCHY_LEVEL=1","NUMBER_OF_PERIODS=-11","REVERSE_PERIOD_ORDER=N","PRODUCT_GEO_OVERRIDE=G","FUND_PER",RIGHT($B$11,1),"ACCOUNTING_STANDARD_OVERRIDE",$H$7,"EQY_CONSOLIDATED",$H$9,"EQY_FUND_CRNCY",$L$7,"StartCol",K$12,"EndCol",K$12,"StartRow",$B95,"EndRow",$B95))</f>
        <v/>
      </c>
      <c r="L95" s="218" t="str">
        <f>IF(LEFT(_xll.BDS(Ticker,"PG_OPERATING_INCOME","PG_HIERARCHY_LEVEL=1","NUMBER_OF_PERIODS=-11","REVERSE_PERIOD_ORDER=N","PRODUCT_GEO_OVERRIDE=G","FUND_PER",RIGHT($B$11,1),"ACCOUNTING_STANDARD_OVERRIDE",$H$7,"EQY_CONSOLIDATED",$H$9,"EQY_FUND_CRNCY",$L$7,"StartCol",L$12,"EndCol",L$12,"StartRow",$B95,"EndRow",$B95),1)="#","",_xll.BDS(Ticker,"PG_OPERATING_INCOME","PG_HIERARCHY_LEVEL=1","NUMBER_OF_PERIODS=-11","REVERSE_PERIOD_ORDER=N","PRODUCT_GEO_OVERRIDE=G","FUND_PER",RIGHT($B$11,1),"ACCOUNTING_STANDARD_OVERRIDE",$H$7,"EQY_CONSOLIDATED",$H$9,"EQY_FUND_CRNCY",$L$7,"StartCol",L$12,"EndCol",L$12,"StartRow",$B95,"EndRow",$B95))</f>
        <v/>
      </c>
      <c r="M95" s="218" t="str">
        <f>IF(LEFT(_xll.BDS(Ticker,"PG_OPERATING_INCOME","PG_HIERARCHY_LEVEL=1","NUMBER_OF_PERIODS=-11","REVERSE_PERIOD_ORDER=N","PRODUCT_GEO_OVERRIDE=G","FUND_PER",RIGHT($B$11,1),"ACCOUNTING_STANDARD_OVERRIDE",$H$7,"EQY_CONSOLIDATED",$H$9,"EQY_FUND_CRNCY",$L$7,"StartCol",M$12,"EndCol",M$12,"StartRow",$B95,"EndRow",$B95),1)="#","",_xll.BDS(Ticker,"PG_OPERATING_INCOME","PG_HIERARCHY_LEVEL=1","NUMBER_OF_PERIODS=-11","REVERSE_PERIOD_ORDER=N","PRODUCT_GEO_OVERRIDE=G","FUND_PER",RIGHT($B$11,1),"ACCOUNTING_STANDARD_OVERRIDE",$H$7,"EQY_CONSOLIDATED",$H$9,"EQY_FUND_CRNCY",$L$7,"StartCol",M$12,"EndCol",M$12,"StartRow",$B95,"EndRow",$B95))</f>
        <v/>
      </c>
      <c r="N95" s="218" t="str">
        <f>IF(LEFT(_xll.BDS(Ticker,"PG_OPERATING_INCOME","PG_HIERARCHY_LEVEL=1","NUMBER_OF_PERIODS=-11","REVERSE_PERIOD_ORDER=N","PRODUCT_GEO_OVERRIDE=G","FUND_PER",RIGHT($B$11,1),"ACCOUNTING_STANDARD_OVERRIDE",$H$7,"EQY_CONSOLIDATED",$H$9,"EQY_FUND_CRNCY",$L$7,"StartCol",N$12,"EndCol",N$12,"StartRow",$B95,"EndRow",$B95),1)="#","",_xll.BDS(Ticker,"PG_OPERATING_INCOME","PG_HIERARCHY_LEVEL=1","NUMBER_OF_PERIODS=-11","REVERSE_PERIOD_ORDER=N","PRODUCT_GEO_OVERRIDE=G","FUND_PER",RIGHT($B$11,1),"ACCOUNTING_STANDARD_OVERRIDE",$H$7,"EQY_CONSOLIDATED",$H$9,"EQY_FUND_CRNCY",$L$7,"StartCol",N$12,"EndCol",N$12,"StartRow",$B95,"EndRow",$B95))</f>
        <v/>
      </c>
    </row>
    <row r="96" spans="2:14" hidden="1" outlineLevel="1">
      <c r="B96" s="214">
        <v>8</v>
      </c>
      <c r="C96" s="216" t="str">
        <f>IF(LEFT(_xll.BDS(Ticker,"PG_OPERATING_INCOME","PG_HIERARCHY_LEVEL=1","NUMBER_OF_PERIODS=-11","REVERSE_PERIOD_ORDER=N","PRODUCT_GEO_OVERRIDE=G","FUND_PER",RIGHT($B$11,1),"ACCOUNTING_STANDARD_OVERRIDE",$H$7,"EQY_CONSOLIDATED",$H$9,"EQY_FUND_CRNCY",$L$7,"StartCol",C$12,"EndCol",C$12,"StartRow",$B96,"EndRow",$B96),1)="#","",_xll.BDS(Ticker,"PG_OPERATING_INCOME","PG_HIERARCHY_LEVEL=1","NUMBER_OF_PERIODS=-11","REVERSE_PERIOD_ORDER=N","PRODUCT_GEO_OVERRIDE=G","FUND_PER",RIGHT($B$11,1),"ACCOUNTING_STANDARD_OVERRIDE",$H$7,"EQY_CONSOLIDATED",$H$9,"EQY_FUND_CRNCY",$L$7,"StartCol",C$12,"EndCol",C$12,"StartRow",$B96,"EndRow",$B96))</f>
        <v/>
      </c>
      <c r="D96" s="218" t="str">
        <f>IF(LEFT(_xll.BDS(Ticker,"PG_OPERATING_INCOME","PG_HIERARCHY_LEVEL=1","NUMBER_OF_PERIODS=-11","REVERSE_PERIOD_ORDER=N","PRODUCT_GEO_OVERRIDE=G","FUND_PER",RIGHT($B$11,1),"ACCOUNTING_STANDARD_OVERRIDE",$H$7,"EQY_CONSOLIDATED",$H$9,"EQY_FUND_CRNCY",$L$7,"StartCol",D$12,"EndCol",D$12,"StartRow",$B96,"EndRow",$B96),1)="#","",_xll.BDS(Ticker,"PG_OPERATING_INCOME","PG_HIERARCHY_LEVEL=1","NUMBER_OF_PERIODS=-11","REVERSE_PERIOD_ORDER=N","PRODUCT_GEO_OVERRIDE=G","FUND_PER",RIGHT($B$11,1),"ACCOUNTING_STANDARD_OVERRIDE",$H$7,"EQY_CONSOLIDATED",$H$9,"EQY_FUND_CRNCY",$L$7,"StartCol",D$12,"EndCol",D$12,"StartRow",$B96,"EndRow",$B96))</f>
        <v/>
      </c>
      <c r="E96" s="218" t="str">
        <f>IF(LEFT(_xll.BDS(Ticker,"PG_OPERATING_INCOME","PG_HIERARCHY_LEVEL=1","NUMBER_OF_PERIODS=-11","REVERSE_PERIOD_ORDER=N","PRODUCT_GEO_OVERRIDE=G","FUND_PER",RIGHT($B$11,1),"ACCOUNTING_STANDARD_OVERRIDE",$H$7,"EQY_CONSOLIDATED",$H$9,"EQY_FUND_CRNCY",$L$7,"StartCol",E$12,"EndCol",E$12,"StartRow",$B96,"EndRow",$B96),1)="#","",_xll.BDS(Ticker,"PG_OPERATING_INCOME","PG_HIERARCHY_LEVEL=1","NUMBER_OF_PERIODS=-11","REVERSE_PERIOD_ORDER=N","PRODUCT_GEO_OVERRIDE=G","FUND_PER",RIGHT($B$11,1),"ACCOUNTING_STANDARD_OVERRIDE",$H$7,"EQY_CONSOLIDATED",$H$9,"EQY_FUND_CRNCY",$L$7,"StartCol",E$12,"EndCol",E$12,"StartRow",$B96,"EndRow",$B96))</f>
        <v/>
      </c>
      <c r="F96" s="218" t="str">
        <f>IF(LEFT(_xll.BDS(Ticker,"PG_OPERATING_INCOME","PG_HIERARCHY_LEVEL=1","NUMBER_OF_PERIODS=-11","REVERSE_PERIOD_ORDER=N","PRODUCT_GEO_OVERRIDE=G","FUND_PER",RIGHT($B$11,1),"ACCOUNTING_STANDARD_OVERRIDE",$H$7,"EQY_CONSOLIDATED",$H$9,"EQY_FUND_CRNCY",$L$7,"StartCol",F$12,"EndCol",F$12,"StartRow",$B96,"EndRow",$B96),1)="#","",_xll.BDS(Ticker,"PG_OPERATING_INCOME","PG_HIERARCHY_LEVEL=1","NUMBER_OF_PERIODS=-11","REVERSE_PERIOD_ORDER=N","PRODUCT_GEO_OVERRIDE=G","FUND_PER",RIGHT($B$11,1),"ACCOUNTING_STANDARD_OVERRIDE",$H$7,"EQY_CONSOLIDATED",$H$9,"EQY_FUND_CRNCY",$L$7,"StartCol",F$12,"EndCol",F$12,"StartRow",$B96,"EndRow",$B96))</f>
        <v/>
      </c>
      <c r="G96" s="218" t="str">
        <f>IF(LEFT(_xll.BDS(Ticker,"PG_OPERATING_INCOME","PG_HIERARCHY_LEVEL=1","NUMBER_OF_PERIODS=-11","REVERSE_PERIOD_ORDER=N","PRODUCT_GEO_OVERRIDE=G","FUND_PER",RIGHT($B$11,1),"ACCOUNTING_STANDARD_OVERRIDE",$H$7,"EQY_CONSOLIDATED",$H$9,"EQY_FUND_CRNCY",$L$7,"StartCol",G$12,"EndCol",G$12,"StartRow",$B96,"EndRow",$B96),1)="#","",_xll.BDS(Ticker,"PG_OPERATING_INCOME","PG_HIERARCHY_LEVEL=1","NUMBER_OF_PERIODS=-11","REVERSE_PERIOD_ORDER=N","PRODUCT_GEO_OVERRIDE=G","FUND_PER",RIGHT($B$11,1),"ACCOUNTING_STANDARD_OVERRIDE",$H$7,"EQY_CONSOLIDATED",$H$9,"EQY_FUND_CRNCY",$L$7,"StartCol",G$12,"EndCol",G$12,"StartRow",$B96,"EndRow",$B96))</f>
        <v/>
      </c>
      <c r="H96" s="218" t="str">
        <f>IF(LEFT(_xll.BDS(Ticker,"PG_OPERATING_INCOME","PG_HIERARCHY_LEVEL=1","NUMBER_OF_PERIODS=-11","REVERSE_PERIOD_ORDER=N","PRODUCT_GEO_OVERRIDE=G","FUND_PER",RIGHT($B$11,1),"ACCOUNTING_STANDARD_OVERRIDE",$H$7,"EQY_CONSOLIDATED",$H$9,"EQY_FUND_CRNCY",$L$7,"StartCol",H$12,"EndCol",H$12,"StartRow",$B96,"EndRow",$B96),1)="#","",_xll.BDS(Ticker,"PG_OPERATING_INCOME","PG_HIERARCHY_LEVEL=1","NUMBER_OF_PERIODS=-11","REVERSE_PERIOD_ORDER=N","PRODUCT_GEO_OVERRIDE=G","FUND_PER",RIGHT($B$11,1),"ACCOUNTING_STANDARD_OVERRIDE",$H$7,"EQY_CONSOLIDATED",$H$9,"EQY_FUND_CRNCY",$L$7,"StartCol",H$12,"EndCol",H$12,"StartRow",$B96,"EndRow",$B96))</f>
        <v/>
      </c>
      <c r="I96" s="218" t="str">
        <f>IF(LEFT(_xll.BDS(Ticker,"PG_OPERATING_INCOME","PG_HIERARCHY_LEVEL=1","NUMBER_OF_PERIODS=-11","REVERSE_PERIOD_ORDER=N","PRODUCT_GEO_OVERRIDE=G","FUND_PER",RIGHT($B$11,1),"ACCOUNTING_STANDARD_OVERRIDE",$H$7,"EQY_CONSOLIDATED",$H$9,"EQY_FUND_CRNCY",$L$7,"StartCol",I$12,"EndCol",I$12,"StartRow",$B96,"EndRow",$B96),1)="#","",_xll.BDS(Ticker,"PG_OPERATING_INCOME","PG_HIERARCHY_LEVEL=1","NUMBER_OF_PERIODS=-11","REVERSE_PERIOD_ORDER=N","PRODUCT_GEO_OVERRIDE=G","FUND_PER",RIGHT($B$11,1),"ACCOUNTING_STANDARD_OVERRIDE",$H$7,"EQY_CONSOLIDATED",$H$9,"EQY_FUND_CRNCY",$L$7,"StartCol",I$12,"EndCol",I$12,"StartRow",$B96,"EndRow",$B96))</f>
        <v/>
      </c>
      <c r="J96" s="218" t="str">
        <f>IF(LEFT(_xll.BDS(Ticker,"PG_OPERATING_INCOME","PG_HIERARCHY_LEVEL=1","NUMBER_OF_PERIODS=-11","REVERSE_PERIOD_ORDER=N","PRODUCT_GEO_OVERRIDE=G","FUND_PER",RIGHT($B$11,1),"ACCOUNTING_STANDARD_OVERRIDE",$H$7,"EQY_CONSOLIDATED",$H$9,"EQY_FUND_CRNCY",$L$7,"StartCol",J$12,"EndCol",J$12,"StartRow",$B96,"EndRow",$B96),1)="#","",_xll.BDS(Ticker,"PG_OPERATING_INCOME","PG_HIERARCHY_LEVEL=1","NUMBER_OF_PERIODS=-11","REVERSE_PERIOD_ORDER=N","PRODUCT_GEO_OVERRIDE=G","FUND_PER",RIGHT($B$11,1),"ACCOUNTING_STANDARD_OVERRIDE",$H$7,"EQY_CONSOLIDATED",$H$9,"EQY_FUND_CRNCY",$L$7,"StartCol",J$12,"EndCol",J$12,"StartRow",$B96,"EndRow",$B96))</f>
        <v/>
      </c>
      <c r="K96" s="218" t="str">
        <f>IF(LEFT(_xll.BDS(Ticker,"PG_OPERATING_INCOME","PG_HIERARCHY_LEVEL=1","NUMBER_OF_PERIODS=-11","REVERSE_PERIOD_ORDER=N","PRODUCT_GEO_OVERRIDE=G","FUND_PER",RIGHT($B$11,1),"ACCOUNTING_STANDARD_OVERRIDE",$H$7,"EQY_CONSOLIDATED",$H$9,"EQY_FUND_CRNCY",$L$7,"StartCol",K$12,"EndCol",K$12,"StartRow",$B96,"EndRow",$B96),1)="#","",_xll.BDS(Ticker,"PG_OPERATING_INCOME","PG_HIERARCHY_LEVEL=1","NUMBER_OF_PERIODS=-11","REVERSE_PERIOD_ORDER=N","PRODUCT_GEO_OVERRIDE=G","FUND_PER",RIGHT($B$11,1),"ACCOUNTING_STANDARD_OVERRIDE",$H$7,"EQY_CONSOLIDATED",$H$9,"EQY_FUND_CRNCY",$L$7,"StartCol",K$12,"EndCol",K$12,"StartRow",$B96,"EndRow",$B96))</f>
        <v/>
      </c>
      <c r="L96" s="218" t="str">
        <f>IF(LEFT(_xll.BDS(Ticker,"PG_OPERATING_INCOME","PG_HIERARCHY_LEVEL=1","NUMBER_OF_PERIODS=-11","REVERSE_PERIOD_ORDER=N","PRODUCT_GEO_OVERRIDE=G","FUND_PER",RIGHT($B$11,1),"ACCOUNTING_STANDARD_OVERRIDE",$H$7,"EQY_CONSOLIDATED",$H$9,"EQY_FUND_CRNCY",$L$7,"StartCol",L$12,"EndCol",L$12,"StartRow",$B96,"EndRow",$B96),1)="#","",_xll.BDS(Ticker,"PG_OPERATING_INCOME","PG_HIERARCHY_LEVEL=1","NUMBER_OF_PERIODS=-11","REVERSE_PERIOD_ORDER=N","PRODUCT_GEO_OVERRIDE=G","FUND_PER",RIGHT($B$11,1),"ACCOUNTING_STANDARD_OVERRIDE",$H$7,"EQY_CONSOLIDATED",$H$9,"EQY_FUND_CRNCY",$L$7,"StartCol",L$12,"EndCol",L$12,"StartRow",$B96,"EndRow",$B96))</f>
        <v/>
      </c>
      <c r="M96" s="218" t="str">
        <f>IF(LEFT(_xll.BDS(Ticker,"PG_OPERATING_INCOME","PG_HIERARCHY_LEVEL=1","NUMBER_OF_PERIODS=-11","REVERSE_PERIOD_ORDER=N","PRODUCT_GEO_OVERRIDE=G","FUND_PER",RIGHT($B$11,1),"ACCOUNTING_STANDARD_OVERRIDE",$H$7,"EQY_CONSOLIDATED",$H$9,"EQY_FUND_CRNCY",$L$7,"StartCol",M$12,"EndCol",M$12,"StartRow",$B96,"EndRow",$B96),1)="#","",_xll.BDS(Ticker,"PG_OPERATING_INCOME","PG_HIERARCHY_LEVEL=1","NUMBER_OF_PERIODS=-11","REVERSE_PERIOD_ORDER=N","PRODUCT_GEO_OVERRIDE=G","FUND_PER",RIGHT($B$11,1),"ACCOUNTING_STANDARD_OVERRIDE",$H$7,"EQY_CONSOLIDATED",$H$9,"EQY_FUND_CRNCY",$L$7,"StartCol",M$12,"EndCol",M$12,"StartRow",$B96,"EndRow",$B96))</f>
        <v/>
      </c>
      <c r="N96" s="218" t="str">
        <f>IF(LEFT(_xll.BDS(Ticker,"PG_OPERATING_INCOME","PG_HIERARCHY_LEVEL=1","NUMBER_OF_PERIODS=-11","REVERSE_PERIOD_ORDER=N","PRODUCT_GEO_OVERRIDE=G","FUND_PER",RIGHT($B$11,1),"ACCOUNTING_STANDARD_OVERRIDE",$H$7,"EQY_CONSOLIDATED",$H$9,"EQY_FUND_CRNCY",$L$7,"StartCol",N$12,"EndCol",N$12,"StartRow",$B96,"EndRow",$B96),1)="#","",_xll.BDS(Ticker,"PG_OPERATING_INCOME","PG_HIERARCHY_LEVEL=1","NUMBER_OF_PERIODS=-11","REVERSE_PERIOD_ORDER=N","PRODUCT_GEO_OVERRIDE=G","FUND_PER",RIGHT($B$11,1),"ACCOUNTING_STANDARD_OVERRIDE",$H$7,"EQY_CONSOLIDATED",$H$9,"EQY_FUND_CRNCY",$L$7,"StartCol",N$12,"EndCol",N$12,"StartRow",$B96,"EndRow",$B96))</f>
        <v/>
      </c>
    </row>
    <row r="97" spans="2:14" hidden="1" outlineLevel="1">
      <c r="B97" s="214">
        <v>9</v>
      </c>
      <c r="C97" s="216" t="str">
        <f>IF(LEFT(_xll.BDS(Ticker,"PG_OPERATING_INCOME","PG_HIERARCHY_LEVEL=1","NUMBER_OF_PERIODS=-11","REVERSE_PERIOD_ORDER=N","PRODUCT_GEO_OVERRIDE=G","FUND_PER",RIGHT($B$11,1),"ACCOUNTING_STANDARD_OVERRIDE",$H$7,"EQY_CONSOLIDATED",$H$9,"EQY_FUND_CRNCY",$L$7,"StartCol",C$12,"EndCol",C$12,"StartRow",$B97,"EndRow",$B97),1)="#","",_xll.BDS(Ticker,"PG_OPERATING_INCOME","PG_HIERARCHY_LEVEL=1","NUMBER_OF_PERIODS=-11","REVERSE_PERIOD_ORDER=N","PRODUCT_GEO_OVERRIDE=G","FUND_PER",RIGHT($B$11,1),"ACCOUNTING_STANDARD_OVERRIDE",$H$7,"EQY_CONSOLIDATED",$H$9,"EQY_FUND_CRNCY",$L$7,"StartCol",C$12,"EndCol",C$12,"StartRow",$B97,"EndRow",$B97))</f>
        <v/>
      </c>
      <c r="D97" s="218" t="str">
        <f>IF(LEFT(_xll.BDS(Ticker,"PG_OPERATING_INCOME","PG_HIERARCHY_LEVEL=1","NUMBER_OF_PERIODS=-11","REVERSE_PERIOD_ORDER=N","PRODUCT_GEO_OVERRIDE=G","FUND_PER",RIGHT($B$11,1),"ACCOUNTING_STANDARD_OVERRIDE",$H$7,"EQY_CONSOLIDATED",$H$9,"EQY_FUND_CRNCY",$L$7,"StartCol",D$12,"EndCol",D$12,"StartRow",$B97,"EndRow",$B97),1)="#","",_xll.BDS(Ticker,"PG_OPERATING_INCOME","PG_HIERARCHY_LEVEL=1","NUMBER_OF_PERIODS=-11","REVERSE_PERIOD_ORDER=N","PRODUCT_GEO_OVERRIDE=G","FUND_PER",RIGHT($B$11,1),"ACCOUNTING_STANDARD_OVERRIDE",$H$7,"EQY_CONSOLIDATED",$H$9,"EQY_FUND_CRNCY",$L$7,"StartCol",D$12,"EndCol",D$12,"StartRow",$B97,"EndRow",$B97))</f>
        <v/>
      </c>
      <c r="E97" s="218" t="str">
        <f>IF(LEFT(_xll.BDS(Ticker,"PG_OPERATING_INCOME","PG_HIERARCHY_LEVEL=1","NUMBER_OF_PERIODS=-11","REVERSE_PERIOD_ORDER=N","PRODUCT_GEO_OVERRIDE=G","FUND_PER",RIGHT($B$11,1),"ACCOUNTING_STANDARD_OVERRIDE",$H$7,"EQY_CONSOLIDATED",$H$9,"EQY_FUND_CRNCY",$L$7,"StartCol",E$12,"EndCol",E$12,"StartRow",$B97,"EndRow",$B97),1)="#","",_xll.BDS(Ticker,"PG_OPERATING_INCOME","PG_HIERARCHY_LEVEL=1","NUMBER_OF_PERIODS=-11","REVERSE_PERIOD_ORDER=N","PRODUCT_GEO_OVERRIDE=G","FUND_PER",RIGHT($B$11,1),"ACCOUNTING_STANDARD_OVERRIDE",$H$7,"EQY_CONSOLIDATED",$H$9,"EQY_FUND_CRNCY",$L$7,"StartCol",E$12,"EndCol",E$12,"StartRow",$B97,"EndRow",$B97))</f>
        <v/>
      </c>
      <c r="F97" s="218" t="str">
        <f>IF(LEFT(_xll.BDS(Ticker,"PG_OPERATING_INCOME","PG_HIERARCHY_LEVEL=1","NUMBER_OF_PERIODS=-11","REVERSE_PERIOD_ORDER=N","PRODUCT_GEO_OVERRIDE=G","FUND_PER",RIGHT($B$11,1),"ACCOUNTING_STANDARD_OVERRIDE",$H$7,"EQY_CONSOLIDATED",$H$9,"EQY_FUND_CRNCY",$L$7,"StartCol",F$12,"EndCol",F$12,"StartRow",$B97,"EndRow",$B97),1)="#","",_xll.BDS(Ticker,"PG_OPERATING_INCOME","PG_HIERARCHY_LEVEL=1","NUMBER_OF_PERIODS=-11","REVERSE_PERIOD_ORDER=N","PRODUCT_GEO_OVERRIDE=G","FUND_PER",RIGHT($B$11,1),"ACCOUNTING_STANDARD_OVERRIDE",$H$7,"EQY_CONSOLIDATED",$H$9,"EQY_FUND_CRNCY",$L$7,"StartCol",F$12,"EndCol",F$12,"StartRow",$B97,"EndRow",$B97))</f>
        <v/>
      </c>
      <c r="G97" s="218" t="str">
        <f>IF(LEFT(_xll.BDS(Ticker,"PG_OPERATING_INCOME","PG_HIERARCHY_LEVEL=1","NUMBER_OF_PERIODS=-11","REVERSE_PERIOD_ORDER=N","PRODUCT_GEO_OVERRIDE=G","FUND_PER",RIGHT($B$11,1),"ACCOUNTING_STANDARD_OVERRIDE",$H$7,"EQY_CONSOLIDATED",$H$9,"EQY_FUND_CRNCY",$L$7,"StartCol",G$12,"EndCol",G$12,"StartRow",$B97,"EndRow",$B97),1)="#","",_xll.BDS(Ticker,"PG_OPERATING_INCOME","PG_HIERARCHY_LEVEL=1","NUMBER_OF_PERIODS=-11","REVERSE_PERIOD_ORDER=N","PRODUCT_GEO_OVERRIDE=G","FUND_PER",RIGHT($B$11,1),"ACCOUNTING_STANDARD_OVERRIDE",$H$7,"EQY_CONSOLIDATED",$H$9,"EQY_FUND_CRNCY",$L$7,"StartCol",G$12,"EndCol",G$12,"StartRow",$B97,"EndRow",$B97))</f>
        <v/>
      </c>
      <c r="H97" s="218" t="str">
        <f>IF(LEFT(_xll.BDS(Ticker,"PG_OPERATING_INCOME","PG_HIERARCHY_LEVEL=1","NUMBER_OF_PERIODS=-11","REVERSE_PERIOD_ORDER=N","PRODUCT_GEO_OVERRIDE=G","FUND_PER",RIGHT($B$11,1),"ACCOUNTING_STANDARD_OVERRIDE",$H$7,"EQY_CONSOLIDATED",$H$9,"EQY_FUND_CRNCY",$L$7,"StartCol",H$12,"EndCol",H$12,"StartRow",$B97,"EndRow",$B97),1)="#","",_xll.BDS(Ticker,"PG_OPERATING_INCOME","PG_HIERARCHY_LEVEL=1","NUMBER_OF_PERIODS=-11","REVERSE_PERIOD_ORDER=N","PRODUCT_GEO_OVERRIDE=G","FUND_PER",RIGHT($B$11,1),"ACCOUNTING_STANDARD_OVERRIDE",$H$7,"EQY_CONSOLIDATED",$H$9,"EQY_FUND_CRNCY",$L$7,"StartCol",H$12,"EndCol",H$12,"StartRow",$B97,"EndRow",$B97))</f>
        <v/>
      </c>
      <c r="I97" s="218" t="str">
        <f>IF(LEFT(_xll.BDS(Ticker,"PG_OPERATING_INCOME","PG_HIERARCHY_LEVEL=1","NUMBER_OF_PERIODS=-11","REVERSE_PERIOD_ORDER=N","PRODUCT_GEO_OVERRIDE=G","FUND_PER",RIGHT($B$11,1),"ACCOUNTING_STANDARD_OVERRIDE",$H$7,"EQY_CONSOLIDATED",$H$9,"EQY_FUND_CRNCY",$L$7,"StartCol",I$12,"EndCol",I$12,"StartRow",$B97,"EndRow",$B97),1)="#","",_xll.BDS(Ticker,"PG_OPERATING_INCOME","PG_HIERARCHY_LEVEL=1","NUMBER_OF_PERIODS=-11","REVERSE_PERIOD_ORDER=N","PRODUCT_GEO_OVERRIDE=G","FUND_PER",RIGHT($B$11,1),"ACCOUNTING_STANDARD_OVERRIDE",$H$7,"EQY_CONSOLIDATED",$H$9,"EQY_FUND_CRNCY",$L$7,"StartCol",I$12,"EndCol",I$12,"StartRow",$B97,"EndRow",$B97))</f>
        <v/>
      </c>
      <c r="J97" s="218" t="str">
        <f>IF(LEFT(_xll.BDS(Ticker,"PG_OPERATING_INCOME","PG_HIERARCHY_LEVEL=1","NUMBER_OF_PERIODS=-11","REVERSE_PERIOD_ORDER=N","PRODUCT_GEO_OVERRIDE=G","FUND_PER",RIGHT($B$11,1),"ACCOUNTING_STANDARD_OVERRIDE",$H$7,"EQY_CONSOLIDATED",$H$9,"EQY_FUND_CRNCY",$L$7,"StartCol",J$12,"EndCol",J$12,"StartRow",$B97,"EndRow",$B97),1)="#","",_xll.BDS(Ticker,"PG_OPERATING_INCOME","PG_HIERARCHY_LEVEL=1","NUMBER_OF_PERIODS=-11","REVERSE_PERIOD_ORDER=N","PRODUCT_GEO_OVERRIDE=G","FUND_PER",RIGHT($B$11,1),"ACCOUNTING_STANDARD_OVERRIDE",$H$7,"EQY_CONSOLIDATED",$H$9,"EQY_FUND_CRNCY",$L$7,"StartCol",J$12,"EndCol",J$12,"StartRow",$B97,"EndRow",$B97))</f>
        <v/>
      </c>
      <c r="K97" s="218" t="str">
        <f>IF(LEFT(_xll.BDS(Ticker,"PG_OPERATING_INCOME","PG_HIERARCHY_LEVEL=1","NUMBER_OF_PERIODS=-11","REVERSE_PERIOD_ORDER=N","PRODUCT_GEO_OVERRIDE=G","FUND_PER",RIGHT($B$11,1),"ACCOUNTING_STANDARD_OVERRIDE",$H$7,"EQY_CONSOLIDATED",$H$9,"EQY_FUND_CRNCY",$L$7,"StartCol",K$12,"EndCol",K$12,"StartRow",$B97,"EndRow",$B97),1)="#","",_xll.BDS(Ticker,"PG_OPERATING_INCOME","PG_HIERARCHY_LEVEL=1","NUMBER_OF_PERIODS=-11","REVERSE_PERIOD_ORDER=N","PRODUCT_GEO_OVERRIDE=G","FUND_PER",RIGHT($B$11,1),"ACCOUNTING_STANDARD_OVERRIDE",$H$7,"EQY_CONSOLIDATED",$H$9,"EQY_FUND_CRNCY",$L$7,"StartCol",K$12,"EndCol",K$12,"StartRow",$B97,"EndRow",$B97))</f>
        <v/>
      </c>
      <c r="L97" s="218" t="str">
        <f>IF(LEFT(_xll.BDS(Ticker,"PG_OPERATING_INCOME","PG_HIERARCHY_LEVEL=1","NUMBER_OF_PERIODS=-11","REVERSE_PERIOD_ORDER=N","PRODUCT_GEO_OVERRIDE=G","FUND_PER",RIGHT($B$11,1),"ACCOUNTING_STANDARD_OVERRIDE",$H$7,"EQY_CONSOLIDATED",$H$9,"EQY_FUND_CRNCY",$L$7,"StartCol",L$12,"EndCol",L$12,"StartRow",$B97,"EndRow",$B97),1)="#","",_xll.BDS(Ticker,"PG_OPERATING_INCOME","PG_HIERARCHY_LEVEL=1","NUMBER_OF_PERIODS=-11","REVERSE_PERIOD_ORDER=N","PRODUCT_GEO_OVERRIDE=G","FUND_PER",RIGHT($B$11,1),"ACCOUNTING_STANDARD_OVERRIDE",$H$7,"EQY_CONSOLIDATED",$H$9,"EQY_FUND_CRNCY",$L$7,"StartCol",L$12,"EndCol",L$12,"StartRow",$B97,"EndRow",$B97))</f>
        <v/>
      </c>
      <c r="M97" s="218" t="str">
        <f>IF(LEFT(_xll.BDS(Ticker,"PG_OPERATING_INCOME","PG_HIERARCHY_LEVEL=1","NUMBER_OF_PERIODS=-11","REVERSE_PERIOD_ORDER=N","PRODUCT_GEO_OVERRIDE=G","FUND_PER",RIGHT($B$11,1),"ACCOUNTING_STANDARD_OVERRIDE",$H$7,"EQY_CONSOLIDATED",$H$9,"EQY_FUND_CRNCY",$L$7,"StartCol",M$12,"EndCol",M$12,"StartRow",$B97,"EndRow",$B97),1)="#","",_xll.BDS(Ticker,"PG_OPERATING_INCOME","PG_HIERARCHY_LEVEL=1","NUMBER_OF_PERIODS=-11","REVERSE_PERIOD_ORDER=N","PRODUCT_GEO_OVERRIDE=G","FUND_PER",RIGHT($B$11,1),"ACCOUNTING_STANDARD_OVERRIDE",$H$7,"EQY_CONSOLIDATED",$H$9,"EQY_FUND_CRNCY",$L$7,"StartCol",M$12,"EndCol",M$12,"StartRow",$B97,"EndRow",$B97))</f>
        <v/>
      </c>
      <c r="N97" s="218" t="str">
        <f>IF(LEFT(_xll.BDS(Ticker,"PG_OPERATING_INCOME","PG_HIERARCHY_LEVEL=1","NUMBER_OF_PERIODS=-11","REVERSE_PERIOD_ORDER=N","PRODUCT_GEO_OVERRIDE=G","FUND_PER",RIGHT($B$11,1),"ACCOUNTING_STANDARD_OVERRIDE",$H$7,"EQY_CONSOLIDATED",$H$9,"EQY_FUND_CRNCY",$L$7,"StartCol",N$12,"EndCol",N$12,"StartRow",$B97,"EndRow",$B97),1)="#","",_xll.BDS(Ticker,"PG_OPERATING_INCOME","PG_HIERARCHY_LEVEL=1","NUMBER_OF_PERIODS=-11","REVERSE_PERIOD_ORDER=N","PRODUCT_GEO_OVERRIDE=G","FUND_PER",RIGHT($B$11,1),"ACCOUNTING_STANDARD_OVERRIDE",$H$7,"EQY_CONSOLIDATED",$H$9,"EQY_FUND_CRNCY",$L$7,"StartCol",N$12,"EndCol",N$12,"StartRow",$B97,"EndRow",$B97))</f>
        <v/>
      </c>
    </row>
    <row r="98" spans="2:14" hidden="1" outlineLevel="1">
      <c r="B98" s="214">
        <v>10</v>
      </c>
      <c r="C98" s="216" t="str">
        <f>IF(LEFT(_xll.BDS(Ticker,"PG_OPERATING_INCOME","PG_HIERARCHY_LEVEL=1","NUMBER_OF_PERIODS=-11","REVERSE_PERIOD_ORDER=N","PRODUCT_GEO_OVERRIDE=G","FUND_PER",RIGHT($B$11,1),"ACCOUNTING_STANDARD_OVERRIDE",$H$7,"EQY_CONSOLIDATED",$H$9,"EQY_FUND_CRNCY",$L$7,"StartCol",C$12,"EndCol",C$12,"StartRow",$B98,"EndRow",$B98),1)="#","",_xll.BDS(Ticker,"PG_OPERATING_INCOME","PG_HIERARCHY_LEVEL=1","NUMBER_OF_PERIODS=-11","REVERSE_PERIOD_ORDER=N","PRODUCT_GEO_OVERRIDE=G","FUND_PER",RIGHT($B$11,1),"ACCOUNTING_STANDARD_OVERRIDE",$H$7,"EQY_CONSOLIDATED",$H$9,"EQY_FUND_CRNCY",$L$7,"StartCol",C$12,"EndCol",C$12,"StartRow",$B98,"EndRow",$B98))</f>
        <v/>
      </c>
      <c r="D98" s="218" t="str">
        <f>IF(LEFT(_xll.BDS(Ticker,"PG_OPERATING_INCOME","PG_HIERARCHY_LEVEL=1","NUMBER_OF_PERIODS=-11","REVERSE_PERIOD_ORDER=N","PRODUCT_GEO_OVERRIDE=G","FUND_PER",RIGHT($B$11,1),"ACCOUNTING_STANDARD_OVERRIDE",$H$7,"EQY_CONSOLIDATED",$H$9,"EQY_FUND_CRNCY",$L$7,"StartCol",D$12,"EndCol",D$12,"StartRow",$B98,"EndRow",$B98),1)="#","",_xll.BDS(Ticker,"PG_OPERATING_INCOME","PG_HIERARCHY_LEVEL=1","NUMBER_OF_PERIODS=-11","REVERSE_PERIOD_ORDER=N","PRODUCT_GEO_OVERRIDE=G","FUND_PER",RIGHT($B$11,1),"ACCOUNTING_STANDARD_OVERRIDE",$H$7,"EQY_CONSOLIDATED",$H$9,"EQY_FUND_CRNCY",$L$7,"StartCol",D$12,"EndCol",D$12,"StartRow",$B98,"EndRow",$B98))</f>
        <v/>
      </c>
      <c r="E98" s="218" t="str">
        <f>IF(LEFT(_xll.BDS(Ticker,"PG_OPERATING_INCOME","PG_HIERARCHY_LEVEL=1","NUMBER_OF_PERIODS=-11","REVERSE_PERIOD_ORDER=N","PRODUCT_GEO_OVERRIDE=G","FUND_PER",RIGHT($B$11,1),"ACCOUNTING_STANDARD_OVERRIDE",$H$7,"EQY_CONSOLIDATED",$H$9,"EQY_FUND_CRNCY",$L$7,"StartCol",E$12,"EndCol",E$12,"StartRow",$B98,"EndRow",$B98),1)="#","",_xll.BDS(Ticker,"PG_OPERATING_INCOME","PG_HIERARCHY_LEVEL=1","NUMBER_OF_PERIODS=-11","REVERSE_PERIOD_ORDER=N","PRODUCT_GEO_OVERRIDE=G","FUND_PER",RIGHT($B$11,1),"ACCOUNTING_STANDARD_OVERRIDE",$H$7,"EQY_CONSOLIDATED",$H$9,"EQY_FUND_CRNCY",$L$7,"StartCol",E$12,"EndCol",E$12,"StartRow",$B98,"EndRow",$B98))</f>
        <v/>
      </c>
      <c r="F98" s="218" t="str">
        <f>IF(LEFT(_xll.BDS(Ticker,"PG_OPERATING_INCOME","PG_HIERARCHY_LEVEL=1","NUMBER_OF_PERIODS=-11","REVERSE_PERIOD_ORDER=N","PRODUCT_GEO_OVERRIDE=G","FUND_PER",RIGHT($B$11,1),"ACCOUNTING_STANDARD_OVERRIDE",$H$7,"EQY_CONSOLIDATED",$H$9,"EQY_FUND_CRNCY",$L$7,"StartCol",F$12,"EndCol",F$12,"StartRow",$B98,"EndRow",$B98),1)="#","",_xll.BDS(Ticker,"PG_OPERATING_INCOME","PG_HIERARCHY_LEVEL=1","NUMBER_OF_PERIODS=-11","REVERSE_PERIOD_ORDER=N","PRODUCT_GEO_OVERRIDE=G","FUND_PER",RIGHT($B$11,1),"ACCOUNTING_STANDARD_OVERRIDE",$H$7,"EQY_CONSOLIDATED",$H$9,"EQY_FUND_CRNCY",$L$7,"StartCol",F$12,"EndCol",F$12,"StartRow",$B98,"EndRow",$B98))</f>
        <v/>
      </c>
      <c r="G98" s="218" t="str">
        <f>IF(LEFT(_xll.BDS(Ticker,"PG_OPERATING_INCOME","PG_HIERARCHY_LEVEL=1","NUMBER_OF_PERIODS=-11","REVERSE_PERIOD_ORDER=N","PRODUCT_GEO_OVERRIDE=G","FUND_PER",RIGHT($B$11,1),"ACCOUNTING_STANDARD_OVERRIDE",$H$7,"EQY_CONSOLIDATED",$H$9,"EQY_FUND_CRNCY",$L$7,"StartCol",G$12,"EndCol",G$12,"StartRow",$B98,"EndRow",$B98),1)="#","",_xll.BDS(Ticker,"PG_OPERATING_INCOME","PG_HIERARCHY_LEVEL=1","NUMBER_OF_PERIODS=-11","REVERSE_PERIOD_ORDER=N","PRODUCT_GEO_OVERRIDE=G","FUND_PER",RIGHT($B$11,1),"ACCOUNTING_STANDARD_OVERRIDE",$H$7,"EQY_CONSOLIDATED",$H$9,"EQY_FUND_CRNCY",$L$7,"StartCol",G$12,"EndCol",G$12,"StartRow",$B98,"EndRow",$B98))</f>
        <v/>
      </c>
      <c r="H98" s="218" t="str">
        <f>IF(LEFT(_xll.BDS(Ticker,"PG_OPERATING_INCOME","PG_HIERARCHY_LEVEL=1","NUMBER_OF_PERIODS=-11","REVERSE_PERIOD_ORDER=N","PRODUCT_GEO_OVERRIDE=G","FUND_PER",RIGHT($B$11,1),"ACCOUNTING_STANDARD_OVERRIDE",$H$7,"EQY_CONSOLIDATED",$H$9,"EQY_FUND_CRNCY",$L$7,"StartCol",H$12,"EndCol",H$12,"StartRow",$B98,"EndRow",$B98),1)="#","",_xll.BDS(Ticker,"PG_OPERATING_INCOME","PG_HIERARCHY_LEVEL=1","NUMBER_OF_PERIODS=-11","REVERSE_PERIOD_ORDER=N","PRODUCT_GEO_OVERRIDE=G","FUND_PER",RIGHT($B$11,1),"ACCOUNTING_STANDARD_OVERRIDE",$H$7,"EQY_CONSOLIDATED",$H$9,"EQY_FUND_CRNCY",$L$7,"StartCol",H$12,"EndCol",H$12,"StartRow",$B98,"EndRow",$B98))</f>
        <v/>
      </c>
      <c r="I98" s="218" t="str">
        <f>IF(LEFT(_xll.BDS(Ticker,"PG_OPERATING_INCOME","PG_HIERARCHY_LEVEL=1","NUMBER_OF_PERIODS=-11","REVERSE_PERIOD_ORDER=N","PRODUCT_GEO_OVERRIDE=G","FUND_PER",RIGHT($B$11,1),"ACCOUNTING_STANDARD_OVERRIDE",$H$7,"EQY_CONSOLIDATED",$H$9,"EQY_FUND_CRNCY",$L$7,"StartCol",I$12,"EndCol",I$12,"StartRow",$B98,"EndRow",$B98),1)="#","",_xll.BDS(Ticker,"PG_OPERATING_INCOME","PG_HIERARCHY_LEVEL=1","NUMBER_OF_PERIODS=-11","REVERSE_PERIOD_ORDER=N","PRODUCT_GEO_OVERRIDE=G","FUND_PER",RIGHT($B$11,1),"ACCOUNTING_STANDARD_OVERRIDE",$H$7,"EQY_CONSOLIDATED",$H$9,"EQY_FUND_CRNCY",$L$7,"StartCol",I$12,"EndCol",I$12,"StartRow",$B98,"EndRow",$B98))</f>
        <v/>
      </c>
      <c r="J98" s="218" t="str">
        <f>IF(LEFT(_xll.BDS(Ticker,"PG_OPERATING_INCOME","PG_HIERARCHY_LEVEL=1","NUMBER_OF_PERIODS=-11","REVERSE_PERIOD_ORDER=N","PRODUCT_GEO_OVERRIDE=G","FUND_PER",RIGHT($B$11,1),"ACCOUNTING_STANDARD_OVERRIDE",$H$7,"EQY_CONSOLIDATED",$H$9,"EQY_FUND_CRNCY",$L$7,"StartCol",J$12,"EndCol",J$12,"StartRow",$B98,"EndRow",$B98),1)="#","",_xll.BDS(Ticker,"PG_OPERATING_INCOME","PG_HIERARCHY_LEVEL=1","NUMBER_OF_PERIODS=-11","REVERSE_PERIOD_ORDER=N","PRODUCT_GEO_OVERRIDE=G","FUND_PER",RIGHT($B$11,1),"ACCOUNTING_STANDARD_OVERRIDE",$H$7,"EQY_CONSOLIDATED",$H$9,"EQY_FUND_CRNCY",$L$7,"StartCol",J$12,"EndCol",J$12,"StartRow",$B98,"EndRow",$B98))</f>
        <v/>
      </c>
      <c r="K98" s="218" t="str">
        <f>IF(LEFT(_xll.BDS(Ticker,"PG_OPERATING_INCOME","PG_HIERARCHY_LEVEL=1","NUMBER_OF_PERIODS=-11","REVERSE_PERIOD_ORDER=N","PRODUCT_GEO_OVERRIDE=G","FUND_PER",RIGHT($B$11,1),"ACCOUNTING_STANDARD_OVERRIDE",$H$7,"EQY_CONSOLIDATED",$H$9,"EQY_FUND_CRNCY",$L$7,"StartCol",K$12,"EndCol",K$12,"StartRow",$B98,"EndRow",$B98),1)="#","",_xll.BDS(Ticker,"PG_OPERATING_INCOME","PG_HIERARCHY_LEVEL=1","NUMBER_OF_PERIODS=-11","REVERSE_PERIOD_ORDER=N","PRODUCT_GEO_OVERRIDE=G","FUND_PER",RIGHT($B$11,1),"ACCOUNTING_STANDARD_OVERRIDE",$H$7,"EQY_CONSOLIDATED",$H$9,"EQY_FUND_CRNCY",$L$7,"StartCol",K$12,"EndCol",K$12,"StartRow",$B98,"EndRow",$B98))</f>
        <v/>
      </c>
      <c r="L98" s="218" t="str">
        <f>IF(LEFT(_xll.BDS(Ticker,"PG_OPERATING_INCOME","PG_HIERARCHY_LEVEL=1","NUMBER_OF_PERIODS=-11","REVERSE_PERIOD_ORDER=N","PRODUCT_GEO_OVERRIDE=G","FUND_PER",RIGHT($B$11,1),"ACCOUNTING_STANDARD_OVERRIDE",$H$7,"EQY_CONSOLIDATED",$H$9,"EQY_FUND_CRNCY",$L$7,"StartCol",L$12,"EndCol",L$12,"StartRow",$B98,"EndRow",$B98),1)="#","",_xll.BDS(Ticker,"PG_OPERATING_INCOME","PG_HIERARCHY_LEVEL=1","NUMBER_OF_PERIODS=-11","REVERSE_PERIOD_ORDER=N","PRODUCT_GEO_OVERRIDE=G","FUND_PER",RIGHT($B$11,1),"ACCOUNTING_STANDARD_OVERRIDE",$H$7,"EQY_CONSOLIDATED",$H$9,"EQY_FUND_CRNCY",$L$7,"StartCol",L$12,"EndCol",L$12,"StartRow",$B98,"EndRow",$B98))</f>
        <v/>
      </c>
      <c r="M98" s="218" t="str">
        <f>IF(LEFT(_xll.BDS(Ticker,"PG_OPERATING_INCOME","PG_HIERARCHY_LEVEL=1","NUMBER_OF_PERIODS=-11","REVERSE_PERIOD_ORDER=N","PRODUCT_GEO_OVERRIDE=G","FUND_PER",RIGHT($B$11,1),"ACCOUNTING_STANDARD_OVERRIDE",$H$7,"EQY_CONSOLIDATED",$H$9,"EQY_FUND_CRNCY",$L$7,"StartCol",M$12,"EndCol",M$12,"StartRow",$B98,"EndRow",$B98),1)="#","",_xll.BDS(Ticker,"PG_OPERATING_INCOME","PG_HIERARCHY_LEVEL=1","NUMBER_OF_PERIODS=-11","REVERSE_PERIOD_ORDER=N","PRODUCT_GEO_OVERRIDE=G","FUND_PER",RIGHT($B$11,1),"ACCOUNTING_STANDARD_OVERRIDE",$H$7,"EQY_CONSOLIDATED",$H$9,"EQY_FUND_CRNCY",$L$7,"StartCol",M$12,"EndCol",M$12,"StartRow",$B98,"EndRow",$B98))</f>
        <v/>
      </c>
      <c r="N98" s="218" t="str">
        <f>IF(LEFT(_xll.BDS(Ticker,"PG_OPERATING_INCOME","PG_HIERARCHY_LEVEL=1","NUMBER_OF_PERIODS=-11","REVERSE_PERIOD_ORDER=N","PRODUCT_GEO_OVERRIDE=G","FUND_PER",RIGHT($B$11,1),"ACCOUNTING_STANDARD_OVERRIDE",$H$7,"EQY_CONSOLIDATED",$H$9,"EQY_FUND_CRNCY",$L$7,"StartCol",N$12,"EndCol",N$12,"StartRow",$B98,"EndRow",$B98),1)="#","",_xll.BDS(Ticker,"PG_OPERATING_INCOME","PG_HIERARCHY_LEVEL=1","NUMBER_OF_PERIODS=-11","REVERSE_PERIOD_ORDER=N","PRODUCT_GEO_OVERRIDE=G","FUND_PER",RIGHT($B$11,1),"ACCOUNTING_STANDARD_OVERRIDE",$H$7,"EQY_CONSOLIDATED",$H$9,"EQY_FUND_CRNCY",$L$7,"StartCol",N$12,"EndCol",N$12,"StartRow",$B98,"EndRow",$B98))</f>
        <v/>
      </c>
    </row>
    <row r="99" spans="2:14" ht="15" customHeight="1" collapsed="1">
      <c r="B99" s="214"/>
      <c r="C99" s="208"/>
      <c r="D99" s="208"/>
      <c r="E99" s="208"/>
      <c r="F99" s="208"/>
      <c r="G99" s="208"/>
      <c r="H99" s="208"/>
      <c r="I99" s="208"/>
      <c r="J99" s="208"/>
      <c r="K99" s="208"/>
      <c r="L99" s="208"/>
      <c r="M99" s="208"/>
      <c r="N99" s="208"/>
    </row>
    <row r="100" spans="2:14">
      <c r="B100" s="224"/>
      <c r="C100" s="201" t="s">
        <v>58</v>
      </c>
      <c r="D100" s="209"/>
      <c r="E100" s="209"/>
      <c r="F100" s="209"/>
      <c r="G100" s="209"/>
      <c r="H100" s="209"/>
      <c r="I100" s="209"/>
      <c r="J100" s="209"/>
      <c r="K100" s="209"/>
      <c r="L100" s="209"/>
      <c r="M100" s="209"/>
      <c r="N100" s="210"/>
    </row>
    <row r="101" spans="2:14" hidden="1" outlineLevel="1">
      <c r="B101" s="220"/>
      <c r="C101" s="233" t="s">
        <v>184</v>
      </c>
      <c r="D101"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01"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01"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01"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01"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01"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01"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01"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01"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01"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01"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02" spans="2:14" hidden="1" outlineLevel="1">
      <c r="B102" s="222"/>
      <c r="C102" s="233" t="s">
        <v>356</v>
      </c>
      <c r="D102" s="231" t="str">
        <f>IF(LEFT(_xll.BDP(Ticker,"LATEST_PERIOD_END_DT_FULL_RECORD","EQY_FUND_RELATIVE_PERIOD",D$11,"EQY_CONSOLIDATED",$H$9),1)="#","--",_xll.BDP(Ticker,"LATEST_PERIOD_END_DT_FULL_RECORD","EQY_FUND_RELATIVE_PERIOD",D$11,"EQY_CONSOLIDATED",$H$9))</f>
        <v>12/31/2008</v>
      </c>
      <c r="E102" s="231" t="str">
        <f>IF(LEFT(_xll.BDP(Ticker,"LATEST_PERIOD_END_DT_FULL_RECORD","EQY_FUND_RELATIVE_PERIOD",E$11,"EQY_CONSOLIDATED",$H$9),1)="#","--",_xll.BDP(Ticker,"LATEST_PERIOD_END_DT_FULL_RECORD","EQY_FUND_RELATIVE_PERIOD",E$11,"EQY_CONSOLIDATED",$H$9))</f>
        <v>12/31/2009</v>
      </c>
      <c r="F102" s="231" t="str">
        <f>IF(LEFT(_xll.BDP(Ticker,"LATEST_PERIOD_END_DT_FULL_RECORD","EQY_FUND_RELATIVE_PERIOD",F$11,"EQY_CONSOLIDATED",$H$9),1)="#","--",_xll.BDP(Ticker,"LATEST_PERIOD_END_DT_FULL_RECORD","EQY_FUND_RELATIVE_PERIOD",F$11,"EQY_CONSOLIDATED",$H$9))</f>
        <v>12/31/2010</v>
      </c>
      <c r="G102" s="231" t="str">
        <f>IF(LEFT(_xll.BDP(Ticker,"LATEST_PERIOD_END_DT_FULL_RECORD","EQY_FUND_RELATIVE_PERIOD",G$11,"EQY_CONSOLIDATED",$H$9),1)="#","--",_xll.BDP(Ticker,"LATEST_PERIOD_END_DT_FULL_RECORD","EQY_FUND_RELATIVE_PERIOD",G$11,"EQY_CONSOLIDATED",$H$9))</f>
        <v>12/31/2011</v>
      </c>
      <c r="H102" s="231" t="str">
        <f>IF(LEFT(_xll.BDP(Ticker,"LATEST_PERIOD_END_DT_FULL_RECORD","EQY_FUND_RELATIVE_PERIOD",H$11,"EQY_CONSOLIDATED",$H$9),1)="#","--",_xll.BDP(Ticker,"LATEST_PERIOD_END_DT_FULL_RECORD","EQY_FUND_RELATIVE_PERIOD",H$11,"EQY_CONSOLIDATED",$H$9))</f>
        <v>12/31/2012</v>
      </c>
      <c r="I102" s="231" t="str">
        <f>IF(LEFT(_xll.BDP(Ticker,"LATEST_PERIOD_END_DT_FULL_RECORD","EQY_FUND_RELATIVE_PERIOD",I$11,"EQY_CONSOLIDATED",$H$9),1)="#","--",_xll.BDP(Ticker,"LATEST_PERIOD_END_DT_FULL_RECORD","EQY_FUND_RELATIVE_PERIOD",I$11,"EQY_CONSOLIDATED",$H$9))</f>
        <v>12/31/2013</v>
      </c>
      <c r="J102" s="231" t="str">
        <f>IF(LEFT(_xll.BDP(Ticker,"LATEST_PERIOD_END_DT_FULL_RECORD","EQY_FUND_RELATIVE_PERIOD",J$11,"EQY_CONSOLIDATED",$H$9),1)="#","--",_xll.BDP(Ticker,"LATEST_PERIOD_END_DT_FULL_RECORD","EQY_FUND_RELATIVE_PERIOD",J$11,"EQY_CONSOLIDATED",$H$9))</f>
        <v>12/31/2014</v>
      </c>
      <c r="K102" s="231" t="str">
        <f>IF(LEFT(_xll.BDP(Ticker,"LATEST_PERIOD_END_DT_FULL_RECORD","EQY_FUND_RELATIVE_PERIOD",K$11,"EQY_CONSOLIDATED",$H$9),1)="#","--",_xll.BDP(Ticker,"LATEST_PERIOD_END_DT_FULL_RECORD","EQY_FUND_RELATIVE_PERIOD",K$11,"EQY_CONSOLIDATED",$H$9))</f>
        <v>12/31/2015</v>
      </c>
      <c r="L102" s="231" t="str">
        <f>IF(LEFT(_xll.BDP(Ticker,"LATEST_PERIOD_END_DT_FULL_RECORD","EQY_FUND_RELATIVE_PERIOD",L$11,"EQY_CONSOLIDATED",$H$9),1)="#","--",_xll.BDP(Ticker,"LATEST_PERIOD_END_DT_FULL_RECORD","EQY_FUND_RELATIVE_PERIOD",L$11,"EQY_CONSOLIDATED",$H$9))</f>
        <v>12/31/2016</v>
      </c>
      <c r="M102" s="231" t="str">
        <f>IF(LEFT(_xll.BDP(Ticker,"LATEST_PERIOD_END_DT_FULL_RECORD","EQY_FUND_RELATIVE_PERIOD",M$11,"EQY_CONSOLIDATED",$H$9),1)="#","--",_xll.BDP(Ticker,"LATEST_PERIOD_END_DT_FULL_RECORD","EQY_FUND_RELATIVE_PERIOD",M$11,"EQY_CONSOLIDATED",$H$9))</f>
        <v>12/31/2017</v>
      </c>
      <c r="N102" s="231" t="str">
        <f>IF(LEFT(_xll.BDP(Ticker,"LATEST_PERIOD_END_DT_FULL_RECORD","EQY_FUND_RELATIVE_PERIOD",N$11,"EQY_CONSOLIDATED",$H$9),1)="#","--",_xll.BDP(Ticker,"LATEST_PERIOD_END_DT_FULL_RECORD","EQY_FUND_RELATIVE_PERIOD",N$11,"EQY_CONSOLIDATED",$H$9))</f>
        <v>12/31/2018</v>
      </c>
    </row>
    <row r="103" spans="2:14" hidden="1" outlineLevel="1">
      <c r="B103" s="215"/>
      <c r="C103" s="207" t="s">
        <v>184</v>
      </c>
      <c r="D103" s="275">
        <f t="shared" ref="D103:I103" si="5">IF(LEN(D104),SUM(D104:D113),"")</f>
        <v>7603.2999999999993</v>
      </c>
      <c r="E103" s="275">
        <f t="shared" si="5"/>
        <v>9071</v>
      </c>
      <c r="F103" s="275">
        <f t="shared" si="5"/>
        <v>10895</v>
      </c>
      <c r="G103" s="275">
        <f t="shared" si="5"/>
        <v>12146</v>
      </c>
      <c r="H103" s="275">
        <f t="shared" si="5"/>
        <v>13206</v>
      </c>
      <c r="I103" s="275">
        <f t="shared" si="5"/>
        <v>15743</v>
      </c>
      <c r="J103" s="275">
        <f>IF(LEN(J104),SUM(J104:J113),"")</f>
        <v>17279</v>
      </c>
      <c r="K103" s="275">
        <f>IF(LEN(K104),SUM(K104:K113),"")</f>
        <v>16223</v>
      </c>
      <c r="L103" s="275">
        <f>IF(LEN(L104),SUM(L104:L113),"")</f>
        <v>20435</v>
      </c>
      <c r="M103" s="275">
        <f>IF(LEN(M104),SUM(M104:M113),"")</f>
        <v>22197</v>
      </c>
      <c r="N103" s="275">
        <f>IF(LEN(N104),SUM(N104:N113),"")</f>
        <v>27229</v>
      </c>
    </row>
    <row r="104" spans="2:14" hidden="1" outlineLevel="1">
      <c r="B104" s="214">
        <v>1</v>
      </c>
      <c r="C104" s="216" t="str">
        <f>IF(LEFT(_xll.BDS(Ticker,"PG_ASSETS","PG_HIERARCHY_LEVEL=1","NUMBER_OF_PERIODS=-11","REVERSE_PERIOD_ORDER=N","PRODUCT_GEO_OVERRIDE=P","FUND_PER",RIGHT($B$11,1),"ACCOUNTING_STANDARD_OVERRIDE",$H$7,"EQY_CONSOLIDATED",$H$9,"EQY_FUND_CRNCY",$L$7,"StartCol",C$12,"EndCol",C$12,"StartRow",$B104,"EndRow",$B104),1)="#","",_xll.BDS(Ticker,"PG_ASSETS","PG_HIERARCHY_LEVEL=1","NUMBER_OF_PERIODS=-11","REVERSE_PERIOD_ORDER=N","PRODUCT_GEO_OVERRIDE=P","FUND_PER",RIGHT($B$11,1),"ACCOUNTING_STANDARD_OVERRIDE",$H$7,"EQY_CONSOLIDATED",$H$9,"EQY_FUND_CRNCY",$L$7,"StartCol",C$12,"EndCol",C$12,"StartRow",$B104,"EndRow",$B104))</f>
        <v>MedSurg Equipment</v>
      </c>
      <c r="D104" s="218">
        <f>IF(LEFT(_xll.BDS(Ticker,"PG_ASSETS","PG_HIERARCHY_LEVEL=1","NUMBER_OF_PERIODS=-11","REVERSE_PERIOD_ORDER=N","PRODUCT_GEO_OVERRIDE=P","FUND_PER",RIGHT($B$11,1),"ACCOUNTING_STANDARD_OVERRIDE",$H$7,"EQY_CONSOLIDATED",$H$9,"EQY_FUND_CRNCY",$L$7,"StartCol",D$12,"EndCol",D$12,"StartRow",$B104,"EndRow",$B104),1)="#","",_xll.BDS(Ticker,"PG_ASSETS","PG_HIERARCHY_LEVEL=1","NUMBER_OF_PERIODS=-11","REVERSE_PERIOD_ORDER=N","PRODUCT_GEO_OVERRIDE=P","FUND_PER",RIGHT($B$11,1),"ACCOUNTING_STANDARD_OVERRIDE",$H$7,"EQY_CONSOLIDATED",$H$9,"EQY_FUND_CRNCY",$L$7,"StartCol",D$12,"EndCol",D$12,"StartRow",$B104,"EndRow",$B104))</f>
        <v>1319.6</v>
      </c>
      <c r="E104" s="218">
        <f>IF(LEFT(_xll.BDS(Ticker,"PG_ASSETS","PG_HIERARCHY_LEVEL=1","NUMBER_OF_PERIODS=-11","REVERSE_PERIOD_ORDER=N","PRODUCT_GEO_OVERRIDE=P","FUND_PER",RIGHT($B$11,1),"ACCOUNTING_STANDARD_OVERRIDE",$H$7,"EQY_CONSOLIDATED",$H$9,"EQY_FUND_CRNCY",$L$7,"StartCol",E$12,"EndCol",E$12,"StartRow",$B104,"EndRow",$B104),1)="#","",_xll.BDS(Ticker,"PG_ASSETS","PG_HIERARCHY_LEVEL=1","NUMBER_OF_PERIODS=-11","REVERSE_PERIOD_ORDER=N","PRODUCT_GEO_OVERRIDE=P","FUND_PER",RIGHT($B$11,1),"ACCOUNTING_STANDARD_OVERRIDE",$H$7,"EQY_CONSOLIDATED",$H$9,"EQY_FUND_CRNCY",$L$7,"StartCol",E$12,"EndCol",E$12,"StartRow",$B104,"EndRow",$B104))</f>
        <v>2011</v>
      </c>
      <c r="F104" s="218">
        <f>IF(LEFT(_xll.BDS(Ticker,"PG_ASSETS","PG_HIERARCHY_LEVEL=1","NUMBER_OF_PERIODS=-11","REVERSE_PERIOD_ORDER=N","PRODUCT_GEO_OVERRIDE=P","FUND_PER",RIGHT($B$11,1),"ACCOUNTING_STANDARD_OVERRIDE",$H$7,"EQY_CONSOLIDATED",$H$9,"EQY_FUND_CRNCY",$L$7,"StartCol",F$12,"EndCol",F$12,"StartRow",$B104,"EndRow",$B104),1)="#","",_xll.BDS(Ticker,"PG_ASSETS","PG_HIERARCHY_LEVEL=1","NUMBER_OF_PERIODS=-11","REVERSE_PERIOD_ORDER=N","PRODUCT_GEO_OVERRIDE=P","FUND_PER",RIGHT($B$11,1),"ACCOUNTING_STANDARD_OVERRIDE",$H$7,"EQY_CONSOLIDATED",$H$9,"EQY_FUND_CRNCY",$L$7,"StartCol",F$12,"EndCol",F$12,"StartRow",$B104,"EndRow",$B104))</f>
        <v>2333</v>
      </c>
      <c r="G104" s="218">
        <f>IF(LEFT(_xll.BDS(Ticker,"PG_ASSETS","PG_HIERARCHY_LEVEL=1","NUMBER_OF_PERIODS=-11","REVERSE_PERIOD_ORDER=N","PRODUCT_GEO_OVERRIDE=P","FUND_PER",RIGHT($B$11,1),"ACCOUNTING_STANDARD_OVERRIDE",$H$7,"EQY_CONSOLIDATED",$H$9,"EQY_FUND_CRNCY",$L$7,"StartCol",G$12,"EndCol",G$12,"StartRow",$B104,"EndRow",$B104),1)="#","",_xll.BDS(Ticker,"PG_ASSETS","PG_HIERARCHY_LEVEL=1","NUMBER_OF_PERIODS=-11","REVERSE_PERIOD_ORDER=N","PRODUCT_GEO_OVERRIDE=P","FUND_PER",RIGHT($B$11,1),"ACCOUNTING_STANDARD_OVERRIDE",$H$7,"EQY_CONSOLIDATED",$H$9,"EQY_FUND_CRNCY",$L$7,"StartCol",G$12,"EndCol",G$12,"StartRow",$B104,"EndRow",$B104))</f>
        <v>2358</v>
      </c>
      <c r="H104" s="218">
        <f>IF(LEFT(_xll.BDS(Ticker,"PG_ASSETS","PG_HIERARCHY_LEVEL=1","NUMBER_OF_PERIODS=-11","REVERSE_PERIOD_ORDER=N","PRODUCT_GEO_OVERRIDE=P","FUND_PER",RIGHT($B$11,1),"ACCOUNTING_STANDARD_OVERRIDE",$H$7,"EQY_CONSOLIDATED",$H$9,"EQY_FUND_CRNCY",$L$7,"StartCol",H$12,"EndCol",H$12,"StartRow",$B104,"EndRow",$B104),1)="#","",_xll.BDS(Ticker,"PG_ASSETS","PG_HIERARCHY_LEVEL=1","NUMBER_OF_PERIODS=-11","REVERSE_PERIOD_ORDER=N","PRODUCT_GEO_OVERRIDE=P","FUND_PER",RIGHT($B$11,1),"ACCOUNTING_STANDARD_OVERRIDE",$H$7,"EQY_CONSOLIDATED",$H$9,"EQY_FUND_CRNCY",$L$7,"StartCol",H$12,"EndCol",H$12,"StartRow",$B104,"EndRow",$B104))</f>
        <v>2996</v>
      </c>
      <c r="I104" s="218">
        <f>IF(LEFT(_xll.BDS(Ticker,"PG_ASSETS","PG_HIERARCHY_LEVEL=1","NUMBER_OF_PERIODS=-11","REVERSE_PERIOD_ORDER=N","PRODUCT_GEO_OVERRIDE=P","FUND_PER",RIGHT($B$11,1),"ACCOUNTING_STANDARD_OVERRIDE",$H$7,"EQY_CONSOLIDATED",$H$9,"EQY_FUND_CRNCY",$L$7,"StartCol",I$12,"EndCol",I$12,"StartRow",$B104,"EndRow",$B104),1)="#","",_xll.BDS(Ticker,"PG_ASSETS","PG_HIERARCHY_LEVEL=1","NUMBER_OF_PERIODS=-11","REVERSE_PERIOD_ORDER=N","PRODUCT_GEO_OVERRIDE=P","FUND_PER",RIGHT($B$11,1),"ACCOUNTING_STANDARD_OVERRIDE",$H$7,"EQY_CONSOLIDATED",$H$9,"EQY_FUND_CRNCY",$L$7,"StartCol",I$12,"EndCol",I$12,"StartRow",$B104,"EndRow",$B104))</f>
        <v>3382</v>
      </c>
      <c r="J104" s="218">
        <f>IF(LEFT(_xll.BDS(Ticker,"PG_ASSETS","PG_HIERARCHY_LEVEL=1","NUMBER_OF_PERIODS=-11","REVERSE_PERIOD_ORDER=N","PRODUCT_GEO_OVERRIDE=P","FUND_PER",RIGHT($B$11,1),"ACCOUNTING_STANDARD_OVERRIDE",$H$7,"EQY_CONSOLIDATED",$H$9,"EQY_FUND_CRNCY",$L$7,"StartCol",J$12,"EndCol",J$12,"StartRow",$B104,"EndRow",$B104),1)="#","",_xll.BDS(Ticker,"PG_ASSETS","PG_HIERARCHY_LEVEL=1","NUMBER_OF_PERIODS=-11","REVERSE_PERIOD_ORDER=N","PRODUCT_GEO_OVERRIDE=P","FUND_PER",RIGHT($B$11,1),"ACCOUNTING_STANDARD_OVERRIDE",$H$7,"EQY_CONSOLIDATED",$H$9,"EQY_FUND_CRNCY",$L$7,"StartCol",J$12,"EndCol",J$12,"StartRow",$B104,"EndRow",$B104))</f>
        <v>5557</v>
      </c>
      <c r="K104" s="218">
        <f>IF(LEFT(_xll.BDS(Ticker,"PG_ASSETS","PG_HIERARCHY_LEVEL=1","NUMBER_OF_PERIODS=-11","REVERSE_PERIOD_ORDER=N","PRODUCT_GEO_OVERRIDE=P","FUND_PER",RIGHT($B$11,1),"ACCOUNTING_STANDARD_OVERRIDE",$H$7,"EQY_CONSOLIDATED",$H$9,"EQY_FUND_CRNCY",$L$7,"StartCol",K$12,"EndCol",K$12,"StartRow",$B104,"EndRow",$B104),1)="#","",_xll.BDS(Ticker,"PG_ASSETS","PG_HIERARCHY_LEVEL=1","NUMBER_OF_PERIODS=-11","REVERSE_PERIOD_ORDER=N","PRODUCT_GEO_OVERRIDE=P","FUND_PER",RIGHT($B$11,1),"ACCOUNTING_STANDARD_OVERRIDE",$H$7,"EQY_CONSOLIDATED",$H$9,"EQY_FUND_CRNCY",$L$7,"StartCol",K$12,"EndCol",K$12,"StartRow",$B104,"EndRow",$B104))</f>
        <v>5341</v>
      </c>
      <c r="L104" s="218">
        <f>IF(LEFT(_xll.BDS(Ticker,"PG_ASSETS","PG_HIERARCHY_LEVEL=1","NUMBER_OF_PERIODS=-11","REVERSE_PERIOD_ORDER=N","PRODUCT_GEO_OVERRIDE=P","FUND_PER",RIGHT($B$11,1),"ACCOUNTING_STANDARD_OVERRIDE",$H$7,"EQY_CONSOLIDATED",$H$9,"EQY_FUND_CRNCY",$L$7,"StartCol",L$12,"EndCol",L$12,"StartRow",$B104,"EndRow",$B104),1)="#","",_xll.BDS(Ticker,"PG_ASSETS","PG_HIERARCHY_LEVEL=1","NUMBER_OF_PERIODS=-11","REVERSE_PERIOD_ORDER=N","PRODUCT_GEO_OVERRIDE=P","FUND_PER",RIGHT($B$11,1),"ACCOUNTING_STANDARD_OVERRIDE",$H$7,"EQY_CONSOLIDATED",$H$9,"EQY_FUND_CRNCY",$L$7,"StartCol",L$12,"EndCol",L$12,"StartRow",$B104,"EndRow",$B104))</f>
        <v>8553</v>
      </c>
      <c r="M104" s="218">
        <f>IF(LEFT(_xll.BDS(Ticker,"PG_ASSETS","PG_HIERARCHY_LEVEL=1","NUMBER_OF_PERIODS=-11","REVERSE_PERIOD_ORDER=N","PRODUCT_GEO_OVERRIDE=P","FUND_PER",RIGHT($B$11,1),"ACCOUNTING_STANDARD_OVERRIDE",$H$7,"EQY_CONSOLIDATED",$H$9,"EQY_FUND_CRNCY",$L$7,"StartCol",M$12,"EndCol",M$12,"StartRow",$B104,"EndRow",$B104),1)="#","",_xll.BDS(Ticker,"PG_ASSETS","PG_HIERARCHY_LEVEL=1","NUMBER_OF_PERIODS=-11","REVERSE_PERIOD_ORDER=N","PRODUCT_GEO_OVERRIDE=P","FUND_PER",RIGHT($B$11,1),"ACCOUNTING_STANDARD_OVERRIDE",$H$7,"EQY_CONSOLIDATED",$H$9,"EQY_FUND_CRNCY",$L$7,"StartCol",M$12,"EndCol",M$12,"StartRow",$B104,"EndRow",$B104))</f>
        <v>9759</v>
      </c>
      <c r="N104" s="218">
        <f>IF(LEFT(_xll.BDS(Ticker,"PG_ASSETS","PG_HIERARCHY_LEVEL=1","NUMBER_OF_PERIODS=-11","REVERSE_PERIOD_ORDER=N","PRODUCT_GEO_OVERRIDE=P","FUND_PER",RIGHT($B$11,1),"ACCOUNTING_STANDARD_OVERRIDE",$H$7,"EQY_CONSOLIDATED",$H$9,"EQY_FUND_CRNCY",$L$7,"StartCol",N$12,"EndCol",N$12,"StartRow",$B104,"EndRow",$B104),1)="#","",_xll.BDS(Ticker,"PG_ASSETS","PG_HIERARCHY_LEVEL=1","NUMBER_OF_PERIODS=-11","REVERSE_PERIOD_ORDER=N","PRODUCT_GEO_OVERRIDE=P","FUND_PER",RIGHT($B$11,1),"ACCOUNTING_STANDARD_OVERRIDE",$H$7,"EQY_CONSOLIDATED",$H$9,"EQY_FUND_CRNCY",$L$7,"StartCol",N$12,"EndCol",N$12,"StartRow",$B104,"EndRow",$B104))</f>
        <v>10417</v>
      </c>
    </row>
    <row r="105" spans="2:14" hidden="1" outlineLevel="1">
      <c r="B105" s="214">
        <v>2</v>
      </c>
      <c r="C105" s="216" t="str">
        <f>IF(LEFT(_xll.BDS(Ticker,"PG_ASSETS","PG_HIERARCHY_LEVEL=1","NUMBER_OF_PERIODS=-11","REVERSE_PERIOD_ORDER=N","PRODUCT_GEO_OVERRIDE=P","FUND_PER",RIGHT($B$11,1),"ACCOUNTING_STANDARD_OVERRIDE",$H$7,"EQY_CONSOLIDATED",$H$9,"EQY_FUND_CRNCY",$L$7,"StartCol",C$12,"EndCol",C$12,"StartRow",$B105,"EndRow",$B105),1)="#","",_xll.BDS(Ticker,"PG_ASSETS","PG_HIERARCHY_LEVEL=1","NUMBER_OF_PERIODS=-11","REVERSE_PERIOD_ORDER=N","PRODUCT_GEO_OVERRIDE=P","FUND_PER",RIGHT($B$11,1),"ACCOUNTING_STANDARD_OVERRIDE",$H$7,"EQY_CONSOLIDATED",$H$9,"EQY_FUND_CRNCY",$L$7,"StartCol",C$12,"EndCol",C$12,"StartRow",$B105,"EndRow",$B105))</f>
        <v>Orthopaedics</v>
      </c>
      <c r="D105" s="218" t="str">
        <f>IF(LEFT(_xll.BDS(Ticker,"PG_ASSETS","PG_HIERARCHY_LEVEL=1","NUMBER_OF_PERIODS=-11","REVERSE_PERIOD_ORDER=N","PRODUCT_GEO_OVERRIDE=P","FUND_PER",RIGHT($B$11,1),"ACCOUNTING_STANDARD_OVERRIDE",$H$7,"EQY_CONSOLIDATED",$H$9,"EQY_FUND_CRNCY",$L$7,"StartCol",D$12,"EndCol",D$12,"StartRow",$B105,"EndRow",$B105),1)="#","",_xll.BDS(Ticker,"PG_ASSETS","PG_HIERARCHY_LEVEL=1","NUMBER_OF_PERIODS=-11","REVERSE_PERIOD_ORDER=N","PRODUCT_GEO_OVERRIDE=P","FUND_PER",RIGHT($B$11,1),"ACCOUNTING_STANDARD_OVERRIDE",$H$7,"EQY_CONSOLIDATED",$H$9,"EQY_FUND_CRNCY",$L$7,"StartCol",D$12,"EndCol",D$12,"StartRow",$B105,"EndRow",$B105))</f>
        <v/>
      </c>
      <c r="E105" s="218" t="str">
        <f>IF(LEFT(_xll.BDS(Ticker,"PG_ASSETS","PG_HIERARCHY_LEVEL=1","NUMBER_OF_PERIODS=-11","REVERSE_PERIOD_ORDER=N","PRODUCT_GEO_OVERRIDE=P","FUND_PER",RIGHT($B$11,1),"ACCOUNTING_STANDARD_OVERRIDE",$H$7,"EQY_CONSOLIDATED",$H$9,"EQY_FUND_CRNCY",$L$7,"StartCol",E$12,"EndCol",E$12,"StartRow",$B105,"EndRow",$B105),1)="#","",_xll.BDS(Ticker,"PG_ASSETS","PG_HIERARCHY_LEVEL=1","NUMBER_OF_PERIODS=-11","REVERSE_PERIOD_ORDER=N","PRODUCT_GEO_OVERRIDE=P","FUND_PER",RIGHT($B$11,1),"ACCOUNTING_STANDARD_OVERRIDE",$H$7,"EQY_CONSOLIDATED",$H$9,"EQY_FUND_CRNCY",$L$7,"StartCol",E$12,"EndCol",E$12,"StartRow",$B105,"EndRow",$B105))</f>
        <v/>
      </c>
      <c r="F105" s="218">
        <f>IF(LEFT(_xll.BDS(Ticker,"PG_ASSETS","PG_HIERARCHY_LEVEL=1","NUMBER_OF_PERIODS=-11","REVERSE_PERIOD_ORDER=N","PRODUCT_GEO_OVERRIDE=P","FUND_PER",RIGHT($B$11,1),"ACCOUNTING_STANDARD_OVERRIDE",$H$7,"EQY_CONSOLIDATED",$H$9,"EQY_FUND_CRNCY",$L$7,"StartCol",F$12,"EndCol",F$12,"StartRow",$B105,"EndRow",$B105),1)="#","",_xll.BDS(Ticker,"PG_ASSETS","PG_HIERARCHY_LEVEL=1","NUMBER_OF_PERIODS=-11","REVERSE_PERIOD_ORDER=N","PRODUCT_GEO_OVERRIDE=P","FUND_PER",RIGHT($B$11,1),"ACCOUNTING_STANDARD_OVERRIDE",$H$7,"EQY_CONSOLIDATED",$H$9,"EQY_FUND_CRNCY",$L$7,"StartCol",F$12,"EndCol",F$12,"StartRow",$B105,"EndRow",$B105))</f>
        <v>3156</v>
      </c>
      <c r="G105" s="218">
        <f>IF(LEFT(_xll.BDS(Ticker,"PG_ASSETS","PG_HIERARCHY_LEVEL=1","NUMBER_OF_PERIODS=-11","REVERSE_PERIOD_ORDER=N","PRODUCT_GEO_OVERRIDE=P","FUND_PER",RIGHT($B$11,1),"ACCOUNTING_STANDARD_OVERRIDE",$H$7,"EQY_CONSOLIDATED",$H$9,"EQY_FUND_CRNCY",$L$7,"StartCol",G$12,"EndCol",G$12,"StartRow",$B105,"EndRow",$B105),1)="#","",_xll.BDS(Ticker,"PG_ASSETS","PG_HIERARCHY_LEVEL=1","NUMBER_OF_PERIODS=-11","REVERSE_PERIOD_ORDER=N","PRODUCT_GEO_OVERRIDE=P","FUND_PER",RIGHT($B$11,1),"ACCOUNTING_STANDARD_OVERRIDE",$H$7,"EQY_CONSOLIDATED",$H$9,"EQY_FUND_CRNCY",$L$7,"StartCol",G$12,"EndCol",G$12,"StartRow",$B105,"EndRow",$B105))</f>
        <v>3758</v>
      </c>
      <c r="H105" s="218">
        <f>IF(LEFT(_xll.BDS(Ticker,"PG_ASSETS","PG_HIERARCHY_LEVEL=1","NUMBER_OF_PERIODS=-11","REVERSE_PERIOD_ORDER=N","PRODUCT_GEO_OVERRIDE=P","FUND_PER",RIGHT($B$11,1),"ACCOUNTING_STANDARD_OVERRIDE",$H$7,"EQY_CONSOLIDATED",$H$9,"EQY_FUND_CRNCY",$L$7,"StartCol",H$12,"EndCol",H$12,"StartRow",$B105,"EndRow",$B105),1)="#","",_xll.BDS(Ticker,"PG_ASSETS","PG_HIERARCHY_LEVEL=1","NUMBER_OF_PERIODS=-11","REVERSE_PERIOD_ORDER=N","PRODUCT_GEO_OVERRIDE=P","FUND_PER",RIGHT($B$11,1),"ACCOUNTING_STANDARD_OVERRIDE",$H$7,"EQY_CONSOLIDATED",$H$9,"EQY_FUND_CRNCY",$L$7,"StartCol",H$12,"EndCol",H$12,"StartRow",$B105,"EndRow",$B105))</f>
        <v>3654</v>
      </c>
      <c r="I105" s="218">
        <f>IF(LEFT(_xll.BDS(Ticker,"PG_ASSETS","PG_HIERARCHY_LEVEL=1","NUMBER_OF_PERIODS=-11","REVERSE_PERIOD_ORDER=N","PRODUCT_GEO_OVERRIDE=P","FUND_PER",RIGHT($B$11,1),"ACCOUNTING_STANDARD_OVERRIDE",$H$7,"EQY_CONSOLIDATED",$H$9,"EQY_FUND_CRNCY",$L$7,"StartCol",I$12,"EndCol",I$12,"StartRow",$B105,"EndRow",$B105),1)="#","",_xll.BDS(Ticker,"PG_ASSETS","PG_HIERARCHY_LEVEL=1","NUMBER_OF_PERIODS=-11","REVERSE_PERIOD_ORDER=N","PRODUCT_GEO_OVERRIDE=P","FUND_PER",RIGHT($B$11,1),"ACCOUNTING_STANDARD_OVERRIDE",$H$7,"EQY_CONSOLIDATED",$H$9,"EQY_FUND_CRNCY",$L$7,"StartCol",I$12,"EndCol",I$12,"StartRow",$B105,"EndRow",$B105))</f>
        <v>6675</v>
      </c>
      <c r="J105" s="218">
        <f>IF(LEFT(_xll.BDS(Ticker,"PG_ASSETS","PG_HIERARCHY_LEVEL=1","NUMBER_OF_PERIODS=-11","REVERSE_PERIOD_ORDER=N","PRODUCT_GEO_OVERRIDE=P","FUND_PER",RIGHT($B$11,1),"ACCOUNTING_STANDARD_OVERRIDE",$H$7,"EQY_CONSOLIDATED",$H$9,"EQY_FUND_CRNCY",$L$7,"StartCol",J$12,"EndCol",J$12,"StartRow",$B105,"EndRow",$B105),1)="#","",_xll.BDS(Ticker,"PG_ASSETS","PG_HIERARCHY_LEVEL=1","NUMBER_OF_PERIODS=-11","REVERSE_PERIOD_ORDER=N","PRODUCT_GEO_OVERRIDE=P","FUND_PER",RIGHT($B$11,1),"ACCOUNTING_STANDARD_OVERRIDE",$H$7,"EQY_CONSOLIDATED",$H$9,"EQY_FUND_CRNCY",$L$7,"StartCol",J$12,"EndCol",J$12,"StartRow",$B105,"EndRow",$B105))</f>
        <v>8357</v>
      </c>
      <c r="K105" s="218">
        <f>IF(LEFT(_xll.BDS(Ticker,"PG_ASSETS","PG_HIERARCHY_LEVEL=1","NUMBER_OF_PERIODS=-11","REVERSE_PERIOD_ORDER=N","PRODUCT_GEO_OVERRIDE=P","FUND_PER",RIGHT($B$11,1),"ACCOUNTING_STANDARD_OVERRIDE",$H$7,"EQY_CONSOLIDATED",$H$9,"EQY_FUND_CRNCY",$L$7,"StartCol",K$12,"EndCol",K$12,"StartRow",$B105,"EndRow",$B105),1)="#","",_xll.BDS(Ticker,"PG_ASSETS","PG_HIERARCHY_LEVEL=1","NUMBER_OF_PERIODS=-11","REVERSE_PERIOD_ORDER=N","PRODUCT_GEO_OVERRIDE=P","FUND_PER",RIGHT($B$11,1),"ACCOUNTING_STANDARD_OVERRIDE",$H$7,"EQY_CONSOLIDATED",$H$9,"EQY_FUND_CRNCY",$L$7,"StartCol",K$12,"EndCol",K$12,"StartRow",$B105,"EndRow",$B105))</f>
        <v>6149</v>
      </c>
      <c r="L105" s="218">
        <f>IF(LEFT(_xll.BDS(Ticker,"PG_ASSETS","PG_HIERARCHY_LEVEL=1","NUMBER_OF_PERIODS=-11","REVERSE_PERIOD_ORDER=N","PRODUCT_GEO_OVERRIDE=P","FUND_PER",RIGHT($B$11,1),"ACCOUNTING_STANDARD_OVERRIDE",$H$7,"EQY_CONSOLIDATED",$H$9,"EQY_FUND_CRNCY",$L$7,"StartCol",L$12,"EndCol",L$12,"StartRow",$B105,"EndRow",$B105),1)="#","",_xll.BDS(Ticker,"PG_ASSETS","PG_HIERARCHY_LEVEL=1","NUMBER_OF_PERIODS=-11","REVERSE_PERIOD_ORDER=N","PRODUCT_GEO_OVERRIDE=P","FUND_PER",RIGHT($B$11,1),"ACCOUNTING_STANDARD_OVERRIDE",$H$7,"EQY_CONSOLIDATED",$H$9,"EQY_FUND_CRNCY",$L$7,"StartCol",L$12,"EndCol",L$12,"StartRow",$B105,"EndRow",$B105))</f>
        <v>7048</v>
      </c>
      <c r="M105" s="218">
        <f>IF(LEFT(_xll.BDS(Ticker,"PG_ASSETS","PG_HIERARCHY_LEVEL=1","NUMBER_OF_PERIODS=-11","REVERSE_PERIOD_ORDER=N","PRODUCT_GEO_OVERRIDE=P","FUND_PER",RIGHT($B$11,1),"ACCOUNTING_STANDARD_OVERRIDE",$H$7,"EQY_CONSOLIDATED",$H$9,"EQY_FUND_CRNCY",$L$7,"StartCol",M$12,"EndCol",M$12,"StartRow",$B105,"EndRow",$B105),1)="#","",_xll.BDS(Ticker,"PG_ASSETS","PG_HIERARCHY_LEVEL=1","NUMBER_OF_PERIODS=-11","REVERSE_PERIOD_ORDER=N","PRODUCT_GEO_OVERRIDE=P","FUND_PER",RIGHT($B$11,1),"ACCOUNTING_STANDARD_OVERRIDE",$H$7,"EQY_CONSOLIDATED",$H$9,"EQY_FUND_CRNCY",$L$7,"StartCol",M$12,"EndCol",M$12,"StartRow",$B105,"EndRow",$B105))</f>
        <v>7486</v>
      </c>
      <c r="N105" s="218">
        <f>IF(LEFT(_xll.BDS(Ticker,"PG_ASSETS","PG_HIERARCHY_LEVEL=1","NUMBER_OF_PERIODS=-11","REVERSE_PERIOD_ORDER=N","PRODUCT_GEO_OVERRIDE=P","FUND_PER",RIGHT($B$11,1),"ACCOUNTING_STANDARD_OVERRIDE",$H$7,"EQY_CONSOLIDATED",$H$9,"EQY_FUND_CRNCY",$L$7,"StartCol",N$12,"EndCol",N$12,"StartRow",$B105,"EndRow",$B105),1)="#","",_xll.BDS(Ticker,"PG_ASSETS","PG_HIERARCHY_LEVEL=1","NUMBER_OF_PERIODS=-11","REVERSE_PERIOD_ORDER=N","PRODUCT_GEO_OVERRIDE=P","FUND_PER",RIGHT($B$11,1),"ACCOUNTING_STANDARD_OVERRIDE",$H$7,"EQY_CONSOLIDATED",$H$9,"EQY_FUND_CRNCY",$L$7,"StartCol",N$12,"EndCol",N$12,"StartRow",$B105,"EndRow",$B105))</f>
        <v>8873</v>
      </c>
    </row>
    <row r="106" spans="2:14" hidden="1" outlineLevel="1">
      <c r="B106" s="214">
        <v>3</v>
      </c>
      <c r="C106" s="216" t="str">
        <f>IF(LEFT(_xll.BDS(Ticker,"PG_ASSETS","PG_HIERARCHY_LEVEL=1","NUMBER_OF_PERIODS=-11","REVERSE_PERIOD_ORDER=N","PRODUCT_GEO_OVERRIDE=P","FUND_PER",RIGHT($B$11,1),"ACCOUNTING_STANDARD_OVERRIDE",$H$7,"EQY_CONSOLIDATED",$H$9,"EQY_FUND_CRNCY",$L$7,"StartCol",C$12,"EndCol",C$12,"StartRow",$B106,"EndRow",$B106),1)="#","",_xll.BDS(Ticker,"PG_ASSETS","PG_HIERARCHY_LEVEL=1","NUMBER_OF_PERIODS=-11","REVERSE_PERIOD_ORDER=N","PRODUCT_GEO_OVERRIDE=P","FUND_PER",RIGHT($B$11,1),"ACCOUNTING_STANDARD_OVERRIDE",$H$7,"EQY_CONSOLIDATED",$H$9,"EQY_FUND_CRNCY",$L$7,"StartCol",C$12,"EndCol",C$12,"StartRow",$B106,"EndRow",$B106))</f>
        <v>Neurotech and Spine</v>
      </c>
      <c r="D106" s="218" t="str">
        <f>IF(LEFT(_xll.BDS(Ticker,"PG_ASSETS","PG_HIERARCHY_LEVEL=1","NUMBER_OF_PERIODS=-11","REVERSE_PERIOD_ORDER=N","PRODUCT_GEO_OVERRIDE=P","FUND_PER",RIGHT($B$11,1),"ACCOUNTING_STANDARD_OVERRIDE",$H$7,"EQY_CONSOLIDATED",$H$9,"EQY_FUND_CRNCY",$L$7,"StartCol",D$12,"EndCol",D$12,"StartRow",$B106,"EndRow",$B106),1)="#","",_xll.BDS(Ticker,"PG_ASSETS","PG_HIERARCHY_LEVEL=1","NUMBER_OF_PERIODS=-11","REVERSE_PERIOD_ORDER=N","PRODUCT_GEO_OVERRIDE=P","FUND_PER",RIGHT($B$11,1),"ACCOUNTING_STANDARD_OVERRIDE",$H$7,"EQY_CONSOLIDATED",$H$9,"EQY_FUND_CRNCY",$L$7,"StartCol",D$12,"EndCol",D$12,"StartRow",$B106,"EndRow",$B106))</f>
        <v/>
      </c>
      <c r="E106" s="218">
        <f>IF(LEFT(_xll.BDS(Ticker,"PG_ASSETS","PG_HIERARCHY_LEVEL=1","NUMBER_OF_PERIODS=-11","REVERSE_PERIOD_ORDER=N","PRODUCT_GEO_OVERRIDE=P","FUND_PER",RIGHT($B$11,1),"ACCOUNTING_STANDARD_OVERRIDE",$H$7,"EQY_CONSOLIDATED",$H$9,"EQY_FUND_CRNCY",$L$7,"StartCol",E$12,"EndCol",E$12,"StartRow",$B106,"EndRow",$B106),1)="#","",_xll.BDS(Ticker,"PG_ASSETS","PG_HIERARCHY_LEVEL=1","NUMBER_OF_PERIODS=-11","REVERSE_PERIOD_ORDER=N","PRODUCT_GEO_OVERRIDE=P","FUND_PER",RIGHT($B$11,1),"ACCOUNTING_STANDARD_OVERRIDE",$H$7,"EQY_CONSOLIDATED",$H$9,"EQY_FUND_CRNCY",$L$7,"StartCol",E$12,"EndCol",E$12,"StartRow",$B106,"EndRow",$B106))</f>
        <v>563</v>
      </c>
      <c r="F106" s="218">
        <f>IF(LEFT(_xll.BDS(Ticker,"PG_ASSETS","PG_HIERARCHY_LEVEL=1","NUMBER_OF_PERIODS=-11","REVERSE_PERIOD_ORDER=N","PRODUCT_GEO_OVERRIDE=P","FUND_PER",RIGHT($B$11,1),"ACCOUNTING_STANDARD_OVERRIDE",$H$7,"EQY_CONSOLIDATED",$H$9,"EQY_FUND_CRNCY",$L$7,"StartCol",F$12,"EndCol",F$12,"StartRow",$B106,"EndRow",$B106),1)="#","",_xll.BDS(Ticker,"PG_ASSETS","PG_HIERARCHY_LEVEL=1","NUMBER_OF_PERIODS=-11","REVERSE_PERIOD_ORDER=N","PRODUCT_GEO_OVERRIDE=P","FUND_PER",RIGHT($B$11,1),"ACCOUNTING_STANDARD_OVERRIDE",$H$7,"EQY_CONSOLIDATED",$H$9,"EQY_FUND_CRNCY",$L$7,"StartCol",F$12,"EndCol",F$12,"StartRow",$B106,"EndRow",$B106))</f>
        <v>777</v>
      </c>
      <c r="G106" s="218">
        <f>IF(LEFT(_xll.BDS(Ticker,"PG_ASSETS","PG_HIERARCHY_LEVEL=1","NUMBER_OF_PERIODS=-11","REVERSE_PERIOD_ORDER=N","PRODUCT_GEO_OVERRIDE=P","FUND_PER",RIGHT($B$11,1),"ACCOUNTING_STANDARD_OVERRIDE",$H$7,"EQY_CONSOLIDATED",$H$9,"EQY_FUND_CRNCY",$L$7,"StartCol",G$12,"EndCol",G$12,"StartRow",$B106,"EndRow",$B106),1)="#","",_xll.BDS(Ticker,"PG_ASSETS","PG_HIERARCHY_LEVEL=1","NUMBER_OF_PERIODS=-11","REVERSE_PERIOD_ORDER=N","PRODUCT_GEO_OVERRIDE=P","FUND_PER",RIGHT($B$11,1),"ACCOUNTING_STANDARD_OVERRIDE",$H$7,"EQY_CONSOLIDATED",$H$9,"EQY_FUND_CRNCY",$L$7,"StartCol",G$12,"EndCol",G$12,"StartRow",$B106,"EndRow",$B106))</f>
        <v>2245</v>
      </c>
      <c r="H106" s="218">
        <f>IF(LEFT(_xll.BDS(Ticker,"PG_ASSETS","PG_HIERARCHY_LEVEL=1","NUMBER_OF_PERIODS=-11","REVERSE_PERIOD_ORDER=N","PRODUCT_GEO_OVERRIDE=P","FUND_PER",RIGHT($B$11,1),"ACCOUNTING_STANDARD_OVERRIDE",$H$7,"EQY_CONSOLIDATED",$H$9,"EQY_FUND_CRNCY",$L$7,"StartCol",H$12,"EndCol",H$12,"StartRow",$B106,"EndRow",$B106),1)="#","",_xll.BDS(Ticker,"PG_ASSETS","PG_HIERARCHY_LEVEL=1","NUMBER_OF_PERIODS=-11","REVERSE_PERIOD_ORDER=N","PRODUCT_GEO_OVERRIDE=P","FUND_PER",RIGHT($B$11,1),"ACCOUNTING_STANDARD_OVERRIDE",$H$7,"EQY_CONSOLIDATED",$H$9,"EQY_FUND_CRNCY",$L$7,"StartCol",H$12,"EndCol",H$12,"StartRow",$B106,"EndRow",$B106))</f>
        <v>2600</v>
      </c>
      <c r="I106" s="218">
        <f>IF(LEFT(_xll.BDS(Ticker,"PG_ASSETS","PG_HIERARCHY_LEVEL=1","NUMBER_OF_PERIODS=-11","REVERSE_PERIOD_ORDER=N","PRODUCT_GEO_OVERRIDE=P","FUND_PER",RIGHT($B$11,1),"ACCOUNTING_STANDARD_OVERRIDE",$H$7,"EQY_CONSOLIDATED",$H$9,"EQY_FUND_CRNCY",$L$7,"StartCol",I$12,"EndCol",I$12,"StartRow",$B106,"EndRow",$B106),1)="#","",_xll.BDS(Ticker,"PG_ASSETS","PG_HIERARCHY_LEVEL=1","NUMBER_OF_PERIODS=-11","REVERSE_PERIOD_ORDER=N","PRODUCT_GEO_OVERRIDE=P","FUND_PER",RIGHT($B$11,1),"ACCOUNTING_STANDARD_OVERRIDE",$H$7,"EQY_CONSOLIDATED",$H$9,"EQY_FUND_CRNCY",$L$7,"StartCol",I$12,"EndCol",I$12,"StartRow",$B106,"EndRow",$B106))</f>
        <v>3147</v>
      </c>
      <c r="J106" s="218">
        <f>IF(LEFT(_xll.BDS(Ticker,"PG_ASSETS","PG_HIERARCHY_LEVEL=1","NUMBER_OF_PERIODS=-11","REVERSE_PERIOD_ORDER=N","PRODUCT_GEO_OVERRIDE=P","FUND_PER",RIGHT($B$11,1),"ACCOUNTING_STANDARD_OVERRIDE",$H$7,"EQY_CONSOLIDATED",$H$9,"EQY_FUND_CRNCY",$L$7,"StartCol",J$12,"EndCol",J$12,"StartRow",$B106,"EndRow",$B106),1)="#","",_xll.BDS(Ticker,"PG_ASSETS","PG_HIERARCHY_LEVEL=1","NUMBER_OF_PERIODS=-11","REVERSE_PERIOD_ORDER=N","PRODUCT_GEO_OVERRIDE=P","FUND_PER",RIGHT($B$11,1),"ACCOUNTING_STANDARD_OVERRIDE",$H$7,"EQY_CONSOLIDATED",$H$9,"EQY_FUND_CRNCY",$L$7,"StartCol",J$12,"EndCol",J$12,"StartRow",$B106,"EndRow",$B106))</f>
        <v>3684</v>
      </c>
      <c r="K106" s="218">
        <f>IF(LEFT(_xll.BDS(Ticker,"PG_ASSETS","PG_HIERARCHY_LEVEL=1","NUMBER_OF_PERIODS=-11","REVERSE_PERIOD_ORDER=N","PRODUCT_GEO_OVERRIDE=P","FUND_PER",RIGHT($B$11,1),"ACCOUNTING_STANDARD_OVERRIDE",$H$7,"EQY_CONSOLIDATED",$H$9,"EQY_FUND_CRNCY",$L$7,"StartCol",K$12,"EndCol",K$12,"StartRow",$B106,"EndRow",$B106),1)="#","",_xll.BDS(Ticker,"PG_ASSETS","PG_HIERARCHY_LEVEL=1","NUMBER_OF_PERIODS=-11","REVERSE_PERIOD_ORDER=N","PRODUCT_GEO_OVERRIDE=P","FUND_PER",RIGHT($B$11,1),"ACCOUNTING_STANDARD_OVERRIDE",$H$7,"EQY_CONSOLIDATED",$H$9,"EQY_FUND_CRNCY",$L$7,"StartCol",K$12,"EndCol",K$12,"StartRow",$B106,"EndRow",$B106))</f>
        <v>3904</v>
      </c>
      <c r="L106" s="218">
        <f>IF(LEFT(_xll.BDS(Ticker,"PG_ASSETS","PG_HIERARCHY_LEVEL=1","NUMBER_OF_PERIODS=-11","REVERSE_PERIOD_ORDER=N","PRODUCT_GEO_OVERRIDE=P","FUND_PER",RIGHT($B$11,1),"ACCOUNTING_STANDARD_OVERRIDE",$H$7,"EQY_CONSOLIDATED",$H$9,"EQY_FUND_CRNCY",$L$7,"StartCol",L$12,"EndCol",L$12,"StartRow",$B106,"EndRow",$B106),1)="#","",_xll.BDS(Ticker,"PG_ASSETS","PG_HIERARCHY_LEVEL=1","NUMBER_OF_PERIODS=-11","REVERSE_PERIOD_ORDER=N","PRODUCT_GEO_OVERRIDE=P","FUND_PER",RIGHT($B$11,1),"ACCOUNTING_STANDARD_OVERRIDE",$H$7,"EQY_CONSOLIDATED",$H$9,"EQY_FUND_CRNCY",$L$7,"StartCol",L$12,"EndCol",L$12,"StartRow",$B106,"EndRow",$B106))</f>
        <v>4129</v>
      </c>
      <c r="M106" s="218">
        <f>IF(LEFT(_xll.BDS(Ticker,"PG_ASSETS","PG_HIERARCHY_LEVEL=1","NUMBER_OF_PERIODS=-11","REVERSE_PERIOD_ORDER=N","PRODUCT_GEO_OVERRIDE=P","FUND_PER",RIGHT($B$11,1),"ACCOUNTING_STANDARD_OVERRIDE",$H$7,"EQY_CONSOLIDATED",$H$9,"EQY_FUND_CRNCY",$L$7,"StartCol",M$12,"EndCol",M$12,"StartRow",$B106,"EndRow",$B106),1)="#","",_xll.BDS(Ticker,"PG_ASSETS","PG_HIERARCHY_LEVEL=1","NUMBER_OF_PERIODS=-11","REVERSE_PERIOD_ORDER=N","PRODUCT_GEO_OVERRIDE=P","FUND_PER",RIGHT($B$11,1),"ACCOUNTING_STANDARD_OVERRIDE",$H$7,"EQY_CONSOLIDATED",$H$9,"EQY_FUND_CRNCY",$L$7,"StartCol",M$12,"EndCol",M$12,"StartRow",$B106,"EndRow",$B106))</f>
        <v>4105</v>
      </c>
      <c r="N106" s="218">
        <f>IF(LEFT(_xll.BDS(Ticker,"PG_ASSETS","PG_HIERARCHY_LEVEL=1","NUMBER_OF_PERIODS=-11","REVERSE_PERIOD_ORDER=N","PRODUCT_GEO_OVERRIDE=P","FUND_PER",RIGHT($B$11,1),"ACCOUNTING_STANDARD_OVERRIDE",$H$7,"EQY_CONSOLIDATED",$H$9,"EQY_FUND_CRNCY",$L$7,"StartCol",N$12,"EndCol",N$12,"StartRow",$B106,"EndRow",$B106),1)="#","",_xll.BDS(Ticker,"PG_ASSETS","PG_HIERARCHY_LEVEL=1","NUMBER_OF_PERIODS=-11","REVERSE_PERIOD_ORDER=N","PRODUCT_GEO_OVERRIDE=P","FUND_PER",RIGHT($B$11,1),"ACCOUNTING_STANDARD_OVERRIDE",$H$7,"EQY_CONSOLIDATED",$H$9,"EQY_FUND_CRNCY",$L$7,"StartCol",N$12,"EndCol",N$12,"StartRow",$B106,"EndRow",$B106))</f>
        <v>7260</v>
      </c>
    </row>
    <row r="107" spans="2:14" hidden="1" outlineLevel="1">
      <c r="B107" s="214">
        <v>4</v>
      </c>
      <c r="C107" s="216" t="str">
        <f>IF(LEFT(_xll.BDS(Ticker,"PG_ASSETS","PG_HIERARCHY_LEVEL=1","NUMBER_OF_PERIODS=-11","REVERSE_PERIOD_ORDER=N","PRODUCT_GEO_OVERRIDE=P","FUND_PER",RIGHT($B$11,1),"ACCOUNTING_STANDARD_OVERRIDE",$H$7,"EQY_CONSOLIDATED",$H$9,"EQY_FUND_CRNCY",$L$7,"StartCol",C$12,"EndCol",C$12,"StartRow",$B107,"EndRow",$B107),1)="#","",_xll.BDS(Ticker,"PG_ASSETS","PG_HIERARCHY_LEVEL=1","NUMBER_OF_PERIODS=-11","REVERSE_PERIOD_ORDER=N","PRODUCT_GEO_OVERRIDE=P","FUND_PER",RIGHT($B$11,1),"ACCOUNTING_STANDARD_OVERRIDE",$H$7,"EQY_CONSOLIDATED",$H$9,"EQY_FUND_CRNCY",$L$7,"StartCol",C$12,"EndCol",C$12,"StartRow",$B107,"EndRow",$B107))</f>
        <v>Others</v>
      </c>
      <c r="D107" s="218" t="str">
        <f>IF(LEFT(_xll.BDS(Ticker,"PG_ASSETS","PG_HIERARCHY_LEVEL=1","NUMBER_OF_PERIODS=-11","REVERSE_PERIOD_ORDER=N","PRODUCT_GEO_OVERRIDE=P","FUND_PER",RIGHT($B$11,1),"ACCOUNTING_STANDARD_OVERRIDE",$H$7,"EQY_CONSOLIDATED",$H$9,"EQY_FUND_CRNCY",$L$7,"StartCol",D$12,"EndCol",D$12,"StartRow",$B107,"EndRow",$B107),1)="#","",_xll.BDS(Ticker,"PG_ASSETS","PG_HIERARCHY_LEVEL=1","NUMBER_OF_PERIODS=-11","REVERSE_PERIOD_ORDER=N","PRODUCT_GEO_OVERRIDE=P","FUND_PER",RIGHT($B$11,1),"ACCOUNTING_STANDARD_OVERRIDE",$H$7,"EQY_CONSOLIDATED",$H$9,"EQY_FUND_CRNCY",$L$7,"StartCol",D$12,"EndCol",D$12,"StartRow",$B107,"EndRow",$B107))</f>
        <v/>
      </c>
      <c r="E107" s="218" t="str">
        <f>IF(LEFT(_xll.BDS(Ticker,"PG_ASSETS","PG_HIERARCHY_LEVEL=1","NUMBER_OF_PERIODS=-11","REVERSE_PERIOD_ORDER=N","PRODUCT_GEO_OVERRIDE=P","FUND_PER",RIGHT($B$11,1),"ACCOUNTING_STANDARD_OVERRIDE",$H$7,"EQY_CONSOLIDATED",$H$9,"EQY_FUND_CRNCY",$L$7,"StartCol",E$12,"EndCol",E$12,"StartRow",$B107,"EndRow",$B107),1)="#","",_xll.BDS(Ticker,"PG_ASSETS","PG_HIERARCHY_LEVEL=1","NUMBER_OF_PERIODS=-11","REVERSE_PERIOD_ORDER=N","PRODUCT_GEO_OVERRIDE=P","FUND_PER",RIGHT($B$11,1),"ACCOUNTING_STANDARD_OVERRIDE",$H$7,"EQY_CONSOLIDATED",$H$9,"EQY_FUND_CRNCY",$L$7,"StartCol",E$12,"EndCol",E$12,"StartRow",$B107,"EndRow",$B107))</f>
        <v/>
      </c>
      <c r="F107" s="218">
        <f>IF(LEFT(_xll.BDS(Ticker,"PG_ASSETS","PG_HIERARCHY_LEVEL=1","NUMBER_OF_PERIODS=-11","REVERSE_PERIOD_ORDER=N","PRODUCT_GEO_OVERRIDE=P","FUND_PER",RIGHT($B$11,1),"ACCOUNTING_STANDARD_OVERRIDE",$H$7,"EQY_CONSOLIDATED",$H$9,"EQY_FUND_CRNCY",$L$7,"StartCol",F$12,"EndCol",F$12,"StartRow",$B107,"EndRow",$B107),1)="#","",_xll.BDS(Ticker,"PG_ASSETS","PG_HIERARCHY_LEVEL=1","NUMBER_OF_PERIODS=-11","REVERSE_PERIOD_ORDER=N","PRODUCT_GEO_OVERRIDE=P","FUND_PER",RIGHT($B$11,1),"ACCOUNTING_STANDARD_OVERRIDE",$H$7,"EQY_CONSOLIDATED",$H$9,"EQY_FUND_CRNCY",$L$7,"StartCol",F$12,"EndCol",F$12,"StartRow",$B107,"EndRow",$B107))</f>
        <v>4629</v>
      </c>
      <c r="G107" s="218">
        <f>IF(LEFT(_xll.BDS(Ticker,"PG_ASSETS","PG_HIERARCHY_LEVEL=1","NUMBER_OF_PERIODS=-11","REVERSE_PERIOD_ORDER=N","PRODUCT_GEO_OVERRIDE=P","FUND_PER",RIGHT($B$11,1),"ACCOUNTING_STANDARD_OVERRIDE",$H$7,"EQY_CONSOLIDATED",$H$9,"EQY_FUND_CRNCY",$L$7,"StartCol",G$12,"EndCol",G$12,"StartRow",$B107,"EndRow",$B107),1)="#","",_xll.BDS(Ticker,"PG_ASSETS","PG_HIERARCHY_LEVEL=1","NUMBER_OF_PERIODS=-11","REVERSE_PERIOD_ORDER=N","PRODUCT_GEO_OVERRIDE=P","FUND_PER",RIGHT($B$11,1),"ACCOUNTING_STANDARD_OVERRIDE",$H$7,"EQY_CONSOLIDATED",$H$9,"EQY_FUND_CRNCY",$L$7,"StartCol",G$12,"EndCol",G$12,"StartRow",$B107,"EndRow",$B107))</f>
        <v>3785</v>
      </c>
      <c r="H107" s="218">
        <f>IF(LEFT(_xll.BDS(Ticker,"PG_ASSETS","PG_HIERARCHY_LEVEL=1","NUMBER_OF_PERIODS=-11","REVERSE_PERIOD_ORDER=N","PRODUCT_GEO_OVERRIDE=P","FUND_PER",RIGHT($B$11,1),"ACCOUNTING_STANDARD_OVERRIDE",$H$7,"EQY_CONSOLIDATED",$H$9,"EQY_FUND_CRNCY",$L$7,"StartCol",H$12,"EndCol",H$12,"StartRow",$B107,"EndRow",$B107),1)="#","",_xll.BDS(Ticker,"PG_ASSETS","PG_HIERARCHY_LEVEL=1","NUMBER_OF_PERIODS=-11","REVERSE_PERIOD_ORDER=N","PRODUCT_GEO_OVERRIDE=P","FUND_PER",RIGHT($B$11,1),"ACCOUNTING_STANDARD_OVERRIDE",$H$7,"EQY_CONSOLIDATED",$H$9,"EQY_FUND_CRNCY",$L$7,"StartCol",H$12,"EndCol",H$12,"StartRow",$B107,"EndRow",$B107))</f>
        <v>3956</v>
      </c>
      <c r="I107" s="218">
        <f>IF(LEFT(_xll.BDS(Ticker,"PG_ASSETS","PG_HIERARCHY_LEVEL=1","NUMBER_OF_PERIODS=-11","REVERSE_PERIOD_ORDER=N","PRODUCT_GEO_OVERRIDE=P","FUND_PER",RIGHT($B$11,1),"ACCOUNTING_STANDARD_OVERRIDE",$H$7,"EQY_CONSOLIDATED",$H$9,"EQY_FUND_CRNCY",$L$7,"StartCol",I$12,"EndCol",I$12,"StartRow",$B107,"EndRow",$B107),1)="#","",_xll.BDS(Ticker,"PG_ASSETS","PG_HIERARCHY_LEVEL=1","NUMBER_OF_PERIODS=-11","REVERSE_PERIOD_ORDER=N","PRODUCT_GEO_OVERRIDE=P","FUND_PER",RIGHT($B$11,1),"ACCOUNTING_STANDARD_OVERRIDE",$H$7,"EQY_CONSOLIDATED",$H$9,"EQY_FUND_CRNCY",$L$7,"StartCol",I$12,"EndCol",I$12,"StartRow",$B107,"EndRow",$B107))</f>
        <v>2539</v>
      </c>
      <c r="J107" s="218">
        <f>IF(LEFT(_xll.BDS(Ticker,"PG_ASSETS","PG_HIERARCHY_LEVEL=1","NUMBER_OF_PERIODS=-11","REVERSE_PERIOD_ORDER=N","PRODUCT_GEO_OVERRIDE=P","FUND_PER",RIGHT($B$11,1),"ACCOUNTING_STANDARD_OVERRIDE",$H$7,"EQY_CONSOLIDATED",$H$9,"EQY_FUND_CRNCY",$L$7,"StartCol",J$12,"EndCol",J$12,"StartRow",$B107,"EndRow",$B107),1)="#","",_xll.BDS(Ticker,"PG_ASSETS","PG_HIERARCHY_LEVEL=1","NUMBER_OF_PERIODS=-11","REVERSE_PERIOD_ORDER=N","PRODUCT_GEO_OVERRIDE=P","FUND_PER",RIGHT($B$11,1),"ACCOUNTING_STANDARD_OVERRIDE",$H$7,"EQY_CONSOLIDATED",$H$9,"EQY_FUND_CRNCY",$L$7,"StartCol",J$12,"EndCol",J$12,"StartRow",$B107,"EndRow",$B107))</f>
        <v>-319</v>
      </c>
      <c r="K107" s="218">
        <f>IF(LEFT(_xll.BDS(Ticker,"PG_ASSETS","PG_HIERARCHY_LEVEL=1","NUMBER_OF_PERIODS=-11","REVERSE_PERIOD_ORDER=N","PRODUCT_GEO_OVERRIDE=P","FUND_PER",RIGHT($B$11,1),"ACCOUNTING_STANDARD_OVERRIDE",$H$7,"EQY_CONSOLIDATED",$H$9,"EQY_FUND_CRNCY",$L$7,"StartCol",K$12,"EndCol",K$12,"StartRow",$B107,"EndRow",$B107),1)="#","",_xll.BDS(Ticker,"PG_ASSETS","PG_HIERARCHY_LEVEL=1","NUMBER_OF_PERIODS=-11","REVERSE_PERIOD_ORDER=N","PRODUCT_GEO_OVERRIDE=P","FUND_PER",RIGHT($B$11,1),"ACCOUNTING_STANDARD_OVERRIDE",$H$7,"EQY_CONSOLIDATED",$H$9,"EQY_FUND_CRNCY",$L$7,"StartCol",K$12,"EndCol",K$12,"StartRow",$B107,"EndRow",$B107))</f>
        <v>829</v>
      </c>
      <c r="L107" s="218">
        <f>IF(LEFT(_xll.BDS(Ticker,"PG_ASSETS","PG_HIERARCHY_LEVEL=1","NUMBER_OF_PERIODS=-11","REVERSE_PERIOD_ORDER=N","PRODUCT_GEO_OVERRIDE=P","FUND_PER",RIGHT($B$11,1),"ACCOUNTING_STANDARD_OVERRIDE",$H$7,"EQY_CONSOLIDATED",$H$9,"EQY_FUND_CRNCY",$L$7,"StartCol",L$12,"EndCol",L$12,"StartRow",$B107,"EndRow",$B107),1)="#","",_xll.BDS(Ticker,"PG_ASSETS","PG_HIERARCHY_LEVEL=1","NUMBER_OF_PERIODS=-11","REVERSE_PERIOD_ORDER=N","PRODUCT_GEO_OVERRIDE=P","FUND_PER",RIGHT($B$11,1),"ACCOUNTING_STANDARD_OVERRIDE",$H$7,"EQY_CONSOLIDATED",$H$9,"EQY_FUND_CRNCY",$L$7,"StartCol",L$12,"EndCol",L$12,"StartRow",$B107,"EndRow",$B107))</f>
        <v>705</v>
      </c>
      <c r="M107" s="218">
        <f>IF(LEFT(_xll.BDS(Ticker,"PG_ASSETS","PG_HIERARCHY_LEVEL=1","NUMBER_OF_PERIODS=-11","REVERSE_PERIOD_ORDER=N","PRODUCT_GEO_OVERRIDE=P","FUND_PER",RIGHT($B$11,1),"ACCOUNTING_STANDARD_OVERRIDE",$H$7,"EQY_CONSOLIDATED",$H$9,"EQY_FUND_CRNCY",$L$7,"StartCol",M$12,"EndCol",M$12,"StartRow",$B107,"EndRow",$B107),1)="#","",_xll.BDS(Ticker,"PG_ASSETS","PG_HIERARCHY_LEVEL=1","NUMBER_OF_PERIODS=-11","REVERSE_PERIOD_ORDER=N","PRODUCT_GEO_OVERRIDE=P","FUND_PER",RIGHT($B$11,1),"ACCOUNTING_STANDARD_OVERRIDE",$H$7,"EQY_CONSOLIDATED",$H$9,"EQY_FUND_CRNCY",$L$7,"StartCol",M$12,"EndCol",M$12,"StartRow",$B107,"EndRow",$B107))</f>
        <v>847</v>
      </c>
      <c r="N107" s="218">
        <f>IF(LEFT(_xll.BDS(Ticker,"PG_ASSETS","PG_HIERARCHY_LEVEL=1","NUMBER_OF_PERIODS=-11","REVERSE_PERIOD_ORDER=N","PRODUCT_GEO_OVERRIDE=P","FUND_PER",RIGHT($B$11,1),"ACCOUNTING_STANDARD_OVERRIDE",$H$7,"EQY_CONSOLIDATED",$H$9,"EQY_FUND_CRNCY",$L$7,"StartCol",N$12,"EndCol",N$12,"StartRow",$B107,"EndRow",$B107),1)="#","",_xll.BDS(Ticker,"PG_ASSETS","PG_HIERARCHY_LEVEL=1","NUMBER_OF_PERIODS=-11","REVERSE_PERIOD_ORDER=N","PRODUCT_GEO_OVERRIDE=P","FUND_PER",RIGHT($B$11,1),"ACCOUNTING_STANDARD_OVERRIDE",$H$7,"EQY_CONSOLIDATED",$H$9,"EQY_FUND_CRNCY",$L$7,"StartCol",N$12,"EndCol",N$12,"StartRow",$B107,"EndRow",$B107))</f>
        <v>679</v>
      </c>
    </row>
    <row r="108" spans="2:14" hidden="1" outlineLevel="1">
      <c r="B108" s="214">
        <v>5</v>
      </c>
      <c r="C108" s="216" t="str">
        <f>IF(LEFT(_xll.BDS(Ticker,"PG_ASSETS","PG_HIERARCHY_LEVEL=1","NUMBER_OF_PERIODS=-11","REVERSE_PERIOD_ORDER=N","PRODUCT_GEO_OVERRIDE=P","FUND_PER",RIGHT($B$11,1),"ACCOUNTING_STANDARD_OVERRIDE",$H$7,"EQY_CONSOLIDATED",$H$9,"EQY_FUND_CRNCY",$L$7,"StartCol",C$12,"EndCol",C$12,"StartRow",$B108,"EndRow",$B108),1)="#","",_xll.BDS(Ticker,"PG_ASSETS","PG_HIERARCHY_LEVEL=1","NUMBER_OF_PERIODS=-11","REVERSE_PERIOD_ORDER=N","PRODUCT_GEO_OVERRIDE=P","FUND_PER",RIGHT($B$11,1),"ACCOUNTING_STANDARD_OVERRIDE",$H$7,"EQY_CONSOLIDATED",$H$9,"EQY_FUND_CRNCY",$L$7,"StartCol",C$12,"EndCol",C$12,"StartRow",$B108,"EndRow",$B108))</f>
        <v>Others</v>
      </c>
      <c r="D108" s="218">
        <f>IF(LEFT(_xll.BDS(Ticker,"PG_ASSETS","PG_HIERARCHY_LEVEL=1","NUMBER_OF_PERIODS=-11","REVERSE_PERIOD_ORDER=N","PRODUCT_GEO_OVERRIDE=P","FUND_PER",RIGHT($B$11,1),"ACCOUNTING_STANDARD_OVERRIDE",$H$7,"EQY_CONSOLIDATED",$H$9,"EQY_FUND_CRNCY",$L$7,"StartCol",D$12,"EndCol",D$12,"StartRow",$B108,"EndRow",$B108),1)="#","",_xll.BDS(Ticker,"PG_ASSETS","PG_HIERARCHY_LEVEL=1","NUMBER_OF_PERIODS=-11","REVERSE_PERIOD_ORDER=N","PRODUCT_GEO_OVERRIDE=P","FUND_PER",RIGHT($B$11,1),"ACCOUNTING_STANDARD_OVERRIDE",$H$7,"EQY_CONSOLIDATED",$H$9,"EQY_FUND_CRNCY",$L$7,"StartCol",D$12,"EndCol",D$12,"StartRow",$B108,"EndRow",$B108))</f>
        <v>2590.1999999999998</v>
      </c>
      <c r="E108" s="218">
        <f>IF(LEFT(_xll.BDS(Ticker,"PG_ASSETS","PG_HIERARCHY_LEVEL=1","NUMBER_OF_PERIODS=-11","REVERSE_PERIOD_ORDER=N","PRODUCT_GEO_OVERRIDE=P","FUND_PER",RIGHT($B$11,1),"ACCOUNTING_STANDARD_OVERRIDE",$H$7,"EQY_CONSOLIDATED",$H$9,"EQY_FUND_CRNCY",$L$7,"StartCol",E$12,"EndCol",E$12,"StartRow",$B108,"EndRow",$B108),1)="#","",_xll.BDS(Ticker,"PG_ASSETS","PG_HIERARCHY_LEVEL=1","NUMBER_OF_PERIODS=-11","REVERSE_PERIOD_ORDER=N","PRODUCT_GEO_OVERRIDE=P","FUND_PER",RIGHT($B$11,1),"ACCOUNTING_STANDARD_OVERRIDE",$H$7,"EQY_CONSOLIDATED",$H$9,"EQY_FUND_CRNCY",$L$7,"StartCol",E$12,"EndCol",E$12,"StartRow",$B108,"EndRow",$B108))</f>
        <v>3402</v>
      </c>
      <c r="F108" s="218" t="str">
        <f>IF(LEFT(_xll.BDS(Ticker,"PG_ASSETS","PG_HIERARCHY_LEVEL=1","NUMBER_OF_PERIODS=-11","REVERSE_PERIOD_ORDER=N","PRODUCT_GEO_OVERRIDE=P","FUND_PER",RIGHT($B$11,1),"ACCOUNTING_STANDARD_OVERRIDE",$H$7,"EQY_CONSOLIDATED",$H$9,"EQY_FUND_CRNCY",$L$7,"StartCol",F$12,"EndCol",F$12,"StartRow",$B108,"EndRow",$B108),1)="#","",_xll.BDS(Ticker,"PG_ASSETS","PG_HIERARCHY_LEVEL=1","NUMBER_OF_PERIODS=-11","REVERSE_PERIOD_ORDER=N","PRODUCT_GEO_OVERRIDE=P","FUND_PER",RIGHT($B$11,1),"ACCOUNTING_STANDARD_OVERRIDE",$H$7,"EQY_CONSOLIDATED",$H$9,"EQY_FUND_CRNCY",$L$7,"StartCol",F$12,"EndCol",F$12,"StartRow",$B108,"EndRow",$B108))</f>
        <v/>
      </c>
      <c r="G108" s="218" t="str">
        <f>IF(LEFT(_xll.BDS(Ticker,"PG_ASSETS","PG_HIERARCHY_LEVEL=1","NUMBER_OF_PERIODS=-11","REVERSE_PERIOD_ORDER=N","PRODUCT_GEO_OVERRIDE=P","FUND_PER",RIGHT($B$11,1),"ACCOUNTING_STANDARD_OVERRIDE",$H$7,"EQY_CONSOLIDATED",$H$9,"EQY_FUND_CRNCY",$L$7,"StartCol",G$12,"EndCol",G$12,"StartRow",$B108,"EndRow",$B108),1)="#","",_xll.BDS(Ticker,"PG_ASSETS","PG_HIERARCHY_LEVEL=1","NUMBER_OF_PERIODS=-11","REVERSE_PERIOD_ORDER=N","PRODUCT_GEO_OVERRIDE=P","FUND_PER",RIGHT($B$11,1),"ACCOUNTING_STANDARD_OVERRIDE",$H$7,"EQY_CONSOLIDATED",$H$9,"EQY_FUND_CRNCY",$L$7,"StartCol",G$12,"EndCol",G$12,"StartRow",$B108,"EndRow",$B108))</f>
        <v/>
      </c>
      <c r="H108" s="218" t="str">
        <f>IF(LEFT(_xll.BDS(Ticker,"PG_ASSETS","PG_HIERARCHY_LEVEL=1","NUMBER_OF_PERIODS=-11","REVERSE_PERIOD_ORDER=N","PRODUCT_GEO_OVERRIDE=P","FUND_PER",RIGHT($B$11,1),"ACCOUNTING_STANDARD_OVERRIDE",$H$7,"EQY_CONSOLIDATED",$H$9,"EQY_FUND_CRNCY",$L$7,"StartCol",H$12,"EndCol",H$12,"StartRow",$B108,"EndRow",$B108),1)="#","",_xll.BDS(Ticker,"PG_ASSETS","PG_HIERARCHY_LEVEL=1","NUMBER_OF_PERIODS=-11","REVERSE_PERIOD_ORDER=N","PRODUCT_GEO_OVERRIDE=P","FUND_PER",RIGHT($B$11,1),"ACCOUNTING_STANDARD_OVERRIDE",$H$7,"EQY_CONSOLIDATED",$H$9,"EQY_FUND_CRNCY",$L$7,"StartCol",H$12,"EndCol",H$12,"StartRow",$B108,"EndRow",$B108))</f>
        <v/>
      </c>
      <c r="I108" s="218" t="str">
        <f>IF(LEFT(_xll.BDS(Ticker,"PG_ASSETS","PG_HIERARCHY_LEVEL=1","NUMBER_OF_PERIODS=-11","REVERSE_PERIOD_ORDER=N","PRODUCT_GEO_OVERRIDE=P","FUND_PER",RIGHT($B$11,1),"ACCOUNTING_STANDARD_OVERRIDE",$H$7,"EQY_CONSOLIDATED",$H$9,"EQY_FUND_CRNCY",$L$7,"StartCol",I$12,"EndCol",I$12,"StartRow",$B108,"EndRow",$B108),1)="#","",_xll.BDS(Ticker,"PG_ASSETS","PG_HIERARCHY_LEVEL=1","NUMBER_OF_PERIODS=-11","REVERSE_PERIOD_ORDER=N","PRODUCT_GEO_OVERRIDE=P","FUND_PER",RIGHT($B$11,1),"ACCOUNTING_STANDARD_OVERRIDE",$H$7,"EQY_CONSOLIDATED",$H$9,"EQY_FUND_CRNCY",$L$7,"StartCol",I$12,"EndCol",I$12,"StartRow",$B108,"EndRow",$B108))</f>
        <v/>
      </c>
      <c r="J108" s="218" t="str">
        <f>IF(LEFT(_xll.BDS(Ticker,"PG_ASSETS","PG_HIERARCHY_LEVEL=1","NUMBER_OF_PERIODS=-11","REVERSE_PERIOD_ORDER=N","PRODUCT_GEO_OVERRIDE=P","FUND_PER",RIGHT($B$11,1),"ACCOUNTING_STANDARD_OVERRIDE",$H$7,"EQY_CONSOLIDATED",$H$9,"EQY_FUND_CRNCY",$L$7,"StartCol",J$12,"EndCol",J$12,"StartRow",$B108,"EndRow",$B108),1)="#","",_xll.BDS(Ticker,"PG_ASSETS","PG_HIERARCHY_LEVEL=1","NUMBER_OF_PERIODS=-11","REVERSE_PERIOD_ORDER=N","PRODUCT_GEO_OVERRIDE=P","FUND_PER",RIGHT($B$11,1),"ACCOUNTING_STANDARD_OVERRIDE",$H$7,"EQY_CONSOLIDATED",$H$9,"EQY_FUND_CRNCY",$L$7,"StartCol",J$12,"EndCol",J$12,"StartRow",$B108,"EndRow",$B108))</f>
        <v/>
      </c>
      <c r="K108" s="218" t="str">
        <f>IF(LEFT(_xll.BDS(Ticker,"PG_ASSETS","PG_HIERARCHY_LEVEL=1","NUMBER_OF_PERIODS=-11","REVERSE_PERIOD_ORDER=N","PRODUCT_GEO_OVERRIDE=P","FUND_PER",RIGHT($B$11,1),"ACCOUNTING_STANDARD_OVERRIDE",$H$7,"EQY_CONSOLIDATED",$H$9,"EQY_FUND_CRNCY",$L$7,"StartCol",K$12,"EndCol",K$12,"StartRow",$B108,"EndRow",$B108),1)="#","",_xll.BDS(Ticker,"PG_ASSETS","PG_HIERARCHY_LEVEL=1","NUMBER_OF_PERIODS=-11","REVERSE_PERIOD_ORDER=N","PRODUCT_GEO_OVERRIDE=P","FUND_PER",RIGHT($B$11,1),"ACCOUNTING_STANDARD_OVERRIDE",$H$7,"EQY_CONSOLIDATED",$H$9,"EQY_FUND_CRNCY",$L$7,"StartCol",K$12,"EndCol",K$12,"StartRow",$B108,"EndRow",$B108))</f>
        <v/>
      </c>
      <c r="L108" s="218" t="str">
        <f>IF(LEFT(_xll.BDS(Ticker,"PG_ASSETS","PG_HIERARCHY_LEVEL=1","NUMBER_OF_PERIODS=-11","REVERSE_PERIOD_ORDER=N","PRODUCT_GEO_OVERRIDE=P","FUND_PER",RIGHT($B$11,1),"ACCOUNTING_STANDARD_OVERRIDE",$H$7,"EQY_CONSOLIDATED",$H$9,"EQY_FUND_CRNCY",$L$7,"StartCol",L$12,"EndCol",L$12,"StartRow",$B108,"EndRow",$B108),1)="#","",_xll.BDS(Ticker,"PG_ASSETS","PG_HIERARCHY_LEVEL=1","NUMBER_OF_PERIODS=-11","REVERSE_PERIOD_ORDER=N","PRODUCT_GEO_OVERRIDE=P","FUND_PER",RIGHT($B$11,1),"ACCOUNTING_STANDARD_OVERRIDE",$H$7,"EQY_CONSOLIDATED",$H$9,"EQY_FUND_CRNCY",$L$7,"StartCol",L$12,"EndCol",L$12,"StartRow",$B108,"EndRow",$B108))</f>
        <v/>
      </c>
      <c r="M108" s="218" t="str">
        <f>IF(LEFT(_xll.BDS(Ticker,"PG_ASSETS","PG_HIERARCHY_LEVEL=1","NUMBER_OF_PERIODS=-11","REVERSE_PERIOD_ORDER=N","PRODUCT_GEO_OVERRIDE=P","FUND_PER",RIGHT($B$11,1),"ACCOUNTING_STANDARD_OVERRIDE",$H$7,"EQY_CONSOLIDATED",$H$9,"EQY_FUND_CRNCY",$L$7,"StartCol",M$12,"EndCol",M$12,"StartRow",$B108,"EndRow",$B108),1)="#","",_xll.BDS(Ticker,"PG_ASSETS","PG_HIERARCHY_LEVEL=1","NUMBER_OF_PERIODS=-11","REVERSE_PERIOD_ORDER=N","PRODUCT_GEO_OVERRIDE=P","FUND_PER",RIGHT($B$11,1),"ACCOUNTING_STANDARD_OVERRIDE",$H$7,"EQY_CONSOLIDATED",$H$9,"EQY_FUND_CRNCY",$L$7,"StartCol",M$12,"EndCol",M$12,"StartRow",$B108,"EndRow",$B108))</f>
        <v/>
      </c>
      <c r="N108" s="218" t="str">
        <f>IF(LEFT(_xll.BDS(Ticker,"PG_ASSETS","PG_HIERARCHY_LEVEL=1","NUMBER_OF_PERIODS=-11","REVERSE_PERIOD_ORDER=N","PRODUCT_GEO_OVERRIDE=P","FUND_PER",RIGHT($B$11,1),"ACCOUNTING_STANDARD_OVERRIDE",$H$7,"EQY_CONSOLIDATED",$H$9,"EQY_FUND_CRNCY",$L$7,"StartCol",N$12,"EndCol",N$12,"StartRow",$B108,"EndRow",$B108),1)="#","",_xll.BDS(Ticker,"PG_ASSETS","PG_HIERARCHY_LEVEL=1","NUMBER_OF_PERIODS=-11","REVERSE_PERIOD_ORDER=N","PRODUCT_GEO_OVERRIDE=P","FUND_PER",RIGHT($B$11,1),"ACCOUNTING_STANDARD_OVERRIDE",$H$7,"EQY_CONSOLIDATED",$H$9,"EQY_FUND_CRNCY",$L$7,"StartCol",N$12,"EndCol",N$12,"StartRow",$B108,"EndRow",$B108))</f>
        <v/>
      </c>
    </row>
    <row r="109" spans="2:14" hidden="1" outlineLevel="1">
      <c r="B109" s="214">
        <v>6</v>
      </c>
      <c r="C109" s="216" t="str">
        <f>IF(LEFT(_xll.BDS(Ticker,"PG_ASSETS","PG_HIERARCHY_LEVEL=1","NUMBER_OF_PERIODS=-11","REVERSE_PERIOD_ORDER=N","PRODUCT_GEO_OVERRIDE=P","FUND_PER",RIGHT($B$11,1),"ACCOUNTING_STANDARD_OVERRIDE",$H$7,"EQY_CONSOLIDATED",$H$9,"EQY_FUND_CRNCY",$L$7,"StartCol",C$12,"EndCol",C$12,"StartRow",$B109,"EndRow",$B109),1)="#","",_xll.BDS(Ticker,"PG_ASSETS","PG_HIERARCHY_LEVEL=1","NUMBER_OF_PERIODS=-11","REVERSE_PERIOD_ORDER=N","PRODUCT_GEO_OVERRIDE=P","FUND_PER",RIGHT($B$11,1),"ACCOUNTING_STANDARD_OVERRIDE",$H$7,"EQY_CONSOLIDATED",$H$9,"EQY_FUND_CRNCY",$L$7,"StartCol",C$12,"EndCol",C$12,"StartRow",$B109,"EndRow",$B109))</f>
        <v>Orthopedic Implants</v>
      </c>
      <c r="D109" s="218">
        <f>IF(LEFT(_xll.BDS(Ticker,"PG_ASSETS","PG_HIERARCHY_LEVEL=1","NUMBER_OF_PERIODS=-11","REVERSE_PERIOD_ORDER=N","PRODUCT_GEO_OVERRIDE=P","FUND_PER",RIGHT($B$11,1),"ACCOUNTING_STANDARD_OVERRIDE",$H$7,"EQY_CONSOLIDATED",$H$9,"EQY_FUND_CRNCY",$L$7,"StartCol",D$12,"EndCol",D$12,"StartRow",$B109,"EndRow",$B109),1)="#","",_xll.BDS(Ticker,"PG_ASSETS","PG_HIERARCHY_LEVEL=1","NUMBER_OF_PERIODS=-11","REVERSE_PERIOD_ORDER=N","PRODUCT_GEO_OVERRIDE=P","FUND_PER",RIGHT($B$11,1),"ACCOUNTING_STANDARD_OVERRIDE",$H$7,"EQY_CONSOLIDATED",$H$9,"EQY_FUND_CRNCY",$L$7,"StartCol",D$12,"EndCol",D$12,"StartRow",$B109,"EndRow",$B109))</f>
        <v>3693.5</v>
      </c>
      <c r="E109" s="218" t="str">
        <f>IF(LEFT(_xll.BDS(Ticker,"PG_ASSETS","PG_HIERARCHY_LEVEL=1","NUMBER_OF_PERIODS=-11","REVERSE_PERIOD_ORDER=N","PRODUCT_GEO_OVERRIDE=P","FUND_PER",RIGHT($B$11,1),"ACCOUNTING_STANDARD_OVERRIDE",$H$7,"EQY_CONSOLIDATED",$H$9,"EQY_FUND_CRNCY",$L$7,"StartCol",E$12,"EndCol",E$12,"StartRow",$B109,"EndRow",$B109),1)="#","",_xll.BDS(Ticker,"PG_ASSETS","PG_HIERARCHY_LEVEL=1","NUMBER_OF_PERIODS=-11","REVERSE_PERIOD_ORDER=N","PRODUCT_GEO_OVERRIDE=P","FUND_PER",RIGHT($B$11,1),"ACCOUNTING_STANDARD_OVERRIDE",$H$7,"EQY_CONSOLIDATED",$H$9,"EQY_FUND_CRNCY",$L$7,"StartCol",E$12,"EndCol",E$12,"StartRow",$B109,"EndRow",$B109))</f>
        <v/>
      </c>
      <c r="F109" s="218" t="str">
        <f>IF(LEFT(_xll.BDS(Ticker,"PG_ASSETS","PG_HIERARCHY_LEVEL=1","NUMBER_OF_PERIODS=-11","REVERSE_PERIOD_ORDER=N","PRODUCT_GEO_OVERRIDE=P","FUND_PER",RIGHT($B$11,1),"ACCOUNTING_STANDARD_OVERRIDE",$H$7,"EQY_CONSOLIDATED",$H$9,"EQY_FUND_CRNCY",$L$7,"StartCol",F$12,"EndCol",F$12,"StartRow",$B109,"EndRow",$B109),1)="#","",_xll.BDS(Ticker,"PG_ASSETS","PG_HIERARCHY_LEVEL=1","NUMBER_OF_PERIODS=-11","REVERSE_PERIOD_ORDER=N","PRODUCT_GEO_OVERRIDE=P","FUND_PER",RIGHT($B$11,1),"ACCOUNTING_STANDARD_OVERRIDE",$H$7,"EQY_CONSOLIDATED",$H$9,"EQY_FUND_CRNCY",$L$7,"StartCol",F$12,"EndCol",F$12,"StartRow",$B109,"EndRow",$B109))</f>
        <v/>
      </c>
      <c r="G109" s="218" t="str">
        <f>IF(LEFT(_xll.BDS(Ticker,"PG_ASSETS","PG_HIERARCHY_LEVEL=1","NUMBER_OF_PERIODS=-11","REVERSE_PERIOD_ORDER=N","PRODUCT_GEO_OVERRIDE=P","FUND_PER",RIGHT($B$11,1),"ACCOUNTING_STANDARD_OVERRIDE",$H$7,"EQY_CONSOLIDATED",$H$9,"EQY_FUND_CRNCY",$L$7,"StartCol",G$12,"EndCol",G$12,"StartRow",$B109,"EndRow",$B109),1)="#","",_xll.BDS(Ticker,"PG_ASSETS","PG_HIERARCHY_LEVEL=1","NUMBER_OF_PERIODS=-11","REVERSE_PERIOD_ORDER=N","PRODUCT_GEO_OVERRIDE=P","FUND_PER",RIGHT($B$11,1),"ACCOUNTING_STANDARD_OVERRIDE",$H$7,"EQY_CONSOLIDATED",$H$9,"EQY_FUND_CRNCY",$L$7,"StartCol",G$12,"EndCol",G$12,"StartRow",$B109,"EndRow",$B109))</f>
        <v/>
      </c>
      <c r="H109" s="218" t="str">
        <f>IF(LEFT(_xll.BDS(Ticker,"PG_ASSETS","PG_HIERARCHY_LEVEL=1","NUMBER_OF_PERIODS=-11","REVERSE_PERIOD_ORDER=N","PRODUCT_GEO_OVERRIDE=P","FUND_PER",RIGHT($B$11,1),"ACCOUNTING_STANDARD_OVERRIDE",$H$7,"EQY_CONSOLIDATED",$H$9,"EQY_FUND_CRNCY",$L$7,"StartCol",H$12,"EndCol",H$12,"StartRow",$B109,"EndRow",$B109),1)="#","",_xll.BDS(Ticker,"PG_ASSETS","PG_HIERARCHY_LEVEL=1","NUMBER_OF_PERIODS=-11","REVERSE_PERIOD_ORDER=N","PRODUCT_GEO_OVERRIDE=P","FUND_PER",RIGHT($B$11,1),"ACCOUNTING_STANDARD_OVERRIDE",$H$7,"EQY_CONSOLIDATED",$H$9,"EQY_FUND_CRNCY",$L$7,"StartCol",H$12,"EndCol",H$12,"StartRow",$B109,"EndRow",$B109))</f>
        <v/>
      </c>
      <c r="I109" s="218" t="str">
        <f>IF(LEFT(_xll.BDS(Ticker,"PG_ASSETS","PG_HIERARCHY_LEVEL=1","NUMBER_OF_PERIODS=-11","REVERSE_PERIOD_ORDER=N","PRODUCT_GEO_OVERRIDE=P","FUND_PER",RIGHT($B$11,1),"ACCOUNTING_STANDARD_OVERRIDE",$H$7,"EQY_CONSOLIDATED",$H$9,"EQY_FUND_CRNCY",$L$7,"StartCol",I$12,"EndCol",I$12,"StartRow",$B109,"EndRow",$B109),1)="#","",_xll.BDS(Ticker,"PG_ASSETS","PG_HIERARCHY_LEVEL=1","NUMBER_OF_PERIODS=-11","REVERSE_PERIOD_ORDER=N","PRODUCT_GEO_OVERRIDE=P","FUND_PER",RIGHT($B$11,1),"ACCOUNTING_STANDARD_OVERRIDE",$H$7,"EQY_CONSOLIDATED",$H$9,"EQY_FUND_CRNCY",$L$7,"StartCol",I$12,"EndCol",I$12,"StartRow",$B109,"EndRow",$B109))</f>
        <v/>
      </c>
      <c r="J109" s="218" t="str">
        <f>IF(LEFT(_xll.BDS(Ticker,"PG_ASSETS","PG_HIERARCHY_LEVEL=1","NUMBER_OF_PERIODS=-11","REVERSE_PERIOD_ORDER=N","PRODUCT_GEO_OVERRIDE=P","FUND_PER",RIGHT($B$11,1),"ACCOUNTING_STANDARD_OVERRIDE",$H$7,"EQY_CONSOLIDATED",$H$9,"EQY_FUND_CRNCY",$L$7,"StartCol",J$12,"EndCol",J$12,"StartRow",$B109,"EndRow",$B109),1)="#","",_xll.BDS(Ticker,"PG_ASSETS","PG_HIERARCHY_LEVEL=1","NUMBER_OF_PERIODS=-11","REVERSE_PERIOD_ORDER=N","PRODUCT_GEO_OVERRIDE=P","FUND_PER",RIGHT($B$11,1),"ACCOUNTING_STANDARD_OVERRIDE",$H$7,"EQY_CONSOLIDATED",$H$9,"EQY_FUND_CRNCY",$L$7,"StartCol",J$12,"EndCol",J$12,"StartRow",$B109,"EndRow",$B109))</f>
        <v/>
      </c>
      <c r="K109" s="218" t="str">
        <f>IF(LEFT(_xll.BDS(Ticker,"PG_ASSETS","PG_HIERARCHY_LEVEL=1","NUMBER_OF_PERIODS=-11","REVERSE_PERIOD_ORDER=N","PRODUCT_GEO_OVERRIDE=P","FUND_PER",RIGHT($B$11,1),"ACCOUNTING_STANDARD_OVERRIDE",$H$7,"EQY_CONSOLIDATED",$H$9,"EQY_FUND_CRNCY",$L$7,"StartCol",K$12,"EndCol",K$12,"StartRow",$B109,"EndRow",$B109),1)="#","",_xll.BDS(Ticker,"PG_ASSETS","PG_HIERARCHY_LEVEL=1","NUMBER_OF_PERIODS=-11","REVERSE_PERIOD_ORDER=N","PRODUCT_GEO_OVERRIDE=P","FUND_PER",RIGHT($B$11,1),"ACCOUNTING_STANDARD_OVERRIDE",$H$7,"EQY_CONSOLIDATED",$H$9,"EQY_FUND_CRNCY",$L$7,"StartCol",K$12,"EndCol",K$12,"StartRow",$B109,"EndRow",$B109))</f>
        <v/>
      </c>
      <c r="L109" s="218" t="str">
        <f>IF(LEFT(_xll.BDS(Ticker,"PG_ASSETS","PG_HIERARCHY_LEVEL=1","NUMBER_OF_PERIODS=-11","REVERSE_PERIOD_ORDER=N","PRODUCT_GEO_OVERRIDE=P","FUND_PER",RIGHT($B$11,1),"ACCOUNTING_STANDARD_OVERRIDE",$H$7,"EQY_CONSOLIDATED",$H$9,"EQY_FUND_CRNCY",$L$7,"StartCol",L$12,"EndCol",L$12,"StartRow",$B109,"EndRow",$B109),1)="#","",_xll.BDS(Ticker,"PG_ASSETS","PG_HIERARCHY_LEVEL=1","NUMBER_OF_PERIODS=-11","REVERSE_PERIOD_ORDER=N","PRODUCT_GEO_OVERRIDE=P","FUND_PER",RIGHT($B$11,1),"ACCOUNTING_STANDARD_OVERRIDE",$H$7,"EQY_CONSOLIDATED",$H$9,"EQY_FUND_CRNCY",$L$7,"StartCol",L$12,"EndCol",L$12,"StartRow",$B109,"EndRow",$B109))</f>
        <v/>
      </c>
      <c r="M109" s="218" t="str">
        <f>IF(LEFT(_xll.BDS(Ticker,"PG_ASSETS","PG_HIERARCHY_LEVEL=1","NUMBER_OF_PERIODS=-11","REVERSE_PERIOD_ORDER=N","PRODUCT_GEO_OVERRIDE=P","FUND_PER",RIGHT($B$11,1),"ACCOUNTING_STANDARD_OVERRIDE",$H$7,"EQY_CONSOLIDATED",$H$9,"EQY_FUND_CRNCY",$L$7,"StartCol",M$12,"EndCol",M$12,"StartRow",$B109,"EndRow",$B109),1)="#","",_xll.BDS(Ticker,"PG_ASSETS","PG_HIERARCHY_LEVEL=1","NUMBER_OF_PERIODS=-11","REVERSE_PERIOD_ORDER=N","PRODUCT_GEO_OVERRIDE=P","FUND_PER",RIGHT($B$11,1),"ACCOUNTING_STANDARD_OVERRIDE",$H$7,"EQY_CONSOLIDATED",$H$9,"EQY_FUND_CRNCY",$L$7,"StartCol",M$12,"EndCol",M$12,"StartRow",$B109,"EndRow",$B109))</f>
        <v/>
      </c>
      <c r="N109" s="218" t="str">
        <f>IF(LEFT(_xll.BDS(Ticker,"PG_ASSETS","PG_HIERARCHY_LEVEL=1","NUMBER_OF_PERIODS=-11","REVERSE_PERIOD_ORDER=N","PRODUCT_GEO_OVERRIDE=P","FUND_PER",RIGHT($B$11,1),"ACCOUNTING_STANDARD_OVERRIDE",$H$7,"EQY_CONSOLIDATED",$H$9,"EQY_FUND_CRNCY",$L$7,"StartCol",N$12,"EndCol",N$12,"StartRow",$B109,"EndRow",$B109),1)="#","",_xll.BDS(Ticker,"PG_ASSETS","PG_HIERARCHY_LEVEL=1","NUMBER_OF_PERIODS=-11","REVERSE_PERIOD_ORDER=N","PRODUCT_GEO_OVERRIDE=P","FUND_PER",RIGHT($B$11,1),"ACCOUNTING_STANDARD_OVERRIDE",$H$7,"EQY_CONSOLIDATED",$H$9,"EQY_FUND_CRNCY",$L$7,"StartCol",N$12,"EndCol",N$12,"StartRow",$B109,"EndRow",$B109))</f>
        <v/>
      </c>
    </row>
    <row r="110" spans="2:14" hidden="1" outlineLevel="1">
      <c r="B110" s="214">
        <v>7</v>
      </c>
      <c r="C110" s="216" t="str">
        <f>IF(LEFT(_xll.BDS(Ticker,"PG_ASSETS","PG_HIERARCHY_LEVEL=1","NUMBER_OF_PERIODS=-11","REVERSE_PERIOD_ORDER=N","PRODUCT_GEO_OVERRIDE=P","FUND_PER",RIGHT($B$11,1),"ACCOUNTING_STANDARD_OVERRIDE",$H$7,"EQY_CONSOLIDATED",$H$9,"EQY_FUND_CRNCY",$L$7,"StartCol",C$12,"EndCol",C$12,"StartRow",$B110,"EndRow",$B110),1)="#","",_xll.BDS(Ticker,"PG_ASSETS","PG_HIERARCHY_LEVEL=1","NUMBER_OF_PERIODS=-11","REVERSE_PERIOD_ORDER=N","PRODUCT_GEO_OVERRIDE=P","FUND_PER",RIGHT($B$11,1),"ACCOUNTING_STANDARD_OVERRIDE",$H$7,"EQY_CONSOLIDATED",$H$9,"EQY_FUND_CRNCY",$L$7,"StartCol",C$12,"EndCol",C$12,"StartRow",$B110,"EndRow",$B110))</f>
        <v>Reconstructive_orthopaedics</v>
      </c>
      <c r="D110" s="218" t="str">
        <f>IF(LEFT(_xll.BDS(Ticker,"PG_ASSETS","PG_HIERARCHY_LEVEL=1","NUMBER_OF_PERIODS=-11","REVERSE_PERIOD_ORDER=N","PRODUCT_GEO_OVERRIDE=P","FUND_PER",RIGHT($B$11,1),"ACCOUNTING_STANDARD_OVERRIDE",$H$7,"EQY_CONSOLIDATED",$H$9,"EQY_FUND_CRNCY",$L$7,"StartCol",D$12,"EndCol",D$12,"StartRow",$B110,"EndRow",$B110),1)="#","",_xll.BDS(Ticker,"PG_ASSETS","PG_HIERARCHY_LEVEL=1","NUMBER_OF_PERIODS=-11","REVERSE_PERIOD_ORDER=N","PRODUCT_GEO_OVERRIDE=P","FUND_PER",RIGHT($B$11,1),"ACCOUNTING_STANDARD_OVERRIDE",$H$7,"EQY_CONSOLIDATED",$H$9,"EQY_FUND_CRNCY",$L$7,"StartCol",D$12,"EndCol",D$12,"StartRow",$B110,"EndRow",$B110))</f>
        <v/>
      </c>
      <c r="E110" s="218">
        <f>IF(LEFT(_xll.BDS(Ticker,"PG_ASSETS","PG_HIERARCHY_LEVEL=1","NUMBER_OF_PERIODS=-11","REVERSE_PERIOD_ORDER=N","PRODUCT_GEO_OVERRIDE=P","FUND_PER",RIGHT($B$11,1),"ACCOUNTING_STANDARD_OVERRIDE",$H$7,"EQY_CONSOLIDATED",$H$9,"EQY_FUND_CRNCY",$L$7,"StartCol",E$12,"EndCol",E$12,"StartRow",$B110,"EndRow",$B110),1)="#","",_xll.BDS(Ticker,"PG_ASSETS","PG_HIERARCHY_LEVEL=1","NUMBER_OF_PERIODS=-11","REVERSE_PERIOD_ORDER=N","PRODUCT_GEO_OVERRIDE=P","FUND_PER",RIGHT($B$11,1),"ACCOUNTING_STANDARD_OVERRIDE",$H$7,"EQY_CONSOLIDATED",$H$9,"EQY_FUND_CRNCY",$L$7,"StartCol",E$12,"EndCol",E$12,"StartRow",$B110,"EndRow",$B110))</f>
        <v>3095</v>
      </c>
      <c r="F110" s="218" t="str">
        <f>IF(LEFT(_xll.BDS(Ticker,"PG_ASSETS","PG_HIERARCHY_LEVEL=1","NUMBER_OF_PERIODS=-11","REVERSE_PERIOD_ORDER=N","PRODUCT_GEO_OVERRIDE=P","FUND_PER",RIGHT($B$11,1),"ACCOUNTING_STANDARD_OVERRIDE",$H$7,"EQY_CONSOLIDATED",$H$9,"EQY_FUND_CRNCY",$L$7,"StartCol",F$12,"EndCol",F$12,"StartRow",$B110,"EndRow",$B110),1)="#","",_xll.BDS(Ticker,"PG_ASSETS","PG_HIERARCHY_LEVEL=1","NUMBER_OF_PERIODS=-11","REVERSE_PERIOD_ORDER=N","PRODUCT_GEO_OVERRIDE=P","FUND_PER",RIGHT($B$11,1),"ACCOUNTING_STANDARD_OVERRIDE",$H$7,"EQY_CONSOLIDATED",$H$9,"EQY_FUND_CRNCY",$L$7,"StartCol",F$12,"EndCol",F$12,"StartRow",$B110,"EndRow",$B110))</f>
        <v/>
      </c>
      <c r="G110" s="218" t="str">
        <f>IF(LEFT(_xll.BDS(Ticker,"PG_ASSETS","PG_HIERARCHY_LEVEL=1","NUMBER_OF_PERIODS=-11","REVERSE_PERIOD_ORDER=N","PRODUCT_GEO_OVERRIDE=P","FUND_PER",RIGHT($B$11,1),"ACCOUNTING_STANDARD_OVERRIDE",$H$7,"EQY_CONSOLIDATED",$H$9,"EQY_FUND_CRNCY",$L$7,"StartCol",G$12,"EndCol",G$12,"StartRow",$B110,"EndRow",$B110),1)="#","",_xll.BDS(Ticker,"PG_ASSETS","PG_HIERARCHY_LEVEL=1","NUMBER_OF_PERIODS=-11","REVERSE_PERIOD_ORDER=N","PRODUCT_GEO_OVERRIDE=P","FUND_PER",RIGHT($B$11,1),"ACCOUNTING_STANDARD_OVERRIDE",$H$7,"EQY_CONSOLIDATED",$H$9,"EQY_FUND_CRNCY",$L$7,"StartCol",G$12,"EndCol",G$12,"StartRow",$B110,"EndRow",$B110))</f>
        <v/>
      </c>
      <c r="H110" s="218" t="str">
        <f>IF(LEFT(_xll.BDS(Ticker,"PG_ASSETS","PG_HIERARCHY_LEVEL=1","NUMBER_OF_PERIODS=-11","REVERSE_PERIOD_ORDER=N","PRODUCT_GEO_OVERRIDE=P","FUND_PER",RIGHT($B$11,1),"ACCOUNTING_STANDARD_OVERRIDE",$H$7,"EQY_CONSOLIDATED",$H$9,"EQY_FUND_CRNCY",$L$7,"StartCol",H$12,"EndCol",H$12,"StartRow",$B110,"EndRow",$B110),1)="#","",_xll.BDS(Ticker,"PG_ASSETS","PG_HIERARCHY_LEVEL=1","NUMBER_OF_PERIODS=-11","REVERSE_PERIOD_ORDER=N","PRODUCT_GEO_OVERRIDE=P","FUND_PER",RIGHT($B$11,1),"ACCOUNTING_STANDARD_OVERRIDE",$H$7,"EQY_CONSOLIDATED",$H$9,"EQY_FUND_CRNCY",$L$7,"StartCol",H$12,"EndCol",H$12,"StartRow",$B110,"EndRow",$B110))</f>
        <v/>
      </c>
      <c r="I110" s="218" t="str">
        <f>IF(LEFT(_xll.BDS(Ticker,"PG_ASSETS","PG_HIERARCHY_LEVEL=1","NUMBER_OF_PERIODS=-11","REVERSE_PERIOD_ORDER=N","PRODUCT_GEO_OVERRIDE=P","FUND_PER",RIGHT($B$11,1),"ACCOUNTING_STANDARD_OVERRIDE",$H$7,"EQY_CONSOLIDATED",$H$9,"EQY_FUND_CRNCY",$L$7,"StartCol",I$12,"EndCol",I$12,"StartRow",$B110,"EndRow",$B110),1)="#","",_xll.BDS(Ticker,"PG_ASSETS","PG_HIERARCHY_LEVEL=1","NUMBER_OF_PERIODS=-11","REVERSE_PERIOD_ORDER=N","PRODUCT_GEO_OVERRIDE=P","FUND_PER",RIGHT($B$11,1),"ACCOUNTING_STANDARD_OVERRIDE",$H$7,"EQY_CONSOLIDATED",$H$9,"EQY_FUND_CRNCY",$L$7,"StartCol",I$12,"EndCol",I$12,"StartRow",$B110,"EndRow",$B110))</f>
        <v/>
      </c>
      <c r="J110" s="218" t="str">
        <f>IF(LEFT(_xll.BDS(Ticker,"PG_ASSETS","PG_HIERARCHY_LEVEL=1","NUMBER_OF_PERIODS=-11","REVERSE_PERIOD_ORDER=N","PRODUCT_GEO_OVERRIDE=P","FUND_PER",RIGHT($B$11,1),"ACCOUNTING_STANDARD_OVERRIDE",$H$7,"EQY_CONSOLIDATED",$H$9,"EQY_FUND_CRNCY",$L$7,"StartCol",J$12,"EndCol",J$12,"StartRow",$B110,"EndRow",$B110),1)="#","",_xll.BDS(Ticker,"PG_ASSETS","PG_HIERARCHY_LEVEL=1","NUMBER_OF_PERIODS=-11","REVERSE_PERIOD_ORDER=N","PRODUCT_GEO_OVERRIDE=P","FUND_PER",RIGHT($B$11,1),"ACCOUNTING_STANDARD_OVERRIDE",$H$7,"EQY_CONSOLIDATED",$H$9,"EQY_FUND_CRNCY",$L$7,"StartCol",J$12,"EndCol",J$12,"StartRow",$B110,"EndRow",$B110))</f>
        <v/>
      </c>
      <c r="K110" s="218" t="str">
        <f>IF(LEFT(_xll.BDS(Ticker,"PG_ASSETS","PG_HIERARCHY_LEVEL=1","NUMBER_OF_PERIODS=-11","REVERSE_PERIOD_ORDER=N","PRODUCT_GEO_OVERRIDE=P","FUND_PER",RIGHT($B$11,1),"ACCOUNTING_STANDARD_OVERRIDE",$H$7,"EQY_CONSOLIDATED",$H$9,"EQY_FUND_CRNCY",$L$7,"StartCol",K$12,"EndCol",K$12,"StartRow",$B110,"EndRow",$B110),1)="#","",_xll.BDS(Ticker,"PG_ASSETS","PG_HIERARCHY_LEVEL=1","NUMBER_OF_PERIODS=-11","REVERSE_PERIOD_ORDER=N","PRODUCT_GEO_OVERRIDE=P","FUND_PER",RIGHT($B$11,1),"ACCOUNTING_STANDARD_OVERRIDE",$H$7,"EQY_CONSOLIDATED",$H$9,"EQY_FUND_CRNCY",$L$7,"StartCol",K$12,"EndCol",K$12,"StartRow",$B110,"EndRow",$B110))</f>
        <v/>
      </c>
      <c r="L110" s="218" t="str">
        <f>IF(LEFT(_xll.BDS(Ticker,"PG_ASSETS","PG_HIERARCHY_LEVEL=1","NUMBER_OF_PERIODS=-11","REVERSE_PERIOD_ORDER=N","PRODUCT_GEO_OVERRIDE=P","FUND_PER",RIGHT($B$11,1),"ACCOUNTING_STANDARD_OVERRIDE",$H$7,"EQY_CONSOLIDATED",$H$9,"EQY_FUND_CRNCY",$L$7,"StartCol",L$12,"EndCol",L$12,"StartRow",$B110,"EndRow",$B110),1)="#","",_xll.BDS(Ticker,"PG_ASSETS","PG_HIERARCHY_LEVEL=1","NUMBER_OF_PERIODS=-11","REVERSE_PERIOD_ORDER=N","PRODUCT_GEO_OVERRIDE=P","FUND_PER",RIGHT($B$11,1),"ACCOUNTING_STANDARD_OVERRIDE",$H$7,"EQY_CONSOLIDATED",$H$9,"EQY_FUND_CRNCY",$L$7,"StartCol",L$12,"EndCol",L$12,"StartRow",$B110,"EndRow",$B110))</f>
        <v/>
      </c>
      <c r="M110" s="218" t="str">
        <f>IF(LEFT(_xll.BDS(Ticker,"PG_ASSETS","PG_HIERARCHY_LEVEL=1","NUMBER_OF_PERIODS=-11","REVERSE_PERIOD_ORDER=N","PRODUCT_GEO_OVERRIDE=P","FUND_PER",RIGHT($B$11,1),"ACCOUNTING_STANDARD_OVERRIDE",$H$7,"EQY_CONSOLIDATED",$H$9,"EQY_FUND_CRNCY",$L$7,"StartCol",M$12,"EndCol",M$12,"StartRow",$B110,"EndRow",$B110),1)="#","",_xll.BDS(Ticker,"PG_ASSETS","PG_HIERARCHY_LEVEL=1","NUMBER_OF_PERIODS=-11","REVERSE_PERIOD_ORDER=N","PRODUCT_GEO_OVERRIDE=P","FUND_PER",RIGHT($B$11,1),"ACCOUNTING_STANDARD_OVERRIDE",$H$7,"EQY_CONSOLIDATED",$H$9,"EQY_FUND_CRNCY",$L$7,"StartCol",M$12,"EndCol",M$12,"StartRow",$B110,"EndRow",$B110))</f>
        <v/>
      </c>
      <c r="N110" s="218" t="str">
        <f>IF(LEFT(_xll.BDS(Ticker,"PG_ASSETS","PG_HIERARCHY_LEVEL=1","NUMBER_OF_PERIODS=-11","REVERSE_PERIOD_ORDER=N","PRODUCT_GEO_OVERRIDE=P","FUND_PER",RIGHT($B$11,1),"ACCOUNTING_STANDARD_OVERRIDE",$H$7,"EQY_CONSOLIDATED",$H$9,"EQY_FUND_CRNCY",$L$7,"StartCol",N$12,"EndCol",N$12,"StartRow",$B110,"EndRow",$B110),1)="#","",_xll.BDS(Ticker,"PG_ASSETS","PG_HIERARCHY_LEVEL=1","NUMBER_OF_PERIODS=-11","REVERSE_PERIOD_ORDER=N","PRODUCT_GEO_OVERRIDE=P","FUND_PER",RIGHT($B$11,1),"ACCOUNTING_STANDARD_OVERRIDE",$H$7,"EQY_CONSOLIDATED",$H$9,"EQY_FUND_CRNCY",$L$7,"StartCol",N$12,"EndCol",N$12,"StartRow",$B110,"EndRow",$B110))</f>
        <v/>
      </c>
    </row>
    <row r="111" spans="2:14" hidden="1" outlineLevel="1">
      <c r="B111" s="214">
        <v>8</v>
      </c>
      <c r="C111" s="216" t="str">
        <f>IF(LEFT(_xll.BDS(Ticker,"PG_ASSETS","PG_HIERARCHY_LEVEL=1","NUMBER_OF_PERIODS=-11","REVERSE_PERIOD_ORDER=N","PRODUCT_GEO_OVERRIDE=P","FUND_PER",RIGHT($B$11,1),"ACCOUNTING_STANDARD_OVERRIDE",$H$7,"EQY_CONSOLIDATED",$H$9,"EQY_FUND_CRNCY",$L$7,"StartCol",C$12,"EndCol",C$12,"StartRow",$B111,"EndRow",$B111),1)="#","",_xll.BDS(Ticker,"PG_ASSETS","PG_HIERARCHY_LEVEL=1","NUMBER_OF_PERIODS=-11","REVERSE_PERIOD_ORDER=N","PRODUCT_GEO_OVERRIDE=P","FUND_PER",RIGHT($B$11,1),"ACCOUNTING_STANDARD_OVERRIDE",$H$7,"EQY_CONSOLIDATED",$H$9,"EQY_FUND_CRNCY",$L$7,"StartCol",C$12,"EndCol",C$12,"StartRow",$B111,"EndRow",$B111))</f>
        <v/>
      </c>
      <c r="D111" s="218" t="str">
        <f>IF(LEFT(_xll.BDS(Ticker,"PG_ASSETS","PG_HIERARCHY_LEVEL=1","NUMBER_OF_PERIODS=-11","REVERSE_PERIOD_ORDER=N","PRODUCT_GEO_OVERRIDE=P","FUND_PER",RIGHT($B$11,1),"ACCOUNTING_STANDARD_OVERRIDE",$H$7,"EQY_CONSOLIDATED",$H$9,"EQY_FUND_CRNCY",$L$7,"StartCol",D$12,"EndCol",D$12,"StartRow",$B111,"EndRow",$B111),1)="#","",_xll.BDS(Ticker,"PG_ASSETS","PG_HIERARCHY_LEVEL=1","NUMBER_OF_PERIODS=-11","REVERSE_PERIOD_ORDER=N","PRODUCT_GEO_OVERRIDE=P","FUND_PER",RIGHT($B$11,1),"ACCOUNTING_STANDARD_OVERRIDE",$H$7,"EQY_CONSOLIDATED",$H$9,"EQY_FUND_CRNCY",$L$7,"StartCol",D$12,"EndCol",D$12,"StartRow",$B111,"EndRow",$B111))</f>
        <v/>
      </c>
      <c r="E111" s="218" t="str">
        <f>IF(LEFT(_xll.BDS(Ticker,"PG_ASSETS","PG_HIERARCHY_LEVEL=1","NUMBER_OF_PERIODS=-11","REVERSE_PERIOD_ORDER=N","PRODUCT_GEO_OVERRIDE=P","FUND_PER",RIGHT($B$11,1),"ACCOUNTING_STANDARD_OVERRIDE",$H$7,"EQY_CONSOLIDATED",$H$9,"EQY_FUND_CRNCY",$L$7,"StartCol",E$12,"EndCol",E$12,"StartRow",$B111,"EndRow",$B111),1)="#","",_xll.BDS(Ticker,"PG_ASSETS","PG_HIERARCHY_LEVEL=1","NUMBER_OF_PERIODS=-11","REVERSE_PERIOD_ORDER=N","PRODUCT_GEO_OVERRIDE=P","FUND_PER",RIGHT($B$11,1),"ACCOUNTING_STANDARD_OVERRIDE",$H$7,"EQY_CONSOLIDATED",$H$9,"EQY_FUND_CRNCY",$L$7,"StartCol",E$12,"EndCol",E$12,"StartRow",$B111,"EndRow",$B111))</f>
        <v/>
      </c>
      <c r="F111" s="218" t="str">
        <f>IF(LEFT(_xll.BDS(Ticker,"PG_ASSETS","PG_HIERARCHY_LEVEL=1","NUMBER_OF_PERIODS=-11","REVERSE_PERIOD_ORDER=N","PRODUCT_GEO_OVERRIDE=P","FUND_PER",RIGHT($B$11,1),"ACCOUNTING_STANDARD_OVERRIDE",$H$7,"EQY_CONSOLIDATED",$H$9,"EQY_FUND_CRNCY",$L$7,"StartCol",F$12,"EndCol",F$12,"StartRow",$B111,"EndRow",$B111),1)="#","",_xll.BDS(Ticker,"PG_ASSETS","PG_HIERARCHY_LEVEL=1","NUMBER_OF_PERIODS=-11","REVERSE_PERIOD_ORDER=N","PRODUCT_GEO_OVERRIDE=P","FUND_PER",RIGHT($B$11,1),"ACCOUNTING_STANDARD_OVERRIDE",$H$7,"EQY_CONSOLIDATED",$H$9,"EQY_FUND_CRNCY",$L$7,"StartCol",F$12,"EndCol",F$12,"StartRow",$B111,"EndRow",$B111))</f>
        <v/>
      </c>
      <c r="G111" s="218" t="str">
        <f>IF(LEFT(_xll.BDS(Ticker,"PG_ASSETS","PG_HIERARCHY_LEVEL=1","NUMBER_OF_PERIODS=-11","REVERSE_PERIOD_ORDER=N","PRODUCT_GEO_OVERRIDE=P","FUND_PER",RIGHT($B$11,1),"ACCOUNTING_STANDARD_OVERRIDE",$H$7,"EQY_CONSOLIDATED",$H$9,"EQY_FUND_CRNCY",$L$7,"StartCol",G$12,"EndCol",G$12,"StartRow",$B111,"EndRow",$B111),1)="#","",_xll.BDS(Ticker,"PG_ASSETS","PG_HIERARCHY_LEVEL=1","NUMBER_OF_PERIODS=-11","REVERSE_PERIOD_ORDER=N","PRODUCT_GEO_OVERRIDE=P","FUND_PER",RIGHT($B$11,1),"ACCOUNTING_STANDARD_OVERRIDE",$H$7,"EQY_CONSOLIDATED",$H$9,"EQY_FUND_CRNCY",$L$7,"StartCol",G$12,"EndCol",G$12,"StartRow",$B111,"EndRow",$B111))</f>
        <v/>
      </c>
      <c r="H111" s="218" t="str">
        <f>IF(LEFT(_xll.BDS(Ticker,"PG_ASSETS","PG_HIERARCHY_LEVEL=1","NUMBER_OF_PERIODS=-11","REVERSE_PERIOD_ORDER=N","PRODUCT_GEO_OVERRIDE=P","FUND_PER",RIGHT($B$11,1),"ACCOUNTING_STANDARD_OVERRIDE",$H$7,"EQY_CONSOLIDATED",$H$9,"EQY_FUND_CRNCY",$L$7,"StartCol",H$12,"EndCol",H$12,"StartRow",$B111,"EndRow",$B111),1)="#","",_xll.BDS(Ticker,"PG_ASSETS","PG_HIERARCHY_LEVEL=1","NUMBER_OF_PERIODS=-11","REVERSE_PERIOD_ORDER=N","PRODUCT_GEO_OVERRIDE=P","FUND_PER",RIGHT($B$11,1),"ACCOUNTING_STANDARD_OVERRIDE",$H$7,"EQY_CONSOLIDATED",$H$9,"EQY_FUND_CRNCY",$L$7,"StartCol",H$12,"EndCol",H$12,"StartRow",$B111,"EndRow",$B111))</f>
        <v/>
      </c>
      <c r="I111" s="218" t="str">
        <f>IF(LEFT(_xll.BDS(Ticker,"PG_ASSETS","PG_HIERARCHY_LEVEL=1","NUMBER_OF_PERIODS=-11","REVERSE_PERIOD_ORDER=N","PRODUCT_GEO_OVERRIDE=P","FUND_PER",RIGHT($B$11,1),"ACCOUNTING_STANDARD_OVERRIDE",$H$7,"EQY_CONSOLIDATED",$H$9,"EQY_FUND_CRNCY",$L$7,"StartCol",I$12,"EndCol",I$12,"StartRow",$B111,"EndRow",$B111),1)="#","",_xll.BDS(Ticker,"PG_ASSETS","PG_HIERARCHY_LEVEL=1","NUMBER_OF_PERIODS=-11","REVERSE_PERIOD_ORDER=N","PRODUCT_GEO_OVERRIDE=P","FUND_PER",RIGHT($B$11,1),"ACCOUNTING_STANDARD_OVERRIDE",$H$7,"EQY_CONSOLIDATED",$H$9,"EQY_FUND_CRNCY",$L$7,"StartCol",I$12,"EndCol",I$12,"StartRow",$B111,"EndRow",$B111))</f>
        <v/>
      </c>
      <c r="J111" s="218" t="str">
        <f>IF(LEFT(_xll.BDS(Ticker,"PG_ASSETS","PG_HIERARCHY_LEVEL=1","NUMBER_OF_PERIODS=-11","REVERSE_PERIOD_ORDER=N","PRODUCT_GEO_OVERRIDE=P","FUND_PER",RIGHT($B$11,1),"ACCOUNTING_STANDARD_OVERRIDE",$H$7,"EQY_CONSOLIDATED",$H$9,"EQY_FUND_CRNCY",$L$7,"StartCol",J$12,"EndCol",J$12,"StartRow",$B111,"EndRow",$B111),1)="#","",_xll.BDS(Ticker,"PG_ASSETS","PG_HIERARCHY_LEVEL=1","NUMBER_OF_PERIODS=-11","REVERSE_PERIOD_ORDER=N","PRODUCT_GEO_OVERRIDE=P","FUND_PER",RIGHT($B$11,1),"ACCOUNTING_STANDARD_OVERRIDE",$H$7,"EQY_CONSOLIDATED",$H$9,"EQY_FUND_CRNCY",$L$7,"StartCol",J$12,"EndCol",J$12,"StartRow",$B111,"EndRow",$B111))</f>
        <v/>
      </c>
      <c r="K111" s="218" t="str">
        <f>IF(LEFT(_xll.BDS(Ticker,"PG_ASSETS","PG_HIERARCHY_LEVEL=1","NUMBER_OF_PERIODS=-11","REVERSE_PERIOD_ORDER=N","PRODUCT_GEO_OVERRIDE=P","FUND_PER",RIGHT($B$11,1),"ACCOUNTING_STANDARD_OVERRIDE",$H$7,"EQY_CONSOLIDATED",$H$9,"EQY_FUND_CRNCY",$L$7,"StartCol",K$12,"EndCol",K$12,"StartRow",$B111,"EndRow",$B111),1)="#","",_xll.BDS(Ticker,"PG_ASSETS","PG_HIERARCHY_LEVEL=1","NUMBER_OF_PERIODS=-11","REVERSE_PERIOD_ORDER=N","PRODUCT_GEO_OVERRIDE=P","FUND_PER",RIGHT($B$11,1),"ACCOUNTING_STANDARD_OVERRIDE",$H$7,"EQY_CONSOLIDATED",$H$9,"EQY_FUND_CRNCY",$L$7,"StartCol",K$12,"EndCol",K$12,"StartRow",$B111,"EndRow",$B111))</f>
        <v/>
      </c>
      <c r="L111" s="218" t="str">
        <f>IF(LEFT(_xll.BDS(Ticker,"PG_ASSETS","PG_HIERARCHY_LEVEL=1","NUMBER_OF_PERIODS=-11","REVERSE_PERIOD_ORDER=N","PRODUCT_GEO_OVERRIDE=P","FUND_PER",RIGHT($B$11,1),"ACCOUNTING_STANDARD_OVERRIDE",$H$7,"EQY_CONSOLIDATED",$H$9,"EQY_FUND_CRNCY",$L$7,"StartCol",L$12,"EndCol",L$12,"StartRow",$B111,"EndRow",$B111),1)="#","",_xll.BDS(Ticker,"PG_ASSETS","PG_HIERARCHY_LEVEL=1","NUMBER_OF_PERIODS=-11","REVERSE_PERIOD_ORDER=N","PRODUCT_GEO_OVERRIDE=P","FUND_PER",RIGHT($B$11,1),"ACCOUNTING_STANDARD_OVERRIDE",$H$7,"EQY_CONSOLIDATED",$H$9,"EQY_FUND_CRNCY",$L$7,"StartCol",L$12,"EndCol",L$12,"StartRow",$B111,"EndRow",$B111))</f>
        <v/>
      </c>
      <c r="M111" s="218" t="str">
        <f>IF(LEFT(_xll.BDS(Ticker,"PG_ASSETS","PG_HIERARCHY_LEVEL=1","NUMBER_OF_PERIODS=-11","REVERSE_PERIOD_ORDER=N","PRODUCT_GEO_OVERRIDE=P","FUND_PER",RIGHT($B$11,1),"ACCOUNTING_STANDARD_OVERRIDE",$H$7,"EQY_CONSOLIDATED",$H$9,"EQY_FUND_CRNCY",$L$7,"StartCol",M$12,"EndCol",M$12,"StartRow",$B111,"EndRow",$B111),1)="#","",_xll.BDS(Ticker,"PG_ASSETS","PG_HIERARCHY_LEVEL=1","NUMBER_OF_PERIODS=-11","REVERSE_PERIOD_ORDER=N","PRODUCT_GEO_OVERRIDE=P","FUND_PER",RIGHT($B$11,1),"ACCOUNTING_STANDARD_OVERRIDE",$H$7,"EQY_CONSOLIDATED",$H$9,"EQY_FUND_CRNCY",$L$7,"StartCol",M$12,"EndCol",M$12,"StartRow",$B111,"EndRow",$B111))</f>
        <v/>
      </c>
      <c r="N111" s="218" t="str">
        <f>IF(LEFT(_xll.BDS(Ticker,"PG_ASSETS","PG_HIERARCHY_LEVEL=1","NUMBER_OF_PERIODS=-11","REVERSE_PERIOD_ORDER=N","PRODUCT_GEO_OVERRIDE=P","FUND_PER",RIGHT($B$11,1),"ACCOUNTING_STANDARD_OVERRIDE",$H$7,"EQY_CONSOLIDATED",$H$9,"EQY_FUND_CRNCY",$L$7,"StartCol",N$12,"EndCol",N$12,"StartRow",$B111,"EndRow",$B111),1)="#","",_xll.BDS(Ticker,"PG_ASSETS","PG_HIERARCHY_LEVEL=1","NUMBER_OF_PERIODS=-11","REVERSE_PERIOD_ORDER=N","PRODUCT_GEO_OVERRIDE=P","FUND_PER",RIGHT($B$11,1),"ACCOUNTING_STANDARD_OVERRIDE",$H$7,"EQY_CONSOLIDATED",$H$9,"EQY_FUND_CRNCY",$L$7,"StartCol",N$12,"EndCol",N$12,"StartRow",$B111,"EndRow",$B111))</f>
        <v/>
      </c>
    </row>
    <row r="112" spans="2:14" hidden="1" outlineLevel="1">
      <c r="B112" s="214">
        <v>9</v>
      </c>
      <c r="C112" s="216" t="str">
        <f>IF(LEFT(_xll.BDS(Ticker,"PG_ASSETS","PG_HIERARCHY_LEVEL=1","NUMBER_OF_PERIODS=-11","REVERSE_PERIOD_ORDER=N","PRODUCT_GEO_OVERRIDE=P","FUND_PER",RIGHT($B$11,1),"ACCOUNTING_STANDARD_OVERRIDE",$H$7,"EQY_CONSOLIDATED",$H$9,"EQY_FUND_CRNCY",$L$7,"StartCol",C$12,"EndCol",C$12,"StartRow",$B112,"EndRow",$B112),1)="#","",_xll.BDS(Ticker,"PG_ASSETS","PG_HIERARCHY_LEVEL=1","NUMBER_OF_PERIODS=-11","REVERSE_PERIOD_ORDER=N","PRODUCT_GEO_OVERRIDE=P","FUND_PER",RIGHT($B$11,1),"ACCOUNTING_STANDARD_OVERRIDE",$H$7,"EQY_CONSOLIDATED",$H$9,"EQY_FUND_CRNCY",$L$7,"StartCol",C$12,"EndCol",C$12,"StartRow",$B112,"EndRow",$B112))</f>
        <v/>
      </c>
      <c r="D112" s="218" t="str">
        <f>IF(LEFT(_xll.BDS(Ticker,"PG_ASSETS","PG_HIERARCHY_LEVEL=1","NUMBER_OF_PERIODS=-11","REVERSE_PERIOD_ORDER=N","PRODUCT_GEO_OVERRIDE=P","FUND_PER",RIGHT($B$11,1),"ACCOUNTING_STANDARD_OVERRIDE",$H$7,"EQY_CONSOLIDATED",$H$9,"EQY_FUND_CRNCY",$L$7,"StartCol",D$12,"EndCol",D$12,"StartRow",$B112,"EndRow",$B112),1)="#","",_xll.BDS(Ticker,"PG_ASSETS","PG_HIERARCHY_LEVEL=1","NUMBER_OF_PERIODS=-11","REVERSE_PERIOD_ORDER=N","PRODUCT_GEO_OVERRIDE=P","FUND_PER",RIGHT($B$11,1),"ACCOUNTING_STANDARD_OVERRIDE",$H$7,"EQY_CONSOLIDATED",$H$9,"EQY_FUND_CRNCY",$L$7,"StartCol",D$12,"EndCol",D$12,"StartRow",$B112,"EndRow",$B112))</f>
        <v/>
      </c>
      <c r="E112" s="218" t="str">
        <f>IF(LEFT(_xll.BDS(Ticker,"PG_ASSETS","PG_HIERARCHY_LEVEL=1","NUMBER_OF_PERIODS=-11","REVERSE_PERIOD_ORDER=N","PRODUCT_GEO_OVERRIDE=P","FUND_PER",RIGHT($B$11,1),"ACCOUNTING_STANDARD_OVERRIDE",$H$7,"EQY_CONSOLIDATED",$H$9,"EQY_FUND_CRNCY",$L$7,"StartCol",E$12,"EndCol",E$12,"StartRow",$B112,"EndRow",$B112),1)="#","",_xll.BDS(Ticker,"PG_ASSETS","PG_HIERARCHY_LEVEL=1","NUMBER_OF_PERIODS=-11","REVERSE_PERIOD_ORDER=N","PRODUCT_GEO_OVERRIDE=P","FUND_PER",RIGHT($B$11,1),"ACCOUNTING_STANDARD_OVERRIDE",$H$7,"EQY_CONSOLIDATED",$H$9,"EQY_FUND_CRNCY",$L$7,"StartCol",E$12,"EndCol",E$12,"StartRow",$B112,"EndRow",$B112))</f>
        <v/>
      </c>
      <c r="F112" s="218" t="str">
        <f>IF(LEFT(_xll.BDS(Ticker,"PG_ASSETS","PG_HIERARCHY_LEVEL=1","NUMBER_OF_PERIODS=-11","REVERSE_PERIOD_ORDER=N","PRODUCT_GEO_OVERRIDE=P","FUND_PER",RIGHT($B$11,1),"ACCOUNTING_STANDARD_OVERRIDE",$H$7,"EQY_CONSOLIDATED",$H$9,"EQY_FUND_CRNCY",$L$7,"StartCol",F$12,"EndCol",F$12,"StartRow",$B112,"EndRow",$B112),1)="#","",_xll.BDS(Ticker,"PG_ASSETS","PG_HIERARCHY_LEVEL=1","NUMBER_OF_PERIODS=-11","REVERSE_PERIOD_ORDER=N","PRODUCT_GEO_OVERRIDE=P","FUND_PER",RIGHT($B$11,1),"ACCOUNTING_STANDARD_OVERRIDE",$H$7,"EQY_CONSOLIDATED",$H$9,"EQY_FUND_CRNCY",$L$7,"StartCol",F$12,"EndCol",F$12,"StartRow",$B112,"EndRow",$B112))</f>
        <v/>
      </c>
      <c r="G112" s="218" t="str">
        <f>IF(LEFT(_xll.BDS(Ticker,"PG_ASSETS","PG_HIERARCHY_LEVEL=1","NUMBER_OF_PERIODS=-11","REVERSE_PERIOD_ORDER=N","PRODUCT_GEO_OVERRIDE=P","FUND_PER",RIGHT($B$11,1),"ACCOUNTING_STANDARD_OVERRIDE",$H$7,"EQY_CONSOLIDATED",$H$9,"EQY_FUND_CRNCY",$L$7,"StartCol",G$12,"EndCol",G$12,"StartRow",$B112,"EndRow",$B112),1)="#","",_xll.BDS(Ticker,"PG_ASSETS","PG_HIERARCHY_LEVEL=1","NUMBER_OF_PERIODS=-11","REVERSE_PERIOD_ORDER=N","PRODUCT_GEO_OVERRIDE=P","FUND_PER",RIGHT($B$11,1),"ACCOUNTING_STANDARD_OVERRIDE",$H$7,"EQY_CONSOLIDATED",$H$9,"EQY_FUND_CRNCY",$L$7,"StartCol",G$12,"EndCol",G$12,"StartRow",$B112,"EndRow",$B112))</f>
        <v/>
      </c>
      <c r="H112" s="218" t="str">
        <f>IF(LEFT(_xll.BDS(Ticker,"PG_ASSETS","PG_HIERARCHY_LEVEL=1","NUMBER_OF_PERIODS=-11","REVERSE_PERIOD_ORDER=N","PRODUCT_GEO_OVERRIDE=P","FUND_PER",RIGHT($B$11,1),"ACCOUNTING_STANDARD_OVERRIDE",$H$7,"EQY_CONSOLIDATED",$H$9,"EQY_FUND_CRNCY",$L$7,"StartCol",H$12,"EndCol",H$12,"StartRow",$B112,"EndRow",$B112),1)="#","",_xll.BDS(Ticker,"PG_ASSETS","PG_HIERARCHY_LEVEL=1","NUMBER_OF_PERIODS=-11","REVERSE_PERIOD_ORDER=N","PRODUCT_GEO_OVERRIDE=P","FUND_PER",RIGHT($B$11,1),"ACCOUNTING_STANDARD_OVERRIDE",$H$7,"EQY_CONSOLIDATED",$H$9,"EQY_FUND_CRNCY",$L$7,"StartCol",H$12,"EndCol",H$12,"StartRow",$B112,"EndRow",$B112))</f>
        <v/>
      </c>
      <c r="I112" s="218" t="str">
        <f>IF(LEFT(_xll.BDS(Ticker,"PG_ASSETS","PG_HIERARCHY_LEVEL=1","NUMBER_OF_PERIODS=-11","REVERSE_PERIOD_ORDER=N","PRODUCT_GEO_OVERRIDE=P","FUND_PER",RIGHT($B$11,1),"ACCOUNTING_STANDARD_OVERRIDE",$H$7,"EQY_CONSOLIDATED",$H$9,"EQY_FUND_CRNCY",$L$7,"StartCol",I$12,"EndCol",I$12,"StartRow",$B112,"EndRow",$B112),1)="#","",_xll.BDS(Ticker,"PG_ASSETS","PG_HIERARCHY_LEVEL=1","NUMBER_OF_PERIODS=-11","REVERSE_PERIOD_ORDER=N","PRODUCT_GEO_OVERRIDE=P","FUND_PER",RIGHT($B$11,1),"ACCOUNTING_STANDARD_OVERRIDE",$H$7,"EQY_CONSOLIDATED",$H$9,"EQY_FUND_CRNCY",$L$7,"StartCol",I$12,"EndCol",I$12,"StartRow",$B112,"EndRow",$B112))</f>
        <v/>
      </c>
      <c r="J112" s="218" t="str">
        <f>IF(LEFT(_xll.BDS(Ticker,"PG_ASSETS","PG_HIERARCHY_LEVEL=1","NUMBER_OF_PERIODS=-11","REVERSE_PERIOD_ORDER=N","PRODUCT_GEO_OVERRIDE=P","FUND_PER",RIGHT($B$11,1),"ACCOUNTING_STANDARD_OVERRIDE",$H$7,"EQY_CONSOLIDATED",$H$9,"EQY_FUND_CRNCY",$L$7,"StartCol",J$12,"EndCol",J$12,"StartRow",$B112,"EndRow",$B112),1)="#","",_xll.BDS(Ticker,"PG_ASSETS","PG_HIERARCHY_LEVEL=1","NUMBER_OF_PERIODS=-11","REVERSE_PERIOD_ORDER=N","PRODUCT_GEO_OVERRIDE=P","FUND_PER",RIGHT($B$11,1),"ACCOUNTING_STANDARD_OVERRIDE",$H$7,"EQY_CONSOLIDATED",$H$9,"EQY_FUND_CRNCY",$L$7,"StartCol",J$12,"EndCol",J$12,"StartRow",$B112,"EndRow",$B112))</f>
        <v/>
      </c>
      <c r="K112" s="218" t="str">
        <f>IF(LEFT(_xll.BDS(Ticker,"PG_ASSETS","PG_HIERARCHY_LEVEL=1","NUMBER_OF_PERIODS=-11","REVERSE_PERIOD_ORDER=N","PRODUCT_GEO_OVERRIDE=P","FUND_PER",RIGHT($B$11,1),"ACCOUNTING_STANDARD_OVERRIDE",$H$7,"EQY_CONSOLIDATED",$H$9,"EQY_FUND_CRNCY",$L$7,"StartCol",K$12,"EndCol",K$12,"StartRow",$B112,"EndRow",$B112),1)="#","",_xll.BDS(Ticker,"PG_ASSETS","PG_HIERARCHY_LEVEL=1","NUMBER_OF_PERIODS=-11","REVERSE_PERIOD_ORDER=N","PRODUCT_GEO_OVERRIDE=P","FUND_PER",RIGHT($B$11,1),"ACCOUNTING_STANDARD_OVERRIDE",$H$7,"EQY_CONSOLIDATED",$H$9,"EQY_FUND_CRNCY",$L$7,"StartCol",K$12,"EndCol",K$12,"StartRow",$B112,"EndRow",$B112))</f>
        <v/>
      </c>
      <c r="L112" s="218" t="str">
        <f>IF(LEFT(_xll.BDS(Ticker,"PG_ASSETS","PG_HIERARCHY_LEVEL=1","NUMBER_OF_PERIODS=-11","REVERSE_PERIOD_ORDER=N","PRODUCT_GEO_OVERRIDE=P","FUND_PER",RIGHT($B$11,1),"ACCOUNTING_STANDARD_OVERRIDE",$H$7,"EQY_CONSOLIDATED",$H$9,"EQY_FUND_CRNCY",$L$7,"StartCol",L$12,"EndCol",L$12,"StartRow",$B112,"EndRow",$B112),1)="#","",_xll.BDS(Ticker,"PG_ASSETS","PG_HIERARCHY_LEVEL=1","NUMBER_OF_PERIODS=-11","REVERSE_PERIOD_ORDER=N","PRODUCT_GEO_OVERRIDE=P","FUND_PER",RIGHT($B$11,1),"ACCOUNTING_STANDARD_OVERRIDE",$H$7,"EQY_CONSOLIDATED",$H$9,"EQY_FUND_CRNCY",$L$7,"StartCol",L$12,"EndCol",L$12,"StartRow",$B112,"EndRow",$B112))</f>
        <v/>
      </c>
      <c r="M112" s="218" t="str">
        <f>IF(LEFT(_xll.BDS(Ticker,"PG_ASSETS","PG_HIERARCHY_LEVEL=1","NUMBER_OF_PERIODS=-11","REVERSE_PERIOD_ORDER=N","PRODUCT_GEO_OVERRIDE=P","FUND_PER",RIGHT($B$11,1),"ACCOUNTING_STANDARD_OVERRIDE",$H$7,"EQY_CONSOLIDATED",$H$9,"EQY_FUND_CRNCY",$L$7,"StartCol",M$12,"EndCol",M$12,"StartRow",$B112,"EndRow",$B112),1)="#","",_xll.BDS(Ticker,"PG_ASSETS","PG_HIERARCHY_LEVEL=1","NUMBER_OF_PERIODS=-11","REVERSE_PERIOD_ORDER=N","PRODUCT_GEO_OVERRIDE=P","FUND_PER",RIGHT($B$11,1),"ACCOUNTING_STANDARD_OVERRIDE",$H$7,"EQY_CONSOLIDATED",$H$9,"EQY_FUND_CRNCY",$L$7,"StartCol",M$12,"EndCol",M$12,"StartRow",$B112,"EndRow",$B112))</f>
        <v/>
      </c>
      <c r="N112" s="218" t="str">
        <f>IF(LEFT(_xll.BDS(Ticker,"PG_ASSETS","PG_HIERARCHY_LEVEL=1","NUMBER_OF_PERIODS=-11","REVERSE_PERIOD_ORDER=N","PRODUCT_GEO_OVERRIDE=P","FUND_PER",RIGHT($B$11,1),"ACCOUNTING_STANDARD_OVERRIDE",$H$7,"EQY_CONSOLIDATED",$H$9,"EQY_FUND_CRNCY",$L$7,"StartCol",N$12,"EndCol",N$12,"StartRow",$B112,"EndRow",$B112),1)="#","",_xll.BDS(Ticker,"PG_ASSETS","PG_HIERARCHY_LEVEL=1","NUMBER_OF_PERIODS=-11","REVERSE_PERIOD_ORDER=N","PRODUCT_GEO_OVERRIDE=P","FUND_PER",RIGHT($B$11,1),"ACCOUNTING_STANDARD_OVERRIDE",$H$7,"EQY_CONSOLIDATED",$H$9,"EQY_FUND_CRNCY",$L$7,"StartCol",N$12,"EndCol",N$12,"StartRow",$B112,"EndRow",$B112))</f>
        <v/>
      </c>
    </row>
    <row r="113" spans="2:14" hidden="1" outlineLevel="1">
      <c r="B113" s="214">
        <v>10</v>
      </c>
      <c r="C113" s="216" t="str">
        <f>IF(LEFT(_xll.BDS(Ticker,"PG_ASSETS","PG_HIERARCHY_LEVEL=1","NUMBER_OF_PERIODS=-11","REVERSE_PERIOD_ORDER=N","PRODUCT_GEO_OVERRIDE=P","FUND_PER",RIGHT($B$11,1),"ACCOUNTING_STANDARD_OVERRIDE",$H$7,"EQY_CONSOLIDATED",$H$9,"EQY_FUND_CRNCY",$L$7,"StartCol",C$12,"EndCol",C$12,"StartRow",$B113,"EndRow",$B113),1)="#","",_xll.BDS(Ticker,"PG_ASSETS","PG_HIERARCHY_LEVEL=1","NUMBER_OF_PERIODS=-11","REVERSE_PERIOD_ORDER=N","PRODUCT_GEO_OVERRIDE=P","FUND_PER",RIGHT($B$11,1),"ACCOUNTING_STANDARD_OVERRIDE",$H$7,"EQY_CONSOLIDATED",$H$9,"EQY_FUND_CRNCY",$L$7,"StartCol",C$12,"EndCol",C$12,"StartRow",$B113,"EndRow",$B113))</f>
        <v/>
      </c>
      <c r="D113" s="218" t="str">
        <f>IF(LEFT(_xll.BDS(Ticker,"PG_ASSETS","PG_HIERARCHY_LEVEL=1","NUMBER_OF_PERIODS=-11","REVERSE_PERIOD_ORDER=N","PRODUCT_GEO_OVERRIDE=P","FUND_PER",RIGHT($B$11,1),"ACCOUNTING_STANDARD_OVERRIDE",$H$7,"EQY_CONSOLIDATED",$H$9,"EQY_FUND_CRNCY",$L$7,"StartCol",D$12,"EndCol",D$12,"StartRow",$B113,"EndRow",$B113),1)="#","",_xll.BDS(Ticker,"PG_ASSETS","PG_HIERARCHY_LEVEL=1","NUMBER_OF_PERIODS=-11","REVERSE_PERIOD_ORDER=N","PRODUCT_GEO_OVERRIDE=P","FUND_PER",RIGHT($B$11,1),"ACCOUNTING_STANDARD_OVERRIDE",$H$7,"EQY_CONSOLIDATED",$H$9,"EQY_FUND_CRNCY",$L$7,"StartCol",D$12,"EndCol",D$12,"StartRow",$B113,"EndRow",$B113))</f>
        <v/>
      </c>
      <c r="E113" s="218" t="str">
        <f>IF(LEFT(_xll.BDS(Ticker,"PG_ASSETS","PG_HIERARCHY_LEVEL=1","NUMBER_OF_PERIODS=-11","REVERSE_PERIOD_ORDER=N","PRODUCT_GEO_OVERRIDE=P","FUND_PER",RIGHT($B$11,1),"ACCOUNTING_STANDARD_OVERRIDE",$H$7,"EQY_CONSOLIDATED",$H$9,"EQY_FUND_CRNCY",$L$7,"StartCol",E$12,"EndCol",E$12,"StartRow",$B113,"EndRow",$B113),1)="#","",_xll.BDS(Ticker,"PG_ASSETS","PG_HIERARCHY_LEVEL=1","NUMBER_OF_PERIODS=-11","REVERSE_PERIOD_ORDER=N","PRODUCT_GEO_OVERRIDE=P","FUND_PER",RIGHT($B$11,1),"ACCOUNTING_STANDARD_OVERRIDE",$H$7,"EQY_CONSOLIDATED",$H$9,"EQY_FUND_CRNCY",$L$7,"StartCol",E$12,"EndCol",E$12,"StartRow",$B113,"EndRow",$B113))</f>
        <v/>
      </c>
      <c r="F113" s="218" t="str">
        <f>IF(LEFT(_xll.BDS(Ticker,"PG_ASSETS","PG_HIERARCHY_LEVEL=1","NUMBER_OF_PERIODS=-11","REVERSE_PERIOD_ORDER=N","PRODUCT_GEO_OVERRIDE=P","FUND_PER",RIGHT($B$11,1),"ACCOUNTING_STANDARD_OVERRIDE",$H$7,"EQY_CONSOLIDATED",$H$9,"EQY_FUND_CRNCY",$L$7,"StartCol",F$12,"EndCol",F$12,"StartRow",$B113,"EndRow",$B113),1)="#","",_xll.BDS(Ticker,"PG_ASSETS","PG_HIERARCHY_LEVEL=1","NUMBER_OF_PERIODS=-11","REVERSE_PERIOD_ORDER=N","PRODUCT_GEO_OVERRIDE=P","FUND_PER",RIGHT($B$11,1),"ACCOUNTING_STANDARD_OVERRIDE",$H$7,"EQY_CONSOLIDATED",$H$9,"EQY_FUND_CRNCY",$L$7,"StartCol",F$12,"EndCol",F$12,"StartRow",$B113,"EndRow",$B113))</f>
        <v/>
      </c>
      <c r="G113" s="218" t="str">
        <f>IF(LEFT(_xll.BDS(Ticker,"PG_ASSETS","PG_HIERARCHY_LEVEL=1","NUMBER_OF_PERIODS=-11","REVERSE_PERIOD_ORDER=N","PRODUCT_GEO_OVERRIDE=P","FUND_PER",RIGHT($B$11,1),"ACCOUNTING_STANDARD_OVERRIDE",$H$7,"EQY_CONSOLIDATED",$H$9,"EQY_FUND_CRNCY",$L$7,"StartCol",G$12,"EndCol",G$12,"StartRow",$B113,"EndRow",$B113),1)="#","",_xll.BDS(Ticker,"PG_ASSETS","PG_HIERARCHY_LEVEL=1","NUMBER_OF_PERIODS=-11","REVERSE_PERIOD_ORDER=N","PRODUCT_GEO_OVERRIDE=P","FUND_PER",RIGHT($B$11,1),"ACCOUNTING_STANDARD_OVERRIDE",$H$7,"EQY_CONSOLIDATED",$H$9,"EQY_FUND_CRNCY",$L$7,"StartCol",G$12,"EndCol",G$12,"StartRow",$B113,"EndRow",$B113))</f>
        <v/>
      </c>
      <c r="H113" s="218" t="str">
        <f>IF(LEFT(_xll.BDS(Ticker,"PG_ASSETS","PG_HIERARCHY_LEVEL=1","NUMBER_OF_PERIODS=-11","REVERSE_PERIOD_ORDER=N","PRODUCT_GEO_OVERRIDE=P","FUND_PER",RIGHT($B$11,1),"ACCOUNTING_STANDARD_OVERRIDE",$H$7,"EQY_CONSOLIDATED",$H$9,"EQY_FUND_CRNCY",$L$7,"StartCol",H$12,"EndCol",H$12,"StartRow",$B113,"EndRow",$B113),1)="#","",_xll.BDS(Ticker,"PG_ASSETS","PG_HIERARCHY_LEVEL=1","NUMBER_OF_PERIODS=-11","REVERSE_PERIOD_ORDER=N","PRODUCT_GEO_OVERRIDE=P","FUND_PER",RIGHT($B$11,1),"ACCOUNTING_STANDARD_OVERRIDE",$H$7,"EQY_CONSOLIDATED",$H$9,"EQY_FUND_CRNCY",$L$7,"StartCol",H$12,"EndCol",H$12,"StartRow",$B113,"EndRow",$B113))</f>
        <v/>
      </c>
      <c r="I113" s="218" t="str">
        <f>IF(LEFT(_xll.BDS(Ticker,"PG_ASSETS","PG_HIERARCHY_LEVEL=1","NUMBER_OF_PERIODS=-11","REVERSE_PERIOD_ORDER=N","PRODUCT_GEO_OVERRIDE=P","FUND_PER",RIGHT($B$11,1),"ACCOUNTING_STANDARD_OVERRIDE",$H$7,"EQY_CONSOLIDATED",$H$9,"EQY_FUND_CRNCY",$L$7,"StartCol",I$12,"EndCol",I$12,"StartRow",$B113,"EndRow",$B113),1)="#","",_xll.BDS(Ticker,"PG_ASSETS","PG_HIERARCHY_LEVEL=1","NUMBER_OF_PERIODS=-11","REVERSE_PERIOD_ORDER=N","PRODUCT_GEO_OVERRIDE=P","FUND_PER",RIGHT($B$11,1),"ACCOUNTING_STANDARD_OVERRIDE",$H$7,"EQY_CONSOLIDATED",$H$9,"EQY_FUND_CRNCY",$L$7,"StartCol",I$12,"EndCol",I$12,"StartRow",$B113,"EndRow",$B113))</f>
        <v/>
      </c>
      <c r="J113" s="218" t="str">
        <f>IF(LEFT(_xll.BDS(Ticker,"PG_ASSETS","PG_HIERARCHY_LEVEL=1","NUMBER_OF_PERIODS=-11","REVERSE_PERIOD_ORDER=N","PRODUCT_GEO_OVERRIDE=P","FUND_PER",RIGHT($B$11,1),"ACCOUNTING_STANDARD_OVERRIDE",$H$7,"EQY_CONSOLIDATED",$H$9,"EQY_FUND_CRNCY",$L$7,"StartCol",J$12,"EndCol",J$12,"StartRow",$B113,"EndRow",$B113),1)="#","",_xll.BDS(Ticker,"PG_ASSETS","PG_HIERARCHY_LEVEL=1","NUMBER_OF_PERIODS=-11","REVERSE_PERIOD_ORDER=N","PRODUCT_GEO_OVERRIDE=P","FUND_PER",RIGHT($B$11,1),"ACCOUNTING_STANDARD_OVERRIDE",$H$7,"EQY_CONSOLIDATED",$H$9,"EQY_FUND_CRNCY",$L$7,"StartCol",J$12,"EndCol",J$12,"StartRow",$B113,"EndRow",$B113))</f>
        <v/>
      </c>
      <c r="K113" s="218" t="str">
        <f>IF(LEFT(_xll.BDS(Ticker,"PG_ASSETS","PG_HIERARCHY_LEVEL=1","NUMBER_OF_PERIODS=-11","REVERSE_PERIOD_ORDER=N","PRODUCT_GEO_OVERRIDE=P","FUND_PER",RIGHT($B$11,1),"ACCOUNTING_STANDARD_OVERRIDE",$H$7,"EQY_CONSOLIDATED",$H$9,"EQY_FUND_CRNCY",$L$7,"StartCol",K$12,"EndCol",K$12,"StartRow",$B113,"EndRow",$B113),1)="#","",_xll.BDS(Ticker,"PG_ASSETS","PG_HIERARCHY_LEVEL=1","NUMBER_OF_PERIODS=-11","REVERSE_PERIOD_ORDER=N","PRODUCT_GEO_OVERRIDE=P","FUND_PER",RIGHT($B$11,1),"ACCOUNTING_STANDARD_OVERRIDE",$H$7,"EQY_CONSOLIDATED",$H$9,"EQY_FUND_CRNCY",$L$7,"StartCol",K$12,"EndCol",K$12,"StartRow",$B113,"EndRow",$B113))</f>
        <v/>
      </c>
      <c r="L113" s="218" t="str">
        <f>IF(LEFT(_xll.BDS(Ticker,"PG_ASSETS","PG_HIERARCHY_LEVEL=1","NUMBER_OF_PERIODS=-11","REVERSE_PERIOD_ORDER=N","PRODUCT_GEO_OVERRIDE=P","FUND_PER",RIGHT($B$11,1),"ACCOUNTING_STANDARD_OVERRIDE",$H$7,"EQY_CONSOLIDATED",$H$9,"EQY_FUND_CRNCY",$L$7,"StartCol",L$12,"EndCol",L$12,"StartRow",$B113,"EndRow",$B113),1)="#","",_xll.BDS(Ticker,"PG_ASSETS","PG_HIERARCHY_LEVEL=1","NUMBER_OF_PERIODS=-11","REVERSE_PERIOD_ORDER=N","PRODUCT_GEO_OVERRIDE=P","FUND_PER",RIGHT($B$11,1),"ACCOUNTING_STANDARD_OVERRIDE",$H$7,"EQY_CONSOLIDATED",$H$9,"EQY_FUND_CRNCY",$L$7,"StartCol",L$12,"EndCol",L$12,"StartRow",$B113,"EndRow",$B113))</f>
        <v/>
      </c>
      <c r="M113" s="218" t="str">
        <f>IF(LEFT(_xll.BDS(Ticker,"PG_ASSETS","PG_HIERARCHY_LEVEL=1","NUMBER_OF_PERIODS=-11","REVERSE_PERIOD_ORDER=N","PRODUCT_GEO_OVERRIDE=P","FUND_PER",RIGHT($B$11,1),"ACCOUNTING_STANDARD_OVERRIDE",$H$7,"EQY_CONSOLIDATED",$H$9,"EQY_FUND_CRNCY",$L$7,"StartCol",M$12,"EndCol",M$12,"StartRow",$B113,"EndRow",$B113),1)="#","",_xll.BDS(Ticker,"PG_ASSETS","PG_HIERARCHY_LEVEL=1","NUMBER_OF_PERIODS=-11","REVERSE_PERIOD_ORDER=N","PRODUCT_GEO_OVERRIDE=P","FUND_PER",RIGHT($B$11,1),"ACCOUNTING_STANDARD_OVERRIDE",$H$7,"EQY_CONSOLIDATED",$H$9,"EQY_FUND_CRNCY",$L$7,"StartCol",M$12,"EndCol",M$12,"StartRow",$B113,"EndRow",$B113))</f>
        <v/>
      </c>
      <c r="N113" s="218" t="str">
        <f>IF(LEFT(_xll.BDS(Ticker,"PG_ASSETS","PG_HIERARCHY_LEVEL=1","NUMBER_OF_PERIODS=-11","REVERSE_PERIOD_ORDER=N","PRODUCT_GEO_OVERRIDE=P","FUND_PER",RIGHT($B$11,1),"ACCOUNTING_STANDARD_OVERRIDE",$H$7,"EQY_CONSOLIDATED",$H$9,"EQY_FUND_CRNCY",$L$7,"StartCol",N$12,"EndCol",N$12,"StartRow",$B113,"EndRow",$B113),1)="#","",_xll.BDS(Ticker,"PG_ASSETS","PG_HIERARCHY_LEVEL=1","NUMBER_OF_PERIODS=-11","REVERSE_PERIOD_ORDER=N","PRODUCT_GEO_OVERRIDE=P","FUND_PER",RIGHT($B$11,1),"ACCOUNTING_STANDARD_OVERRIDE",$H$7,"EQY_CONSOLIDATED",$H$9,"EQY_FUND_CRNCY",$L$7,"StartCol",N$12,"EndCol",N$12,"StartRow",$B113,"EndRow",$B113))</f>
        <v/>
      </c>
    </row>
    <row r="114" spans="2:14" hidden="1" outlineLevel="1">
      <c r="B114" s="214"/>
      <c r="C114" s="208"/>
      <c r="D114" s="208"/>
      <c r="E114" s="208"/>
      <c r="F114" s="208"/>
      <c r="G114" s="208"/>
      <c r="H114" s="208"/>
      <c r="I114" s="208"/>
      <c r="J114" s="208"/>
      <c r="K114" s="208"/>
      <c r="L114" s="208"/>
      <c r="M114" s="208"/>
      <c r="N114" s="208"/>
    </row>
    <row r="115" spans="2:14" hidden="1" outlineLevel="1">
      <c r="B115" s="220"/>
      <c r="C115" s="233" t="s">
        <v>11</v>
      </c>
      <c r="D115"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15"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15"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15"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15"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15"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15"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15"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15"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15"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15"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16" spans="2:14" hidden="1" outlineLevel="1">
      <c r="B116" s="222"/>
      <c r="C116" s="233" t="s">
        <v>357</v>
      </c>
      <c r="D116" s="231" t="str">
        <f>IF(LEFT(_xll.BDP(Ticker,"LATEST_PERIOD_END_DT_FULL_RECORD","EQY_FUND_RELATIVE_PERIOD",D$11,"EQY_CONSOLIDATED",$H$9),1)="#","--",_xll.BDP(Ticker,"LATEST_PERIOD_END_DT_FULL_RECORD","EQY_FUND_RELATIVE_PERIOD",D$11,"EQY_CONSOLIDATED",$H$9))</f>
        <v>12/31/2008</v>
      </c>
      <c r="E116" s="231" t="str">
        <f>IF(LEFT(_xll.BDP(Ticker,"LATEST_PERIOD_END_DT_FULL_RECORD","EQY_FUND_RELATIVE_PERIOD",E$11,"EQY_CONSOLIDATED",$H$9),1)="#","--",_xll.BDP(Ticker,"LATEST_PERIOD_END_DT_FULL_RECORD","EQY_FUND_RELATIVE_PERIOD",E$11,"EQY_CONSOLIDATED",$H$9))</f>
        <v>12/31/2009</v>
      </c>
      <c r="F116" s="231" t="str">
        <f>IF(LEFT(_xll.BDP(Ticker,"LATEST_PERIOD_END_DT_FULL_RECORD","EQY_FUND_RELATIVE_PERIOD",F$11,"EQY_CONSOLIDATED",$H$9),1)="#","--",_xll.BDP(Ticker,"LATEST_PERIOD_END_DT_FULL_RECORD","EQY_FUND_RELATIVE_PERIOD",F$11,"EQY_CONSOLIDATED",$H$9))</f>
        <v>12/31/2010</v>
      </c>
      <c r="G116" s="231" t="str">
        <f>IF(LEFT(_xll.BDP(Ticker,"LATEST_PERIOD_END_DT_FULL_RECORD","EQY_FUND_RELATIVE_PERIOD",G$11,"EQY_CONSOLIDATED",$H$9),1)="#","--",_xll.BDP(Ticker,"LATEST_PERIOD_END_DT_FULL_RECORD","EQY_FUND_RELATIVE_PERIOD",G$11,"EQY_CONSOLIDATED",$H$9))</f>
        <v>12/31/2011</v>
      </c>
      <c r="H116" s="231" t="str">
        <f>IF(LEFT(_xll.BDP(Ticker,"LATEST_PERIOD_END_DT_FULL_RECORD","EQY_FUND_RELATIVE_PERIOD",H$11,"EQY_CONSOLIDATED",$H$9),1)="#","--",_xll.BDP(Ticker,"LATEST_PERIOD_END_DT_FULL_RECORD","EQY_FUND_RELATIVE_PERIOD",H$11,"EQY_CONSOLIDATED",$H$9))</f>
        <v>12/31/2012</v>
      </c>
      <c r="I116" s="231" t="str">
        <f>IF(LEFT(_xll.BDP(Ticker,"LATEST_PERIOD_END_DT_FULL_RECORD","EQY_FUND_RELATIVE_PERIOD",I$11,"EQY_CONSOLIDATED",$H$9),1)="#","--",_xll.BDP(Ticker,"LATEST_PERIOD_END_DT_FULL_RECORD","EQY_FUND_RELATIVE_PERIOD",I$11,"EQY_CONSOLIDATED",$H$9))</f>
        <v>12/31/2013</v>
      </c>
      <c r="J116" s="231" t="str">
        <f>IF(LEFT(_xll.BDP(Ticker,"LATEST_PERIOD_END_DT_FULL_RECORD","EQY_FUND_RELATIVE_PERIOD",J$11,"EQY_CONSOLIDATED",$H$9),1)="#","--",_xll.BDP(Ticker,"LATEST_PERIOD_END_DT_FULL_RECORD","EQY_FUND_RELATIVE_PERIOD",J$11,"EQY_CONSOLIDATED",$H$9))</f>
        <v>12/31/2014</v>
      </c>
      <c r="K116" s="231" t="str">
        <f>IF(LEFT(_xll.BDP(Ticker,"LATEST_PERIOD_END_DT_FULL_RECORD","EQY_FUND_RELATIVE_PERIOD",K$11,"EQY_CONSOLIDATED",$H$9),1)="#","--",_xll.BDP(Ticker,"LATEST_PERIOD_END_DT_FULL_RECORD","EQY_FUND_RELATIVE_PERIOD",K$11,"EQY_CONSOLIDATED",$H$9))</f>
        <v>12/31/2015</v>
      </c>
      <c r="L116" s="231" t="str">
        <f>IF(LEFT(_xll.BDP(Ticker,"LATEST_PERIOD_END_DT_FULL_RECORD","EQY_FUND_RELATIVE_PERIOD",L$11,"EQY_CONSOLIDATED",$H$9),1)="#","--",_xll.BDP(Ticker,"LATEST_PERIOD_END_DT_FULL_RECORD","EQY_FUND_RELATIVE_PERIOD",L$11,"EQY_CONSOLIDATED",$H$9))</f>
        <v>12/31/2016</v>
      </c>
      <c r="M116" s="231" t="str">
        <f>IF(LEFT(_xll.BDP(Ticker,"LATEST_PERIOD_END_DT_FULL_RECORD","EQY_FUND_RELATIVE_PERIOD",M$11,"EQY_CONSOLIDATED",$H$9),1)="#","--",_xll.BDP(Ticker,"LATEST_PERIOD_END_DT_FULL_RECORD","EQY_FUND_RELATIVE_PERIOD",M$11,"EQY_CONSOLIDATED",$H$9))</f>
        <v>12/31/2017</v>
      </c>
      <c r="N116" s="231" t="str">
        <f>IF(LEFT(_xll.BDP(Ticker,"LATEST_PERIOD_END_DT_FULL_RECORD","EQY_FUND_RELATIVE_PERIOD",N$11,"EQY_CONSOLIDATED",$H$9),1)="#","--",_xll.BDP(Ticker,"LATEST_PERIOD_END_DT_FULL_RECORD","EQY_FUND_RELATIVE_PERIOD",N$11,"EQY_CONSOLIDATED",$H$9))</f>
        <v>12/31/2018</v>
      </c>
    </row>
    <row r="117" spans="2:14" hidden="1" outlineLevel="1">
      <c r="B117" s="215"/>
      <c r="C117" s="207" t="s">
        <v>184</v>
      </c>
      <c r="D117" s="275" t="str">
        <f t="shared" ref="D117:I117" si="6">IF(LEN(D118),SUM(D118:D127),"")</f>
        <v/>
      </c>
      <c r="E117" s="275" t="str">
        <f t="shared" si="6"/>
        <v/>
      </c>
      <c r="F117" s="275" t="str">
        <f t="shared" si="6"/>
        <v/>
      </c>
      <c r="G117" s="275" t="str">
        <f t="shared" si="6"/>
        <v/>
      </c>
      <c r="H117" s="275" t="str">
        <f t="shared" si="6"/>
        <v/>
      </c>
      <c r="I117" s="275" t="str">
        <f t="shared" si="6"/>
        <v/>
      </c>
      <c r="J117" s="275" t="str">
        <f>IF(LEN(J118),SUM(J118:J127),"")</f>
        <v/>
      </c>
      <c r="K117" s="275" t="str">
        <f>IF(LEN(K118),SUM(K118:K127),"")</f>
        <v/>
      </c>
      <c r="L117" s="275" t="str">
        <f>IF(LEN(L118),SUM(L118:L127),"")</f>
        <v/>
      </c>
      <c r="M117" s="275" t="str">
        <f>IF(LEN(M118),SUM(M118:M127),"")</f>
        <v/>
      </c>
      <c r="N117" s="275" t="str">
        <f>IF(LEN(N118),SUM(N118:N127),"")</f>
        <v/>
      </c>
    </row>
    <row r="118" spans="2:14" hidden="1" outlineLevel="1">
      <c r="B118" s="214">
        <v>1</v>
      </c>
      <c r="C118" s="216" t="str">
        <f>IF(LEFT(_xll.BDS(Ticker,"PG_ASSETS","PG_HIERARCHY_LEVEL=1","NUMBER_OF_PERIODS=-11","REVERSE_PERIOD_ORDER=N","PRODUCT_GEO_OVERRIDE=G","FUND_PER",RIGHT($B$11,1),"ACCOUNTING_STANDARD_OVERRIDE",$H$7,"EQY_CONSOLIDATED",$H$9,"EQY_FUND_CRNCY",$L$7,"StartCol",C$12,"EndCol",C$12,"StartRow",$B118,"EndRow",$B118),1)="#","",_xll.BDS(Ticker,"PG_ASSETS","PG_HIERARCHY_LEVEL=1","NUMBER_OF_PERIODS=-11","REVERSE_PERIOD_ORDER=N","PRODUCT_GEO_OVERRIDE=G","FUND_PER",RIGHT($B$11,1),"ACCOUNTING_STANDARD_OVERRIDE",$H$7,"EQY_CONSOLIDATED",$H$9,"EQY_FUND_CRNCY",$L$7,"StartCol",C$12,"EndCol",C$12,"StartRow",$B118,"EndRow",$B118))</f>
        <v/>
      </c>
      <c r="D118" s="218" t="str">
        <f>IF(LEFT(_xll.BDS(Ticker,"PG_ASSETS","PG_HIERARCHY_LEVEL=1","NUMBER_OF_PERIODS=-11","REVERSE_PERIOD_ORDER=N","PRODUCT_GEO_OVERRIDE=G","FUND_PER",RIGHT($B$11,1),"ACCOUNTING_STANDARD_OVERRIDE",$H$7,"EQY_CONSOLIDATED",$H$9,"EQY_FUND_CRNCY",$L$7,"StartCol",D$12,"EndCol",D$12,"StartRow",$B118,"EndRow",$B118),1)="#","",_xll.BDS(Ticker,"PG_ASSETS","PG_HIERARCHY_LEVEL=1","NUMBER_OF_PERIODS=-11","REVERSE_PERIOD_ORDER=N","PRODUCT_GEO_OVERRIDE=G","FUND_PER",RIGHT($B$11,1),"ACCOUNTING_STANDARD_OVERRIDE",$H$7,"EQY_CONSOLIDATED",$H$9,"EQY_FUND_CRNCY",$L$7,"StartCol",D$12,"EndCol",D$12,"StartRow",$B118,"EndRow",$B118))</f>
        <v/>
      </c>
      <c r="E118" s="218" t="str">
        <f>IF(LEFT(_xll.BDS(Ticker,"PG_ASSETS","PG_HIERARCHY_LEVEL=1","NUMBER_OF_PERIODS=-11","REVERSE_PERIOD_ORDER=N","PRODUCT_GEO_OVERRIDE=G","FUND_PER",RIGHT($B$11,1),"ACCOUNTING_STANDARD_OVERRIDE",$H$7,"EQY_CONSOLIDATED",$H$9,"EQY_FUND_CRNCY",$L$7,"StartCol",E$12,"EndCol",E$12,"StartRow",$B118,"EndRow",$B118),1)="#","",_xll.BDS(Ticker,"PG_ASSETS","PG_HIERARCHY_LEVEL=1","NUMBER_OF_PERIODS=-11","REVERSE_PERIOD_ORDER=N","PRODUCT_GEO_OVERRIDE=G","FUND_PER",RIGHT($B$11,1),"ACCOUNTING_STANDARD_OVERRIDE",$H$7,"EQY_CONSOLIDATED",$H$9,"EQY_FUND_CRNCY",$L$7,"StartCol",E$12,"EndCol",E$12,"StartRow",$B118,"EndRow",$B118))</f>
        <v/>
      </c>
      <c r="F118" s="218" t="str">
        <f>IF(LEFT(_xll.BDS(Ticker,"PG_ASSETS","PG_HIERARCHY_LEVEL=1","NUMBER_OF_PERIODS=-11","REVERSE_PERIOD_ORDER=N","PRODUCT_GEO_OVERRIDE=G","FUND_PER",RIGHT($B$11,1),"ACCOUNTING_STANDARD_OVERRIDE",$H$7,"EQY_CONSOLIDATED",$H$9,"EQY_FUND_CRNCY",$L$7,"StartCol",F$12,"EndCol",F$12,"StartRow",$B118,"EndRow",$B118),1)="#","",_xll.BDS(Ticker,"PG_ASSETS","PG_HIERARCHY_LEVEL=1","NUMBER_OF_PERIODS=-11","REVERSE_PERIOD_ORDER=N","PRODUCT_GEO_OVERRIDE=G","FUND_PER",RIGHT($B$11,1),"ACCOUNTING_STANDARD_OVERRIDE",$H$7,"EQY_CONSOLIDATED",$H$9,"EQY_FUND_CRNCY",$L$7,"StartCol",F$12,"EndCol",F$12,"StartRow",$B118,"EndRow",$B118))</f>
        <v/>
      </c>
      <c r="G118" s="218" t="str">
        <f>IF(LEFT(_xll.BDS(Ticker,"PG_ASSETS","PG_HIERARCHY_LEVEL=1","NUMBER_OF_PERIODS=-11","REVERSE_PERIOD_ORDER=N","PRODUCT_GEO_OVERRIDE=G","FUND_PER",RIGHT($B$11,1),"ACCOUNTING_STANDARD_OVERRIDE",$H$7,"EQY_CONSOLIDATED",$H$9,"EQY_FUND_CRNCY",$L$7,"StartCol",G$12,"EndCol",G$12,"StartRow",$B118,"EndRow",$B118),1)="#","",_xll.BDS(Ticker,"PG_ASSETS","PG_HIERARCHY_LEVEL=1","NUMBER_OF_PERIODS=-11","REVERSE_PERIOD_ORDER=N","PRODUCT_GEO_OVERRIDE=G","FUND_PER",RIGHT($B$11,1),"ACCOUNTING_STANDARD_OVERRIDE",$H$7,"EQY_CONSOLIDATED",$H$9,"EQY_FUND_CRNCY",$L$7,"StartCol",G$12,"EndCol",G$12,"StartRow",$B118,"EndRow",$B118))</f>
        <v/>
      </c>
      <c r="H118" s="218" t="str">
        <f>IF(LEFT(_xll.BDS(Ticker,"PG_ASSETS","PG_HIERARCHY_LEVEL=1","NUMBER_OF_PERIODS=-11","REVERSE_PERIOD_ORDER=N","PRODUCT_GEO_OVERRIDE=G","FUND_PER",RIGHT($B$11,1),"ACCOUNTING_STANDARD_OVERRIDE",$H$7,"EQY_CONSOLIDATED",$H$9,"EQY_FUND_CRNCY",$L$7,"StartCol",H$12,"EndCol",H$12,"StartRow",$B118,"EndRow",$B118),1)="#","",_xll.BDS(Ticker,"PG_ASSETS","PG_HIERARCHY_LEVEL=1","NUMBER_OF_PERIODS=-11","REVERSE_PERIOD_ORDER=N","PRODUCT_GEO_OVERRIDE=G","FUND_PER",RIGHT($B$11,1),"ACCOUNTING_STANDARD_OVERRIDE",$H$7,"EQY_CONSOLIDATED",$H$9,"EQY_FUND_CRNCY",$L$7,"StartCol",H$12,"EndCol",H$12,"StartRow",$B118,"EndRow",$B118))</f>
        <v/>
      </c>
      <c r="I118" s="218" t="str">
        <f>IF(LEFT(_xll.BDS(Ticker,"PG_ASSETS","PG_HIERARCHY_LEVEL=1","NUMBER_OF_PERIODS=-11","REVERSE_PERIOD_ORDER=N","PRODUCT_GEO_OVERRIDE=G","FUND_PER",RIGHT($B$11,1),"ACCOUNTING_STANDARD_OVERRIDE",$H$7,"EQY_CONSOLIDATED",$H$9,"EQY_FUND_CRNCY",$L$7,"StartCol",I$12,"EndCol",I$12,"StartRow",$B118,"EndRow",$B118),1)="#","",_xll.BDS(Ticker,"PG_ASSETS","PG_HIERARCHY_LEVEL=1","NUMBER_OF_PERIODS=-11","REVERSE_PERIOD_ORDER=N","PRODUCT_GEO_OVERRIDE=G","FUND_PER",RIGHT($B$11,1),"ACCOUNTING_STANDARD_OVERRIDE",$H$7,"EQY_CONSOLIDATED",$H$9,"EQY_FUND_CRNCY",$L$7,"StartCol",I$12,"EndCol",I$12,"StartRow",$B118,"EndRow",$B118))</f>
        <v/>
      </c>
      <c r="J118" s="218" t="str">
        <f>IF(LEFT(_xll.BDS(Ticker,"PG_ASSETS","PG_HIERARCHY_LEVEL=1","NUMBER_OF_PERIODS=-11","REVERSE_PERIOD_ORDER=N","PRODUCT_GEO_OVERRIDE=G","FUND_PER",RIGHT($B$11,1),"ACCOUNTING_STANDARD_OVERRIDE",$H$7,"EQY_CONSOLIDATED",$H$9,"EQY_FUND_CRNCY",$L$7,"StartCol",J$12,"EndCol",J$12,"StartRow",$B118,"EndRow",$B118),1)="#","",_xll.BDS(Ticker,"PG_ASSETS","PG_HIERARCHY_LEVEL=1","NUMBER_OF_PERIODS=-11","REVERSE_PERIOD_ORDER=N","PRODUCT_GEO_OVERRIDE=G","FUND_PER",RIGHT($B$11,1),"ACCOUNTING_STANDARD_OVERRIDE",$H$7,"EQY_CONSOLIDATED",$H$9,"EQY_FUND_CRNCY",$L$7,"StartCol",J$12,"EndCol",J$12,"StartRow",$B118,"EndRow",$B118))</f>
        <v/>
      </c>
      <c r="K118" s="218" t="str">
        <f>IF(LEFT(_xll.BDS(Ticker,"PG_ASSETS","PG_HIERARCHY_LEVEL=1","NUMBER_OF_PERIODS=-11","REVERSE_PERIOD_ORDER=N","PRODUCT_GEO_OVERRIDE=G","FUND_PER",RIGHT($B$11,1),"ACCOUNTING_STANDARD_OVERRIDE",$H$7,"EQY_CONSOLIDATED",$H$9,"EQY_FUND_CRNCY",$L$7,"StartCol",K$12,"EndCol",K$12,"StartRow",$B118,"EndRow",$B118),1)="#","",_xll.BDS(Ticker,"PG_ASSETS","PG_HIERARCHY_LEVEL=1","NUMBER_OF_PERIODS=-11","REVERSE_PERIOD_ORDER=N","PRODUCT_GEO_OVERRIDE=G","FUND_PER",RIGHT($B$11,1),"ACCOUNTING_STANDARD_OVERRIDE",$H$7,"EQY_CONSOLIDATED",$H$9,"EQY_FUND_CRNCY",$L$7,"StartCol",K$12,"EndCol",K$12,"StartRow",$B118,"EndRow",$B118))</f>
        <v/>
      </c>
      <c r="L118" s="218" t="str">
        <f>IF(LEFT(_xll.BDS(Ticker,"PG_ASSETS","PG_HIERARCHY_LEVEL=1","NUMBER_OF_PERIODS=-11","REVERSE_PERIOD_ORDER=N","PRODUCT_GEO_OVERRIDE=G","FUND_PER",RIGHT($B$11,1),"ACCOUNTING_STANDARD_OVERRIDE",$H$7,"EQY_CONSOLIDATED",$H$9,"EQY_FUND_CRNCY",$L$7,"StartCol",L$12,"EndCol",L$12,"StartRow",$B118,"EndRow",$B118),1)="#","",_xll.BDS(Ticker,"PG_ASSETS","PG_HIERARCHY_LEVEL=1","NUMBER_OF_PERIODS=-11","REVERSE_PERIOD_ORDER=N","PRODUCT_GEO_OVERRIDE=G","FUND_PER",RIGHT($B$11,1),"ACCOUNTING_STANDARD_OVERRIDE",$H$7,"EQY_CONSOLIDATED",$H$9,"EQY_FUND_CRNCY",$L$7,"StartCol",L$12,"EndCol",L$12,"StartRow",$B118,"EndRow",$B118))</f>
        <v/>
      </c>
      <c r="M118" s="218" t="str">
        <f>IF(LEFT(_xll.BDS(Ticker,"PG_ASSETS","PG_HIERARCHY_LEVEL=1","NUMBER_OF_PERIODS=-11","REVERSE_PERIOD_ORDER=N","PRODUCT_GEO_OVERRIDE=G","FUND_PER",RIGHT($B$11,1),"ACCOUNTING_STANDARD_OVERRIDE",$H$7,"EQY_CONSOLIDATED",$H$9,"EQY_FUND_CRNCY",$L$7,"StartCol",M$12,"EndCol",M$12,"StartRow",$B118,"EndRow",$B118),1)="#","",_xll.BDS(Ticker,"PG_ASSETS","PG_HIERARCHY_LEVEL=1","NUMBER_OF_PERIODS=-11","REVERSE_PERIOD_ORDER=N","PRODUCT_GEO_OVERRIDE=G","FUND_PER",RIGHT($B$11,1),"ACCOUNTING_STANDARD_OVERRIDE",$H$7,"EQY_CONSOLIDATED",$H$9,"EQY_FUND_CRNCY",$L$7,"StartCol",M$12,"EndCol",M$12,"StartRow",$B118,"EndRow",$B118))</f>
        <v/>
      </c>
      <c r="N118" s="218" t="str">
        <f>IF(LEFT(_xll.BDS(Ticker,"PG_ASSETS","PG_HIERARCHY_LEVEL=1","NUMBER_OF_PERIODS=-11","REVERSE_PERIOD_ORDER=N","PRODUCT_GEO_OVERRIDE=G","FUND_PER",RIGHT($B$11,1),"ACCOUNTING_STANDARD_OVERRIDE",$H$7,"EQY_CONSOLIDATED",$H$9,"EQY_FUND_CRNCY",$L$7,"StartCol",N$12,"EndCol",N$12,"StartRow",$B118,"EndRow",$B118),1)="#","",_xll.BDS(Ticker,"PG_ASSETS","PG_HIERARCHY_LEVEL=1","NUMBER_OF_PERIODS=-11","REVERSE_PERIOD_ORDER=N","PRODUCT_GEO_OVERRIDE=G","FUND_PER",RIGHT($B$11,1),"ACCOUNTING_STANDARD_OVERRIDE",$H$7,"EQY_CONSOLIDATED",$H$9,"EQY_FUND_CRNCY",$L$7,"StartCol",N$12,"EndCol",N$12,"StartRow",$B118,"EndRow",$B118))</f>
        <v/>
      </c>
    </row>
    <row r="119" spans="2:14" hidden="1" outlineLevel="1">
      <c r="B119" s="214">
        <v>2</v>
      </c>
      <c r="C119" s="216" t="str">
        <f>IF(LEFT(_xll.BDS(Ticker,"PG_ASSETS","PG_HIERARCHY_LEVEL=1","NUMBER_OF_PERIODS=-11","REVERSE_PERIOD_ORDER=N","PRODUCT_GEO_OVERRIDE=G","FUND_PER",RIGHT($B$11,1),"ACCOUNTING_STANDARD_OVERRIDE",$H$7,"EQY_CONSOLIDATED",$H$9,"EQY_FUND_CRNCY",$L$7,"StartCol",C$12,"EndCol",C$12,"StartRow",$B119,"EndRow",$B119),1)="#","",_xll.BDS(Ticker,"PG_ASSETS","PG_HIERARCHY_LEVEL=1","NUMBER_OF_PERIODS=-11","REVERSE_PERIOD_ORDER=N","PRODUCT_GEO_OVERRIDE=G","FUND_PER",RIGHT($B$11,1),"ACCOUNTING_STANDARD_OVERRIDE",$H$7,"EQY_CONSOLIDATED",$H$9,"EQY_FUND_CRNCY",$L$7,"StartCol",C$12,"EndCol",C$12,"StartRow",$B119,"EndRow",$B119))</f>
        <v/>
      </c>
      <c r="D119" s="218" t="str">
        <f>IF(LEFT(_xll.BDS(Ticker,"PG_ASSETS","PG_HIERARCHY_LEVEL=1","NUMBER_OF_PERIODS=-11","REVERSE_PERIOD_ORDER=N","PRODUCT_GEO_OVERRIDE=G","FUND_PER",RIGHT($B$11,1),"ACCOUNTING_STANDARD_OVERRIDE",$H$7,"EQY_CONSOLIDATED",$H$9,"EQY_FUND_CRNCY",$L$7,"StartCol",D$12,"EndCol",D$12,"StartRow",$B119,"EndRow",$B119),1)="#","",_xll.BDS(Ticker,"PG_ASSETS","PG_HIERARCHY_LEVEL=1","NUMBER_OF_PERIODS=-11","REVERSE_PERIOD_ORDER=N","PRODUCT_GEO_OVERRIDE=G","FUND_PER",RIGHT($B$11,1),"ACCOUNTING_STANDARD_OVERRIDE",$H$7,"EQY_CONSOLIDATED",$H$9,"EQY_FUND_CRNCY",$L$7,"StartCol",D$12,"EndCol",D$12,"StartRow",$B119,"EndRow",$B119))</f>
        <v/>
      </c>
      <c r="E119" s="218" t="str">
        <f>IF(LEFT(_xll.BDS(Ticker,"PG_ASSETS","PG_HIERARCHY_LEVEL=1","NUMBER_OF_PERIODS=-11","REVERSE_PERIOD_ORDER=N","PRODUCT_GEO_OVERRIDE=G","FUND_PER",RIGHT($B$11,1),"ACCOUNTING_STANDARD_OVERRIDE",$H$7,"EQY_CONSOLIDATED",$H$9,"EQY_FUND_CRNCY",$L$7,"StartCol",E$12,"EndCol",E$12,"StartRow",$B119,"EndRow",$B119),1)="#","",_xll.BDS(Ticker,"PG_ASSETS","PG_HIERARCHY_LEVEL=1","NUMBER_OF_PERIODS=-11","REVERSE_PERIOD_ORDER=N","PRODUCT_GEO_OVERRIDE=G","FUND_PER",RIGHT($B$11,1),"ACCOUNTING_STANDARD_OVERRIDE",$H$7,"EQY_CONSOLIDATED",$H$9,"EQY_FUND_CRNCY",$L$7,"StartCol",E$12,"EndCol",E$12,"StartRow",$B119,"EndRow",$B119))</f>
        <v/>
      </c>
      <c r="F119" s="218" t="str">
        <f>IF(LEFT(_xll.BDS(Ticker,"PG_ASSETS","PG_HIERARCHY_LEVEL=1","NUMBER_OF_PERIODS=-11","REVERSE_PERIOD_ORDER=N","PRODUCT_GEO_OVERRIDE=G","FUND_PER",RIGHT($B$11,1),"ACCOUNTING_STANDARD_OVERRIDE",$H$7,"EQY_CONSOLIDATED",$H$9,"EQY_FUND_CRNCY",$L$7,"StartCol",F$12,"EndCol",F$12,"StartRow",$B119,"EndRow",$B119),1)="#","",_xll.BDS(Ticker,"PG_ASSETS","PG_HIERARCHY_LEVEL=1","NUMBER_OF_PERIODS=-11","REVERSE_PERIOD_ORDER=N","PRODUCT_GEO_OVERRIDE=G","FUND_PER",RIGHT($B$11,1),"ACCOUNTING_STANDARD_OVERRIDE",$H$7,"EQY_CONSOLIDATED",$H$9,"EQY_FUND_CRNCY",$L$7,"StartCol",F$12,"EndCol",F$12,"StartRow",$B119,"EndRow",$B119))</f>
        <v/>
      </c>
      <c r="G119" s="218" t="str">
        <f>IF(LEFT(_xll.BDS(Ticker,"PG_ASSETS","PG_HIERARCHY_LEVEL=1","NUMBER_OF_PERIODS=-11","REVERSE_PERIOD_ORDER=N","PRODUCT_GEO_OVERRIDE=G","FUND_PER",RIGHT($B$11,1),"ACCOUNTING_STANDARD_OVERRIDE",$H$7,"EQY_CONSOLIDATED",$H$9,"EQY_FUND_CRNCY",$L$7,"StartCol",G$12,"EndCol",G$12,"StartRow",$B119,"EndRow",$B119),1)="#","",_xll.BDS(Ticker,"PG_ASSETS","PG_HIERARCHY_LEVEL=1","NUMBER_OF_PERIODS=-11","REVERSE_PERIOD_ORDER=N","PRODUCT_GEO_OVERRIDE=G","FUND_PER",RIGHT($B$11,1),"ACCOUNTING_STANDARD_OVERRIDE",$H$7,"EQY_CONSOLIDATED",$H$9,"EQY_FUND_CRNCY",$L$7,"StartCol",G$12,"EndCol",G$12,"StartRow",$B119,"EndRow",$B119))</f>
        <v/>
      </c>
      <c r="H119" s="218" t="str">
        <f>IF(LEFT(_xll.BDS(Ticker,"PG_ASSETS","PG_HIERARCHY_LEVEL=1","NUMBER_OF_PERIODS=-11","REVERSE_PERIOD_ORDER=N","PRODUCT_GEO_OVERRIDE=G","FUND_PER",RIGHT($B$11,1),"ACCOUNTING_STANDARD_OVERRIDE",$H$7,"EQY_CONSOLIDATED",$H$9,"EQY_FUND_CRNCY",$L$7,"StartCol",H$12,"EndCol",H$12,"StartRow",$B119,"EndRow",$B119),1)="#","",_xll.BDS(Ticker,"PG_ASSETS","PG_HIERARCHY_LEVEL=1","NUMBER_OF_PERIODS=-11","REVERSE_PERIOD_ORDER=N","PRODUCT_GEO_OVERRIDE=G","FUND_PER",RIGHT($B$11,1),"ACCOUNTING_STANDARD_OVERRIDE",$H$7,"EQY_CONSOLIDATED",$H$9,"EQY_FUND_CRNCY",$L$7,"StartCol",H$12,"EndCol",H$12,"StartRow",$B119,"EndRow",$B119))</f>
        <v/>
      </c>
      <c r="I119" s="218" t="str">
        <f>IF(LEFT(_xll.BDS(Ticker,"PG_ASSETS","PG_HIERARCHY_LEVEL=1","NUMBER_OF_PERIODS=-11","REVERSE_PERIOD_ORDER=N","PRODUCT_GEO_OVERRIDE=G","FUND_PER",RIGHT($B$11,1),"ACCOUNTING_STANDARD_OVERRIDE",$H$7,"EQY_CONSOLIDATED",$H$9,"EQY_FUND_CRNCY",$L$7,"StartCol",I$12,"EndCol",I$12,"StartRow",$B119,"EndRow",$B119),1)="#","",_xll.BDS(Ticker,"PG_ASSETS","PG_HIERARCHY_LEVEL=1","NUMBER_OF_PERIODS=-11","REVERSE_PERIOD_ORDER=N","PRODUCT_GEO_OVERRIDE=G","FUND_PER",RIGHT($B$11,1),"ACCOUNTING_STANDARD_OVERRIDE",$H$7,"EQY_CONSOLIDATED",$H$9,"EQY_FUND_CRNCY",$L$7,"StartCol",I$12,"EndCol",I$12,"StartRow",$B119,"EndRow",$B119))</f>
        <v/>
      </c>
      <c r="J119" s="218" t="str">
        <f>IF(LEFT(_xll.BDS(Ticker,"PG_ASSETS","PG_HIERARCHY_LEVEL=1","NUMBER_OF_PERIODS=-11","REVERSE_PERIOD_ORDER=N","PRODUCT_GEO_OVERRIDE=G","FUND_PER",RIGHT($B$11,1),"ACCOUNTING_STANDARD_OVERRIDE",$H$7,"EQY_CONSOLIDATED",$H$9,"EQY_FUND_CRNCY",$L$7,"StartCol",J$12,"EndCol",J$12,"StartRow",$B119,"EndRow",$B119),1)="#","",_xll.BDS(Ticker,"PG_ASSETS","PG_HIERARCHY_LEVEL=1","NUMBER_OF_PERIODS=-11","REVERSE_PERIOD_ORDER=N","PRODUCT_GEO_OVERRIDE=G","FUND_PER",RIGHT($B$11,1),"ACCOUNTING_STANDARD_OVERRIDE",$H$7,"EQY_CONSOLIDATED",$H$9,"EQY_FUND_CRNCY",$L$7,"StartCol",J$12,"EndCol",J$12,"StartRow",$B119,"EndRow",$B119))</f>
        <v/>
      </c>
      <c r="K119" s="218" t="str">
        <f>IF(LEFT(_xll.BDS(Ticker,"PG_ASSETS","PG_HIERARCHY_LEVEL=1","NUMBER_OF_PERIODS=-11","REVERSE_PERIOD_ORDER=N","PRODUCT_GEO_OVERRIDE=G","FUND_PER",RIGHT($B$11,1),"ACCOUNTING_STANDARD_OVERRIDE",$H$7,"EQY_CONSOLIDATED",$H$9,"EQY_FUND_CRNCY",$L$7,"StartCol",K$12,"EndCol",K$12,"StartRow",$B119,"EndRow",$B119),1)="#","",_xll.BDS(Ticker,"PG_ASSETS","PG_HIERARCHY_LEVEL=1","NUMBER_OF_PERIODS=-11","REVERSE_PERIOD_ORDER=N","PRODUCT_GEO_OVERRIDE=G","FUND_PER",RIGHT($B$11,1),"ACCOUNTING_STANDARD_OVERRIDE",$H$7,"EQY_CONSOLIDATED",$H$9,"EQY_FUND_CRNCY",$L$7,"StartCol",K$12,"EndCol",K$12,"StartRow",$B119,"EndRow",$B119))</f>
        <v/>
      </c>
      <c r="L119" s="218" t="str">
        <f>IF(LEFT(_xll.BDS(Ticker,"PG_ASSETS","PG_HIERARCHY_LEVEL=1","NUMBER_OF_PERIODS=-11","REVERSE_PERIOD_ORDER=N","PRODUCT_GEO_OVERRIDE=G","FUND_PER",RIGHT($B$11,1),"ACCOUNTING_STANDARD_OVERRIDE",$H$7,"EQY_CONSOLIDATED",$H$9,"EQY_FUND_CRNCY",$L$7,"StartCol",L$12,"EndCol",L$12,"StartRow",$B119,"EndRow",$B119),1)="#","",_xll.BDS(Ticker,"PG_ASSETS","PG_HIERARCHY_LEVEL=1","NUMBER_OF_PERIODS=-11","REVERSE_PERIOD_ORDER=N","PRODUCT_GEO_OVERRIDE=G","FUND_PER",RIGHT($B$11,1),"ACCOUNTING_STANDARD_OVERRIDE",$H$7,"EQY_CONSOLIDATED",$H$9,"EQY_FUND_CRNCY",$L$7,"StartCol",L$12,"EndCol",L$12,"StartRow",$B119,"EndRow",$B119))</f>
        <v/>
      </c>
      <c r="M119" s="218" t="str">
        <f>IF(LEFT(_xll.BDS(Ticker,"PG_ASSETS","PG_HIERARCHY_LEVEL=1","NUMBER_OF_PERIODS=-11","REVERSE_PERIOD_ORDER=N","PRODUCT_GEO_OVERRIDE=G","FUND_PER",RIGHT($B$11,1),"ACCOUNTING_STANDARD_OVERRIDE",$H$7,"EQY_CONSOLIDATED",$H$9,"EQY_FUND_CRNCY",$L$7,"StartCol",M$12,"EndCol",M$12,"StartRow",$B119,"EndRow",$B119),1)="#","",_xll.BDS(Ticker,"PG_ASSETS","PG_HIERARCHY_LEVEL=1","NUMBER_OF_PERIODS=-11","REVERSE_PERIOD_ORDER=N","PRODUCT_GEO_OVERRIDE=G","FUND_PER",RIGHT($B$11,1),"ACCOUNTING_STANDARD_OVERRIDE",$H$7,"EQY_CONSOLIDATED",$H$9,"EQY_FUND_CRNCY",$L$7,"StartCol",M$12,"EndCol",M$12,"StartRow",$B119,"EndRow",$B119))</f>
        <v/>
      </c>
      <c r="N119" s="218" t="str">
        <f>IF(LEFT(_xll.BDS(Ticker,"PG_ASSETS","PG_HIERARCHY_LEVEL=1","NUMBER_OF_PERIODS=-11","REVERSE_PERIOD_ORDER=N","PRODUCT_GEO_OVERRIDE=G","FUND_PER",RIGHT($B$11,1),"ACCOUNTING_STANDARD_OVERRIDE",$H$7,"EQY_CONSOLIDATED",$H$9,"EQY_FUND_CRNCY",$L$7,"StartCol",N$12,"EndCol",N$12,"StartRow",$B119,"EndRow",$B119),1)="#","",_xll.BDS(Ticker,"PG_ASSETS","PG_HIERARCHY_LEVEL=1","NUMBER_OF_PERIODS=-11","REVERSE_PERIOD_ORDER=N","PRODUCT_GEO_OVERRIDE=G","FUND_PER",RIGHT($B$11,1),"ACCOUNTING_STANDARD_OVERRIDE",$H$7,"EQY_CONSOLIDATED",$H$9,"EQY_FUND_CRNCY",$L$7,"StartCol",N$12,"EndCol",N$12,"StartRow",$B119,"EndRow",$B119))</f>
        <v/>
      </c>
    </row>
    <row r="120" spans="2:14" hidden="1" outlineLevel="1">
      <c r="B120" s="214">
        <v>3</v>
      </c>
      <c r="C120" s="216" t="str">
        <f>IF(LEFT(_xll.BDS(Ticker,"PG_ASSETS","PG_HIERARCHY_LEVEL=1","NUMBER_OF_PERIODS=-11","REVERSE_PERIOD_ORDER=N","PRODUCT_GEO_OVERRIDE=G","FUND_PER",RIGHT($B$11,1),"ACCOUNTING_STANDARD_OVERRIDE",$H$7,"EQY_CONSOLIDATED",$H$9,"EQY_FUND_CRNCY",$L$7,"StartCol",C$12,"EndCol",C$12,"StartRow",$B120,"EndRow",$B120),1)="#","",_xll.BDS(Ticker,"PG_ASSETS","PG_HIERARCHY_LEVEL=1","NUMBER_OF_PERIODS=-11","REVERSE_PERIOD_ORDER=N","PRODUCT_GEO_OVERRIDE=G","FUND_PER",RIGHT($B$11,1),"ACCOUNTING_STANDARD_OVERRIDE",$H$7,"EQY_CONSOLIDATED",$H$9,"EQY_FUND_CRNCY",$L$7,"StartCol",C$12,"EndCol",C$12,"StartRow",$B120,"EndRow",$B120))</f>
        <v/>
      </c>
      <c r="D120" s="218" t="str">
        <f>IF(LEFT(_xll.BDS(Ticker,"PG_ASSETS","PG_HIERARCHY_LEVEL=1","NUMBER_OF_PERIODS=-11","REVERSE_PERIOD_ORDER=N","PRODUCT_GEO_OVERRIDE=G","FUND_PER",RIGHT($B$11,1),"ACCOUNTING_STANDARD_OVERRIDE",$H$7,"EQY_CONSOLIDATED",$H$9,"EQY_FUND_CRNCY",$L$7,"StartCol",D$12,"EndCol",D$12,"StartRow",$B120,"EndRow",$B120),1)="#","",_xll.BDS(Ticker,"PG_ASSETS","PG_HIERARCHY_LEVEL=1","NUMBER_OF_PERIODS=-11","REVERSE_PERIOD_ORDER=N","PRODUCT_GEO_OVERRIDE=G","FUND_PER",RIGHT($B$11,1),"ACCOUNTING_STANDARD_OVERRIDE",$H$7,"EQY_CONSOLIDATED",$H$9,"EQY_FUND_CRNCY",$L$7,"StartCol",D$12,"EndCol",D$12,"StartRow",$B120,"EndRow",$B120))</f>
        <v/>
      </c>
      <c r="E120" s="218" t="str">
        <f>IF(LEFT(_xll.BDS(Ticker,"PG_ASSETS","PG_HIERARCHY_LEVEL=1","NUMBER_OF_PERIODS=-11","REVERSE_PERIOD_ORDER=N","PRODUCT_GEO_OVERRIDE=G","FUND_PER",RIGHT($B$11,1),"ACCOUNTING_STANDARD_OVERRIDE",$H$7,"EQY_CONSOLIDATED",$H$9,"EQY_FUND_CRNCY",$L$7,"StartCol",E$12,"EndCol",E$12,"StartRow",$B120,"EndRow",$B120),1)="#","",_xll.BDS(Ticker,"PG_ASSETS","PG_HIERARCHY_LEVEL=1","NUMBER_OF_PERIODS=-11","REVERSE_PERIOD_ORDER=N","PRODUCT_GEO_OVERRIDE=G","FUND_PER",RIGHT($B$11,1),"ACCOUNTING_STANDARD_OVERRIDE",$H$7,"EQY_CONSOLIDATED",$H$9,"EQY_FUND_CRNCY",$L$7,"StartCol",E$12,"EndCol",E$12,"StartRow",$B120,"EndRow",$B120))</f>
        <v/>
      </c>
      <c r="F120" s="218" t="str">
        <f>IF(LEFT(_xll.BDS(Ticker,"PG_ASSETS","PG_HIERARCHY_LEVEL=1","NUMBER_OF_PERIODS=-11","REVERSE_PERIOD_ORDER=N","PRODUCT_GEO_OVERRIDE=G","FUND_PER",RIGHT($B$11,1),"ACCOUNTING_STANDARD_OVERRIDE",$H$7,"EQY_CONSOLIDATED",$H$9,"EQY_FUND_CRNCY",$L$7,"StartCol",F$12,"EndCol",F$12,"StartRow",$B120,"EndRow",$B120),1)="#","",_xll.BDS(Ticker,"PG_ASSETS","PG_HIERARCHY_LEVEL=1","NUMBER_OF_PERIODS=-11","REVERSE_PERIOD_ORDER=N","PRODUCT_GEO_OVERRIDE=G","FUND_PER",RIGHT($B$11,1),"ACCOUNTING_STANDARD_OVERRIDE",$H$7,"EQY_CONSOLIDATED",$H$9,"EQY_FUND_CRNCY",$L$7,"StartCol",F$12,"EndCol",F$12,"StartRow",$B120,"EndRow",$B120))</f>
        <v/>
      </c>
      <c r="G120" s="218" t="str">
        <f>IF(LEFT(_xll.BDS(Ticker,"PG_ASSETS","PG_HIERARCHY_LEVEL=1","NUMBER_OF_PERIODS=-11","REVERSE_PERIOD_ORDER=N","PRODUCT_GEO_OVERRIDE=G","FUND_PER",RIGHT($B$11,1),"ACCOUNTING_STANDARD_OVERRIDE",$H$7,"EQY_CONSOLIDATED",$H$9,"EQY_FUND_CRNCY",$L$7,"StartCol",G$12,"EndCol",G$12,"StartRow",$B120,"EndRow",$B120),1)="#","",_xll.BDS(Ticker,"PG_ASSETS","PG_HIERARCHY_LEVEL=1","NUMBER_OF_PERIODS=-11","REVERSE_PERIOD_ORDER=N","PRODUCT_GEO_OVERRIDE=G","FUND_PER",RIGHT($B$11,1),"ACCOUNTING_STANDARD_OVERRIDE",$H$7,"EQY_CONSOLIDATED",$H$9,"EQY_FUND_CRNCY",$L$7,"StartCol",G$12,"EndCol",G$12,"StartRow",$B120,"EndRow",$B120))</f>
        <v/>
      </c>
      <c r="H120" s="218" t="str">
        <f>IF(LEFT(_xll.BDS(Ticker,"PG_ASSETS","PG_HIERARCHY_LEVEL=1","NUMBER_OF_PERIODS=-11","REVERSE_PERIOD_ORDER=N","PRODUCT_GEO_OVERRIDE=G","FUND_PER",RIGHT($B$11,1),"ACCOUNTING_STANDARD_OVERRIDE",$H$7,"EQY_CONSOLIDATED",$H$9,"EQY_FUND_CRNCY",$L$7,"StartCol",H$12,"EndCol",H$12,"StartRow",$B120,"EndRow",$B120),1)="#","",_xll.BDS(Ticker,"PG_ASSETS","PG_HIERARCHY_LEVEL=1","NUMBER_OF_PERIODS=-11","REVERSE_PERIOD_ORDER=N","PRODUCT_GEO_OVERRIDE=G","FUND_PER",RIGHT($B$11,1),"ACCOUNTING_STANDARD_OVERRIDE",$H$7,"EQY_CONSOLIDATED",$H$9,"EQY_FUND_CRNCY",$L$7,"StartCol",H$12,"EndCol",H$12,"StartRow",$B120,"EndRow",$B120))</f>
        <v/>
      </c>
      <c r="I120" s="218" t="str">
        <f>IF(LEFT(_xll.BDS(Ticker,"PG_ASSETS","PG_HIERARCHY_LEVEL=1","NUMBER_OF_PERIODS=-11","REVERSE_PERIOD_ORDER=N","PRODUCT_GEO_OVERRIDE=G","FUND_PER",RIGHT($B$11,1),"ACCOUNTING_STANDARD_OVERRIDE",$H$7,"EQY_CONSOLIDATED",$H$9,"EQY_FUND_CRNCY",$L$7,"StartCol",I$12,"EndCol",I$12,"StartRow",$B120,"EndRow",$B120),1)="#","",_xll.BDS(Ticker,"PG_ASSETS","PG_HIERARCHY_LEVEL=1","NUMBER_OF_PERIODS=-11","REVERSE_PERIOD_ORDER=N","PRODUCT_GEO_OVERRIDE=G","FUND_PER",RIGHT($B$11,1),"ACCOUNTING_STANDARD_OVERRIDE",$H$7,"EQY_CONSOLIDATED",$H$9,"EQY_FUND_CRNCY",$L$7,"StartCol",I$12,"EndCol",I$12,"StartRow",$B120,"EndRow",$B120))</f>
        <v/>
      </c>
      <c r="J120" s="218" t="str">
        <f>IF(LEFT(_xll.BDS(Ticker,"PG_ASSETS","PG_HIERARCHY_LEVEL=1","NUMBER_OF_PERIODS=-11","REVERSE_PERIOD_ORDER=N","PRODUCT_GEO_OVERRIDE=G","FUND_PER",RIGHT($B$11,1),"ACCOUNTING_STANDARD_OVERRIDE",$H$7,"EQY_CONSOLIDATED",$H$9,"EQY_FUND_CRNCY",$L$7,"StartCol",J$12,"EndCol",J$12,"StartRow",$B120,"EndRow",$B120),1)="#","",_xll.BDS(Ticker,"PG_ASSETS","PG_HIERARCHY_LEVEL=1","NUMBER_OF_PERIODS=-11","REVERSE_PERIOD_ORDER=N","PRODUCT_GEO_OVERRIDE=G","FUND_PER",RIGHT($B$11,1),"ACCOUNTING_STANDARD_OVERRIDE",$H$7,"EQY_CONSOLIDATED",$H$9,"EQY_FUND_CRNCY",$L$7,"StartCol",J$12,"EndCol",J$12,"StartRow",$B120,"EndRow",$B120))</f>
        <v/>
      </c>
      <c r="K120" s="218" t="str">
        <f>IF(LEFT(_xll.BDS(Ticker,"PG_ASSETS","PG_HIERARCHY_LEVEL=1","NUMBER_OF_PERIODS=-11","REVERSE_PERIOD_ORDER=N","PRODUCT_GEO_OVERRIDE=G","FUND_PER",RIGHT($B$11,1),"ACCOUNTING_STANDARD_OVERRIDE",$H$7,"EQY_CONSOLIDATED",$H$9,"EQY_FUND_CRNCY",$L$7,"StartCol",K$12,"EndCol",K$12,"StartRow",$B120,"EndRow",$B120),1)="#","",_xll.BDS(Ticker,"PG_ASSETS","PG_HIERARCHY_LEVEL=1","NUMBER_OF_PERIODS=-11","REVERSE_PERIOD_ORDER=N","PRODUCT_GEO_OVERRIDE=G","FUND_PER",RIGHT($B$11,1),"ACCOUNTING_STANDARD_OVERRIDE",$H$7,"EQY_CONSOLIDATED",$H$9,"EQY_FUND_CRNCY",$L$7,"StartCol",K$12,"EndCol",K$12,"StartRow",$B120,"EndRow",$B120))</f>
        <v/>
      </c>
      <c r="L120" s="218" t="str">
        <f>IF(LEFT(_xll.BDS(Ticker,"PG_ASSETS","PG_HIERARCHY_LEVEL=1","NUMBER_OF_PERIODS=-11","REVERSE_PERIOD_ORDER=N","PRODUCT_GEO_OVERRIDE=G","FUND_PER",RIGHT($B$11,1),"ACCOUNTING_STANDARD_OVERRIDE",$H$7,"EQY_CONSOLIDATED",$H$9,"EQY_FUND_CRNCY",$L$7,"StartCol",L$12,"EndCol",L$12,"StartRow",$B120,"EndRow",$B120),1)="#","",_xll.BDS(Ticker,"PG_ASSETS","PG_HIERARCHY_LEVEL=1","NUMBER_OF_PERIODS=-11","REVERSE_PERIOD_ORDER=N","PRODUCT_GEO_OVERRIDE=G","FUND_PER",RIGHT($B$11,1),"ACCOUNTING_STANDARD_OVERRIDE",$H$7,"EQY_CONSOLIDATED",$H$9,"EQY_FUND_CRNCY",$L$7,"StartCol",L$12,"EndCol",L$12,"StartRow",$B120,"EndRow",$B120))</f>
        <v/>
      </c>
      <c r="M120" s="218" t="str">
        <f>IF(LEFT(_xll.BDS(Ticker,"PG_ASSETS","PG_HIERARCHY_LEVEL=1","NUMBER_OF_PERIODS=-11","REVERSE_PERIOD_ORDER=N","PRODUCT_GEO_OVERRIDE=G","FUND_PER",RIGHT($B$11,1),"ACCOUNTING_STANDARD_OVERRIDE",$H$7,"EQY_CONSOLIDATED",$H$9,"EQY_FUND_CRNCY",$L$7,"StartCol",M$12,"EndCol",M$12,"StartRow",$B120,"EndRow",$B120),1)="#","",_xll.BDS(Ticker,"PG_ASSETS","PG_HIERARCHY_LEVEL=1","NUMBER_OF_PERIODS=-11","REVERSE_PERIOD_ORDER=N","PRODUCT_GEO_OVERRIDE=G","FUND_PER",RIGHT($B$11,1),"ACCOUNTING_STANDARD_OVERRIDE",$H$7,"EQY_CONSOLIDATED",$H$9,"EQY_FUND_CRNCY",$L$7,"StartCol",M$12,"EndCol",M$12,"StartRow",$B120,"EndRow",$B120))</f>
        <v/>
      </c>
      <c r="N120" s="218" t="str">
        <f>IF(LEFT(_xll.BDS(Ticker,"PG_ASSETS","PG_HIERARCHY_LEVEL=1","NUMBER_OF_PERIODS=-11","REVERSE_PERIOD_ORDER=N","PRODUCT_GEO_OVERRIDE=G","FUND_PER",RIGHT($B$11,1),"ACCOUNTING_STANDARD_OVERRIDE",$H$7,"EQY_CONSOLIDATED",$H$9,"EQY_FUND_CRNCY",$L$7,"StartCol",N$12,"EndCol",N$12,"StartRow",$B120,"EndRow",$B120),1)="#","",_xll.BDS(Ticker,"PG_ASSETS","PG_HIERARCHY_LEVEL=1","NUMBER_OF_PERIODS=-11","REVERSE_PERIOD_ORDER=N","PRODUCT_GEO_OVERRIDE=G","FUND_PER",RIGHT($B$11,1),"ACCOUNTING_STANDARD_OVERRIDE",$H$7,"EQY_CONSOLIDATED",$H$9,"EQY_FUND_CRNCY",$L$7,"StartCol",N$12,"EndCol",N$12,"StartRow",$B120,"EndRow",$B120))</f>
        <v/>
      </c>
    </row>
    <row r="121" spans="2:14" hidden="1" outlineLevel="1">
      <c r="B121" s="214">
        <v>4</v>
      </c>
      <c r="C121" s="216" t="str">
        <f>IF(LEFT(_xll.BDS(Ticker,"PG_ASSETS","PG_HIERARCHY_LEVEL=1","NUMBER_OF_PERIODS=-11","REVERSE_PERIOD_ORDER=N","PRODUCT_GEO_OVERRIDE=G","FUND_PER",RIGHT($B$11,1),"ACCOUNTING_STANDARD_OVERRIDE",$H$7,"EQY_CONSOLIDATED",$H$9,"EQY_FUND_CRNCY",$L$7,"StartCol",C$12,"EndCol",C$12,"StartRow",$B121,"EndRow",$B121),1)="#","",_xll.BDS(Ticker,"PG_ASSETS","PG_HIERARCHY_LEVEL=1","NUMBER_OF_PERIODS=-11","REVERSE_PERIOD_ORDER=N","PRODUCT_GEO_OVERRIDE=G","FUND_PER",RIGHT($B$11,1),"ACCOUNTING_STANDARD_OVERRIDE",$H$7,"EQY_CONSOLIDATED",$H$9,"EQY_FUND_CRNCY",$L$7,"StartCol",C$12,"EndCol",C$12,"StartRow",$B121,"EndRow",$B121))</f>
        <v/>
      </c>
      <c r="D121" s="218" t="str">
        <f>IF(LEFT(_xll.BDS(Ticker,"PG_ASSETS","PG_HIERARCHY_LEVEL=1","NUMBER_OF_PERIODS=-11","REVERSE_PERIOD_ORDER=N","PRODUCT_GEO_OVERRIDE=G","FUND_PER",RIGHT($B$11,1),"ACCOUNTING_STANDARD_OVERRIDE",$H$7,"EQY_CONSOLIDATED",$H$9,"EQY_FUND_CRNCY",$L$7,"StartCol",D$12,"EndCol",D$12,"StartRow",$B121,"EndRow",$B121),1)="#","",_xll.BDS(Ticker,"PG_ASSETS","PG_HIERARCHY_LEVEL=1","NUMBER_OF_PERIODS=-11","REVERSE_PERIOD_ORDER=N","PRODUCT_GEO_OVERRIDE=G","FUND_PER",RIGHT($B$11,1),"ACCOUNTING_STANDARD_OVERRIDE",$H$7,"EQY_CONSOLIDATED",$H$9,"EQY_FUND_CRNCY",$L$7,"StartCol",D$12,"EndCol",D$12,"StartRow",$B121,"EndRow",$B121))</f>
        <v/>
      </c>
      <c r="E121" s="218" t="str">
        <f>IF(LEFT(_xll.BDS(Ticker,"PG_ASSETS","PG_HIERARCHY_LEVEL=1","NUMBER_OF_PERIODS=-11","REVERSE_PERIOD_ORDER=N","PRODUCT_GEO_OVERRIDE=G","FUND_PER",RIGHT($B$11,1),"ACCOUNTING_STANDARD_OVERRIDE",$H$7,"EQY_CONSOLIDATED",$H$9,"EQY_FUND_CRNCY",$L$7,"StartCol",E$12,"EndCol",E$12,"StartRow",$B121,"EndRow",$B121),1)="#","",_xll.BDS(Ticker,"PG_ASSETS","PG_HIERARCHY_LEVEL=1","NUMBER_OF_PERIODS=-11","REVERSE_PERIOD_ORDER=N","PRODUCT_GEO_OVERRIDE=G","FUND_PER",RIGHT($B$11,1),"ACCOUNTING_STANDARD_OVERRIDE",$H$7,"EQY_CONSOLIDATED",$H$9,"EQY_FUND_CRNCY",$L$7,"StartCol",E$12,"EndCol",E$12,"StartRow",$B121,"EndRow",$B121))</f>
        <v/>
      </c>
      <c r="F121" s="218" t="str">
        <f>IF(LEFT(_xll.BDS(Ticker,"PG_ASSETS","PG_HIERARCHY_LEVEL=1","NUMBER_OF_PERIODS=-11","REVERSE_PERIOD_ORDER=N","PRODUCT_GEO_OVERRIDE=G","FUND_PER",RIGHT($B$11,1),"ACCOUNTING_STANDARD_OVERRIDE",$H$7,"EQY_CONSOLIDATED",$H$9,"EQY_FUND_CRNCY",$L$7,"StartCol",F$12,"EndCol",F$12,"StartRow",$B121,"EndRow",$B121),1)="#","",_xll.BDS(Ticker,"PG_ASSETS","PG_HIERARCHY_LEVEL=1","NUMBER_OF_PERIODS=-11","REVERSE_PERIOD_ORDER=N","PRODUCT_GEO_OVERRIDE=G","FUND_PER",RIGHT($B$11,1),"ACCOUNTING_STANDARD_OVERRIDE",$H$7,"EQY_CONSOLIDATED",$H$9,"EQY_FUND_CRNCY",$L$7,"StartCol",F$12,"EndCol",F$12,"StartRow",$B121,"EndRow",$B121))</f>
        <v/>
      </c>
      <c r="G121" s="218" t="str">
        <f>IF(LEFT(_xll.BDS(Ticker,"PG_ASSETS","PG_HIERARCHY_LEVEL=1","NUMBER_OF_PERIODS=-11","REVERSE_PERIOD_ORDER=N","PRODUCT_GEO_OVERRIDE=G","FUND_PER",RIGHT($B$11,1),"ACCOUNTING_STANDARD_OVERRIDE",$H$7,"EQY_CONSOLIDATED",$H$9,"EQY_FUND_CRNCY",$L$7,"StartCol",G$12,"EndCol",G$12,"StartRow",$B121,"EndRow",$B121),1)="#","",_xll.BDS(Ticker,"PG_ASSETS","PG_HIERARCHY_LEVEL=1","NUMBER_OF_PERIODS=-11","REVERSE_PERIOD_ORDER=N","PRODUCT_GEO_OVERRIDE=G","FUND_PER",RIGHT($B$11,1),"ACCOUNTING_STANDARD_OVERRIDE",$H$7,"EQY_CONSOLIDATED",$H$9,"EQY_FUND_CRNCY",$L$7,"StartCol",G$12,"EndCol",G$12,"StartRow",$B121,"EndRow",$B121))</f>
        <v/>
      </c>
      <c r="H121" s="218" t="str">
        <f>IF(LEFT(_xll.BDS(Ticker,"PG_ASSETS","PG_HIERARCHY_LEVEL=1","NUMBER_OF_PERIODS=-11","REVERSE_PERIOD_ORDER=N","PRODUCT_GEO_OVERRIDE=G","FUND_PER",RIGHT($B$11,1),"ACCOUNTING_STANDARD_OVERRIDE",$H$7,"EQY_CONSOLIDATED",$H$9,"EQY_FUND_CRNCY",$L$7,"StartCol",H$12,"EndCol",H$12,"StartRow",$B121,"EndRow",$B121),1)="#","",_xll.BDS(Ticker,"PG_ASSETS","PG_HIERARCHY_LEVEL=1","NUMBER_OF_PERIODS=-11","REVERSE_PERIOD_ORDER=N","PRODUCT_GEO_OVERRIDE=G","FUND_PER",RIGHT($B$11,1),"ACCOUNTING_STANDARD_OVERRIDE",$H$7,"EQY_CONSOLIDATED",$H$9,"EQY_FUND_CRNCY",$L$7,"StartCol",H$12,"EndCol",H$12,"StartRow",$B121,"EndRow",$B121))</f>
        <v/>
      </c>
      <c r="I121" s="218" t="str">
        <f>IF(LEFT(_xll.BDS(Ticker,"PG_ASSETS","PG_HIERARCHY_LEVEL=1","NUMBER_OF_PERIODS=-11","REVERSE_PERIOD_ORDER=N","PRODUCT_GEO_OVERRIDE=G","FUND_PER",RIGHT($B$11,1),"ACCOUNTING_STANDARD_OVERRIDE",$H$7,"EQY_CONSOLIDATED",$H$9,"EQY_FUND_CRNCY",$L$7,"StartCol",I$12,"EndCol",I$12,"StartRow",$B121,"EndRow",$B121),1)="#","",_xll.BDS(Ticker,"PG_ASSETS","PG_HIERARCHY_LEVEL=1","NUMBER_OF_PERIODS=-11","REVERSE_PERIOD_ORDER=N","PRODUCT_GEO_OVERRIDE=G","FUND_PER",RIGHT($B$11,1),"ACCOUNTING_STANDARD_OVERRIDE",$H$7,"EQY_CONSOLIDATED",$H$9,"EQY_FUND_CRNCY",$L$7,"StartCol",I$12,"EndCol",I$12,"StartRow",$B121,"EndRow",$B121))</f>
        <v/>
      </c>
      <c r="J121" s="218" t="str">
        <f>IF(LEFT(_xll.BDS(Ticker,"PG_ASSETS","PG_HIERARCHY_LEVEL=1","NUMBER_OF_PERIODS=-11","REVERSE_PERIOD_ORDER=N","PRODUCT_GEO_OVERRIDE=G","FUND_PER",RIGHT($B$11,1),"ACCOUNTING_STANDARD_OVERRIDE",$H$7,"EQY_CONSOLIDATED",$H$9,"EQY_FUND_CRNCY",$L$7,"StartCol",J$12,"EndCol",J$12,"StartRow",$B121,"EndRow",$B121),1)="#","",_xll.BDS(Ticker,"PG_ASSETS","PG_HIERARCHY_LEVEL=1","NUMBER_OF_PERIODS=-11","REVERSE_PERIOD_ORDER=N","PRODUCT_GEO_OVERRIDE=G","FUND_PER",RIGHT($B$11,1),"ACCOUNTING_STANDARD_OVERRIDE",$H$7,"EQY_CONSOLIDATED",$H$9,"EQY_FUND_CRNCY",$L$7,"StartCol",J$12,"EndCol",J$12,"StartRow",$B121,"EndRow",$B121))</f>
        <v/>
      </c>
      <c r="K121" s="218" t="str">
        <f>IF(LEFT(_xll.BDS(Ticker,"PG_ASSETS","PG_HIERARCHY_LEVEL=1","NUMBER_OF_PERIODS=-11","REVERSE_PERIOD_ORDER=N","PRODUCT_GEO_OVERRIDE=G","FUND_PER",RIGHT($B$11,1),"ACCOUNTING_STANDARD_OVERRIDE",$H$7,"EQY_CONSOLIDATED",$H$9,"EQY_FUND_CRNCY",$L$7,"StartCol",K$12,"EndCol",K$12,"StartRow",$B121,"EndRow",$B121),1)="#","",_xll.BDS(Ticker,"PG_ASSETS","PG_HIERARCHY_LEVEL=1","NUMBER_OF_PERIODS=-11","REVERSE_PERIOD_ORDER=N","PRODUCT_GEO_OVERRIDE=G","FUND_PER",RIGHT($B$11,1),"ACCOUNTING_STANDARD_OVERRIDE",$H$7,"EQY_CONSOLIDATED",$H$9,"EQY_FUND_CRNCY",$L$7,"StartCol",K$12,"EndCol",K$12,"StartRow",$B121,"EndRow",$B121))</f>
        <v/>
      </c>
      <c r="L121" s="218" t="str">
        <f>IF(LEFT(_xll.BDS(Ticker,"PG_ASSETS","PG_HIERARCHY_LEVEL=1","NUMBER_OF_PERIODS=-11","REVERSE_PERIOD_ORDER=N","PRODUCT_GEO_OVERRIDE=G","FUND_PER",RIGHT($B$11,1),"ACCOUNTING_STANDARD_OVERRIDE",$H$7,"EQY_CONSOLIDATED",$H$9,"EQY_FUND_CRNCY",$L$7,"StartCol",L$12,"EndCol",L$12,"StartRow",$B121,"EndRow",$B121),1)="#","",_xll.BDS(Ticker,"PG_ASSETS","PG_HIERARCHY_LEVEL=1","NUMBER_OF_PERIODS=-11","REVERSE_PERIOD_ORDER=N","PRODUCT_GEO_OVERRIDE=G","FUND_PER",RIGHT($B$11,1),"ACCOUNTING_STANDARD_OVERRIDE",$H$7,"EQY_CONSOLIDATED",$H$9,"EQY_FUND_CRNCY",$L$7,"StartCol",L$12,"EndCol",L$12,"StartRow",$B121,"EndRow",$B121))</f>
        <v/>
      </c>
      <c r="M121" s="218" t="str">
        <f>IF(LEFT(_xll.BDS(Ticker,"PG_ASSETS","PG_HIERARCHY_LEVEL=1","NUMBER_OF_PERIODS=-11","REVERSE_PERIOD_ORDER=N","PRODUCT_GEO_OVERRIDE=G","FUND_PER",RIGHT($B$11,1),"ACCOUNTING_STANDARD_OVERRIDE",$H$7,"EQY_CONSOLIDATED",$H$9,"EQY_FUND_CRNCY",$L$7,"StartCol",M$12,"EndCol",M$12,"StartRow",$B121,"EndRow",$B121),1)="#","",_xll.BDS(Ticker,"PG_ASSETS","PG_HIERARCHY_LEVEL=1","NUMBER_OF_PERIODS=-11","REVERSE_PERIOD_ORDER=N","PRODUCT_GEO_OVERRIDE=G","FUND_PER",RIGHT($B$11,1),"ACCOUNTING_STANDARD_OVERRIDE",$H$7,"EQY_CONSOLIDATED",$H$9,"EQY_FUND_CRNCY",$L$7,"StartCol",M$12,"EndCol",M$12,"StartRow",$B121,"EndRow",$B121))</f>
        <v/>
      </c>
      <c r="N121" s="218" t="str">
        <f>IF(LEFT(_xll.BDS(Ticker,"PG_ASSETS","PG_HIERARCHY_LEVEL=1","NUMBER_OF_PERIODS=-11","REVERSE_PERIOD_ORDER=N","PRODUCT_GEO_OVERRIDE=G","FUND_PER",RIGHT($B$11,1),"ACCOUNTING_STANDARD_OVERRIDE",$H$7,"EQY_CONSOLIDATED",$H$9,"EQY_FUND_CRNCY",$L$7,"StartCol",N$12,"EndCol",N$12,"StartRow",$B121,"EndRow",$B121),1)="#","",_xll.BDS(Ticker,"PG_ASSETS","PG_HIERARCHY_LEVEL=1","NUMBER_OF_PERIODS=-11","REVERSE_PERIOD_ORDER=N","PRODUCT_GEO_OVERRIDE=G","FUND_PER",RIGHT($B$11,1),"ACCOUNTING_STANDARD_OVERRIDE",$H$7,"EQY_CONSOLIDATED",$H$9,"EQY_FUND_CRNCY",$L$7,"StartCol",N$12,"EndCol",N$12,"StartRow",$B121,"EndRow",$B121))</f>
        <v/>
      </c>
    </row>
    <row r="122" spans="2:14" hidden="1" outlineLevel="1">
      <c r="B122" s="214">
        <v>5</v>
      </c>
      <c r="C122" s="216" t="str">
        <f>IF(LEFT(_xll.BDS(Ticker,"PG_ASSETS","PG_HIERARCHY_LEVEL=1","NUMBER_OF_PERIODS=-11","REVERSE_PERIOD_ORDER=N","PRODUCT_GEO_OVERRIDE=G","FUND_PER",RIGHT($B$11,1),"ACCOUNTING_STANDARD_OVERRIDE",$H$7,"EQY_CONSOLIDATED",$H$9,"EQY_FUND_CRNCY",$L$7,"StartCol",C$12,"EndCol",C$12,"StartRow",$B122,"EndRow",$B122),1)="#","",_xll.BDS(Ticker,"PG_ASSETS","PG_HIERARCHY_LEVEL=1","NUMBER_OF_PERIODS=-11","REVERSE_PERIOD_ORDER=N","PRODUCT_GEO_OVERRIDE=G","FUND_PER",RIGHT($B$11,1),"ACCOUNTING_STANDARD_OVERRIDE",$H$7,"EQY_CONSOLIDATED",$H$9,"EQY_FUND_CRNCY",$L$7,"StartCol",C$12,"EndCol",C$12,"StartRow",$B122,"EndRow",$B122))</f>
        <v/>
      </c>
      <c r="D122" s="218" t="str">
        <f>IF(LEFT(_xll.BDS(Ticker,"PG_ASSETS","PG_HIERARCHY_LEVEL=1","NUMBER_OF_PERIODS=-11","REVERSE_PERIOD_ORDER=N","PRODUCT_GEO_OVERRIDE=G","FUND_PER",RIGHT($B$11,1),"ACCOUNTING_STANDARD_OVERRIDE",$H$7,"EQY_CONSOLIDATED",$H$9,"EQY_FUND_CRNCY",$L$7,"StartCol",D$12,"EndCol",D$12,"StartRow",$B122,"EndRow",$B122),1)="#","",_xll.BDS(Ticker,"PG_ASSETS","PG_HIERARCHY_LEVEL=1","NUMBER_OF_PERIODS=-11","REVERSE_PERIOD_ORDER=N","PRODUCT_GEO_OVERRIDE=G","FUND_PER",RIGHT($B$11,1),"ACCOUNTING_STANDARD_OVERRIDE",$H$7,"EQY_CONSOLIDATED",$H$9,"EQY_FUND_CRNCY",$L$7,"StartCol",D$12,"EndCol",D$12,"StartRow",$B122,"EndRow",$B122))</f>
        <v/>
      </c>
      <c r="E122" s="218" t="str">
        <f>IF(LEFT(_xll.BDS(Ticker,"PG_ASSETS","PG_HIERARCHY_LEVEL=1","NUMBER_OF_PERIODS=-11","REVERSE_PERIOD_ORDER=N","PRODUCT_GEO_OVERRIDE=G","FUND_PER",RIGHT($B$11,1),"ACCOUNTING_STANDARD_OVERRIDE",$H$7,"EQY_CONSOLIDATED",$H$9,"EQY_FUND_CRNCY",$L$7,"StartCol",E$12,"EndCol",E$12,"StartRow",$B122,"EndRow",$B122),1)="#","",_xll.BDS(Ticker,"PG_ASSETS","PG_HIERARCHY_LEVEL=1","NUMBER_OF_PERIODS=-11","REVERSE_PERIOD_ORDER=N","PRODUCT_GEO_OVERRIDE=G","FUND_PER",RIGHT($B$11,1),"ACCOUNTING_STANDARD_OVERRIDE",$H$7,"EQY_CONSOLIDATED",$H$9,"EQY_FUND_CRNCY",$L$7,"StartCol",E$12,"EndCol",E$12,"StartRow",$B122,"EndRow",$B122))</f>
        <v/>
      </c>
      <c r="F122" s="218" t="str">
        <f>IF(LEFT(_xll.BDS(Ticker,"PG_ASSETS","PG_HIERARCHY_LEVEL=1","NUMBER_OF_PERIODS=-11","REVERSE_PERIOD_ORDER=N","PRODUCT_GEO_OVERRIDE=G","FUND_PER",RIGHT($B$11,1),"ACCOUNTING_STANDARD_OVERRIDE",$H$7,"EQY_CONSOLIDATED",$H$9,"EQY_FUND_CRNCY",$L$7,"StartCol",F$12,"EndCol",F$12,"StartRow",$B122,"EndRow",$B122),1)="#","",_xll.BDS(Ticker,"PG_ASSETS","PG_HIERARCHY_LEVEL=1","NUMBER_OF_PERIODS=-11","REVERSE_PERIOD_ORDER=N","PRODUCT_GEO_OVERRIDE=G","FUND_PER",RIGHT($B$11,1),"ACCOUNTING_STANDARD_OVERRIDE",$H$7,"EQY_CONSOLIDATED",$H$9,"EQY_FUND_CRNCY",$L$7,"StartCol",F$12,"EndCol",F$12,"StartRow",$B122,"EndRow",$B122))</f>
        <v/>
      </c>
      <c r="G122" s="218" t="str">
        <f>IF(LEFT(_xll.BDS(Ticker,"PG_ASSETS","PG_HIERARCHY_LEVEL=1","NUMBER_OF_PERIODS=-11","REVERSE_PERIOD_ORDER=N","PRODUCT_GEO_OVERRIDE=G","FUND_PER",RIGHT($B$11,1),"ACCOUNTING_STANDARD_OVERRIDE",$H$7,"EQY_CONSOLIDATED",$H$9,"EQY_FUND_CRNCY",$L$7,"StartCol",G$12,"EndCol",G$12,"StartRow",$B122,"EndRow",$B122),1)="#","",_xll.BDS(Ticker,"PG_ASSETS","PG_HIERARCHY_LEVEL=1","NUMBER_OF_PERIODS=-11","REVERSE_PERIOD_ORDER=N","PRODUCT_GEO_OVERRIDE=G","FUND_PER",RIGHT($B$11,1),"ACCOUNTING_STANDARD_OVERRIDE",$H$7,"EQY_CONSOLIDATED",$H$9,"EQY_FUND_CRNCY",$L$7,"StartCol",G$12,"EndCol",G$12,"StartRow",$B122,"EndRow",$B122))</f>
        <v/>
      </c>
      <c r="H122" s="218" t="str">
        <f>IF(LEFT(_xll.BDS(Ticker,"PG_ASSETS","PG_HIERARCHY_LEVEL=1","NUMBER_OF_PERIODS=-11","REVERSE_PERIOD_ORDER=N","PRODUCT_GEO_OVERRIDE=G","FUND_PER",RIGHT($B$11,1),"ACCOUNTING_STANDARD_OVERRIDE",$H$7,"EQY_CONSOLIDATED",$H$9,"EQY_FUND_CRNCY",$L$7,"StartCol",H$12,"EndCol",H$12,"StartRow",$B122,"EndRow",$B122),1)="#","",_xll.BDS(Ticker,"PG_ASSETS","PG_HIERARCHY_LEVEL=1","NUMBER_OF_PERIODS=-11","REVERSE_PERIOD_ORDER=N","PRODUCT_GEO_OVERRIDE=G","FUND_PER",RIGHT($B$11,1),"ACCOUNTING_STANDARD_OVERRIDE",$H$7,"EQY_CONSOLIDATED",$H$9,"EQY_FUND_CRNCY",$L$7,"StartCol",H$12,"EndCol",H$12,"StartRow",$B122,"EndRow",$B122))</f>
        <v/>
      </c>
      <c r="I122" s="218" t="str">
        <f>IF(LEFT(_xll.BDS(Ticker,"PG_ASSETS","PG_HIERARCHY_LEVEL=1","NUMBER_OF_PERIODS=-11","REVERSE_PERIOD_ORDER=N","PRODUCT_GEO_OVERRIDE=G","FUND_PER",RIGHT($B$11,1),"ACCOUNTING_STANDARD_OVERRIDE",$H$7,"EQY_CONSOLIDATED",$H$9,"EQY_FUND_CRNCY",$L$7,"StartCol",I$12,"EndCol",I$12,"StartRow",$B122,"EndRow",$B122),1)="#","",_xll.BDS(Ticker,"PG_ASSETS","PG_HIERARCHY_LEVEL=1","NUMBER_OF_PERIODS=-11","REVERSE_PERIOD_ORDER=N","PRODUCT_GEO_OVERRIDE=G","FUND_PER",RIGHT($B$11,1),"ACCOUNTING_STANDARD_OVERRIDE",$H$7,"EQY_CONSOLIDATED",$H$9,"EQY_FUND_CRNCY",$L$7,"StartCol",I$12,"EndCol",I$12,"StartRow",$B122,"EndRow",$B122))</f>
        <v/>
      </c>
      <c r="J122" s="218" t="str">
        <f>IF(LEFT(_xll.BDS(Ticker,"PG_ASSETS","PG_HIERARCHY_LEVEL=1","NUMBER_OF_PERIODS=-11","REVERSE_PERIOD_ORDER=N","PRODUCT_GEO_OVERRIDE=G","FUND_PER",RIGHT($B$11,1),"ACCOUNTING_STANDARD_OVERRIDE",$H$7,"EQY_CONSOLIDATED",$H$9,"EQY_FUND_CRNCY",$L$7,"StartCol",J$12,"EndCol",J$12,"StartRow",$B122,"EndRow",$B122),1)="#","",_xll.BDS(Ticker,"PG_ASSETS","PG_HIERARCHY_LEVEL=1","NUMBER_OF_PERIODS=-11","REVERSE_PERIOD_ORDER=N","PRODUCT_GEO_OVERRIDE=G","FUND_PER",RIGHT($B$11,1),"ACCOUNTING_STANDARD_OVERRIDE",$H$7,"EQY_CONSOLIDATED",$H$9,"EQY_FUND_CRNCY",$L$7,"StartCol",J$12,"EndCol",J$12,"StartRow",$B122,"EndRow",$B122))</f>
        <v/>
      </c>
      <c r="K122" s="218" t="str">
        <f>IF(LEFT(_xll.BDS(Ticker,"PG_ASSETS","PG_HIERARCHY_LEVEL=1","NUMBER_OF_PERIODS=-11","REVERSE_PERIOD_ORDER=N","PRODUCT_GEO_OVERRIDE=G","FUND_PER",RIGHT($B$11,1),"ACCOUNTING_STANDARD_OVERRIDE",$H$7,"EQY_CONSOLIDATED",$H$9,"EQY_FUND_CRNCY",$L$7,"StartCol",K$12,"EndCol",K$12,"StartRow",$B122,"EndRow",$B122),1)="#","",_xll.BDS(Ticker,"PG_ASSETS","PG_HIERARCHY_LEVEL=1","NUMBER_OF_PERIODS=-11","REVERSE_PERIOD_ORDER=N","PRODUCT_GEO_OVERRIDE=G","FUND_PER",RIGHT($B$11,1),"ACCOUNTING_STANDARD_OVERRIDE",$H$7,"EQY_CONSOLIDATED",$H$9,"EQY_FUND_CRNCY",$L$7,"StartCol",K$12,"EndCol",K$12,"StartRow",$B122,"EndRow",$B122))</f>
        <v/>
      </c>
      <c r="L122" s="218" t="str">
        <f>IF(LEFT(_xll.BDS(Ticker,"PG_ASSETS","PG_HIERARCHY_LEVEL=1","NUMBER_OF_PERIODS=-11","REVERSE_PERIOD_ORDER=N","PRODUCT_GEO_OVERRIDE=G","FUND_PER",RIGHT($B$11,1),"ACCOUNTING_STANDARD_OVERRIDE",$H$7,"EQY_CONSOLIDATED",$H$9,"EQY_FUND_CRNCY",$L$7,"StartCol",L$12,"EndCol",L$12,"StartRow",$B122,"EndRow",$B122),1)="#","",_xll.BDS(Ticker,"PG_ASSETS","PG_HIERARCHY_LEVEL=1","NUMBER_OF_PERIODS=-11","REVERSE_PERIOD_ORDER=N","PRODUCT_GEO_OVERRIDE=G","FUND_PER",RIGHT($B$11,1),"ACCOUNTING_STANDARD_OVERRIDE",$H$7,"EQY_CONSOLIDATED",$H$9,"EQY_FUND_CRNCY",$L$7,"StartCol",L$12,"EndCol",L$12,"StartRow",$B122,"EndRow",$B122))</f>
        <v/>
      </c>
      <c r="M122" s="218" t="str">
        <f>IF(LEFT(_xll.BDS(Ticker,"PG_ASSETS","PG_HIERARCHY_LEVEL=1","NUMBER_OF_PERIODS=-11","REVERSE_PERIOD_ORDER=N","PRODUCT_GEO_OVERRIDE=G","FUND_PER",RIGHT($B$11,1),"ACCOUNTING_STANDARD_OVERRIDE",$H$7,"EQY_CONSOLIDATED",$H$9,"EQY_FUND_CRNCY",$L$7,"StartCol",M$12,"EndCol",M$12,"StartRow",$B122,"EndRow",$B122),1)="#","",_xll.BDS(Ticker,"PG_ASSETS","PG_HIERARCHY_LEVEL=1","NUMBER_OF_PERIODS=-11","REVERSE_PERIOD_ORDER=N","PRODUCT_GEO_OVERRIDE=G","FUND_PER",RIGHT($B$11,1),"ACCOUNTING_STANDARD_OVERRIDE",$H$7,"EQY_CONSOLIDATED",$H$9,"EQY_FUND_CRNCY",$L$7,"StartCol",M$12,"EndCol",M$12,"StartRow",$B122,"EndRow",$B122))</f>
        <v/>
      </c>
      <c r="N122" s="218" t="str">
        <f>IF(LEFT(_xll.BDS(Ticker,"PG_ASSETS","PG_HIERARCHY_LEVEL=1","NUMBER_OF_PERIODS=-11","REVERSE_PERIOD_ORDER=N","PRODUCT_GEO_OVERRIDE=G","FUND_PER",RIGHT($B$11,1),"ACCOUNTING_STANDARD_OVERRIDE",$H$7,"EQY_CONSOLIDATED",$H$9,"EQY_FUND_CRNCY",$L$7,"StartCol",N$12,"EndCol",N$12,"StartRow",$B122,"EndRow",$B122),1)="#","",_xll.BDS(Ticker,"PG_ASSETS","PG_HIERARCHY_LEVEL=1","NUMBER_OF_PERIODS=-11","REVERSE_PERIOD_ORDER=N","PRODUCT_GEO_OVERRIDE=G","FUND_PER",RIGHT($B$11,1),"ACCOUNTING_STANDARD_OVERRIDE",$H$7,"EQY_CONSOLIDATED",$H$9,"EQY_FUND_CRNCY",$L$7,"StartCol",N$12,"EndCol",N$12,"StartRow",$B122,"EndRow",$B122))</f>
        <v/>
      </c>
    </row>
    <row r="123" spans="2:14" hidden="1" outlineLevel="1">
      <c r="B123" s="214">
        <v>6</v>
      </c>
      <c r="C123" s="216" t="str">
        <f>IF(LEFT(_xll.BDS(Ticker,"PG_ASSETS","PG_HIERARCHY_LEVEL=1","NUMBER_OF_PERIODS=-11","REVERSE_PERIOD_ORDER=N","PRODUCT_GEO_OVERRIDE=G","FUND_PER",RIGHT($B$11,1),"ACCOUNTING_STANDARD_OVERRIDE",$H$7,"EQY_CONSOLIDATED",$H$9,"EQY_FUND_CRNCY",$L$7,"StartCol",C$12,"EndCol",C$12,"StartRow",$B123,"EndRow",$B123),1)="#","",_xll.BDS(Ticker,"PG_ASSETS","PG_HIERARCHY_LEVEL=1","NUMBER_OF_PERIODS=-11","REVERSE_PERIOD_ORDER=N","PRODUCT_GEO_OVERRIDE=G","FUND_PER",RIGHT($B$11,1),"ACCOUNTING_STANDARD_OVERRIDE",$H$7,"EQY_CONSOLIDATED",$H$9,"EQY_FUND_CRNCY",$L$7,"StartCol",C$12,"EndCol",C$12,"StartRow",$B123,"EndRow",$B123))</f>
        <v/>
      </c>
      <c r="D123" s="218" t="str">
        <f>IF(LEFT(_xll.BDS(Ticker,"PG_ASSETS","PG_HIERARCHY_LEVEL=1","NUMBER_OF_PERIODS=-11","REVERSE_PERIOD_ORDER=N","PRODUCT_GEO_OVERRIDE=G","FUND_PER",RIGHT($B$11,1),"ACCOUNTING_STANDARD_OVERRIDE",$H$7,"EQY_CONSOLIDATED",$H$9,"EQY_FUND_CRNCY",$L$7,"StartCol",D$12,"EndCol",D$12,"StartRow",$B123,"EndRow",$B123),1)="#","",_xll.BDS(Ticker,"PG_ASSETS","PG_HIERARCHY_LEVEL=1","NUMBER_OF_PERIODS=-11","REVERSE_PERIOD_ORDER=N","PRODUCT_GEO_OVERRIDE=G","FUND_PER",RIGHT($B$11,1),"ACCOUNTING_STANDARD_OVERRIDE",$H$7,"EQY_CONSOLIDATED",$H$9,"EQY_FUND_CRNCY",$L$7,"StartCol",D$12,"EndCol",D$12,"StartRow",$B123,"EndRow",$B123))</f>
        <v/>
      </c>
      <c r="E123" s="218" t="str">
        <f>IF(LEFT(_xll.BDS(Ticker,"PG_ASSETS","PG_HIERARCHY_LEVEL=1","NUMBER_OF_PERIODS=-11","REVERSE_PERIOD_ORDER=N","PRODUCT_GEO_OVERRIDE=G","FUND_PER",RIGHT($B$11,1),"ACCOUNTING_STANDARD_OVERRIDE",$H$7,"EQY_CONSOLIDATED",$H$9,"EQY_FUND_CRNCY",$L$7,"StartCol",E$12,"EndCol",E$12,"StartRow",$B123,"EndRow",$B123),1)="#","",_xll.BDS(Ticker,"PG_ASSETS","PG_HIERARCHY_LEVEL=1","NUMBER_OF_PERIODS=-11","REVERSE_PERIOD_ORDER=N","PRODUCT_GEO_OVERRIDE=G","FUND_PER",RIGHT($B$11,1),"ACCOUNTING_STANDARD_OVERRIDE",$H$7,"EQY_CONSOLIDATED",$H$9,"EQY_FUND_CRNCY",$L$7,"StartCol",E$12,"EndCol",E$12,"StartRow",$B123,"EndRow",$B123))</f>
        <v/>
      </c>
      <c r="F123" s="218" t="str">
        <f>IF(LEFT(_xll.BDS(Ticker,"PG_ASSETS","PG_HIERARCHY_LEVEL=1","NUMBER_OF_PERIODS=-11","REVERSE_PERIOD_ORDER=N","PRODUCT_GEO_OVERRIDE=G","FUND_PER",RIGHT($B$11,1),"ACCOUNTING_STANDARD_OVERRIDE",$H$7,"EQY_CONSOLIDATED",$H$9,"EQY_FUND_CRNCY",$L$7,"StartCol",F$12,"EndCol",F$12,"StartRow",$B123,"EndRow",$B123),1)="#","",_xll.BDS(Ticker,"PG_ASSETS","PG_HIERARCHY_LEVEL=1","NUMBER_OF_PERIODS=-11","REVERSE_PERIOD_ORDER=N","PRODUCT_GEO_OVERRIDE=G","FUND_PER",RIGHT($B$11,1),"ACCOUNTING_STANDARD_OVERRIDE",$H$7,"EQY_CONSOLIDATED",$H$9,"EQY_FUND_CRNCY",$L$7,"StartCol",F$12,"EndCol",F$12,"StartRow",$B123,"EndRow",$B123))</f>
        <v/>
      </c>
      <c r="G123" s="218" t="str">
        <f>IF(LEFT(_xll.BDS(Ticker,"PG_ASSETS","PG_HIERARCHY_LEVEL=1","NUMBER_OF_PERIODS=-11","REVERSE_PERIOD_ORDER=N","PRODUCT_GEO_OVERRIDE=G","FUND_PER",RIGHT($B$11,1),"ACCOUNTING_STANDARD_OVERRIDE",$H$7,"EQY_CONSOLIDATED",$H$9,"EQY_FUND_CRNCY",$L$7,"StartCol",G$12,"EndCol",G$12,"StartRow",$B123,"EndRow",$B123),1)="#","",_xll.BDS(Ticker,"PG_ASSETS","PG_HIERARCHY_LEVEL=1","NUMBER_OF_PERIODS=-11","REVERSE_PERIOD_ORDER=N","PRODUCT_GEO_OVERRIDE=G","FUND_PER",RIGHT($B$11,1),"ACCOUNTING_STANDARD_OVERRIDE",$H$7,"EQY_CONSOLIDATED",$H$9,"EQY_FUND_CRNCY",$L$7,"StartCol",G$12,"EndCol",G$12,"StartRow",$B123,"EndRow",$B123))</f>
        <v/>
      </c>
      <c r="H123" s="218" t="str">
        <f>IF(LEFT(_xll.BDS(Ticker,"PG_ASSETS","PG_HIERARCHY_LEVEL=1","NUMBER_OF_PERIODS=-11","REVERSE_PERIOD_ORDER=N","PRODUCT_GEO_OVERRIDE=G","FUND_PER",RIGHT($B$11,1),"ACCOUNTING_STANDARD_OVERRIDE",$H$7,"EQY_CONSOLIDATED",$H$9,"EQY_FUND_CRNCY",$L$7,"StartCol",H$12,"EndCol",H$12,"StartRow",$B123,"EndRow",$B123),1)="#","",_xll.BDS(Ticker,"PG_ASSETS","PG_HIERARCHY_LEVEL=1","NUMBER_OF_PERIODS=-11","REVERSE_PERIOD_ORDER=N","PRODUCT_GEO_OVERRIDE=G","FUND_PER",RIGHT($B$11,1),"ACCOUNTING_STANDARD_OVERRIDE",$H$7,"EQY_CONSOLIDATED",$H$9,"EQY_FUND_CRNCY",$L$7,"StartCol",H$12,"EndCol",H$12,"StartRow",$B123,"EndRow",$B123))</f>
        <v/>
      </c>
      <c r="I123" s="218" t="str">
        <f>IF(LEFT(_xll.BDS(Ticker,"PG_ASSETS","PG_HIERARCHY_LEVEL=1","NUMBER_OF_PERIODS=-11","REVERSE_PERIOD_ORDER=N","PRODUCT_GEO_OVERRIDE=G","FUND_PER",RIGHT($B$11,1),"ACCOUNTING_STANDARD_OVERRIDE",$H$7,"EQY_CONSOLIDATED",$H$9,"EQY_FUND_CRNCY",$L$7,"StartCol",I$12,"EndCol",I$12,"StartRow",$B123,"EndRow",$B123),1)="#","",_xll.BDS(Ticker,"PG_ASSETS","PG_HIERARCHY_LEVEL=1","NUMBER_OF_PERIODS=-11","REVERSE_PERIOD_ORDER=N","PRODUCT_GEO_OVERRIDE=G","FUND_PER",RIGHT($B$11,1),"ACCOUNTING_STANDARD_OVERRIDE",$H$7,"EQY_CONSOLIDATED",$H$9,"EQY_FUND_CRNCY",$L$7,"StartCol",I$12,"EndCol",I$12,"StartRow",$B123,"EndRow",$B123))</f>
        <v/>
      </c>
      <c r="J123" s="218" t="str">
        <f>IF(LEFT(_xll.BDS(Ticker,"PG_ASSETS","PG_HIERARCHY_LEVEL=1","NUMBER_OF_PERIODS=-11","REVERSE_PERIOD_ORDER=N","PRODUCT_GEO_OVERRIDE=G","FUND_PER",RIGHT($B$11,1),"ACCOUNTING_STANDARD_OVERRIDE",$H$7,"EQY_CONSOLIDATED",$H$9,"EQY_FUND_CRNCY",$L$7,"StartCol",J$12,"EndCol",J$12,"StartRow",$B123,"EndRow",$B123),1)="#","",_xll.BDS(Ticker,"PG_ASSETS","PG_HIERARCHY_LEVEL=1","NUMBER_OF_PERIODS=-11","REVERSE_PERIOD_ORDER=N","PRODUCT_GEO_OVERRIDE=G","FUND_PER",RIGHT($B$11,1),"ACCOUNTING_STANDARD_OVERRIDE",$H$7,"EQY_CONSOLIDATED",$H$9,"EQY_FUND_CRNCY",$L$7,"StartCol",J$12,"EndCol",J$12,"StartRow",$B123,"EndRow",$B123))</f>
        <v/>
      </c>
      <c r="K123" s="218" t="str">
        <f>IF(LEFT(_xll.BDS(Ticker,"PG_ASSETS","PG_HIERARCHY_LEVEL=1","NUMBER_OF_PERIODS=-11","REVERSE_PERIOD_ORDER=N","PRODUCT_GEO_OVERRIDE=G","FUND_PER",RIGHT($B$11,1),"ACCOUNTING_STANDARD_OVERRIDE",$H$7,"EQY_CONSOLIDATED",$H$9,"EQY_FUND_CRNCY",$L$7,"StartCol",K$12,"EndCol",K$12,"StartRow",$B123,"EndRow",$B123),1)="#","",_xll.BDS(Ticker,"PG_ASSETS","PG_HIERARCHY_LEVEL=1","NUMBER_OF_PERIODS=-11","REVERSE_PERIOD_ORDER=N","PRODUCT_GEO_OVERRIDE=G","FUND_PER",RIGHT($B$11,1),"ACCOUNTING_STANDARD_OVERRIDE",$H$7,"EQY_CONSOLIDATED",$H$9,"EQY_FUND_CRNCY",$L$7,"StartCol",K$12,"EndCol",K$12,"StartRow",$B123,"EndRow",$B123))</f>
        <v/>
      </c>
      <c r="L123" s="218" t="str">
        <f>IF(LEFT(_xll.BDS(Ticker,"PG_ASSETS","PG_HIERARCHY_LEVEL=1","NUMBER_OF_PERIODS=-11","REVERSE_PERIOD_ORDER=N","PRODUCT_GEO_OVERRIDE=G","FUND_PER",RIGHT($B$11,1),"ACCOUNTING_STANDARD_OVERRIDE",$H$7,"EQY_CONSOLIDATED",$H$9,"EQY_FUND_CRNCY",$L$7,"StartCol",L$12,"EndCol",L$12,"StartRow",$B123,"EndRow",$B123),1)="#","",_xll.BDS(Ticker,"PG_ASSETS","PG_HIERARCHY_LEVEL=1","NUMBER_OF_PERIODS=-11","REVERSE_PERIOD_ORDER=N","PRODUCT_GEO_OVERRIDE=G","FUND_PER",RIGHT($B$11,1),"ACCOUNTING_STANDARD_OVERRIDE",$H$7,"EQY_CONSOLIDATED",$H$9,"EQY_FUND_CRNCY",$L$7,"StartCol",L$12,"EndCol",L$12,"StartRow",$B123,"EndRow",$B123))</f>
        <v/>
      </c>
      <c r="M123" s="218" t="str">
        <f>IF(LEFT(_xll.BDS(Ticker,"PG_ASSETS","PG_HIERARCHY_LEVEL=1","NUMBER_OF_PERIODS=-11","REVERSE_PERIOD_ORDER=N","PRODUCT_GEO_OVERRIDE=G","FUND_PER",RIGHT($B$11,1),"ACCOUNTING_STANDARD_OVERRIDE",$H$7,"EQY_CONSOLIDATED",$H$9,"EQY_FUND_CRNCY",$L$7,"StartCol",M$12,"EndCol",M$12,"StartRow",$B123,"EndRow",$B123),1)="#","",_xll.BDS(Ticker,"PG_ASSETS","PG_HIERARCHY_LEVEL=1","NUMBER_OF_PERIODS=-11","REVERSE_PERIOD_ORDER=N","PRODUCT_GEO_OVERRIDE=G","FUND_PER",RIGHT($B$11,1),"ACCOUNTING_STANDARD_OVERRIDE",$H$7,"EQY_CONSOLIDATED",$H$9,"EQY_FUND_CRNCY",$L$7,"StartCol",M$12,"EndCol",M$12,"StartRow",$B123,"EndRow",$B123))</f>
        <v/>
      </c>
      <c r="N123" s="218" t="str">
        <f>IF(LEFT(_xll.BDS(Ticker,"PG_ASSETS","PG_HIERARCHY_LEVEL=1","NUMBER_OF_PERIODS=-11","REVERSE_PERIOD_ORDER=N","PRODUCT_GEO_OVERRIDE=G","FUND_PER",RIGHT($B$11,1),"ACCOUNTING_STANDARD_OVERRIDE",$H$7,"EQY_CONSOLIDATED",$H$9,"EQY_FUND_CRNCY",$L$7,"StartCol",N$12,"EndCol",N$12,"StartRow",$B123,"EndRow",$B123),1)="#","",_xll.BDS(Ticker,"PG_ASSETS","PG_HIERARCHY_LEVEL=1","NUMBER_OF_PERIODS=-11","REVERSE_PERIOD_ORDER=N","PRODUCT_GEO_OVERRIDE=G","FUND_PER",RIGHT($B$11,1),"ACCOUNTING_STANDARD_OVERRIDE",$H$7,"EQY_CONSOLIDATED",$H$9,"EQY_FUND_CRNCY",$L$7,"StartCol",N$12,"EndCol",N$12,"StartRow",$B123,"EndRow",$B123))</f>
        <v/>
      </c>
    </row>
    <row r="124" spans="2:14" hidden="1" outlineLevel="1">
      <c r="B124" s="214">
        <v>7</v>
      </c>
      <c r="C124" s="216" t="str">
        <f>IF(LEFT(_xll.BDS(Ticker,"PG_ASSETS","PG_HIERARCHY_LEVEL=1","NUMBER_OF_PERIODS=-11","REVERSE_PERIOD_ORDER=N","PRODUCT_GEO_OVERRIDE=G","FUND_PER",RIGHT($B$11,1),"ACCOUNTING_STANDARD_OVERRIDE",$H$7,"EQY_CONSOLIDATED",$H$9,"EQY_FUND_CRNCY",$L$7,"StartCol",C$12,"EndCol",C$12,"StartRow",$B124,"EndRow",$B124),1)="#","",_xll.BDS(Ticker,"PG_ASSETS","PG_HIERARCHY_LEVEL=1","NUMBER_OF_PERIODS=-11","REVERSE_PERIOD_ORDER=N","PRODUCT_GEO_OVERRIDE=G","FUND_PER",RIGHT($B$11,1),"ACCOUNTING_STANDARD_OVERRIDE",$H$7,"EQY_CONSOLIDATED",$H$9,"EQY_FUND_CRNCY",$L$7,"StartCol",C$12,"EndCol",C$12,"StartRow",$B124,"EndRow",$B124))</f>
        <v/>
      </c>
      <c r="D124" s="218" t="str">
        <f>IF(LEFT(_xll.BDS(Ticker,"PG_ASSETS","PG_HIERARCHY_LEVEL=1","NUMBER_OF_PERIODS=-11","REVERSE_PERIOD_ORDER=N","PRODUCT_GEO_OVERRIDE=G","FUND_PER",RIGHT($B$11,1),"ACCOUNTING_STANDARD_OVERRIDE",$H$7,"EQY_CONSOLIDATED",$H$9,"EQY_FUND_CRNCY",$L$7,"StartCol",D$12,"EndCol",D$12,"StartRow",$B124,"EndRow",$B124),1)="#","",_xll.BDS(Ticker,"PG_ASSETS","PG_HIERARCHY_LEVEL=1","NUMBER_OF_PERIODS=-11","REVERSE_PERIOD_ORDER=N","PRODUCT_GEO_OVERRIDE=G","FUND_PER",RIGHT($B$11,1),"ACCOUNTING_STANDARD_OVERRIDE",$H$7,"EQY_CONSOLIDATED",$H$9,"EQY_FUND_CRNCY",$L$7,"StartCol",D$12,"EndCol",D$12,"StartRow",$B124,"EndRow",$B124))</f>
        <v/>
      </c>
      <c r="E124" s="218" t="str">
        <f>IF(LEFT(_xll.BDS(Ticker,"PG_ASSETS","PG_HIERARCHY_LEVEL=1","NUMBER_OF_PERIODS=-11","REVERSE_PERIOD_ORDER=N","PRODUCT_GEO_OVERRIDE=G","FUND_PER",RIGHT($B$11,1),"ACCOUNTING_STANDARD_OVERRIDE",$H$7,"EQY_CONSOLIDATED",$H$9,"EQY_FUND_CRNCY",$L$7,"StartCol",E$12,"EndCol",E$12,"StartRow",$B124,"EndRow",$B124),1)="#","",_xll.BDS(Ticker,"PG_ASSETS","PG_HIERARCHY_LEVEL=1","NUMBER_OF_PERIODS=-11","REVERSE_PERIOD_ORDER=N","PRODUCT_GEO_OVERRIDE=G","FUND_PER",RIGHT($B$11,1),"ACCOUNTING_STANDARD_OVERRIDE",$H$7,"EQY_CONSOLIDATED",$H$9,"EQY_FUND_CRNCY",$L$7,"StartCol",E$12,"EndCol",E$12,"StartRow",$B124,"EndRow",$B124))</f>
        <v/>
      </c>
      <c r="F124" s="218" t="str">
        <f>IF(LEFT(_xll.BDS(Ticker,"PG_ASSETS","PG_HIERARCHY_LEVEL=1","NUMBER_OF_PERIODS=-11","REVERSE_PERIOD_ORDER=N","PRODUCT_GEO_OVERRIDE=G","FUND_PER",RIGHT($B$11,1),"ACCOUNTING_STANDARD_OVERRIDE",$H$7,"EQY_CONSOLIDATED",$H$9,"EQY_FUND_CRNCY",$L$7,"StartCol",F$12,"EndCol",F$12,"StartRow",$B124,"EndRow",$B124),1)="#","",_xll.BDS(Ticker,"PG_ASSETS","PG_HIERARCHY_LEVEL=1","NUMBER_OF_PERIODS=-11","REVERSE_PERIOD_ORDER=N","PRODUCT_GEO_OVERRIDE=G","FUND_PER",RIGHT($B$11,1),"ACCOUNTING_STANDARD_OVERRIDE",$H$7,"EQY_CONSOLIDATED",$H$9,"EQY_FUND_CRNCY",$L$7,"StartCol",F$12,"EndCol",F$12,"StartRow",$B124,"EndRow",$B124))</f>
        <v/>
      </c>
      <c r="G124" s="218" t="str">
        <f>IF(LEFT(_xll.BDS(Ticker,"PG_ASSETS","PG_HIERARCHY_LEVEL=1","NUMBER_OF_PERIODS=-11","REVERSE_PERIOD_ORDER=N","PRODUCT_GEO_OVERRIDE=G","FUND_PER",RIGHT($B$11,1),"ACCOUNTING_STANDARD_OVERRIDE",$H$7,"EQY_CONSOLIDATED",$H$9,"EQY_FUND_CRNCY",$L$7,"StartCol",G$12,"EndCol",G$12,"StartRow",$B124,"EndRow",$B124),1)="#","",_xll.BDS(Ticker,"PG_ASSETS","PG_HIERARCHY_LEVEL=1","NUMBER_OF_PERIODS=-11","REVERSE_PERIOD_ORDER=N","PRODUCT_GEO_OVERRIDE=G","FUND_PER",RIGHT($B$11,1),"ACCOUNTING_STANDARD_OVERRIDE",$H$7,"EQY_CONSOLIDATED",$H$9,"EQY_FUND_CRNCY",$L$7,"StartCol",G$12,"EndCol",G$12,"StartRow",$B124,"EndRow",$B124))</f>
        <v/>
      </c>
      <c r="H124" s="218" t="str">
        <f>IF(LEFT(_xll.BDS(Ticker,"PG_ASSETS","PG_HIERARCHY_LEVEL=1","NUMBER_OF_PERIODS=-11","REVERSE_PERIOD_ORDER=N","PRODUCT_GEO_OVERRIDE=G","FUND_PER",RIGHT($B$11,1),"ACCOUNTING_STANDARD_OVERRIDE",$H$7,"EQY_CONSOLIDATED",$H$9,"EQY_FUND_CRNCY",$L$7,"StartCol",H$12,"EndCol",H$12,"StartRow",$B124,"EndRow",$B124),1)="#","",_xll.BDS(Ticker,"PG_ASSETS","PG_HIERARCHY_LEVEL=1","NUMBER_OF_PERIODS=-11","REVERSE_PERIOD_ORDER=N","PRODUCT_GEO_OVERRIDE=G","FUND_PER",RIGHT($B$11,1),"ACCOUNTING_STANDARD_OVERRIDE",$H$7,"EQY_CONSOLIDATED",$H$9,"EQY_FUND_CRNCY",$L$7,"StartCol",H$12,"EndCol",H$12,"StartRow",$B124,"EndRow",$B124))</f>
        <v/>
      </c>
      <c r="I124" s="218" t="str">
        <f>IF(LEFT(_xll.BDS(Ticker,"PG_ASSETS","PG_HIERARCHY_LEVEL=1","NUMBER_OF_PERIODS=-11","REVERSE_PERIOD_ORDER=N","PRODUCT_GEO_OVERRIDE=G","FUND_PER",RIGHT($B$11,1),"ACCOUNTING_STANDARD_OVERRIDE",$H$7,"EQY_CONSOLIDATED",$H$9,"EQY_FUND_CRNCY",$L$7,"StartCol",I$12,"EndCol",I$12,"StartRow",$B124,"EndRow",$B124),1)="#","",_xll.BDS(Ticker,"PG_ASSETS","PG_HIERARCHY_LEVEL=1","NUMBER_OF_PERIODS=-11","REVERSE_PERIOD_ORDER=N","PRODUCT_GEO_OVERRIDE=G","FUND_PER",RIGHT($B$11,1),"ACCOUNTING_STANDARD_OVERRIDE",$H$7,"EQY_CONSOLIDATED",$H$9,"EQY_FUND_CRNCY",$L$7,"StartCol",I$12,"EndCol",I$12,"StartRow",$B124,"EndRow",$B124))</f>
        <v/>
      </c>
      <c r="J124" s="218" t="str">
        <f>IF(LEFT(_xll.BDS(Ticker,"PG_ASSETS","PG_HIERARCHY_LEVEL=1","NUMBER_OF_PERIODS=-11","REVERSE_PERIOD_ORDER=N","PRODUCT_GEO_OVERRIDE=G","FUND_PER",RIGHT($B$11,1),"ACCOUNTING_STANDARD_OVERRIDE",$H$7,"EQY_CONSOLIDATED",$H$9,"EQY_FUND_CRNCY",$L$7,"StartCol",J$12,"EndCol",J$12,"StartRow",$B124,"EndRow",$B124),1)="#","",_xll.BDS(Ticker,"PG_ASSETS","PG_HIERARCHY_LEVEL=1","NUMBER_OF_PERIODS=-11","REVERSE_PERIOD_ORDER=N","PRODUCT_GEO_OVERRIDE=G","FUND_PER",RIGHT($B$11,1),"ACCOUNTING_STANDARD_OVERRIDE",$H$7,"EQY_CONSOLIDATED",$H$9,"EQY_FUND_CRNCY",$L$7,"StartCol",J$12,"EndCol",J$12,"StartRow",$B124,"EndRow",$B124))</f>
        <v/>
      </c>
      <c r="K124" s="218" t="str">
        <f>IF(LEFT(_xll.BDS(Ticker,"PG_ASSETS","PG_HIERARCHY_LEVEL=1","NUMBER_OF_PERIODS=-11","REVERSE_PERIOD_ORDER=N","PRODUCT_GEO_OVERRIDE=G","FUND_PER",RIGHT($B$11,1),"ACCOUNTING_STANDARD_OVERRIDE",$H$7,"EQY_CONSOLIDATED",$H$9,"EQY_FUND_CRNCY",$L$7,"StartCol",K$12,"EndCol",K$12,"StartRow",$B124,"EndRow",$B124),1)="#","",_xll.BDS(Ticker,"PG_ASSETS","PG_HIERARCHY_LEVEL=1","NUMBER_OF_PERIODS=-11","REVERSE_PERIOD_ORDER=N","PRODUCT_GEO_OVERRIDE=G","FUND_PER",RIGHT($B$11,1),"ACCOUNTING_STANDARD_OVERRIDE",$H$7,"EQY_CONSOLIDATED",$H$9,"EQY_FUND_CRNCY",$L$7,"StartCol",K$12,"EndCol",K$12,"StartRow",$B124,"EndRow",$B124))</f>
        <v/>
      </c>
      <c r="L124" s="218" t="str">
        <f>IF(LEFT(_xll.BDS(Ticker,"PG_ASSETS","PG_HIERARCHY_LEVEL=1","NUMBER_OF_PERIODS=-11","REVERSE_PERIOD_ORDER=N","PRODUCT_GEO_OVERRIDE=G","FUND_PER",RIGHT($B$11,1),"ACCOUNTING_STANDARD_OVERRIDE",$H$7,"EQY_CONSOLIDATED",$H$9,"EQY_FUND_CRNCY",$L$7,"StartCol",L$12,"EndCol",L$12,"StartRow",$B124,"EndRow",$B124),1)="#","",_xll.BDS(Ticker,"PG_ASSETS","PG_HIERARCHY_LEVEL=1","NUMBER_OF_PERIODS=-11","REVERSE_PERIOD_ORDER=N","PRODUCT_GEO_OVERRIDE=G","FUND_PER",RIGHT($B$11,1),"ACCOUNTING_STANDARD_OVERRIDE",$H$7,"EQY_CONSOLIDATED",$H$9,"EQY_FUND_CRNCY",$L$7,"StartCol",L$12,"EndCol",L$12,"StartRow",$B124,"EndRow",$B124))</f>
        <v/>
      </c>
      <c r="M124" s="218" t="str">
        <f>IF(LEFT(_xll.BDS(Ticker,"PG_ASSETS","PG_HIERARCHY_LEVEL=1","NUMBER_OF_PERIODS=-11","REVERSE_PERIOD_ORDER=N","PRODUCT_GEO_OVERRIDE=G","FUND_PER",RIGHT($B$11,1),"ACCOUNTING_STANDARD_OVERRIDE",$H$7,"EQY_CONSOLIDATED",$H$9,"EQY_FUND_CRNCY",$L$7,"StartCol",M$12,"EndCol",M$12,"StartRow",$B124,"EndRow",$B124),1)="#","",_xll.BDS(Ticker,"PG_ASSETS","PG_HIERARCHY_LEVEL=1","NUMBER_OF_PERIODS=-11","REVERSE_PERIOD_ORDER=N","PRODUCT_GEO_OVERRIDE=G","FUND_PER",RIGHT($B$11,1),"ACCOUNTING_STANDARD_OVERRIDE",$H$7,"EQY_CONSOLIDATED",$H$9,"EQY_FUND_CRNCY",$L$7,"StartCol",M$12,"EndCol",M$12,"StartRow",$B124,"EndRow",$B124))</f>
        <v/>
      </c>
      <c r="N124" s="218" t="str">
        <f>IF(LEFT(_xll.BDS(Ticker,"PG_ASSETS","PG_HIERARCHY_LEVEL=1","NUMBER_OF_PERIODS=-11","REVERSE_PERIOD_ORDER=N","PRODUCT_GEO_OVERRIDE=G","FUND_PER",RIGHT($B$11,1),"ACCOUNTING_STANDARD_OVERRIDE",$H$7,"EQY_CONSOLIDATED",$H$9,"EQY_FUND_CRNCY",$L$7,"StartCol",N$12,"EndCol",N$12,"StartRow",$B124,"EndRow",$B124),1)="#","",_xll.BDS(Ticker,"PG_ASSETS","PG_HIERARCHY_LEVEL=1","NUMBER_OF_PERIODS=-11","REVERSE_PERIOD_ORDER=N","PRODUCT_GEO_OVERRIDE=G","FUND_PER",RIGHT($B$11,1),"ACCOUNTING_STANDARD_OVERRIDE",$H$7,"EQY_CONSOLIDATED",$H$9,"EQY_FUND_CRNCY",$L$7,"StartCol",N$12,"EndCol",N$12,"StartRow",$B124,"EndRow",$B124))</f>
        <v/>
      </c>
    </row>
    <row r="125" spans="2:14" hidden="1" outlineLevel="1">
      <c r="B125" s="214">
        <v>8</v>
      </c>
      <c r="C125" s="216" t="str">
        <f>IF(LEFT(_xll.BDS(Ticker,"PG_ASSETS","PG_HIERARCHY_LEVEL=1","NUMBER_OF_PERIODS=-11","REVERSE_PERIOD_ORDER=N","PRODUCT_GEO_OVERRIDE=G","FUND_PER",RIGHT($B$11,1),"ACCOUNTING_STANDARD_OVERRIDE",$H$7,"EQY_CONSOLIDATED",$H$9,"EQY_FUND_CRNCY",$L$7,"StartCol",C$12,"EndCol",C$12,"StartRow",$B125,"EndRow",$B125),1)="#","",_xll.BDS(Ticker,"PG_ASSETS","PG_HIERARCHY_LEVEL=1","NUMBER_OF_PERIODS=-11","REVERSE_PERIOD_ORDER=N","PRODUCT_GEO_OVERRIDE=G","FUND_PER",RIGHT($B$11,1),"ACCOUNTING_STANDARD_OVERRIDE",$H$7,"EQY_CONSOLIDATED",$H$9,"EQY_FUND_CRNCY",$L$7,"StartCol",C$12,"EndCol",C$12,"StartRow",$B125,"EndRow",$B125))</f>
        <v/>
      </c>
      <c r="D125" s="218" t="str">
        <f>IF(LEFT(_xll.BDS(Ticker,"PG_ASSETS","PG_HIERARCHY_LEVEL=1","NUMBER_OF_PERIODS=-11","REVERSE_PERIOD_ORDER=N","PRODUCT_GEO_OVERRIDE=G","FUND_PER",RIGHT($B$11,1),"ACCOUNTING_STANDARD_OVERRIDE",$H$7,"EQY_CONSOLIDATED",$H$9,"EQY_FUND_CRNCY",$L$7,"StartCol",D$12,"EndCol",D$12,"StartRow",$B125,"EndRow",$B125),1)="#","",_xll.BDS(Ticker,"PG_ASSETS","PG_HIERARCHY_LEVEL=1","NUMBER_OF_PERIODS=-11","REVERSE_PERIOD_ORDER=N","PRODUCT_GEO_OVERRIDE=G","FUND_PER",RIGHT($B$11,1),"ACCOUNTING_STANDARD_OVERRIDE",$H$7,"EQY_CONSOLIDATED",$H$9,"EQY_FUND_CRNCY",$L$7,"StartCol",D$12,"EndCol",D$12,"StartRow",$B125,"EndRow",$B125))</f>
        <v/>
      </c>
      <c r="E125" s="218" t="str">
        <f>IF(LEFT(_xll.BDS(Ticker,"PG_ASSETS","PG_HIERARCHY_LEVEL=1","NUMBER_OF_PERIODS=-11","REVERSE_PERIOD_ORDER=N","PRODUCT_GEO_OVERRIDE=G","FUND_PER",RIGHT($B$11,1),"ACCOUNTING_STANDARD_OVERRIDE",$H$7,"EQY_CONSOLIDATED",$H$9,"EQY_FUND_CRNCY",$L$7,"StartCol",E$12,"EndCol",E$12,"StartRow",$B125,"EndRow",$B125),1)="#","",_xll.BDS(Ticker,"PG_ASSETS","PG_HIERARCHY_LEVEL=1","NUMBER_OF_PERIODS=-11","REVERSE_PERIOD_ORDER=N","PRODUCT_GEO_OVERRIDE=G","FUND_PER",RIGHT($B$11,1),"ACCOUNTING_STANDARD_OVERRIDE",$H$7,"EQY_CONSOLIDATED",$H$9,"EQY_FUND_CRNCY",$L$7,"StartCol",E$12,"EndCol",E$12,"StartRow",$B125,"EndRow",$B125))</f>
        <v/>
      </c>
      <c r="F125" s="218" t="str">
        <f>IF(LEFT(_xll.BDS(Ticker,"PG_ASSETS","PG_HIERARCHY_LEVEL=1","NUMBER_OF_PERIODS=-11","REVERSE_PERIOD_ORDER=N","PRODUCT_GEO_OVERRIDE=G","FUND_PER",RIGHT($B$11,1),"ACCOUNTING_STANDARD_OVERRIDE",$H$7,"EQY_CONSOLIDATED",$H$9,"EQY_FUND_CRNCY",$L$7,"StartCol",F$12,"EndCol",F$12,"StartRow",$B125,"EndRow",$B125),1)="#","",_xll.BDS(Ticker,"PG_ASSETS","PG_HIERARCHY_LEVEL=1","NUMBER_OF_PERIODS=-11","REVERSE_PERIOD_ORDER=N","PRODUCT_GEO_OVERRIDE=G","FUND_PER",RIGHT($B$11,1),"ACCOUNTING_STANDARD_OVERRIDE",$H$7,"EQY_CONSOLIDATED",$H$9,"EQY_FUND_CRNCY",$L$7,"StartCol",F$12,"EndCol",F$12,"StartRow",$B125,"EndRow",$B125))</f>
        <v/>
      </c>
      <c r="G125" s="218" t="str">
        <f>IF(LEFT(_xll.BDS(Ticker,"PG_ASSETS","PG_HIERARCHY_LEVEL=1","NUMBER_OF_PERIODS=-11","REVERSE_PERIOD_ORDER=N","PRODUCT_GEO_OVERRIDE=G","FUND_PER",RIGHT($B$11,1),"ACCOUNTING_STANDARD_OVERRIDE",$H$7,"EQY_CONSOLIDATED",$H$9,"EQY_FUND_CRNCY",$L$7,"StartCol",G$12,"EndCol",G$12,"StartRow",$B125,"EndRow",$B125),1)="#","",_xll.BDS(Ticker,"PG_ASSETS","PG_HIERARCHY_LEVEL=1","NUMBER_OF_PERIODS=-11","REVERSE_PERIOD_ORDER=N","PRODUCT_GEO_OVERRIDE=G","FUND_PER",RIGHT($B$11,1),"ACCOUNTING_STANDARD_OVERRIDE",$H$7,"EQY_CONSOLIDATED",$H$9,"EQY_FUND_CRNCY",$L$7,"StartCol",G$12,"EndCol",G$12,"StartRow",$B125,"EndRow",$B125))</f>
        <v/>
      </c>
      <c r="H125" s="218" t="str">
        <f>IF(LEFT(_xll.BDS(Ticker,"PG_ASSETS","PG_HIERARCHY_LEVEL=1","NUMBER_OF_PERIODS=-11","REVERSE_PERIOD_ORDER=N","PRODUCT_GEO_OVERRIDE=G","FUND_PER",RIGHT($B$11,1),"ACCOUNTING_STANDARD_OVERRIDE",$H$7,"EQY_CONSOLIDATED",$H$9,"EQY_FUND_CRNCY",$L$7,"StartCol",H$12,"EndCol",H$12,"StartRow",$B125,"EndRow",$B125),1)="#","",_xll.BDS(Ticker,"PG_ASSETS","PG_HIERARCHY_LEVEL=1","NUMBER_OF_PERIODS=-11","REVERSE_PERIOD_ORDER=N","PRODUCT_GEO_OVERRIDE=G","FUND_PER",RIGHT($B$11,1),"ACCOUNTING_STANDARD_OVERRIDE",$H$7,"EQY_CONSOLIDATED",$H$9,"EQY_FUND_CRNCY",$L$7,"StartCol",H$12,"EndCol",H$12,"StartRow",$B125,"EndRow",$B125))</f>
        <v/>
      </c>
      <c r="I125" s="218" t="str">
        <f>IF(LEFT(_xll.BDS(Ticker,"PG_ASSETS","PG_HIERARCHY_LEVEL=1","NUMBER_OF_PERIODS=-11","REVERSE_PERIOD_ORDER=N","PRODUCT_GEO_OVERRIDE=G","FUND_PER",RIGHT($B$11,1),"ACCOUNTING_STANDARD_OVERRIDE",$H$7,"EQY_CONSOLIDATED",$H$9,"EQY_FUND_CRNCY",$L$7,"StartCol",I$12,"EndCol",I$12,"StartRow",$B125,"EndRow",$B125),1)="#","",_xll.BDS(Ticker,"PG_ASSETS","PG_HIERARCHY_LEVEL=1","NUMBER_OF_PERIODS=-11","REVERSE_PERIOD_ORDER=N","PRODUCT_GEO_OVERRIDE=G","FUND_PER",RIGHT($B$11,1),"ACCOUNTING_STANDARD_OVERRIDE",$H$7,"EQY_CONSOLIDATED",$H$9,"EQY_FUND_CRNCY",$L$7,"StartCol",I$12,"EndCol",I$12,"StartRow",$B125,"EndRow",$B125))</f>
        <v/>
      </c>
      <c r="J125" s="218" t="str">
        <f>IF(LEFT(_xll.BDS(Ticker,"PG_ASSETS","PG_HIERARCHY_LEVEL=1","NUMBER_OF_PERIODS=-11","REVERSE_PERIOD_ORDER=N","PRODUCT_GEO_OVERRIDE=G","FUND_PER",RIGHT($B$11,1),"ACCOUNTING_STANDARD_OVERRIDE",$H$7,"EQY_CONSOLIDATED",$H$9,"EQY_FUND_CRNCY",$L$7,"StartCol",J$12,"EndCol",J$12,"StartRow",$B125,"EndRow",$B125),1)="#","",_xll.BDS(Ticker,"PG_ASSETS","PG_HIERARCHY_LEVEL=1","NUMBER_OF_PERIODS=-11","REVERSE_PERIOD_ORDER=N","PRODUCT_GEO_OVERRIDE=G","FUND_PER",RIGHT($B$11,1),"ACCOUNTING_STANDARD_OVERRIDE",$H$7,"EQY_CONSOLIDATED",$H$9,"EQY_FUND_CRNCY",$L$7,"StartCol",J$12,"EndCol",J$12,"StartRow",$B125,"EndRow",$B125))</f>
        <v/>
      </c>
      <c r="K125" s="218" t="str">
        <f>IF(LEFT(_xll.BDS(Ticker,"PG_ASSETS","PG_HIERARCHY_LEVEL=1","NUMBER_OF_PERIODS=-11","REVERSE_PERIOD_ORDER=N","PRODUCT_GEO_OVERRIDE=G","FUND_PER",RIGHT($B$11,1),"ACCOUNTING_STANDARD_OVERRIDE",$H$7,"EQY_CONSOLIDATED",$H$9,"EQY_FUND_CRNCY",$L$7,"StartCol",K$12,"EndCol",K$12,"StartRow",$B125,"EndRow",$B125),1)="#","",_xll.BDS(Ticker,"PG_ASSETS","PG_HIERARCHY_LEVEL=1","NUMBER_OF_PERIODS=-11","REVERSE_PERIOD_ORDER=N","PRODUCT_GEO_OVERRIDE=G","FUND_PER",RIGHT($B$11,1),"ACCOUNTING_STANDARD_OVERRIDE",$H$7,"EQY_CONSOLIDATED",$H$9,"EQY_FUND_CRNCY",$L$7,"StartCol",K$12,"EndCol",K$12,"StartRow",$B125,"EndRow",$B125))</f>
        <v/>
      </c>
      <c r="L125" s="218" t="str">
        <f>IF(LEFT(_xll.BDS(Ticker,"PG_ASSETS","PG_HIERARCHY_LEVEL=1","NUMBER_OF_PERIODS=-11","REVERSE_PERIOD_ORDER=N","PRODUCT_GEO_OVERRIDE=G","FUND_PER",RIGHT($B$11,1),"ACCOUNTING_STANDARD_OVERRIDE",$H$7,"EQY_CONSOLIDATED",$H$9,"EQY_FUND_CRNCY",$L$7,"StartCol",L$12,"EndCol",L$12,"StartRow",$B125,"EndRow",$B125),1)="#","",_xll.BDS(Ticker,"PG_ASSETS","PG_HIERARCHY_LEVEL=1","NUMBER_OF_PERIODS=-11","REVERSE_PERIOD_ORDER=N","PRODUCT_GEO_OVERRIDE=G","FUND_PER",RIGHT($B$11,1),"ACCOUNTING_STANDARD_OVERRIDE",$H$7,"EQY_CONSOLIDATED",$H$9,"EQY_FUND_CRNCY",$L$7,"StartCol",L$12,"EndCol",L$12,"StartRow",$B125,"EndRow",$B125))</f>
        <v/>
      </c>
      <c r="M125" s="218" t="str">
        <f>IF(LEFT(_xll.BDS(Ticker,"PG_ASSETS","PG_HIERARCHY_LEVEL=1","NUMBER_OF_PERIODS=-11","REVERSE_PERIOD_ORDER=N","PRODUCT_GEO_OVERRIDE=G","FUND_PER",RIGHT($B$11,1),"ACCOUNTING_STANDARD_OVERRIDE",$H$7,"EQY_CONSOLIDATED",$H$9,"EQY_FUND_CRNCY",$L$7,"StartCol",M$12,"EndCol",M$12,"StartRow",$B125,"EndRow",$B125),1)="#","",_xll.BDS(Ticker,"PG_ASSETS","PG_HIERARCHY_LEVEL=1","NUMBER_OF_PERIODS=-11","REVERSE_PERIOD_ORDER=N","PRODUCT_GEO_OVERRIDE=G","FUND_PER",RIGHT($B$11,1),"ACCOUNTING_STANDARD_OVERRIDE",$H$7,"EQY_CONSOLIDATED",$H$9,"EQY_FUND_CRNCY",$L$7,"StartCol",M$12,"EndCol",M$12,"StartRow",$B125,"EndRow",$B125))</f>
        <v/>
      </c>
      <c r="N125" s="218" t="str">
        <f>IF(LEFT(_xll.BDS(Ticker,"PG_ASSETS","PG_HIERARCHY_LEVEL=1","NUMBER_OF_PERIODS=-11","REVERSE_PERIOD_ORDER=N","PRODUCT_GEO_OVERRIDE=G","FUND_PER",RIGHT($B$11,1),"ACCOUNTING_STANDARD_OVERRIDE",$H$7,"EQY_CONSOLIDATED",$H$9,"EQY_FUND_CRNCY",$L$7,"StartCol",N$12,"EndCol",N$12,"StartRow",$B125,"EndRow",$B125),1)="#","",_xll.BDS(Ticker,"PG_ASSETS","PG_HIERARCHY_LEVEL=1","NUMBER_OF_PERIODS=-11","REVERSE_PERIOD_ORDER=N","PRODUCT_GEO_OVERRIDE=G","FUND_PER",RIGHT($B$11,1),"ACCOUNTING_STANDARD_OVERRIDE",$H$7,"EQY_CONSOLIDATED",$H$9,"EQY_FUND_CRNCY",$L$7,"StartCol",N$12,"EndCol",N$12,"StartRow",$B125,"EndRow",$B125))</f>
        <v/>
      </c>
    </row>
    <row r="126" spans="2:14" hidden="1" outlineLevel="1">
      <c r="B126" s="214">
        <v>9</v>
      </c>
      <c r="C126" s="216" t="str">
        <f>IF(LEFT(_xll.BDS(Ticker,"PG_ASSETS","PG_HIERARCHY_LEVEL=1","NUMBER_OF_PERIODS=-11","REVERSE_PERIOD_ORDER=N","PRODUCT_GEO_OVERRIDE=G","FUND_PER",RIGHT($B$11,1),"ACCOUNTING_STANDARD_OVERRIDE",$H$7,"EQY_CONSOLIDATED",$H$9,"EQY_FUND_CRNCY",$L$7,"StartCol",C$12,"EndCol",C$12,"StartRow",$B126,"EndRow",$B126),1)="#","",_xll.BDS(Ticker,"PG_ASSETS","PG_HIERARCHY_LEVEL=1","NUMBER_OF_PERIODS=-11","REVERSE_PERIOD_ORDER=N","PRODUCT_GEO_OVERRIDE=G","FUND_PER",RIGHT($B$11,1),"ACCOUNTING_STANDARD_OVERRIDE",$H$7,"EQY_CONSOLIDATED",$H$9,"EQY_FUND_CRNCY",$L$7,"StartCol",C$12,"EndCol",C$12,"StartRow",$B126,"EndRow",$B126))</f>
        <v/>
      </c>
      <c r="D126" s="218" t="str">
        <f>IF(LEFT(_xll.BDS(Ticker,"PG_ASSETS","PG_HIERARCHY_LEVEL=1","NUMBER_OF_PERIODS=-11","REVERSE_PERIOD_ORDER=N","PRODUCT_GEO_OVERRIDE=G","FUND_PER",RIGHT($B$11,1),"ACCOUNTING_STANDARD_OVERRIDE",$H$7,"EQY_CONSOLIDATED",$H$9,"EQY_FUND_CRNCY",$L$7,"StartCol",D$12,"EndCol",D$12,"StartRow",$B126,"EndRow",$B126),1)="#","",_xll.BDS(Ticker,"PG_ASSETS","PG_HIERARCHY_LEVEL=1","NUMBER_OF_PERIODS=-11","REVERSE_PERIOD_ORDER=N","PRODUCT_GEO_OVERRIDE=G","FUND_PER",RIGHT($B$11,1),"ACCOUNTING_STANDARD_OVERRIDE",$H$7,"EQY_CONSOLIDATED",$H$9,"EQY_FUND_CRNCY",$L$7,"StartCol",D$12,"EndCol",D$12,"StartRow",$B126,"EndRow",$B126))</f>
        <v/>
      </c>
      <c r="E126" s="218" t="str">
        <f>IF(LEFT(_xll.BDS(Ticker,"PG_ASSETS","PG_HIERARCHY_LEVEL=1","NUMBER_OF_PERIODS=-11","REVERSE_PERIOD_ORDER=N","PRODUCT_GEO_OVERRIDE=G","FUND_PER",RIGHT($B$11,1),"ACCOUNTING_STANDARD_OVERRIDE",$H$7,"EQY_CONSOLIDATED",$H$9,"EQY_FUND_CRNCY",$L$7,"StartCol",E$12,"EndCol",E$12,"StartRow",$B126,"EndRow",$B126),1)="#","",_xll.BDS(Ticker,"PG_ASSETS","PG_HIERARCHY_LEVEL=1","NUMBER_OF_PERIODS=-11","REVERSE_PERIOD_ORDER=N","PRODUCT_GEO_OVERRIDE=G","FUND_PER",RIGHT($B$11,1),"ACCOUNTING_STANDARD_OVERRIDE",$H$7,"EQY_CONSOLIDATED",$H$9,"EQY_FUND_CRNCY",$L$7,"StartCol",E$12,"EndCol",E$12,"StartRow",$B126,"EndRow",$B126))</f>
        <v/>
      </c>
      <c r="F126" s="218" t="str">
        <f>IF(LEFT(_xll.BDS(Ticker,"PG_ASSETS","PG_HIERARCHY_LEVEL=1","NUMBER_OF_PERIODS=-11","REVERSE_PERIOD_ORDER=N","PRODUCT_GEO_OVERRIDE=G","FUND_PER",RIGHT($B$11,1),"ACCOUNTING_STANDARD_OVERRIDE",$H$7,"EQY_CONSOLIDATED",$H$9,"EQY_FUND_CRNCY",$L$7,"StartCol",F$12,"EndCol",F$12,"StartRow",$B126,"EndRow",$B126),1)="#","",_xll.BDS(Ticker,"PG_ASSETS","PG_HIERARCHY_LEVEL=1","NUMBER_OF_PERIODS=-11","REVERSE_PERIOD_ORDER=N","PRODUCT_GEO_OVERRIDE=G","FUND_PER",RIGHT($B$11,1),"ACCOUNTING_STANDARD_OVERRIDE",$H$7,"EQY_CONSOLIDATED",$H$9,"EQY_FUND_CRNCY",$L$7,"StartCol",F$12,"EndCol",F$12,"StartRow",$B126,"EndRow",$B126))</f>
        <v/>
      </c>
      <c r="G126" s="218" t="str">
        <f>IF(LEFT(_xll.BDS(Ticker,"PG_ASSETS","PG_HIERARCHY_LEVEL=1","NUMBER_OF_PERIODS=-11","REVERSE_PERIOD_ORDER=N","PRODUCT_GEO_OVERRIDE=G","FUND_PER",RIGHT($B$11,1),"ACCOUNTING_STANDARD_OVERRIDE",$H$7,"EQY_CONSOLIDATED",$H$9,"EQY_FUND_CRNCY",$L$7,"StartCol",G$12,"EndCol",G$12,"StartRow",$B126,"EndRow",$B126),1)="#","",_xll.BDS(Ticker,"PG_ASSETS","PG_HIERARCHY_LEVEL=1","NUMBER_OF_PERIODS=-11","REVERSE_PERIOD_ORDER=N","PRODUCT_GEO_OVERRIDE=G","FUND_PER",RIGHT($B$11,1),"ACCOUNTING_STANDARD_OVERRIDE",$H$7,"EQY_CONSOLIDATED",$H$9,"EQY_FUND_CRNCY",$L$7,"StartCol",G$12,"EndCol",G$12,"StartRow",$B126,"EndRow",$B126))</f>
        <v/>
      </c>
      <c r="H126" s="218" t="str">
        <f>IF(LEFT(_xll.BDS(Ticker,"PG_ASSETS","PG_HIERARCHY_LEVEL=1","NUMBER_OF_PERIODS=-11","REVERSE_PERIOD_ORDER=N","PRODUCT_GEO_OVERRIDE=G","FUND_PER",RIGHT($B$11,1),"ACCOUNTING_STANDARD_OVERRIDE",$H$7,"EQY_CONSOLIDATED",$H$9,"EQY_FUND_CRNCY",$L$7,"StartCol",H$12,"EndCol",H$12,"StartRow",$B126,"EndRow",$B126),1)="#","",_xll.BDS(Ticker,"PG_ASSETS","PG_HIERARCHY_LEVEL=1","NUMBER_OF_PERIODS=-11","REVERSE_PERIOD_ORDER=N","PRODUCT_GEO_OVERRIDE=G","FUND_PER",RIGHT($B$11,1),"ACCOUNTING_STANDARD_OVERRIDE",$H$7,"EQY_CONSOLIDATED",$H$9,"EQY_FUND_CRNCY",$L$7,"StartCol",H$12,"EndCol",H$12,"StartRow",$B126,"EndRow",$B126))</f>
        <v/>
      </c>
      <c r="I126" s="218" t="str">
        <f>IF(LEFT(_xll.BDS(Ticker,"PG_ASSETS","PG_HIERARCHY_LEVEL=1","NUMBER_OF_PERIODS=-11","REVERSE_PERIOD_ORDER=N","PRODUCT_GEO_OVERRIDE=G","FUND_PER",RIGHT($B$11,1),"ACCOUNTING_STANDARD_OVERRIDE",$H$7,"EQY_CONSOLIDATED",$H$9,"EQY_FUND_CRNCY",$L$7,"StartCol",I$12,"EndCol",I$12,"StartRow",$B126,"EndRow",$B126),1)="#","",_xll.BDS(Ticker,"PG_ASSETS","PG_HIERARCHY_LEVEL=1","NUMBER_OF_PERIODS=-11","REVERSE_PERIOD_ORDER=N","PRODUCT_GEO_OVERRIDE=G","FUND_PER",RIGHT($B$11,1),"ACCOUNTING_STANDARD_OVERRIDE",$H$7,"EQY_CONSOLIDATED",$H$9,"EQY_FUND_CRNCY",$L$7,"StartCol",I$12,"EndCol",I$12,"StartRow",$B126,"EndRow",$B126))</f>
        <v/>
      </c>
      <c r="J126" s="218" t="str">
        <f>IF(LEFT(_xll.BDS(Ticker,"PG_ASSETS","PG_HIERARCHY_LEVEL=1","NUMBER_OF_PERIODS=-11","REVERSE_PERIOD_ORDER=N","PRODUCT_GEO_OVERRIDE=G","FUND_PER",RIGHT($B$11,1),"ACCOUNTING_STANDARD_OVERRIDE",$H$7,"EQY_CONSOLIDATED",$H$9,"EQY_FUND_CRNCY",$L$7,"StartCol",J$12,"EndCol",J$12,"StartRow",$B126,"EndRow",$B126),1)="#","",_xll.BDS(Ticker,"PG_ASSETS","PG_HIERARCHY_LEVEL=1","NUMBER_OF_PERIODS=-11","REVERSE_PERIOD_ORDER=N","PRODUCT_GEO_OVERRIDE=G","FUND_PER",RIGHT($B$11,1),"ACCOUNTING_STANDARD_OVERRIDE",$H$7,"EQY_CONSOLIDATED",$H$9,"EQY_FUND_CRNCY",$L$7,"StartCol",J$12,"EndCol",J$12,"StartRow",$B126,"EndRow",$B126))</f>
        <v/>
      </c>
      <c r="K126" s="218" t="str">
        <f>IF(LEFT(_xll.BDS(Ticker,"PG_ASSETS","PG_HIERARCHY_LEVEL=1","NUMBER_OF_PERIODS=-11","REVERSE_PERIOD_ORDER=N","PRODUCT_GEO_OVERRIDE=G","FUND_PER",RIGHT($B$11,1),"ACCOUNTING_STANDARD_OVERRIDE",$H$7,"EQY_CONSOLIDATED",$H$9,"EQY_FUND_CRNCY",$L$7,"StartCol",K$12,"EndCol",K$12,"StartRow",$B126,"EndRow",$B126),1)="#","",_xll.BDS(Ticker,"PG_ASSETS","PG_HIERARCHY_LEVEL=1","NUMBER_OF_PERIODS=-11","REVERSE_PERIOD_ORDER=N","PRODUCT_GEO_OVERRIDE=G","FUND_PER",RIGHT($B$11,1),"ACCOUNTING_STANDARD_OVERRIDE",$H$7,"EQY_CONSOLIDATED",$H$9,"EQY_FUND_CRNCY",$L$7,"StartCol",K$12,"EndCol",K$12,"StartRow",$B126,"EndRow",$B126))</f>
        <v/>
      </c>
      <c r="L126" s="218" t="str">
        <f>IF(LEFT(_xll.BDS(Ticker,"PG_ASSETS","PG_HIERARCHY_LEVEL=1","NUMBER_OF_PERIODS=-11","REVERSE_PERIOD_ORDER=N","PRODUCT_GEO_OVERRIDE=G","FUND_PER",RIGHT($B$11,1),"ACCOUNTING_STANDARD_OVERRIDE",$H$7,"EQY_CONSOLIDATED",$H$9,"EQY_FUND_CRNCY",$L$7,"StartCol",L$12,"EndCol",L$12,"StartRow",$B126,"EndRow",$B126),1)="#","",_xll.BDS(Ticker,"PG_ASSETS","PG_HIERARCHY_LEVEL=1","NUMBER_OF_PERIODS=-11","REVERSE_PERIOD_ORDER=N","PRODUCT_GEO_OVERRIDE=G","FUND_PER",RIGHT($B$11,1),"ACCOUNTING_STANDARD_OVERRIDE",$H$7,"EQY_CONSOLIDATED",$H$9,"EQY_FUND_CRNCY",$L$7,"StartCol",L$12,"EndCol",L$12,"StartRow",$B126,"EndRow",$B126))</f>
        <v/>
      </c>
      <c r="M126" s="218" t="str">
        <f>IF(LEFT(_xll.BDS(Ticker,"PG_ASSETS","PG_HIERARCHY_LEVEL=1","NUMBER_OF_PERIODS=-11","REVERSE_PERIOD_ORDER=N","PRODUCT_GEO_OVERRIDE=G","FUND_PER",RIGHT($B$11,1),"ACCOUNTING_STANDARD_OVERRIDE",$H$7,"EQY_CONSOLIDATED",$H$9,"EQY_FUND_CRNCY",$L$7,"StartCol",M$12,"EndCol",M$12,"StartRow",$B126,"EndRow",$B126),1)="#","",_xll.BDS(Ticker,"PG_ASSETS","PG_HIERARCHY_LEVEL=1","NUMBER_OF_PERIODS=-11","REVERSE_PERIOD_ORDER=N","PRODUCT_GEO_OVERRIDE=G","FUND_PER",RIGHT($B$11,1),"ACCOUNTING_STANDARD_OVERRIDE",$H$7,"EQY_CONSOLIDATED",$H$9,"EQY_FUND_CRNCY",$L$7,"StartCol",M$12,"EndCol",M$12,"StartRow",$B126,"EndRow",$B126))</f>
        <v/>
      </c>
      <c r="N126" s="218" t="str">
        <f>IF(LEFT(_xll.BDS(Ticker,"PG_ASSETS","PG_HIERARCHY_LEVEL=1","NUMBER_OF_PERIODS=-11","REVERSE_PERIOD_ORDER=N","PRODUCT_GEO_OVERRIDE=G","FUND_PER",RIGHT($B$11,1),"ACCOUNTING_STANDARD_OVERRIDE",$H$7,"EQY_CONSOLIDATED",$H$9,"EQY_FUND_CRNCY",$L$7,"StartCol",N$12,"EndCol",N$12,"StartRow",$B126,"EndRow",$B126),1)="#","",_xll.BDS(Ticker,"PG_ASSETS","PG_HIERARCHY_LEVEL=1","NUMBER_OF_PERIODS=-11","REVERSE_PERIOD_ORDER=N","PRODUCT_GEO_OVERRIDE=G","FUND_PER",RIGHT($B$11,1),"ACCOUNTING_STANDARD_OVERRIDE",$H$7,"EQY_CONSOLIDATED",$H$9,"EQY_FUND_CRNCY",$L$7,"StartCol",N$12,"EndCol",N$12,"StartRow",$B126,"EndRow",$B126))</f>
        <v/>
      </c>
    </row>
    <row r="127" spans="2:14" hidden="1" outlineLevel="1">
      <c r="B127" s="214">
        <v>10</v>
      </c>
      <c r="C127" s="216" t="str">
        <f>IF(LEFT(_xll.BDS(Ticker,"PG_ASSETS","PG_HIERARCHY_LEVEL=1","NUMBER_OF_PERIODS=-11","REVERSE_PERIOD_ORDER=N","PRODUCT_GEO_OVERRIDE=G","FUND_PER",RIGHT($B$11,1),"ACCOUNTING_STANDARD_OVERRIDE",$H$7,"EQY_CONSOLIDATED",$H$9,"EQY_FUND_CRNCY",$L$7,"StartCol",C$12,"EndCol",C$12,"StartRow",$B127,"EndRow",$B127),1)="#","",_xll.BDS(Ticker,"PG_ASSETS","PG_HIERARCHY_LEVEL=1","NUMBER_OF_PERIODS=-11","REVERSE_PERIOD_ORDER=N","PRODUCT_GEO_OVERRIDE=G","FUND_PER",RIGHT($B$11,1),"ACCOUNTING_STANDARD_OVERRIDE",$H$7,"EQY_CONSOLIDATED",$H$9,"EQY_FUND_CRNCY",$L$7,"StartCol",C$12,"EndCol",C$12,"StartRow",$B127,"EndRow",$B127))</f>
        <v/>
      </c>
      <c r="D127" s="218" t="str">
        <f>IF(LEFT(_xll.BDS(Ticker,"PG_ASSETS","PG_HIERARCHY_LEVEL=1","NUMBER_OF_PERIODS=-11","REVERSE_PERIOD_ORDER=N","PRODUCT_GEO_OVERRIDE=G","FUND_PER",RIGHT($B$11,1),"ACCOUNTING_STANDARD_OVERRIDE",$H$7,"EQY_CONSOLIDATED",$H$9,"EQY_FUND_CRNCY",$L$7,"StartCol",D$12,"EndCol",D$12,"StartRow",$B127,"EndRow",$B127),1)="#","",_xll.BDS(Ticker,"PG_ASSETS","PG_HIERARCHY_LEVEL=1","NUMBER_OF_PERIODS=-11","REVERSE_PERIOD_ORDER=N","PRODUCT_GEO_OVERRIDE=G","FUND_PER",RIGHT($B$11,1),"ACCOUNTING_STANDARD_OVERRIDE",$H$7,"EQY_CONSOLIDATED",$H$9,"EQY_FUND_CRNCY",$L$7,"StartCol",D$12,"EndCol",D$12,"StartRow",$B127,"EndRow",$B127))</f>
        <v/>
      </c>
      <c r="E127" s="218" t="str">
        <f>IF(LEFT(_xll.BDS(Ticker,"PG_ASSETS","PG_HIERARCHY_LEVEL=1","NUMBER_OF_PERIODS=-11","REVERSE_PERIOD_ORDER=N","PRODUCT_GEO_OVERRIDE=G","FUND_PER",RIGHT($B$11,1),"ACCOUNTING_STANDARD_OVERRIDE",$H$7,"EQY_CONSOLIDATED",$H$9,"EQY_FUND_CRNCY",$L$7,"StartCol",E$12,"EndCol",E$12,"StartRow",$B127,"EndRow",$B127),1)="#","",_xll.BDS(Ticker,"PG_ASSETS","PG_HIERARCHY_LEVEL=1","NUMBER_OF_PERIODS=-11","REVERSE_PERIOD_ORDER=N","PRODUCT_GEO_OVERRIDE=G","FUND_PER",RIGHT($B$11,1),"ACCOUNTING_STANDARD_OVERRIDE",$H$7,"EQY_CONSOLIDATED",$H$9,"EQY_FUND_CRNCY",$L$7,"StartCol",E$12,"EndCol",E$12,"StartRow",$B127,"EndRow",$B127))</f>
        <v/>
      </c>
      <c r="F127" s="218" t="str">
        <f>IF(LEFT(_xll.BDS(Ticker,"PG_ASSETS","PG_HIERARCHY_LEVEL=1","NUMBER_OF_PERIODS=-11","REVERSE_PERIOD_ORDER=N","PRODUCT_GEO_OVERRIDE=G","FUND_PER",RIGHT($B$11,1),"ACCOUNTING_STANDARD_OVERRIDE",$H$7,"EQY_CONSOLIDATED",$H$9,"EQY_FUND_CRNCY",$L$7,"StartCol",F$12,"EndCol",F$12,"StartRow",$B127,"EndRow",$B127),1)="#","",_xll.BDS(Ticker,"PG_ASSETS","PG_HIERARCHY_LEVEL=1","NUMBER_OF_PERIODS=-11","REVERSE_PERIOD_ORDER=N","PRODUCT_GEO_OVERRIDE=G","FUND_PER",RIGHT($B$11,1),"ACCOUNTING_STANDARD_OVERRIDE",$H$7,"EQY_CONSOLIDATED",$H$9,"EQY_FUND_CRNCY",$L$7,"StartCol",F$12,"EndCol",F$12,"StartRow",$B127,"EndRow",$B127))</f>
        <v/>
      </c>
      <c r="G127" s="218" t="str">
        <f>IF(LEFT(_xll.BDS(Ticker,"PG_ASSETS","PG_HIERARCHY_LEVEL=1","NUMBER_OF_PERIODS=-11","REVERSE_PERIOD_ORDER=N","PRODUCT_GEO_OVERRIDE=G","FUND_PER",RIGHT($B$11,1),"ACCOUNTING_STANDARD_OVERRIDE",$H$7,"EQY_CONSOLIDATED",$H$9,"EQY_FUND_CRNCY",$L$7,"StartCol",G$12,"EndCol",G$12,"StartRow",$B127,"EndRow",$B127),1)="#","",_xll.BDS(Ticker,"PG_ASSETS","PG_HIERARCHY_LEVEL=1","NUMBER_OF_PERIODS=-11","REVERSE_PERIOD_ORDER=N","PRODUCT_GEO_OVERRIDE=G","FUND_PER",RIGHT($B$11,1),"ACCOUNTING_STANDARD_OVERRIDE",$H$7,"EQY_CONSOLIDATED",$H$9,"EQY_FUND_CRNCY",$L$7,"StartCol",G$12,"EndCol",G$12,"StartRow",$B127,"EndRow",$B127))</f>
        <v/>
      </c>
      <c r="H127" s="218" t="str">
        <f>IF(LEFT(_xll.BDS(Ticker,"PG_ASSETS","PG_HIERARCHY_LEVEL=1","NUMBER_OF_PERIODS=-11","REVERSE_PERIOD_ORDER=N","PRODUCT_GEO_OVERRIDE=G","FUND_PER",RIGHT($B$11,1),"ACCOUNTING_STANDARD_OVERRIDE",$H$7,"EQY_CONSOLIDATED",$H$9,"EQY_FUND_CRNCY",$L$7,"StartCol",H$12,"EndCol",H$12,"StartRow",$B127,"EndRow",$B127),1)="#","",_xll.BDS(Ticker,"PG_ASSETS","PG_HIERARCHY_LEVEL=1","NUMBER_OF_PERIODS=-11","REVERSE_PERIOD_ORDER=N","PRODUCT_GEO_OVERRIDE=G","FUND_PER",RIGHT($B$11,1),"ACCOUNTING_STANDARD_OVERRIDE",$H$7,"EQY_CONSOLIDATED",$H$9,"EQY_FUND_CRNCY",$L$7,"StartCol",H$12,"EndCol",H$12,"StartRow",$B127,"EndRow",$B127))</f>
        <v/>
      </c>
      <c r="I127" s="218" t="str">
        <f>IF(LEFT(_xll.BDS(Ticker,"PG_ASSETS","PG_HIERARCHY_LEVEL=1","NUMBER_OF_PERIODS=-11","REVERSE_PERIOD_ORDER=N","PRODUCT_GEO_OVERRIDE=G","FUND_PER",RIGHT($B$11,1),"ACCOUNTING_STANDARD_OVERRIDE",$H$7,"EQY_CONSOLIDATED",$H$9,"EQY_FUND_CRNCY",$L$7,"StartCol",I$12,"EndCol",I$12,"StartRow",$B127,"EndRow",$B127),1)="#","",_xll.BDS(Ticker,"PG_ASSETS","PG_HIERARCHY_LEVEL=1","NUMBER_OF_PERIODS=-11","REVERSE_PERIOD_ORDER=N","PRODUCT_GEO_OVERRIDE=G","FUND_PER",RIGHT($B$11,1),"ACCOUNTING_STANDARD_OVERRIDE",$H$7,"EQY_CONSOLIDATED",$H$9,"EQY_FUND_CRNCY",$L$7,"StartCol",I$12,"EndCol",I$12,"StartRow",$B127,"EndRow",$B127))</f>
        <v/>
      </c>
      <c r="J127" s="218" t="str">
        <f>IF(LEFT(_xll.BDS(Ticker,"PG_ASSETS","PG_HIERARCHY_LEVEL=1","NUMBER_OF_PERIODS=-11","REVERSE_PERIOD_ORDER=N","PRODUCT_GEO_OVERRIDE=G","FUND_PER",RIGHT($B$11,1),"ACCOUNTING_STANDARD_OVERRIDE",$H$7,"EQY_CONSOLIDATED",$H$9,"EQY_FUND_CRNCY",$L$7,"StartCol",J$12,"EndCol",J$12,"StartRow",$B127,"EndRow",$B127),1)="#","",_xll.BDS(Ticker,"PG_ASSETS","PG_HIERARCHY_LEVEL=1","NUMBER_OF_PERIODS=-11","REVERSE_PERIOD_ORDER=N","PRODUCT_GEO_OVERRIDE=G","FUND_PER",RIGHT($B$11,1),"ACCOUNTING_STANDARD_OVERRIDE",$H$7,"EQY_CONSOLIDATED",$H$9,"EQY_FUND_CRNCY",$L$7,"StartCol",J$12,"EndCol",J$12,"StartRow",$B127,"EndRow",$B127))</f>
        <v/>
      </c>
      <c r="K127" s="218" t="str">
        <f>IF(LEFT(_xll.BDS(Ticker,"PG_ASSETS","PG_HIERARCHY_LEVEL=1","NUMBER_OF_PERIODS=-11","REVERSE_PERIOD_ORDER=N","PRODUCT_GEO_OVERRIDE=G","FUND_PER",RIGHT($B$11,1),"ACCOUNTING_STANDARD_OVERRIDE",$H$7,"EQY_CONSOLIDATED",$H$9,"EQY_FUND_CRNCY",$L$7,"StartCol",K$12,"EndCol",K$12,"StartRow",$B127,"EndRow",$B127),1)="#","",_xll.BDS(Ticker,"PG_ASSETS","PG_HIERARCHY_LEVEL=1","NUMBER_OF_PERIODS=-11","REVERSE_PERIOD_ORDER=N","PRODUCT_GEO_OVERRIDE=G","FUND_PER",RIGHT($B$11,1),"ACCOUNTING_STANDARD_OVERRIDE",$H$7,"EQY_CONSOLIDATED",$H$9,"EQY_FUND_CRNCY",$L$7,"StartCol",K$12,"EndCol",K$12,"StartRow",$B127,"EndRow",$B127))</f>
        <v/>
      </c>
      <c r="L127" s="218" t="str">
        <f>IF(LEFT(_xll.BDS(Ticker,"PG_ASSETS","PG_HIERARCHY_LEVEL=1","NUMBER_OF_PERIODS=-11","REVERSE_PERIOD_ORDER=N","PRODUCT_GEO_OVERRIDE=G","FUND_PER",RIGHT($B$11,1),"ACCOUNTING_STANDARD_OVERRIDE",$H$7,"EQY_CONSOLIDATED",$H$9,"EQY_FUND_CRNCY",$L$7,"StartCol",L$12,"EndCol",L$12,"StartRow",$B127,"EndRow",$B127),1)="#","",_xll.BDS(Ticker,"PG_ASSETS","PG_HIERARCHY_LEVEL=1","NUMBER_OF_PERIODS=-11","REVERSE_PERIOD_ORDER=N","PRODUCT_GEO_OVERRIDE=G","FUND_PER",RIGHT($B$11,1),"ACCOUNTING_STANDARD_OVERRIDE",$H$7,"EQY_CONSOLIDATED",$H$9,"EQY_FUND_CRNCY",$L$7,"StartCol",L$12,"EndCol",L$12,"StartRow",$B127,"EndRow",$B127))</f>
        <v/>
      </c>
      <c r="M127" s="218" t="str">
        <f>IF(LEFT(_xll.BDS(Ticker,"PG_ASSETS","PG_HIERARCHY_LEVEL=1","NUMBER_OF_PERIODS=-11","REVERSE_PERIOD_ORDER=N","PRODUCT_GEO_OVERRIDE=G","FUND_PER",RIGHT($B$11,1),"ACCOUNTING_STANDARD_OVERRIDE",$H$7,"EQY_CONSOLIDATED",$H$9,"EQY_FUND_CRNCY",$L$7,"StartCol",M$12,"EndCol",M$12,"StartRow",$B127,"EndRow",$B127),1)="#","",_xll.BDS(Ticker,"PG_ASSETS","PG_HIERARCHY_LEVEL=1","NUMBER_OF_PERIODS=-11","REVERSE_PERIOD_ORDER=N","PRODUCT_GEO_OVERRIDE=G","FUND_PER",RIGHT($B$11,1),"ACCOUNTING_STANDARD_OVERRIDE",$H$7,"EQY_CONSOLIDATED",$H$9,"EQY_FUND_CRNCY",$L$7,"StartCol",M$12,"EndCol",M$12,"StartRow",$B127,"EndRow",$B127))</f>
        <v/>
      </c>
      <c r="N127" s="218" t="str">
        <f>IF(LEFT(_xll.BDS(Ticker,"PG_ASSETS","PG_HIERARCHY_LEVEL=1","NUMBER_OF_PERIODS=-11","REVERSE_PERIOD_ORDER=N","PRODUCT_GEO_OVERRIDE=G","FUND_PER",RIGHT($B$11,1),"ACCOUNTING_STANDARD_OVERRIDE",$H$7,"EQY_CONSOLIDATED",$H$9,"EQY_FUND_CRNCY",$L$7,"StartCol",N$12,"EndCol",N$12,"StartRow",$B127,"EndRow",$B127),1)="#","",_xll.BDS(Ticker,"PG_ASSETS","PG_HIERARCHY_LEVEL=1","NUMBER_OF_PERIODS=-11","REVERSE_PERIOD_ORDER=N","PRODUCT_GEO_OVERRIDE=G","FUND_PER",RIGHT($B$11,1),"ACCOUNTING_STANDARD_OVERRIDE",$H$7,"EQY_CONSOLIDATED",$H$9,"EQY_FUND_CRNCY",$L$7,"StartCol",N$12,"EndCol",N$12,"StartRow",$B127,"EndRow",$B127))</f>
        <v/>
      </c>
    </row>
    <row r="128" spans="2:14" ht="15" customHeight="1" collapsed="1">
      <c r="B128" s="214"/>
      <c r="C128" s="208"/>
      <c r="D128" s="208"/>
      <c r="E128" s="208"/>
      <c r="F128" s="208"/>
      <c r="G128" s="208"/>
      <c r="H128" s="208"/>
      <c r="I128" s="208"/>
      <c r="J128" s="208"/>
      <c r="K128" s="208"/>
      <c r="L128" s="208"/>
      <c r="M128" s="208"/>
      <c r="N128" s="208"/>
    </row>
    <row r="129" spans="2:14">
      <c r="B129" s="224"/>
      <c r="C129" s="201" t="s">
        <v>358</v>
      </c>
      <c r="D129" s="209"/>
      <c r="E129" s="209"/>
      <c r="F129" s="209"/>
      <c r="G129" s="209"/>
      <c r="H129" s="209"/>
      <c r="I129" s="209"/>
      <c r="J129" s="209"/>
      <c r="K129" s="209"/>
      <c r="L129" s="209"/>
      <c r="M129" s="209"/>
      <c r="N129" s="210"/>
    </row>
    <row r="130" spans="2:14" hidden="1" outlineLevel="1">
      <c r="B130" s="220"/>
      <c r="C130" s="233" t="s">
        <v>359</v>
      </c>
      <c r="D130"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30"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30"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30"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30"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30"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30"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30"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30"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30"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30"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31" spans="2:14" hidden="1" outlineLevel="1">
      <c r="B131" s="222"/>
      <c r="C131" s="233" t="s">
        <v>356</v>
      </c>
      <c r="D131" s="231" t="str">
        <f>IF(LEFT(_xll.BDP(Ticker,"LATEST_PERIOD_END_DT_FULL_RECORD","EQY_FUND_RELATIVE_PERIOD",D$11,"EQY_CONSOLIDATED",$H$9),1)="#","--",_xll.BDP(Ticker,"LATEST_PERIOD_END_DT_FULL_RECORD","EQY_FUND_RELATIVE_PERIOD",D$11,"EQY_CONSOLIDATED",$H$9))</f>
        <v>12/31/2008</v>
      </c>
      <c r="E131" s="231" t="str">
        <f>IF(LEFT(_xll.BDP(Ticker,"LATEST_PERIOD_END_DT_FULL_RECORD","EQY_FUND_RELATIVE_PERIOD",E$11,"EQY_CONSOLIDATED",$H$9),1)="#","--",_xll.BDP(Ticker,"LATEST_PERIOD_END_DT_FULL_RECORD","EQY_FUND_RELATIVE_PERIOD",E$11,"EQY_CONSOLIDATED",$H$9))</f>
        <v>12/31/2009</v>
      </c>
      <c r="F131" s="231" t="str">
        <f>IF(LEFT(_xll.BDP(Ticker,"LATEST_PERIOD_END_DT_FULL_RECORD","EQY_FUND_RELATIVE_PERIOD",F$11,"EQY_CONSOLIDATED",$H$9),1)="#","--",_xll.BDP(Ticker,"LATEST_PERIOD_END_DT_FULL_RECORD","EQY_FUND_RELATIVE_PERIOD",F$11,"EQY_CONSOLIDATED",$H$9))</f>
        <v>12/31/2010</v>
      </c>
      <c r="G131" s="231" t="str">
        <f>IF(LEFT(_xll.BDP(Ticker,"LATEST_PERIOD_END_DT_FULL_RECORD","EQY_FUND_RELATIVE_PERIOD",G$11,"EQY_CONSOLIDATED",$H$9),1)="#","--",_xll.BDP(Ticker,"LATEST_PERIOD_END_DT_FULL_RECORD","EQY_FUND_RELATIVE_PERIOD",G$11,"EQY_CONSOLIDATED",$H$9))</f>
        <v>12/31/2011</v>
      </c>
      <c r="H131" s="231" t="str">
        <f>IF(LEFT(_xll.BDP(Ticker,"LATEST_PERIOD_END_DT_FULL_RECORD","EQY_FUND_RELATIVE_PERIOD",H$11,"EQY_CONSOLIDATED",$H$9),1)="#","--",_xll.BDP(Ticker,"LATEST_PERIOD_END_DT_FULL_RECORD","EQY_FUND_RELATIVE_PERIOD",H$11,"EQY_CONSOLIDATED",$H$9))</f>
        <v>12/31/2012</v>
      </c>
      <c r="I131" s="231" t="str">
        <f>IF(LEFT(_xll.BDP(Ticker,"LATEST_PERIOD_END_DT_FULL_RECORD","EQY_FUND_RELATIVE_PERIOD",I$11,"EQY_CONSOLIDATED",$H$9),1)="#","--",_xll.BDP(Ticker,"LATEST_PERIOD_END_DT_FULL_RECORD","EQY_FUND_RELATIVE_PERIOD",I$11,"EQY_CONSOLIDATED",$H$9))</f>
        <v>12/31/2013</v>
      </c>
      <c r="J131" s="231" t="str">
        <f>IF(LEFT(_xll.BDP(Ticker,"LATEST_PERIOD_END_DT_FULL_RECORD","EQY_FUND_RELATIVE_PERIOD",J$11,"EQY_CONSOLIDATED",$H$9),1)="#","--",_xll.BDP(Ticker,"LATEST_PERIOD_END_DT_FULL_RECORD","EQY_FUND_RELATIVE_PERIOD",J$11,"EQY_CONSOLIDATED",$H$9))</f>
        <v>12/31/2014</v>
      </c>
      <c r="K131" s="231" t="str">
        <f>IF(LEFT(_xll.BDP(Ticker,"LATEST_PERIOD_END_DT_FULL_RECORD","EQY_FUND_RELATIVE_PERIOD",K$11,"EQY_CONSOLIDATED",$H$9),1)="#","--",_xll.BDP(Ticker,"LATEST_PERIOD_END_DT_FULL_RECORD","EQY_FUND_RELATIVE_PERIOD",K$11,"EQY_CONSOLIDATED",$H$9))</f>
        <v>12/31/2015</v>
      </c>
      <c r="L131" s="231" t="str">
        <f>IF(LEFT(_xll.BDP(Ticker,"LATEST_PERIOD_END_DT_FULL_RECORD","EQY_FUND_RELATIVE_PERIOD",L$11,"EQY_CONSOLIDATED",$H$9),1)="#","--",_xll.BDP(Ticker,"LATEST_PERIOD_END_DT_FULL_RECORD","EQY_FUND_RELATIVE_PERIOD",L$11,"EQY_CONSOLIDATED",$H$9))</f>
        <v>12/31/2016</v>
      </c>
      <c r="M131" s="231" t="str">
        <f>IF(LEFT(_xll.BDP(Ticker,"LATEST_PERIOD_END_DT_FULL_RECORD","EQY_FUND_RELATIVE_PERIOD",M$11,"EQY_CONSOLIDATED",$H$9),1)="#","--",_xll.BDP(Ticker,"LATEST_PERIOD_END_DT_FULL_RECORD","EQY_FUND_RELATIVE_PERIOD",M$11,"EQY_CONSOLIDATED",$H$9))</f>
        <v>12/31/2017</v>
      </c>
      <c r="N131" s="231" t="str">
        <f>IF(LEFT(_xll.BDP(Ticker,"LATEST_PERIOD_END_DT_FULL_RECORD","EQY_FUND_RELATIVE_PERIOD",N$11,"EQY_CONSOLIDATED",$H$9),1)="#","--",_xll.BDP(Ticker,"LATEST_PERIOD_END_DT_FULL_RECORD","EQY_FUND_RELATIVE_PERIOD",N$11,"EQY_CONSOLIDATED",$H$9))</f>
        <v>12/31/2018</v>
      </c>
    </row>
    <row r="132" spans="2:14" hidden="1" outlineLevel="1">
      <c r="B132" s="215"/>
      <c r="C132" s="207" t="s">
        <v>359</v>
      </c>
      <c r="D132" s="275" t="str">
        <f t="shared" ref="D132:I132" si="7">IF(LEN(D133),SUM(D133:D142),"")</f>
        <v/>
      </c>
      <c r="E132" s="275" t="str">
        <f t="shared" si="7"/>
        <v/>
      </c>
      <c r="F132" s="275">
        <f t="shared" si="7"/>
        <v>410</v>
      </c>
      <c r="G132" s="275">
        <f t="shared" si="7"/>
        <v>481</v>
      </c>
      <c r="H132" s="275">
        <f t="shared" si="7"/>
        <v>486</v>
      </c>
      <c r="I132" s="275">
        <f t="shared" si="7"/>
        <v>511</v>
      </c>
      <c r="J132" s="275">
        <f>IF(LEN(J133),SUM(J133:J142),"")</f>
        <v>586</v>
      </c>
      <c r="K132" s="275">
        <f>IF(LEN(K133),SUM(K133:K142),"")</f>
        <v>590</v>
      </c>
      <c r="L132" s="275">
        <f>IF(LEN(L133),SUM(L133:L142),"")</f>
        <v>752</v>
      </c>
      <c r="M132" s="275">
        <f>IF(LEN(M133),SUM(M133:M142),"")</f>
        <v>859</v>
      </c>
      <c r="N132" s="275">
        <f>IF(LEN(N133),SUM(N133:N142),"")</f>
        <v>966</v>
      </c>
    </row>
    <row r="133" spans="2:14" hidden="1" outlineLevel="1">
      <c r="B133" s="214">
        <v>1</v>
      </c>
      <c r="C133" s="216" t="str">
        <f>IF(LEFT(_xll.BDS(Ticker,"PG_DEPR_AMORTIZATION","PG_HIERARCHY_LEVEL=1","NUMBER_OF_PERIODS=-11","REVERSE_PERIOD_ORDER=N","PRODUCT_GEO_OVERRIDE=P","FUND_PER",RIGHT($B$11,1),"ACCOUNTING_STANDARD_OVERRIDE",$H$7,"EQY_CONSOLIDATED",$H$9,"EQY_FUND_CRNCY",$L$7,"StartCol",C$12,"EndCol",C$12,"StartRow",$B133,"EndRow",$B133),1)="#","",_xll.BDS(Ticker,"PG_DEPR_AMORTIZATION","PG_HIERARCHY_LEVEL=1","NUMBER_OF_PERIODS=-11","REVERSE_PERIOD_ORDER=N","PRODUCT_GEO_OVERRIDE=P","FUND_PER",RIGHT($B$11,1),"ACCOUNTING_STANDARD_OVERRIDE",$H$7,"EQY_CONSOLIDATED",$H$9,"EQY_FUND_CRNCY",$L$7,"StartCol",C$12,"EndCol",C$12,"StartRow",$B133,"EndRow",$B133))</f>
        <v>Orthopaedics</v>
      </c>
      <c r="D133" s="218" t="str">
        <f>IF(LEFT(_xll.BDS(Ticker,"PG_DEPR_AMORTIZATION","PG_HIERARCHY_LEVEL=1","NUMBER_OF_PERIODS=-11","REVERSE_PERIOD_ORDER=N","PRODUCT_GEO_OVERRIDE=P","FUND_PER",RIGHT($B$11,1),"ACCOUNTING_STANDARD_OVERRIDE",$H$7,"EQY_CONSOLIDATED",$H$9,"EQY_FUND_CRNCY",$L$7,"StartCol",D$12,"EndCol",D$12,"StartRow",$B133,"EndRow",$B133),1)="#","",_xll.BDS(Ticker,"PG_DEPR_AMORTIZATION","PG_HIERARCHY_LEVEL=1","NUMBER_OF_PERIODS=-11","REVERSE_PERIOD_ORDER=N","PRODUCT_GEO_OVERRIDE=P","FUND_PER",RIGHT($B$11,1),"ACCOUNTING_STANDARD_OVERRIDE",$H$7,"EQY_CONSOLIDATED",$H$9,"EQY_FUND_CRNCY",$L$7,"StartCol",D$12,"EndCol",D$12,"StartRow",$B133,"EndRow",$B133))</f>
        <v/>
      </c>
      <c r="E133" s="218" t="str">
        <f>IF(LEFT(_xll.BDS(Ticker,"PG_DEPR_AMORTIZATION","PG_HIERARCHY_LEVEL=1","NUMBER_OF_PERIODS=-11","REVERSE_PERIOD_ORDER=N","PRODUCT_GEO_OVERRIDE=P","FUND_PER",RIGHT($B$11,1),"ACCOUNTING_STANDARD_OVERRIDE",$H$7,"EQY_CONSOLIDATED",$H$9,"EQY_FUND_CRNCY",$L$7,"StartCol",E$12,"EndCol",E$12,"StartRow",$B133,"EndRow",$B133),1)="#","",_xll.BDS(Ticker,"PG_DEPR_AMORTIZATION","PG_HIERARCHY_LEVEL=1","NUMBER_OF_PERIODS=-11","REVERSE_PERIOD_ORDER=N","PRODUCT_GEO_OVERRIDE=P","FUND_PER",RIGHT($B$11,1),"ACCOUNTING_STANDARD_OVERRIDE",$H$7,"EQY_CONSOLIDATED",$H$9,"EQY_FUND_CRNCY",$L$7,"StartCol",E$12,"EndCol",E$12,"StartRow",$B133,"EndRow",$B133))</f>
        <v/>
      </c>
      <c r="F133" s="218">
        <f>IF(LEFT(_xll.BDS(Ticker,"PG_DEPR_AMORTIZATION","PG_HIERARCHY_LEVEL=1","NUMBER_OF_PERIODS=-11","REVERSE_PERIOD_ORDER=N","PRODUCT_GEO_OVERRIDE=P","FUND_PER",RIGHT($B$11,1),"ACCOUNTING_STANDARD_OVERRIDE",$H$7,"EQY_CONSOLIDATED",$H$9,"EQY_FUND_CRNCY",$L$7,"StartCol",F$12,"EndCol",F$12,"StartRow",$B133,"EndRow",$B133),1)="#","",_xll.BDS(Ticker,"PG_DEPR_AMORTIZATION","PG_HIERARCHY_LEVEL=1","NUMBER_OF_PERIODS=-11","REVERSE_PERIOD_ORDER=N","PRODUCT_GEO_OVERRIDE=P","FUND_PER",RIGHT($B$11,1),"ACCOUNTING_STANDARD_OVERRIDE",$H$7,"EQY_CONSOLIDATED",$H$9,"EQY_FUND_CRNCY",$L$7,"StartCol",F$12,"EndCol",F$12,"StartRow",$B133,"EndRow",$B133))</f>
        <v>250</v>
      </c>
      <c r="G133" s="218">
        <f>IF(LEFT(_xll.BDS(Ticker,"PG_DEPR_AMORTIZATION","PG_HIERARCHY_LEVEL=1","NUMBER_OF_PERIODS=-11","REVERSE_PERIOD_ORDER=N","PRODUCT_GEO_OVERRIDE=P","FUND_PER",RIGHT($B$11,1),"ACCOUNTING_STANDARD_OVERRIDE",$H$7,"EQY_CONSOLIDATED",$H$9,"EQY_FUND_CRNCY",$L$7,"StartCol",G$12,"EndCol",G$12,"StartRow",$B133,"EndRow",$B133),1)="#","",_xll.BDS(Ticker,"PG_DEPR_AMORTIZATION","PG_HIERARCHY_LEVEL=1","NUMBER_OF_PERIODS=-11","REVERSE_PERIOD_ORDER=N","PRODUCT_GEO_OVERRIDE=P","FUND_PER",RIGHT($B$11,1),"ACCOUNTING_STANDARD_OVERRIDE",$H$7,"EQY_CONSOLIDATED",$H$9,"EQY_FUND_CRNCY",$L$7,"StartCol",G$12,"EndCol",G$12,"StartRow",$B133,"EndRow",$B133))</f>
        <v>267</v>
      </c>
      <c r="H133" s="218">
        <f>IF(LEFT(_xll.BDS(Ticker,"PG_DEPR_AMORTIZATION","PG_HIERARCHY_LEVEL=1","NUMBER_OF_PERIODS=-11","REVERSE_PERIOD_ORDER=N","PRODUCT_GEO_OVERRIDE=P","FUND_PER",RIGHT($B$11,1),"ACCOUNTING_STANDARD_OVERRIDE",$H$7,"EQY_CONSOLIDATED",$H$9,"EQY_FUND_CRNCY",$L$7,"StartCol",H$12,"EndCol",H$12,"StartRow",$B133,"EndRow",$B133),1)="#","",_xll.BDS(Ticker,"PG_DEPR_AMORTIZATION","PG_HIERARCHY_LEVEL=1","NUMBER_OF_PERIODS=-11","REVERSE_PERIOD_ORDER=N","PRODUCT_GEO_OVERRIDE=P","FUND_PER",RIGHT($B$11,1),"ACCOUNTING_STANDARD_OVERRIDE",$H$7,"EQY_CONSOLIDATED",$H$9,"EQY_FUND_CRNCY",$L$7,"StartCol",H$12,"EndCol",H$12,"StartRow",$B133,"EndRow",$B133))</f>
        <v>271</v>
      </c>
      <c r="I133" s="218">
        <f>IF(LEFT(_xll.BDS(Ticker,"PG_DEPR_AMORTIZATION","PG_HIERARCHY_LEVEL=1","NUMBER_OF_PERIODS=-11","REVERSE_PERIOD_ORDER=N","PRODUCT_GEO_OVERRIDE=P","FUND_PER",RIGHT($B$11,1),"ACCOUNTING_STANDARD_OVERRIDE",$H$7,"EQY_CONSOLIDATED",$H$9,"EQY_FUND_CRNCY",$L$7,"StartCol",I$12,"EndCol",I$12,"StartRow",$B133,"EndRow",$B133),1)="#","",_xll.BDS(Ticker,"PG_DEPR_AMORTIZATION","PG_HIERARCHY_LEVEL=1","NUMBER_OF_PERIODS=-11","REVERSE_PERIOD_ORDER=N","PRODUCT_GEO_OVERRIDE=P","FUND_PER",RIGHT($B$11,1),"ACCOUNTING_STANDARD_OVERRIDE",$H$7,"EQY_CONSOLIDATED",$H$9,"EQY_FUND_CRNCY",$L$7,"StartCol",I$12,"EndCol",I$12,"StartRow",$B133,"EndRow",$B133))</f>
        <v>273</v>
      </c>
      <c r="J133" s="218">
        <f>IF(LEFT(_xll.BDS(Ticker,"PG_DEPR_AMORTIZATION","PG_HIERARCHY_LEVEL=1","NUMBER_OF_PERIODS=-11","REVERSE_PERIOD_ORDER=N","PRODUCT_GEO_OVERRIDE=P","FUND_PER",RIGHT($B$11,1),"ACCOUNTING_STANDARD_OVERRIDE",$H$7,"EQY_CONSOLIDATED",$H$9,"EQY_FUND_CRNCY",$L$7,"StartCol",J$12,"EndCol",J$12,"StartRow",$B133,"EndRow",$B133),1)="#","",_xll.BDS(Ticker,"PG_DEPR_AMORTIZATION","PG_HIERARCHY_LEVEL=1","NUMBER_OF_PERIODS=-11","REVERSE_PERIOD_ORDER=N","PRODUCT_GEO_OVERRIDE=P","FUND_PER",RIGHT($B$11,1),"ACCOUNTING_STANDARD_OVERRIDE",$H$7,"EQY_CONSOLIDATED",$H$9,"EQY_FUND_CRNCY",$L$7,"StartCol",J$12,"EndCol",J$12,"StartRow",$B133,"EndRow",$B133))</f>
        <v>319</v>
      </c>
      <c r="K133" s="218">
        <f>IF(LEFT(_xll.BDS(Ticker,"PG_DEPR_AMORTIZATION","PG_HIERARCHY_LEVEL=1","NUMBER_OF_PERIODS=-11","REVERSE_PERIOD_ORDER=N","PRODUCT_GEO_OVERRIDE=P","FUND_PER",RIGHT($B$11,1),"ACCOUNTING_STANDARD_OVERRIDE",$H$7,"EQY_CONSOLIDATED",$H$9,"EQY_FUND_CRNCY",$L$7,"StartCol",K$12,"EndCol",K$12,"StartRow",$B133,"EndRow",$B133),1)="#","",_xll.BDS(Ticker,"PG_DEPR_AMORTIZATION","PG_HIERARCHY_LEVEL=1","NUMBER_OF_PERIODS=-11","REVERSE_PERIOD_ORDER=N","PRODUCT_GEO_OVERRIDE=P","FUND_PER",RIGHT($B$11,1),"ACCOUNTING_STANDARD_OVERRIDE",$H$7,"EQY_CONSOLIDATED",$H$9,"EQY_FUND_CRNCY",$L$7,"StartCol",K$12,"EndCol",K$12,"StartRow",$B133,"EndRow",$B133))</f>
        <v>290</v>
      </c>
      <c r="L133" s="218">
        <f>IF(LEFT(_xll.BDS(Ticker,"PG_DEPR_AMORTIZATION","PG_HIERARCHY_LEVEL=1","NUMBER_OF_PERIODS=-11","REVERSE_PERIOD_ORDER=N","PRODUCT_GEO_OVERRIDE=P","FUND_PER",RIGHT($B$11,1),"ACCOUNTING_STANDARD_OVERRIDE",$H$7,"EQY_CONSOLIDATED",$H$9,"EQY_FUND_CRNCY",$L$7,"StartCol",L$12,"EndCol",L$12,"StartRow",$B133,"EndRow",$B133),1)="#","",_xll.BDS(Ticker,"PG_DEPR_AMORTIZATION","PG_HIERARCHY_LEVEL=1","NUMBER_OF_PERIODS=-11","REVERSE_PERIOD_ORDER=N","PRODUCT_GEO_OVERRIDE=P","FUND_PER",RIGHT($B$11,1),"ACCOUNTING_STANDARD_OVERRIDE",$H$7,"EQY_CONSOLIDATED",$H$9,"EQY_FUND_CRNCY",$L$7,"StartCol",L$12,"EndCol",L$12,"StartRow",$B133,"EndRow",$B133))</f>
        <v>317</v>
      </c>
      <c r="M133" s="218">
        <f>IF(LEFT(_xll.BDS(Ticker,"PG_DEPR_AMORTIZATION","PG_HIERARCHY_LEVEL=1","NUMBER_OF_PERIODS=-11","REVERSE_PERIOD_ORDER=N","PRODUCT_GEO_OVERRIDE=P","FUND_PER",RIGHT($B$11,1),"ACCOUNTING_STANDARD_OVERRIDE",$H$7,"EQY_CONSOLIDATED",$H$9,"EQY_FUND_CRNCY",$L$7,"StartCol",M$12,"EndCol",M$12,"StartRow",$B133,"EndRow",$B133),1)="#","",_xll.BDS(Ticker,"PG_DEPR_AMORTIZATION","PG_HIERARCHY_LEVEL=1","NUMBER_OF_PERIODS=-11","REVERSE_PERIOD_ORDER=N","PRODUCT_GEO_OVERRIDE=P","FUND_PER",RIGHT($B$11,1),"ACCOUNTING_STANDARD_OVERRIDE",$H$7,"EQY_CONSOLIDATED",$H$9,"EQY_FUND_CRNCY",$L$7,"StartCol",M$12,"EndCol",M$12,"StartRow",$B133,"EndRow",$B133))</f>
        <v>337</v>
      </c>
      <c r="N133" s="218">
        <f>IF(LEFT(_xll.BDS(Ticker,"PG_DEPR_AMORTIZATION","PG_HIERARCHY_LEVEL=1","NUMBER_OF_PERIODS=-11","REVERSE_PERIOD_ORDER=N","PRODUCT_GEO_OVERRIDE=P","FUND_PER",RIGHT($B$11,1),"ACCOUNTING_STANDARD_OVERRIDE",$H$7,"EQY_CONSOLIDATED",$H$9,"EQY_FUND_CRNCY",$L$7,"StartCol",N$12,"EndCol",N$12,"StartRow",$B133,"EndRow",$B133),1)="#","",_xll.BDS(Ticker,"PG_DEPR_AMORTIZATION","PG_HIERARCHY_LEVEL=1","NUMBER_OF_PERIODS=-11","REVERSE_PERIOD_ORDER=N","PRODUCT_GEO_OVERRIDE=P","FUND_PER",RIGHT($B$11,1),"ACCOUNTING_STANDARD_OVERRIDE",$H$7,"EQY_CONSOLIDATED",$H$9,"EQY_FUND_CRNCY",$L$7,"StartCol",N$12,"EndCol",N$12,"StartRow",$B133,"EndRow",$B133))</f>
        <v>350</v>
      </c>
    </row>
    <row r="134" spans="2:14" hidden="1" outlineLevel="1">
      <c r="B134" s="214">
        <v>2</v>
      </c>
      <c r="C134" s="216" t="str">
        <f>IF(LEFT(_xll.BDS(Ticker,"PG_DEPR_AMORTIZATION","PG_HIERARCHY_LEVEL=1","NUMBER_OF_PERIODS=-11","REVERSE_PERIOD_ORDER=N","PRODUCT_GEO_OVERRIDE=P","FUND_PER",RIGHT($B$11,1),"ACCOUNTING_STANDARD_OVERRIDE",$H$7,"EQY_CONSOLIDATED",$H$9,"EQY_FUND_CRNCY",$L$7,"StartCol",C$12,"EndCol",C$12,"StartRow",$B134,"EndRow",$B134),1)="#","",_xll.BDS(Ticker,"PG_DEPR_AMORTIZATION","PG_HIERARCHY_LEVEL=1","NUMBER_OF_PERIODS=-11","REVERSE_PERIOD_ORDER=N","PRODUCT_GEO_OVERRIDE=P","FUND_PER",RIGHT($B$11,1),"ACCOUNTING_STANDARD_OVERRIDE",$H$7,"EQY_CONSOLIDATED",$H$9,"EQY_FUND_CRNCY",$L$7,"StartCol",C$12,"EndCol",C$12,"StartRow",$B134,"EndRow",$B134))</f>
        <v>MedSurg Equipment</v>
      </c>
      <c r="D134" s="218">
        <f>IF(LEFT(_xll.BDS(Ticker,"PG_DEPR_AMORTIZATION","PG_HIERARCHY_LEVEL=1","NUMBER_OF_PERIODS=-11","REVERSE_PERIOD_ORDER=N","PRODUCT_GEO_OVERRIDE=P","FUND_PER",RIGHT($B$11,1),"ACCOUNTING_STANDARD_OVERRIDE",$H$7,"EQY_CONSOLIDATED",$H$9,"EQY_FUND_CRNCY",$L$7,"StartCol",D$12,"EndCol",D$12,"StartRow",$B134,"EndRow",$B134),1)="#","",_xll.BDS(Ticker,"PG_DEPR_AMORTIZATION","PG_HIERARCHY_LEVEL=1","NUMBER_OF_PERIODS=-11","REVERSE_PERIOD_ORDER=N","PRODUCT_GEO_OVERRIDE=P","FUND_PER",RIGHT($B$11,1),"ACCOUNTING_STANDARD_OVERRIDE",$H$7,"EQY_CONSOLIDATED",$H$9,"EQY_FUND_CRNCY",$L$7,"StartCol",D$12,"EndCol",D$12,"StartRow",$B134,"EndRow",$B134))</f>
        <v>72.2</v>
      </c>
      <c r="E134" s="218">
        <f>IF(LEFT(_xll.BDS(Ticker,"PG_DEPR_AMORTIZATION","PG_HIERARCHY_LEVEL=1","NUMBER_OF_PERIODS=-11","REVERSE_PERIOD_ORDER=N","PRODUCT_GEO_OVERRIDE=P","FUND_PER",RIGHT($B$11,1),"ACCOUNTING_STANDARD_OVERRIDE",$H$7,"EQY_CONSOLIDATED",$H$9,"EQY_FUND_CRNCY",$L$7,"StartCol",E$12,"EndCol",E$12,"StartRow",$B134,"EndRow",$B134),1)="#","",_xll.BDS(Ticker,"PG_DEPR_AMORTIZATION","PG_HIERARCHY_LEVEL=1","NUMBER_OF_PERIODS=-11","REVERSE_PERIOD_ORDER=N","PRODUCT_GEO_OVERRIDE=P","FUND_PER",RIGHT($B$11,1),"ACCOUNTING_STANDARD_OVERRIDE",$H$7,"EQY_CONSOLIDATED",$H$9,"EQY_FUND_CRNCY",$L$7,"StartCol",E$12,"EndCol",E$12,"StartRow",$B134,"EndRow",$B134))</f>
        <v>66</v>
      </c>
      <c r="F134" s="218">
        <f>IF(LEFT(_xll.BDS(Ticker,"PG_DEPR_AMORTIZATION","PG_HIERARCHY_LEVEL=1","NUMBER_OF_PERIODS=-11","REVERSE_PERIOD_ORDER=N","PRODUCT_GEO_OVERRIDE=P","FUND_PER",RIGHT($B$11,1),"ACCOUNTING_STANDARD_OVERRIDE",$H$7,"EQY_CONSOLIDATED",$H$9,"EQY_FUND_CRNCY",$L$7,"StartCol",F$12,"EndCol",F$12,"StartRow",$B134,"EndRow",$B134),1)="#","",_xll.BDS(Ticker,"PG_DEPR_AMORTIZATION","PG_HIERARCHY_LEVEL=1","NUMBER_OF_PERIODS=-11","REVERSE_PERIOD_ORDER=N","PRODUCT_GEO_OVERRIDE=P","FUND_PER",RIGHT($B$11,1),"ACCOUNTING_STANDARD_OVERRIDE",$H$7,"EQY_CONSOLIDATED",$H$9,"EQY_FUND_CRNCY",$L$7,"StartCol",F$12,"EndCol",F$12,"StartRow",$B134,"EndRow",$B134))</f>
        <v>77</v>
      </c>
      <c r="G134" s="218">
        <f>IF(LEFT(_xll.BDS(Ticker,"PG_DEPR_AMORTIZATION","PG_HIERARCHY_LEVEL=1","NUMBER_OF_PERIODS=-11","REVERSE_PERIOD_ORDER=N","PRODUCT_GEO_OVERRIDE=P","FUND_PER",RIGHT($B$11,1),"ACCOUNTING_STANDARD_OVERRIDE",$H$7,"EQY_CONSOLIDATED",$H$9,"EQY_FUND_CRNCY",$L$7,"StartCol",G$12,"EndCol",G$12,"StartRow",$B134,"EndRow",$B134),1)="#","",_xll.BDS(Ticker,"PG_DEPR_AMORTIZATION","PG_HIERARCHY_LEVEL=1","NUMBER_OF_PERIODS=-11","REVERSE_PERIOD_ORDER=N","PRODUCT_GEO_OVERRIDE=P","FUND_PER",RIGHT($B$11,1),"ACCOUNTING_STANDARD_OVERRIDE",$H$7,"EQY_CONSOLIDATED",$H$9,"EQY_FUND_CRNCY",$L$7,"StartCol",G$12,"EndCol",G$12,"StartRow",$B134,"EndRow",$B134))</f>
        <v>84</v>
      </c>
      <c r="H134" s="218">
        <f>IF(LEFT(_xll.BDS(Ticker,"PG_DEPR_AMORTIZATION","PG_HIERARCHY_LEVEL=1","NUMBER_OF_PERIODS=-11","REVERSE_PERIOD_ORDER=N","PRODUCT_GEO_OVERRIDE=P","FUND_PER",RIGHT($B$11,1),"ACCOUNTING_STANDARD_OVERRIDE",$H$7,"EQY_CONSOLIDATED",$H$9,"EQY_FUND_CRNCY",$L$7,"StartCol",H$12,"EndCol",H$12,"StartRow",$B134,"EndRow",$B134),1)="#","",_xll.BDS(Ticker,"PG_DEPR_AMORTIZATION","PG_HIERARCHY_LEVEL=1","NUMBER_OF_PERIODS=-11","REVERSE_PERIOD_ORDER=N","PRODUCT_GEO_OVERRIDE=P","FUND_PER",RIGHT($B$11,1),"ACCOUNTING_STANDARD_OVERRIDE",$H$7,"EQY_CONSOLIDATED",$H$9,"EQY_FUND_CRNCY",$L$7,"StartCol",H$12,"EndCol",H$12,"StartRow",$B134,"EndRow",$B134))</f>
        <v>85</v>
      </c>
      <c r="I134" s="218">
        <f>IF(LEFT(_xll.BDS(Ticker,"PG_DEPR_AMORTIZATION","PG_HIERARCHY_LEVEL=1","NUMBER_OF_PERIODS=-11","REVERSE_PERIOD_ORDER=N","PRODUCT_GEO_OVERRIDE=P","FUND_PER",RIGHT($B$11,1),"ACCOUNTING_STANDARD_OVERRIDE",$H$7,"EQY_CONSOLIDATED",$H$9,"EQY_FUND_CRNCY",$L$7,"StartCol",I$12,"EndCol",I$12,"StartRow",$B134,"EndRow",$B134),1)="#","",_xll.BDS(Ticker,"PG_DEPR_AMORTIZATION","PG_HIERARCHY_LEVEL=1","NUMBER_OF_PERIODS=-11","REVERSE_PERIOD_ORDER=N","PRODUCT_GEO_OVERRIDE=P","FUND_PER",RIGHT($B$11,1),"ACCOUNTING_STANDARD_OVERRIDE",$H$7,"EQY_CONSOLIDATED",$H$9,"EQY_FUND_CRNCY",$L$7,"StartCol",I$12,"EndCol",I$12,"StartRow",$B134,"EndRow",$B134))</f>
        <v>84</v>
      </c>
      <c r="J134" s="218">
        <f>IF(LEFT(_xll.BDS(Ticker,"PG_DEPR_AMORTIZATION","PG_HIERARCHY_LEVEL=1","NUMBER_OF_PERIODS=-11","REVERSE_PERIOD_ORDER=N","PRODUCT_GEO_OVERRIDE=P","FUND_PER",RIGHT($B$11,1),"ACCOUNTING_STANDARD_OVERRIDE",$H$7,"EQY_CONSOLIDATED",$H$9,"EQY_FUND_CRNCY",$L$7,"StartCol",J$12,"EndCol",J$12,"StartRow",$B134,"EndRow",$B134),1)="#","",_xll.BDS(Ticker,"PG_DEPR_AMORTIZATION","PG_HIERARCHY_LEVEL=1","NUMBER_OF_PERIODS=-11","REVERSE_PERIOD_ORDER=N","PRODUCT_GEO_OVERRIDE=P","FUND_PER",RIGHT($B$11,1),"ACCOUNTING_STANDARD_OVERRIDE",$H$7,"EQY_CONSOLIDATED",$H$9,"EQY_FUND_CRNCY",$L$7,"StartCol",J$12,"EndCol",J$12,"StartRow",$B134,"EndRow",$B134))</f>
        <v>113</v>
      </c>
      <c r="K134" s="218">
        <f>IF(LEFT(_xll.BDS(Ticker,"PG_DEPR_AMORTIZATION","PG_HIERARCHY_LEVEL=1","NUMBER_OF_PERIODS=-11","REVERSE_PERIOD_ORDER=N","PRODUCT_GEO_OVERRIDE=P","FUND_PER",RIGHT($B$11,1),"ACCOUNTING_STANDARD_OVERRIDE",$H$7,"EQY_CONSOLIDATED",$H$9,"EQY_FUND_CRNCY",$L$7,"StartCol",K$12,"EndCol",K$12,"StartRow",$B134,"EndRow",$B134),1)="#","",_xll.BDS(Ticker,"PG_DEPR_AMORTIZATION","PG_HIERARCHY_LEVEL=1","NUMBER_OF_PERIODS=-11","REVERSE_PERIOD_ORDER=N","PRODUCT_GEO_OVERRIDE=P","FUND_PER",RIGHT($B$11,1),"ACCOUNTING_STANDARD_OVERRIDE",$H$7,"EQY_CONSOLIDATED",$H$9,"EQY_FUND_CRNCY",$L$7,"StartCol",K$12,"EndCol",K$12,"StartRow",$B134,"EndRow",$B134))</f>
        <v>117</v>
      </c>
      <c r="L134" s="218">
        <f>IF(LEFT(_xll.BDS(Ticker,"PG_DEPR_AMORTIZATION","PG_HIERARCHY_LEVEL=1","NUMBER_OF_PERIODS=-11","REVERSE_PERIOD_ORDER=N","PRODUCT_GEO_OVERRIDE=P","FUND_PER",RIGHT($B$11,1),"ACCOUNTING_STANDARD_OVERRIDE",$H$7,"EQY_CONSOLIDATED",$H$9,"EQY_FUND_CRNCY",$L$7,"StartCol",L$12,"EndCol",L$12,"StartRow",$B134,"EndRow",$B134),1)="#","",_xll.BDS(Ticker,"PG_DEPR_AMORTIZATION","PG_HIERARCHY_LEVEL=1","NUMBER_OF_PERIODS=-11","REVERSE_PERIOD_ORDER=N","PRODUCT_GEO_OVERRIDE=P","FUND_PER",RIGHT($B$11,1),"ACCOUNTING_STANDARD_OVERRIDE",$H$7,"EQY_CONSOLIDATED",$H$9,"EQY_FUND_CRNCY",$L$7,"StartCol",L$12,"EndCol",L$12,"StartRow",$B134,"EndRow",$B134))</f>
        <v>249</v>
      </c>
      <c r="M134" s="218">
        <f>IF(LEFT(_xll.BDS(Ticker,"PG_DEPR_AMORTIZATION","PG_HIERARCHY_LEVEL=1","NUMBER_OF_PERIODS=-11","REVERSE_PERIOD_ORDER=N","PRODUCT_GEO_OVERRIDE=P","FUND_PER",RIGHT($B$11,1),"ACCOUNTING_STANDARD_OVERRIDE",$H$7,"EQY_CONSOLIDATED",$H$9,"EQY_FUND_CRNCY",$L$7,"StartCol",M$12,"EndCol",M$12,"StartRow",$B134,"EndRow",$B134),1)="#","",_xll.BDS(Ticker,"PG_DEPR_AMORTIZATION","PG_HIERARCHY_LEVEL=1","NUMBER_OF_PERIODS=-11","REVERSE_PERIOD_ORDER=N","PRODUCT_GEO_OVERRIDE=P","FUND_PER",RIGHT($B$11,1),"ACCOUNTING_STANDARD_OVERRIDE",$H$7,"EQY_CONSOLIDATED",$H$9,"EQY_FUND_CRNCY",$L$7,"StartCol",M$12,"EndCol",M$12,"StartRow",$B134,"EndRow",$B134))</f>
        <v>315</v>
      </c>
      <c r="N134" s="218">
        <f>IF(LEFT(_xll.BDS(Ticker,"PG_DEPR_AMORTIZATION","PG_HIERARCHY_LEVEL=1","NUMBER_OF_PERIODS=-11","REVERSE_PERIOD_ORDER=N","PRODUCT_GEO_OVERRIDE=P","FUND_PER",RIGHT($B$11,1),"ACCOUNTING_STANDARD_OVERRIDE",$H$7,"EQY_CONSOLIDATED",$H$9,"EQY_FUND_CRNCY",$L$7,"StartCol",N$12,"EndCol",N$12,"StartRow",$B134,"EndRow",$B134),1)="#","",_xll.BDS(Ticker,"PG_DEPR_AMORTIZATION","PG_HIERARCHY_LEVEL=1","NUMBER_OF_PERIODS=-11","REVERSE_PERIOD_ORDER=N","PRODUCT_GEO_OVERRIDE=P","FUND_PER",RIGHT($B$11,1),"ACCOUNTING_STANDARD_OVERRIDE",$H$7,"EQY_CONSOLIDATED",$H$9,"EQY_FUND_CRNCY",$L$7,"StartCol",N$12,"EndCol",N$12,"StartRow",$B134,"EndRow",$B134))</f>
        <v>285</v>
      </c>
    </row>
    <row r="135" spans="2:14" hidden="1" outlineLevel="1">
      <c r="B135" s="214">
        <v>3</v>
      </c>
      <c r="C135" s="216" t="str">
        <f>IF(LEFT(_xll.BDS(Ticker,"PG_DEPR_AMORTIZATION","PG_HIERARCHY_LEVEL=1","NUMBER_OF_PERIODS=-11","REVERSE_PERIOD_ORDER=N","PRODUCT_GEO_OVERRIDE=P","FUND_PER",RIGHT($B$11,1),"ACCOUNTING_STANDARD_OVERRIDE",$H$7,"EQY_CONSOLIDATED",$H$9,"EQY_FUND_CRNCY",$L$7,"StartCol",C$12,"EndCol",C$12,"StartRow",$B135,"EndRow",$B135),1)="#","",_xll.BDS(Ticker,"PG_DEPR_AMORTIZATION","PG_HIERARCHY_LEVEL=1","NUMBER_OF_PERIODS=-11","REVERSE_PERIOD_ORDER=N","PRODUCT_GEO_OVERRIDE=P","FUND_PER",RIGHT($B$11,1),"ACCOUNTING_STANDARD_OVERRIDE",$H$7,"EQY_CONSOLIDATED",$H$9,"EQY_FUND_CRNCY",$L$7,"StartCol",C$12,"EndCol",C$12,"StartRow",$B135,"EndRow",$B135))</f>
        <v>Neurotech and Spine</v>
      </c>
      <c r="D135" s="218" t="str">
        <f>IF(LEFT(_xll.BDS(Ticker,"PG_DEPR_AMORTIZATION","PG_HIERARCHY_LEVEL=1","NUMBER_OF_PERIODS=-11","REVERSE_PERIOD_ORDER=N","PRODUCT_GEO_OVERRIDE=P","FUND_PER",RIGHT($B$11,1),"ACCOUNTING_STANDARD_OVERRIDE",$H$7,"EQY_CONSOLIDATED",$H$9,"EQY_FUND_CRNCY",$L$7,"StartCol",D$12,"EndCol",D$12,"StartRow",$B135,"EndRow",$B135),1)="#","",_xll.BDS(Ticker,"PG_DEPR_AMORTIZATION","PG_HIERARCHY_LEVEL=1","NUMBER_OF_PERIODS=-11","REVERSE_PERIOD_ORDER=N","PRODUCT_GEO_OVERRIDE=P","FUND_PER",RIGHT($B$11,1),"ACCOUNTING_STANDARD_OVERRIDE",$H$7,"EQY_CONSOLIDATED",$H$9,"EQY_FUND_CRNCY",$L$7,"StartCol",D$12,"EndCol",D$12,"StartRow",$B135,"EndRow",$B135))</f>
        <v/>
      </c>
      <c r="E135" s="218">
        <f>IF(LEFT(_xll.BDS(Ticker,"PG_DEPR_AMORTIZATION","PG_HIERARCHY_LEVEL=1","NUMBER_OF_PERIODS=-11","REVERSE_PERIOD_ORDER=N","PRODUCT_GEO_OVERRIDE=P","FUND_PER",RIGHT($B$11,1),"ACCOUNTING_STANDARD_OVERRIDE",$H$7,"EQY_CONSOLIDATED",$H$9,"EQY_FUND_CRNCY",$L$7,"StartCol",E$12,"EndCol",E$12,"StartRow",$B135,"EndRow",$B135),1)="#","",_xll.BDS(Ticker,"PG_DEPR_AMORTIZATION","PG_HIERARCHY_LEVEL=1","NUMBER_OF_PERIODS=-11","REVERSE_PERIOD_ORDER=N","PRODUCT_GEO_OVERRIDE=P","FUND_PER",RIGHT($B$11,1),"ACCOUNTING_STANDARD_OVERRIDE",$H$7,"EQY_CONSOLIDATED",$H$9,"EQY_FUND_CRNCY",$L$7,"StartCol",E$12,"EndCol",E$12,"StartRow",$B135,"EndRow",$B135))</f>
        <v>52</v>
      </c>
      <c r="F135" s="218">
        <f>IF(LEFT(_xll.BDS(Ticker,"PG_DEPR_AMORTIZATION","PG_HIERARCHY_LEVEL=1","NUMBER_OF_PERIODS=-11","REVERSE_PERIOD_ORDER=N","PRODUCT_GEO_OVERRIDE=P","FUND_PER",RIGHT($B$11,1),"ACCOUNTING_STANDARD_OVERRIDE",$H$7,"EQY_CONSOLIDATED",$H$9,"EQY_FUND_CRNCY",$L$7,"StartCol",F$12,"EndCol",F$12,"StartRow",$B135,"EndRow",$B135),1)="#","",_xll.BDS(Ticker,"PG_DEPR_AMORTIZATION","PG_HIERARCHY_LEVEL=1","NUMBER_OF_PERIODS=-11","REVERSE_PERIOD_ORDER=N","PRODUCT_GEO_OVERRIDE=P","FUND_PER",RIGHT($B$11,1),"ACCOUNTING_STANDARD_OVERRIDE",$H$7,"EQY_CONSOLIDATED",$H$9,"EQY_FUND_CRNCY",$L$7,"StartCol",F$12,"EndCol",F$12,"StartRow",$B135,"EndRow",$B135))</f>
        <v>61</v>
      </c>
      <c r="G135" s="218">
        <f>IF(LEFT(_xll.BDS(Ticker,"PG_DEPR_AMORTIZATION","PG_HIERARCHY_LEVEL=1","NUMBER_OF_PERIODS=-11","REVERSE_PERIOD_ORDER=N","PRODUCT_GEO_OVERRIDE=P","FUND_PER",RIGHT($B$11,1),"ACCOUNTING_STANDARD_OVERRIDE",$H$7,"EQY_CONSOLIDATED",$H$9,"EQY_FUND_CRNCY",$L$7,"StartCol",G$12,"EndCol",G$12,"StartRow",$B135,"EndRow",$B135),1)="#","",_xll.BDS(Ticker,"PG_DEPR_AMORTIZATION","PG_HIERARCHY_LEVEL=1","NUMBER_OF_PERIODS=-11","REVERSE_PERIOD_ORDER=N","PRODUCT_GEO_OVERRIDE=P","FUND_PER",RIGHT($B$11,1),"ACCOUNTING_STANDARD_OVERRIDE",$H$7,"EQY_CONSOLIDATED",$H$9,"EQY_FUND_CRNCY",$L$7,"StartCol",G$12,"EndCol",G$12,"StartRow",$B135,"EndRow",$B135))</f>
        <v>119</v>
      </c>
      <c r="H135" s="218">
        <f>IF(LEFT(_xll.BDS(Ticker,"PG_DEPR_AMORTIZATION","PG_HIERARCHY_LEVEL=1","NUMBER_OF_PERIODS=-11","REVERSE_PERIOD_ORDER=N","PRODUCT_GEO_OVERRIDE=P","FUND_PER",RIGHT($B$11,1),"ACCOUNTING_STANDARD_OVERRIDE",$H$7,"EQY_CONSOLIDATED",$H$9,"EQY_FUND_CRNCY",$L$7,"StartCol",H$12,"EndCol",H$12,"StartRow",$B135,"EndRow",$B135),1)="#","",_xll.BDS(Ticker,"PG_DEPR_AMORTIZATION","PG_HIERARCHY_LEVEL=1","NUMBER_OF_PERIODS=-11","REVERSE_PERIOD_ORDER=N","PRODUCT_GEO_OVERRIDE=P","FUND_PER",RIGHT($B$11,1),"ACCOUNTING_STANDARD_OVERRIDE",$H$7,"EQY_CONSOLIDATED",$H$9,"EQY_FUND_CRNCY",$L$7,"StartCol",H$12,"EndCol",H$12,"StartRow",$B135,"EndRow",$B135))</f>
        <v>122</v>
      </c>
      <c r="I135" s="218">
        <f>IF(LEFT(_xll.BDS(Ticker,"PG_DEPR_AMORTIZATION","PG_HIERARCHY_LEVEL=1","NUMBER_OF_PERIODS=-11","REVERSE_PERIOD_ORDER=N","PRODUCT_GEO_OVERRIDE=P","FUND_PER",RIGHT($B$11,1),"ACCOUNTING_STANDARD_OVERRIDE",$H$7,"EQY_CONSOLIDATED",$H$9,"EQY_FUND_CRNCY",$L$7,"StartCol",I$12,"EndCol",I$12,"StartRow",$B135,"EndRow",$B135),1)="#","",_xll.BDS(Ticker,"PG_DEPR_AMORTIZATION","PG_HIERARCHY_LEVEL=1","NUMBER_OF_PERIODS=-11","REVERSE_PERIOD_ORDER=N","PRODUCT_GEO_OVERRIDE=P","FUND_PER",RIGHT($B$11,1),"ACCOUNTING_STANDARD_OVERRIDE",$H$7,"EQY_CONSOLIDATED",$H$9,"EQY_FUND_CRNCY",$L$7,"StartCol",I$12,"EndCol",I$12,"StartRow",$B135,"EndRow",$B135))</f>
        <v>135</v>
      </c>
      <c r="J135" s="218">
        <f>IF(LEFT(_xll.BDS(Ticker,"PG_DEPR_AMORTIZATION","PG_HIERARCHY_LEVEL=1","NUMBER_OF_PERIODS=-11","REVERSE_PERIOD_ORDER=N","PRODUCT_GEO_OVERRIDE=P","FUND_PER",RIGHT($B$11,1),"ACCOUNTING_STANDARD_OVERRIDE",$H$7,"EQY_CONSOLIDATED",$H$9,"EQY_FUND_CRNCY",$L$7,"StartCol",J$12,"EndCol",J$12,"StartRow",$B135,"EndRow",$B135),1)="#","",_xll.BDS(Ticker,"PG_DEPR_AMORTIZATION","PG_HIERARCHY_LEVEL=1","NUMBER_OF_PERIODS=-11","REVERSE_PERIOD_ORDER=N","PRODUCT_GEO_OVERRIDE=P","FUND_PER",RIGHT($B$11,1),"ACCOUNTING_STANDARD_OVERRIDE",$H$7,"EQY_CONSOLIDATED",$H$9,"EQY_FUND_CRNCY",$L$7,"StartCol",J$12,"EndCol",J$12,"StartRow",$B135,"EndRow",$B135))</f>
        <v>134</v>
      </c>
      <c r="K135" s="218">
        <f>IF(LEFT(_xll.BDS(Ticker,"PG_DEPR_AMORTIZATION","PG_HIERARCHY_LEVEL=1","NUMBER_OF_PERIODS=-11","REVERSE_PERIOD_ORDER=N","PRODUCT_GEO_OVERRIDE=P","FUND_PER",RIGHT($B$11,1),"ACCOUNTING_STANDARD_OVERRIDE",$H$7,"EQY_CONSOLIDATED",$H$9,"EQY_FUND_CRNCY",$L$7,"StartCol",K$12,"EndCol",K$12,"StartRow",$B135,"EndRow",$B135),1)="#","",_xll.BDS(Ticker,"PG_DEPR_AMORTIZATION","PG_HIERARCHY_LEVEL=1","NUMBER_OF_PERIODS=-11","REVERSE_PERIOD_ORDER=N","PRODUCT_GEO_OVERRIDE=P","FUND_PER",RIGHT($B$11,1),"ACCOUNTING_STANDARD_OVERRIDE",$H$7,"EQY_CONSOLIDATED",$H$9,"EQY_FUND_CRNCY",$L$7,"StartCol",K$12,"EndCol",K$12,"StartRow",$B135,"EndRow",$B135))</f>
        <v>132</v>
      </c>
      <c r="L135" s="218">
        <f>IF(LEFT(_xll.BDS(Ticker,"PG_DEPR_AMORTIZATION","PG_HIERARCHY_LEVEL=1","NUMBER_OF_PERIODS=-11","REVERSE_PERIOD_ORDER=N","PRODUCT_GEO_OVERRIDE=P","FUND_PER",RIGHT($B$11,1),"ACCOUNTING_STANDARD_OVERRIDE",$H$7,"EQY_CONSOLIDATED",$H$9,"EQY_FUND_CRNCY",$L$7,"StartCol",L$12,"EndCol",L$12,"StartRow",$B135,"EndRow",$B135),1)="#","",_xll.BDS(Ticker,"PG_DEPR_AMORTIZATION","PG_HIERARCHY_LEVEL=1","NUMBER_OF_PERIODS=-11","REVERSE_PERIOD_ORDER=N","PRODUCT_GEO_OVERRIDE=P","FUND_PER",RIGHT($B$11,1),"ACCOUNTING_STANDARD_OVERRIDE",$H$7,"EQY_CONSOLIDATED",$H$9,"EQY_FUND_CRNCY",$L$7,"StartCol",L$12,"EndCol",L$12,"StartRow",$B135,"EndRow",$B135))</f>
        <v>140</v>
      </c>
      <c r="M135" s="218">
        <f>IF(LEFT(_xll.BDS(Ticker,"PG_DEPR_AMORTIZATION","PG_HIERARCHY_LEVEL=1","NUMBER_OF_PERIODS=-11","REVERSE_PERIOD_ORDER=N","PRODUCT_GEO_OVERRIDE=P","FUND_PER",RIGHT($B$11,1),"ACCOUNTING_STANDARD_OVERRIDE",$H$7,"EQY_CONSOLIDATED",$H$9,"EQY_FUND_CRNCY",$L$7,"StartCol",M$12,"EndCol",M$12,"StartRow",$B135,"EndRow",$B135),1)="#","",_xll.BDS(Ticker,"PG_DEPR_AMORTIZATION","PG_HIERARCHY_LEVEL=1","NUMBER_OF_PERIODS=-11","REVERSE_PERIOD_ORDER=N","PRODUCT_GEO_OVERRIDE=P","FUND_PER",RIGHT($B$11,1),"ACCOUNTING_STANDARD_OVERRIDE",$H$7,"EQY_CONSOLIDATED",$H$9,"EQY_FUND_CRNCY",$L$7,"StartCol",M$12,"EndCol",M$12,"StartRow",$B135,"EndRow",$B135))</f>
        <v>142</v>
      </c>
      <c r="N135" s="218">
        <f>IF(LEFT(_xll.BDS(Ticker,"PG_DEPR_AMORTIZATION","PG_HIERARCHY_LEVEL=1","NUMBER_OF_PERIODS=-11","REVERSE_PERIOD_ORDER=N","PRODUCT_GEO_OVERRIDE=P","FUND_PER",RIGHT($B$11,1),"ACCOUNTING_STANDARD_OVERRIDE",$H$7,"EQY_CONSOLIDATED",$H$9,"EQY_FUND_CRNCY",$L$7,"StartCol",N$12,"EndCol",N$12,"StartRow",$B135,"EndRow",$B135),1)="#","",_xll.BDS(Ticker,"PG_DEPR_AMORTIZATION","PG_HIERARCHY_LEVEL=1","NUMBER_OF_PERIODS=-11","REVERSE_PERIOD_ORDER=N","PRODUCT_GEO_OVERRIDE=P","FUND_PER",RIGHT($B$11,1),"ACCOUNTING_STANDARD_OVERRIDE",$H$7,"EQY_CONSOLIDATED",$H$9,"EQY_FUND_CRNCY",$L$7,"StartCol",N$12,"EndCol",N$12,"StartRow",$B135,"EndRow",$B135))</f>
        <v>176</v>
      </c>
    </row>
    <row r="136" spans="2:14" hidden="1" outlineLevel="1">
      <c r="B136" s="214">
        <v>4</v>
      </c>
      <c r="C136" s="216" t="str">
        <f>IF(LEFT(_xll.BDS(Ticker,"PG_DEPR_AMORTIZATION","PG_HIERARCHY_LEVEL=1","NUMBER_OF_PERIODS=-11","REVERSE_PERIOD_ORDER=N","PRODUCT_GEO_OVERRIDE=P","FUND_PER",RIGHT($B$11,1),"ACCOUNTING_STANDARD_OVERRIDE",$H$7,"EQY_CONSOLIDATED",$H$9,"EQY_FUND_CRNCY",$L$7,"StartCol",C$12,"EndCol",C$12,"StartRow",$B136,"EndRow",$B136),1)="#","",_xll.BDS(Ticker,"PG_DEPR_AMORTIZATION","PG_HIERARCHY_LEVEL=1","NUMBER_OF_PERIODS=-11","REVERSE_PERIOD_ORDER=N","PRODUCT_GEO_OVERRIDE=P","FUND_PER",RIGHT($B$11,1),"ACCOUNTING_STANDARD_OVERRIDE",$H$7,"EQY_CONSOLIDATED",$H$9,"EQY_FUND_CRNCY",$L$7,"StartCol",C$12,"EndCol",C$12,"StartRow",$B136,"EndRow",$B136))</f>
        <v>Others</v>
      </c>
      <c r="D136" s="218" t="str">
        <f>IF(LEFT(_xll.BDS(Ticker,"PG_DEPR_AMORTIZATION","PG_HIERARCHY_LEVEL=1","NUMBER_OF_PERIODS=-11","REVERSE_PERIOD_ORDER=N","PRODUCT_GEO_OVERRIDE=P","FUND_PER",RIGHT($B$11,1),"ACCOUNTING_STANDARD_OVERRIDE",$H$7,"EQY_CONSOLIDATED",$H$9,"EQY_FUND_CRNCY",$L$7,"StartCol",D$12,"EndCol",D$12,"StartRow",$B136,"EndRow",$B136),1)="#","",_xll.BDS(Ticker,"PG_DEPR_AMORTIZATION","PG_HIERARCHY_LEVEL=1","NUMBER_OF_PERIODS=-11","REVERSE_PERIOD_ORDER=N","PRODUCT_GEO_OVERRIDE=P","FUND_PER",RIGHT($B$11,1),"ACCOUNTING_STANDARD_OVERRIDE",$H$7,"EQY_CONSOLIDATED",$H$9,"EQY_FUND_CRNCY",$L$7,"StartCol",D$12,"EndCol",D$12,"StartRow",$B136,"EndRow",$B136))</f>
        <v/>
      </c>
      <c r="E136" s="218" t="str">
        <f>IF(LEFT(_xll.BDS(Ticker,"PG_DEPR_AMORTIZATION","PG_HIERARCHY_LEVEL=1","NUMBER_OF_PERIODS=-11","REVERSE_PERIOD_ORDER=N","PRODUCT_GEO_OVERRIDE=P","FUND_PER",RIGHT($B$11,1),"ACCOUNTING_STANDARD_OVERRIDE",$H$7,"EQY_CONSOLIDATED",$H$9,"EQY_FUND_CRNCY",$L$7,"StartCol",E$12,"EndCol",E$12,"StartRow",$B136,"EndRow",$B136),1)="#","",_xll.BDS(Ticker,"PG_DEPR_AMORTIZATION","PG_HIERARCHY_LEVEL=1","NUMBER_OF_PERIODS=-11","REVERSE_PERIOD_ORDER=N","PRODUCT_GEO_OVERRIDE=P","FUND_PER",RIGHT($B$11,1),"ACCOUNTING_STANDARD_OVERRIDE",$H$7,"EQY_CONSOLIDATED",$H$9,"EQY_FUND_CRNCY",$L$7,"StartCol",E$12,"EndCol",E$12,"StartRow",$B136,"EndRow",$B136))</f>
        <v/>
      </c>
      <c r="F136" s="218">
        <f>IF(LEFT(_xll.BDS(Ticker,"PG_DEPR_AMORTIZATION","PG_HIERARCHY_LEVEL=1","NUMBER_OF_PERIODS=-11","REVERSE_PERIOD_ORDER=N","PRODUCT_GEO_OVERRIDE=P","FUND_PER",RIGHT($B$11,1),"ACCOUNTING_STANDARD_OVERRIDE",$H$7,"EQY_CONSOLIDATED",$H$9,"EQY_FUND_CRNCY",$L$7,"StartCol",F$12,"EndCol",F$12,"StartRow",$B136,"EndRow",$B136),1)="#","",_xll.BDS(Ticker,"PG_DEPR_AMORTIZATION","PG_HIERARCHY_LEVEL=1","NUMBER_OF_PERIODS=-11","REVERSE_PERIOD_ORDER=N","PRODUCT_GEO_OVERRIDE=P","FUND_PER",RIGHT($B$11,1),"ACCOUNTING_STANDARD_OVERRIDE",$H$7,"EQY_CONSOLIDATED",$H$9,"EQY_FUND_CRNCY",$L$7,"StartCol",F$12,"EndCol",F$12,"StartRow",$B136,"EndRow",$B136))</f>
        <v>22</v>
      </c>
      <c r="G136" s="218">
        <f>IF(LEFT(_xll.BDS(Ticker,"PG_DEPR_AMORTIZATION","PG_HIERARCHY_LEVEL=1","NUMBER_OF_PERIODS=-11","REVERSE_PERIOD_ORDER=N","PRODUCT_GEO_OVERRIDE=P","FUND_PER",RIGHT($B$11,1),"ACCOUNTING_STANDARD_OVERRIDE",$H$7,"EQY_CONSOLIDATED",$H$9,"EQY_FUND_CRNCY",$L$7,"StartCol",G$12,"EndCol",G$12,"StartRow",$B136,"EndRow",$B136),1)="#","",_xll.BDS(Ticker,"PG_DEPR_AMORTIZATION","PG_HIERARCHY_LEVEL=1","NUMBER_OF_PERIODS=-11","REVERSE_PERIOD_ORDER=N","PRODUCT_GEO_OVERRIDE=P","FUND_PER",RIGHT($B$11,1),"ACCOUNTING_STANDARD_OVERRIDE",$H$7,"EQY_CONSOLIDATED",$H$9,"EQY_FUND_CRNCY",$L$7,"StartCol",G$12,"EndCol",G$12,"StartRow",$B136,"EndRow",$B136))</f>
        <v>11</v>
      </c>
      <c r="H136" s="218">
        <f>IF(LEFT(_xll.BDS(Ticker,"PG_DEPR_AMORTIZATION","PG_HIERARCHY_LEVEL=1","NUMBER_OF_PERIODS=-11","REVERSE_PERIOD_ORDER=N","PRODUCT_GEO_OVERRIDE=P","FUND_PER",RIGHT($B$11,1),"ACCOUNTING_STANDARD_OVERRIDE",$H$7,"EQY_CONSOLIDATED",$H$9,"EQY_FUND_CRNCY",$L$7,"StartCol",H$12,"EndCol",H$12,"StartRow",$B136,"EndRow",$B136),1)="#","",_xll.BDS(Ticker,"PG_DEPR_AMORTIZATION","PG_HIERARCHY_LEVEL=1","NUMBER_OF_PERIODS=-11","REVERSE_PERIOD_ORDER=N","PRODUCT_GEO_OVERRIDE=P","FUND_PER",RIGHT($B$11,1),"ACCOUNTING_STANDARD_OVERRIDE",$H$7,"EQY_CONSOLIDATED",$H$9,"EQY_FUND_CRNCY",$L$7,"StartCol",H$12,"EndCol",H$12,"StartRow",$B136,"EndRow",$B136))</f>
        <v>8</v>
      </c>
      <c r="I136" s="218">
        <f>IF(LEFT(_xll.BDS(Ticker,"PG_DEPR_AMORTIZATION","PG_HIERARCHY_LEVEL=1","NUMBER_OF_PERIODS=-11","REVERSE_PERIOD_ORDER=N","PRODUCT_GEO_OVERRIDE=P","FUND_PER",RIGHT($B$11,1),"ACCOUNTING_STANDARD_OVERRIDE",$H$7,"EQY_CONSOLIDATED",$H$9,"EQY_FUND_CRNCY",$L$7,"StartCol",I$12,"EndCol",I$12,"StartRow",$B136,"EndRow",$B136),1)="#","",_xll.BDS(Ticker,"PG_DEPR_AMORTIZATION","PG_HIERARCHY_LEVEL=1","NUMBER_OF_PERIODS=-11","REVERSE_PERIOD_ORDER=N","PRODUCT_GEO_OVERRIDE=P","FUND_PER",RIGHT($B$11,1),"ACCOUNTING_STANDARD_OVERRIDE",$H$7,"EQY_CONSOLIDATED",$H$9,"EQY_FUND_CRNCY",$L$7,"StartCol",I$12,"EndCol",I$12,"StartRow",$B136,"EndRow",$B136))</f>
        <v>19</v>
      </c>
      <c r="J136" s="218">
        <f>IF(LEFT(_xll.BDS(Ticker,"PG_DEPR_AMORTIZATION","PG_HIERARCHY_LEVEL=1","NUMBER_OF_PERIODS=-11","REVERSE_PERIOD_ORDER=N","PRODUCT_GEO_OVERRIDE=P","FUND_PER",RIGHT($B$11,1),"ACCOUNTING_STANDARD_OVERRIDE",$H$7,"EQY_CONSOLIDATED",$H$9,"EQY_FUND_CRNCY",$L$7,"StartCol",J$12,"EndCol",J$12,"StartRow",$B136,"EndRow",$B136),1)="#","",_xll.BDS(Ticker,"PG_DEPR_AMORTIZATION","PG_HIERARCHY_LEVEL=1","NUMBER_OF_PERIODS=-11","REVERSE_PERIOD_ORDER=N","PRODUCT_GEO_OVERRIDE=P","FUND_PER",RIGHT($B$11,1),"ACCOUNTING_STANDARD_OVERRIDE",$H$7,"EQY_CONSOLIDATED",$H$9,"EQY_FUND_CRNCY",$L$7,"StartCol",J$12,"EndCol",J$12,"StartRow",$B136,"EndRow",$B136))</f>
        <v>20</v>
      </c>
      <c r="K136" s="218">
        <f>IF(LEFT(_xll.BDS(Ticker,"PG_DEPR_AMORTIZATION","PG_HIERARCHY_LEVEL=1","NUMBER_OF_PERIODS=-11","REVERSE_PERIOD_ORDER=N","PRODUCT_GEO_OVERRIDE=P","FUND_PER",RIGHT($B$11,1),"ACCOUNTING_STANDARD_OVERRIDE",$H$7,"EQY_CONSOLIDATED",$H$9,"EQY_FUND_CRNCY",$L$7,"StartCol",K$12,"EndCol",K$12,"StartRow",$B136,"EndRow",$B136),1)="#","",_xll.BDS(Ticker,"PG_DEPR_AMORTIZATION","PG_HIERARCHY_LEVEL=1","NUMBER_OF_PERIODS=-11","REVERSE_PERIOD_ORDER=N","PRODUCT_GEO_OVERRIDE=P","FUND_PER",RIGHT($B$11,1),"ACCOUNTING_STANDARD_OVERRIDE",$H$7,"EQY_CONSOLIDATED",$H$9,"EQY_FUND_CRNCY",$L$7,"StartCol",K$12,"EndCol",K$12,"StartRow",$B136,"EndRow",$B136))</f>
        <v>51</v>
      </c>
      <c r="L136" s="218">
        <f>IF(LEFT(_xll.BDS(Ticker,"PG_DEPR_AMORTIZATION","PG_HIERARCHY_LEVEL=1","NUMBER_OF_PERIODS=-11","REVERSE_PERIOD_ORDER=N","PRODUCT_GEO_OVERRIDE=P","FUND_PER",RIGHT($B$11,1),"ACCOUNTING_STANDARD_OVERRIDE",$H$7,"EQY_CONSOLIDATED",$H$9,"EQY_FUND_CRNCY",$L$7,"StartCol",L$12,"EndCol",L$12,"StartRow",$B136,"EndRow",$B136),1)="#","",_xll.BDS(Ticker,"PG_DEPR_AMORTIZATION","PG_HIERARCHY_LEVEL=1","NUMBER_OF_PERIODS=-11","REVERSE_PERIOD_ORDER=N","PRODUCT_GEO_OVERRIDE=P","FUND_PER",RIGHT($B$11,1),"ACCOUNTING_STANDARD_OVERRIDE",$H$7,"EQY_CONSOLIDATED",$H$9,"EQY_FUND_CRNCY",$L$7,"StartCol",L$12,"EndCol",L$12,"StartRow",$B136,"EndRow",$B136))</f>
        <v>46</v>
      </c>
      <c r="M136" s="218">
        <f>IF(LEFT(_xll.BDS(Ticker,"PG_DEPR_AMORTIZATION","PG_HIERARCHY_LEVEL=1","NUMBER_OF_PERIODS=-11","REVERSE_PERIOD_ORDER=N","PRODUCT_GEO_OVERRIDE=P","FUND_PER",RIGHT($B$11,1),"ACCOUNTING_STANDARD_OVERRIDE",$H$7,"EQY_CONSOLIDATED",$H$9,"EQY_FUND_CRNCY",$L$7,"StartCol",M$12,"EndCol",M$12,"StartRow",$B136,"EndRow",$B136),1)="#","",_xll.BDS(Ticker,"PG_DEPR_AMORTIZATION","PG_HIERARCHY_LEVEL=1","NUMBER_OF_PERIODS=-11","REVERSE_PERIOD_ORDER=N","PRODUCT_GEO_OVERRIDE=P","FUND_PER",RIGHT($B$11,1),"ACCOUNTING_STANDARD_OVERRIDE",$H$7,"EQY_CONSOLIDATED",$H$9,"EQY_FUND_CRNCY",$L$7,"StartCol",M$12,"EndCol",M$12,"StartRow",$B136,"EndRow",$B136))</f>
        <v>65</v>
      </c>
      <c r="N136" s="218">
        <f>IF(LEFT(_xll.BDS(Ticker,"PG_DEPR_AMORTIZATION","PG_HIERARCHY_LEVEL=1","NUMBER_OF_PERIODS=-11","REVERSE_PERIOD_ORDER=N","PRODUCT_GEO_OVERRIDE=P","FUND_PER",RIGHT($B$11,1),"ACCOUNTING_STANDARD_OVERRIDE",$H$7,"EQY_CONSOLIDATED",$H$9,"EQY_FUND_CRNCY",$L$7,"StartCol",N$12,"EndCol",N$12,"StartRow",$B136,"EndRow",$B136),1)="#","",_xll.BDS(Ticker,"PG_DEPR_AMORTIZATION","PG_HIERARCHY_LEVEL=1","NUMBER_OF_PERIODS=-11","REVERSE_PERIOD_ORDER=N","PRODUCT_GEO_OVERRIDE=P","FUND_PER",RIGHT($B$11,1),"ACCOUNTING_STANDARD_OVERRIDE",$H$7,"EQY_CONSOLIDATED",$H$9,"EQY_FUND_CRNCY",$L$7,"StartCol",N$12,"EndCol",N$12,"StartRow",$B136,"EndRow",$B136))</f>
        <v>155</v>
      </c>
    </row>
    <row r="137" spans="2:14" hidden="1" outlineLevel="1">
      <c r="B137" s="214">
        <v>5</v>
      </c>
      <c r="C137" s="216" t="str">
        <f>IF(LEFT(_xll.BDS(Ticker,"PG_DEPR_AMORTIZATION","PG_HIERARCHY_LEVEL=1","NUMBER_OF_PERIODS=-11","REVERSE_PERIOD_ORDER=N","PRODUCT_GEO_OVERRIDE=P","FUND_PER",RIGHT($B$11,1),"ACCOUNTING_STANDARD_OVERRIDE",$H$7,"EQY_CONSOLIDATED",$H$9,"EQY_FUND_CRNCY",$L$7,"StartCol",C$12,"EndCol",C$12,"StartRow",$B137,"EndRow",$B137),1)="#","",_xll.BDS(Ticker,"PG_DEPR_AMORTIZATION","PG_HIERARCHY_LEVEL=1","NUMBER_OF_PERIODS=-11","REVERSE_PERIOD_ORDER=N","PRODUCT_GEO_OVERRIDE=P","FUND_PER",RIGHT($B$11,1),"ACCOUNTING_STANDARD_OVERRIDE",$H$7,"EQY_CONSOLIDATED",$H$9,"EQY_FUND_CRNCY",$L$7,"StartCol",C$12,"EndCol",C$12,"StartRow",$B137,"EndRow",$B137))</f>
        <v>Others</v>
      </c>
      <c r="D137" s="218">
        <f>IF(LEFT(_xll.BDS(Ticker,"PG_DEPR_AMORTIZATION","PG_HIERARCHY_LEVEL=1","NUMBER_OF_PERIODS=-11","REVERSE_PERIOD_ORDER=N","PRODUCT_GEO_OVERRIDE=P","FUND_PER",RIGHT($B$11,1),"ACCOUNTING_STANDARD_OVERRIDE",$H$7,"EQY_CONSOLIDATED",$H$9,"EQY_FUND_CRNCY",$L$7,"StartCol",D$12,"EndCol",D$12,"StartRow",$B137,"EndRow",$B137),1)="#","",_xll.BDS(Ticker,"PG_DEPR_AMORTIZATION","PG_HIERARCHY_LEVEL=1","NUMBER_OF_PERIODS=-11","REVERSE_PERIOD_ORDER=N","PRODUCT_GEO_OVERRIDE=P","FUND_PER",RIGHT($B$11,1),"ACCOUNTING_STANDARD_OVERRIDE",$H$7,"EQY_CONSOLIDATED",$H$9,"EQY_FUND_CRNCY",$L$7,"StartCol",D$12,"EndCol",D$12,"StartRow",$B137,"EndRow",$B137))</f>
        <v>7.3</v>
      </c>
      <c r="E137" s="218">
        <f>IF(LEFT(_xll.BDS(Ticker,"PG_DEPR_AMORTIZATION","PG_HIERARCHY_LEVEL=1","NUMBER_OF_PERIODS=-11","REVERSE_PERIOD_ORDER=N","PRODUCT_GEO_OVERRIDE=P","FUND_PER",RIGHT($B$11,1),"ACCOUNTING_STANDARD_OVERRIDE",$H$7,"EQY_CONSOLIDATED",$H$9,"EQY_FUND_CRNCY",$L$7,"StartCol",E$12,"EndCol",E$12,"StartRow",$B137,"EndRow",$B137),1)="#","",_xll.BDS(Ticker,"PG_DEPR_AMORTIZATION","PG_HIERARCHY_LEVEL=1","NUMBER_OF_PERIODS=-11","REVERSE_PERIOD_ORDER=N","PRODUCT_GEO_OVERRIDE=P","FUND_PER",RIGHT($B$11,1),"ACCOUNTING_STANDARD_OVERRIDE",$H$7,"EQY_CONSOLIDATED",$H$9,"EQY_FUND_CRNCY",$L$7,"StartCol",E$12,"EndCol",E$12,"StartRow",$B137,"EndRow",$B137))</f>
        <v>22</v>
      </c>
      <c r="F137" s="218" t="str">
        <f>IF(LEFT(_xll.BDS(Ticker,"PG_DEPR_AMORTIZATION","PG_HIERARCHY_LEVEL=1","NUMBER_OF_PERIODS=-11","REVERSE_PERIOD_ORDER=N","PRODUCT_GEO_OVERRIDE=P","FUND_PER",RIGHT($B$11,1),"ACCOUNTING_STANDARD_OVERRIDE",$H$7,"EQY_CONSOLIDATED",$H$9,"EQY_FUND_CRNCY",$L$7,"StartCol",F$12,"EndCol",F$12,"StartRow",$B137,"EndRow",$B137),1)="#","",_xll.BDS(Ticker,"PG_DEPR_AMORTIZATION","PG_HIERARCHY_LEVEL=1","NUMBER_OF_PERIODS=-11","REVERSE_PERIOD_ORDER=N","PRODUCT_GEO_OVERRIDE=P","FUND_PER",RIGHT($B$11,1),"ACCOUNTING_STANDARD_OVERRIDE",$H$7,"EQY_CONSOLIDATED",$H$9,"EQY_FUND_CRNCY",$L$7,"StartCol",F$12,"EndCol",F$12,"StartRow",$B137,"EndRow",$B137))</f>
        <v/>
      </c>
      <c r="G137" s="218" t="str">
        <f>IF(LEFT(_xll.BDS(Ticker,"PG_DEPR_AMORTIZATION","PG_HIERARCHY_LEVEL=1","NUMBER_OF_PERIODS=-11","REVERSE_PERIOD_ORDER=N","PRODUCT_GEO_OVERRIDE=P","FUND_PER",RIGHT($B$11,1),"ACCOUNTING_STANDARD_OVERRIDE",$H$7,"EQY_CONSOLIDATED",$H$9,"EQY_FUND_CRNCY",$L$7,"StartCol",G$12,"EndCol",G$12,"StartRow",$B137,"EndRow",$B137),1)="#","",_xll.BDS(Ticker,"PG_DEPR_AMORTIZATION","PG_HIERARCHY_LEVEL=1","NUMBER_OF_PERIODS=-11","REVERSE_PERIOD_ORDER=N","PRODUCT_GEO_OVERRIDE=P","FUND_PER",RIGHT($B$11,1),"ACCOUNTING_STANDARD_OVERRIDE",$H$7,"EQY_CONSOLIDATED",$H$9,"EQY_FUND_CRNCY",$L$7,"StartCol",G$12,"EndCol",G$12,"StartRow",$B137,"EndRow",$B137))</f>
        <v/>
      </c>
      <c r="H137" s="218" t="str">
        <f>IF(LEFT(_xll.BDS(Ticker,"PG_DEPR_AMORTIZATION","PG_HIERARCHY_LEVEL=1","NUMBER_OF_PERIODS=-11","REVERSE_PERIOD_ORDER=N","PRODUCT_GEO_OVERRIDE=P","FUND_PER",RIGHT($B$11,1),"ACCOUNTING_STANDARD_OVERRIDE",$H$7,"EQY_CONSOLIDATED",$H$9,"EQY_FUND_CRNCY",$L$7,"StartCol",H$12,"EndCol",H$12,"StartRow",$B137,"EndRow",$B137),1)="#","",_xll.BDS(Ticker,"PG_DEPR_AMORTIZATION","PG_HIERARCHY_LEVEL=1","NUMBER_OF_PERIODS=-11","REVERSE_PERIOD_ORDER=N","PRODUCT_GEO_OVERRIDE=P","FUND_PER",RIGHT($B$11,1),"ACCOUNTING_STANDARD_OVERRIDE",$H$7,"EQY_CONSOLIDATED",$H$9,"EQY_FUND_CRNCY",$L$7,"StartCol",H$12,"EndCol",H$12,"StartRow",$B137,"EndRow",$B137))</f>
        <v/>
      </c>
      <c r="I137" s="218" t="str">
        <f>IF(LEFT(_xll.BDS(Ticker,"PG_DEPR_AMORTIZATION","PG_HIERARCHY_LEVEL=1","NUMBER_OF_PERIODS=-11","REVERSE_PERIOD_ORDER=N","PRODUCT_GEO_OVERRIDE=P","FUND_PER",RIGHT($B$11,1),"ACCOUNTING_STANDARD_OVERRIDE",$H$7,"EQY_CONSOLIDATED",$H$9,"EQY_FUND_CRNCY",$L$7,"StartCol",I$12,"EndCol",I$12,"StartRow",$B137,"EndRow",$B137),1)="#","",_xll.BDS(Ticker,"PG_DEPR_AMORTIZATION","PG_HIERARCHY_LEVEL=1","NUMBER_OF_PERIODS=-11","REVERSE_PERIOD_ORDER=N","PRODUCT_GEO_OVERRIDE=P","FUND_PER",RIGHT($B$11,1),"ACCOUNTING_STANDARD_OVERRIDE",$H$7,"EQY_CONSOLIDATED",$H$9,"EQY_FUND_CRNCY",$L$7,"StartCol",I$12,"EndCol",I$12,"StartRow",$B137,"EndRow",$B137))</f>
        <v/>
      </c>
      <c r="J137" s="218" t="str">
        <f>IF(LEFT(_xll.BDS(Ticker,"PG_DEPR_AMORTIZATION","PG_HIERARCHY_LEVEL=1","NUMBER_OF_PERIODS=-11","REVERSE_PERIOD_ORDER=N","PRODUCT_GEO_OVERRIDE=P","FUND_PER",RIGHT($B$11,1),"ACCOUNTING_STANDARD_OVERRIDE",$H$7,"EQY_CONSOLIDATED",$H$9,"EQY_FUND_CRNCY",$L$7,"StartCol",J$12,"EndCol",J$12,"StartRow",$B137,"EndRow",$B137),1)="#","",_xll.BDS(Ticker,"PG_DEPR_AMORTIZATION","PG_HIERARCHY_LEVEL=1","NUMBER_OF_PERIODS=-11","REVERSE_PERIOD_ORDER=N","PRODUCT_GEO_OVERRIDE=P","FUND_PER",RIGHT($B$11,1),"ACCOUNTING_STANDARD_OVERRIDE",$H$7,"EQY_CONSOLIDATED",$H$9,"EQY_FUND_CRNCY",$L$7,"StartCol",J$12,"EndCol",J$12,"StartRow",$B137,"EndRow",$B137))</f>
        <v/>
      </c>
      <c r="K137" s="218" t="str">
        <f>IF(LEFT(_xll.BDS(Ticker,"PG_DEPR_AMORTIZATION","PG_HIERARCHY_LEVEL=1","NUMBER_OF_PERIODS=-11","REVERSE_PERIOD_ORDER=N","PRODUCT_GEO_OVERRIDE=P","FUND_PER",RIGHT($B$11,1),"ACCOUNTING_STANDARD_OVERRIDE",$H$7,"EQY_CONSOLIDATED",$H$9,"EQY_FUND_CRNCY",$L$7,"StartCol",K$12,"EndCol",K$12,"StartRow",$B137,"EndRow",$B137),1)="#","",_xll.BDS(Ticker,"PG_DEPR_AMORTIZATION","PG_HIERARCHY_LEVEL=1","NUMBER_OF_PERIODS=-11","REVERSE_PERIOD_ORDER=N","PRODUCT_GEO_OVERRIDE=P","FUND_PER",RIGHT($B$11,1),"ACCOUNTING_STANDARD_OVERRIDE",$H$7,"EQY_CONSOLIDATED",$H$9,"EQY_FUND_CRNCY",$L$7,"StartCol",K$12,"EndCol",K$12,"StartRow",$B137,"EndRow",$B137))</f>
        <v/>
      </c>
      <c r="L137" s="218" t="str">
        <f>IF(LEFT(_xll.BDS(Ticker,"PG_DEPR_AMORTIZATION","PG_HIERARCHY_LEVEL=1","NUMBER_OF_PERIODS=-11","REVERSE_PERIOD_ORDER=N","PRODUCT_GEO_OVERRIDE=P","FUND_PER",RIGHT($B$11,1),"ACCOUNTING_STANDARD_OVERRIDE",$H$7,"EQY_CONSOLIDATED",$H$9,"EQY_FUND_CRNCY",$L$7,"StartCol",L$12,"EndCol",L$12,"StartRow",$B137,"EndRow",$B137),1)="#","",_xll.BDS(Ticker,"PG_DEPR_AMORTIZATION","PG_HIERARCHY_LEVEL=1","NUMBER_OF_PERIODS=-11","REVERSE_PERIOD_ORDER=N","PRODUCT_GEO_OVERRIDE=P","FUND_PER",RIGHT($B$11,1),"ACCOUNTING_STANDARD_OVERRIDE",$H$7,"EQY_CONSOLIDATED",$H$9,"EQY_FUND_CRNCY",$L$7,"StartCol",L$12,"EndCol",L$12,"StartRow",$B137,"EndRow",$B137))</f>
        <v/>
      </c>
      <c r="M137" s="218" t="str">
        <f>IF(LEFT(_xll.BDS(Ticker,"PG_DEPR_AMORTIZATION","PG_HIERARCHY_LEVEL=1","NUMBER_OF_PERIODS=-11","REVERSE_PERIOD_ORDER=N","PRODUCT_GEO_OVERRIDE=P","FUND_PER",RIGHT($B$11,1),"ACCOUNTING_STANDARD_OVERRIDE",$H$7,"EQY_CONSOLIDATED",$H$9,"EQY_FUND_CRNCY",$L$7,"StartCol",M$12,"EndCol",M$12,"StartRow",$B137,"EndRow",$B137),1)="#","",_xll.BDS(Ticker,"PG_DEPR_AMORTIZATION","PG_HIERARCHY_LEVEL=1","NUMBER_OF_PERIODS=-11","REVERSE_PERIOD_ORDER=N","PRODUCT_GEO_OVERRIDE=P","FUND_PER",RIGHT($B$11,1),"ACCOUNTING_STANDARD_OVERRIDE",$H$7,"EQY_CONSOLIDATED",$H$9,"EQY_FUND_CRNCY",$L$7,"StartCol",M$12,"EndCol",M$12,"StartRow",$B137,"EndRow",$B137))</f>
        <v/>
      </c>
      <c r="N137" s="218" t="str">
        <f>IF(LEFT(_xll.BDS(Ticker,"PG_DEPR_AMORTIZATION","PG_HIERARCHY_LEVEL=1","NUMBER_OF_PERIODS=-11","REVERSE_PERIOD_ORDER=N","PRODUCT_GEO_OVERRIDE=P","FUND_PER",RIGHT($B$11,1),"ACCOUNTING_STANDARD_OVERRIDE",$H$7,"EQY_CONSOLIDATED",$H$9,"EQY_FUND_CRNCY",$L$7,"StartCol",N$12,"EndCol",N$12,"StartRow",$B137,"EndRow",$B137),1)="#","",_xll.BDS(Ticker,"PG_DEPR_AMORTIZATION","PG_HIERARCHY_LEVEL=1","NUMBER_OF_PERIODS=-11","REVERSE_PERIOD_ORDER=N","PRODUCT_GEO_OVERRIDE=P","FUND_PER",RIGHT($B$11,1),"ACCOUNTING_STANDARD_OVERRIDE",$H$7,"EQY_CONSOLIDATED",$H$9,"EQY_FUND_CRNCY",$L$7,"StartCol",N$12,"EndCol",N$12,"StartRow",$B137,"EndRow",$B137))</f>
        <v/>
      </c>
    </row>
    <row r="138" spans="2:14" hidden="1" outlineLevel="1">
      <c r="B138" s="214">
        <v>6</v>
      </c>
      <c r="C138" s="216" t="str">
        <f>IF(LEFT(_xll.BDS(Ticker,"PG_DEPR_AMORTIZATION","PG_HIERARCHY_LEVEL=1","NUMBER_OF_PERIODS=-11","REVERSE_PERIOD_ORDER=N","PRODUCT_GEO_OVERRIDE=P","FUND_PER",RIGHT($B$11,1),"ACCOUNTING_STANDARD_OVERRIDE",$H$7,"EQY_CONSOLIDATED",$H$9,"EQY_FUND_CRNCY",$L$7,"StartCol",C$12,"EndCol",C$12,"StartRow",$B138,"EndRow",$B138),1)="#","",_xll.BDS(Ticker,"PG_DEPR_AMORTIZATION","PG_HIERARCHY_LEVEL=1","NUMBER_OF_PERIODS=-11","REVERSE_PERIOD_ORDER=N","PRODUCT_GEO_OVERRIDE=P","FUND_PER",RIGHT($B$11,1),"ACCOUNTING_STANDARD_OVERRIDE",$H$7,"EQY_CONSOLIDATED",$H$9,"EQY_FUND_CRNCY",$L$7,"StartCol",C$12,"EndCol",C$12,"StartRow",$B138,"EndRow",$B138))</f>
        <v>Orthopedic Implants</v>
      </c>
      <c r="D138" s="218">
        <f>IF(LEFT(_xll.BDS(Ticker,"PG_DEPR_AMORTIZATION","PG_HIERARCHY_LEVEL=1","NUMBER_OF_PERIODS=-11","REVERSE_PERIOD_ORDER=N","PRODUCT_GEO_OVERRIDE=P","FUND_PER",RIGHT($B$11,1),"ACCOUNTING_STANDARD_OVERRIDE",$H$7,"EQY_CONSOLIDATED",$H$9,"EQY_FUND_CRNCY",$L$7,"StartCol",D$12,"EndCol",D$12,"StartRow",$B138,"EndRow",$B138),1)="#","",_xll.BDS(Ticker,"PG_DEPR_AMORTIZATION","PG_HIERARCHY_LEVEL=1","NUMBER_OF_PERIODS=-11","REVERSE_PERIOD_ORDER=N","PRODUCT_GEO_OVERRIDE=P","FUND_PER",RIGHT($B$11,1),"ACCOUNTING_STANDARD_OVERRIDE",$H$7,"EQY_CONSOLIDATED",$H$9,"EQY_FUND_CRNCY",$L$7,"StartCol",D$12,"EndCol",D$12,"StartRow",$B138,"EndRow",$B138))</f>
        <v>308.10000000000002</v>
      </c>
      <c r="E138" s="218" t="str">
        <f>IF(LEFT(_xll.BDS(Ticker,"PG_DEPR_AMORTIZATION","PG_HIERARCHY_LEVEL=1","NUMBER_OF_PERIODS=-11","REVERSE_PERIOD_ORDER=N","PRODUCT_GEO_OVERRIDE=P","FUND_PER",RIGHT($B$11,1),"ACCOUNTING_STANDARD_OVERRIDE",$H$7,"EQY_CONSOLIDATED",$H$9,"EQY_FUND_CRNCY",$L$7,"StartCol",E$12,"EndCol",E$12,"StartRow",$B138,"EndRow",$B138),1)="#","",_xll.BDS(Ticker,"PG_DEPR_AMORTIZATION","PG_HIERARCHY_LEVEL=1","NUMBER_OF_PERIODS=-11","REVERSE_PERIOD_ORDER=N","PRODUCT_GEO_OVERRIDE=P","FUND_PER",RIGHT($B$11,1),"ACCOUNTING_STANDARD_OVERRIDE",$H$7,"EQY_CONSOLIDATED",$H$9,"EQY_FUND_CRNCY",$L$7,"StartCol",E$12,"EndCol",E$12,"StartRow",$B138,"EndRow",$B138))</f>
        <v/>
      </c>
      <c r="F138" s="218" t="str">
        <f>IF(LEFT(_xll.BDS(Ticker,"PG_DEPR_AMORTIZATION","PG_HIERARCHY_LEVEL=1","NUMBER_OF_PERIODS=-11","REVERSE_PERIOD_ORDER=N","PRODUCT_GEO_OVERRIDE=P","FUND_PER",RIGHT($B$11,1),"ACCOUNTING_STANDARD_OVERRIDE",$H$7,"EQY_CONSOLIDATED",$H$9,"EQY_FUND_CRNCY",$L$7,"StartCol",F$12,"EndCol",F$12,"StartRow",$B138,"EndRow",$B138),1)="#","",_xll.BDS(Ticker,"PG_DEPR_AMORTIZATION","PG_HIERARCHY_LEVEL=1","NUMBER_OF_PERIODS=-11","REVERSE_PERIOD_ORDER=N","PRODUCT_GEO_OVERRIDE=P","FUND_PER",RIGHT($B$11,1),"ACCOUNTING_STANDARD_OVERRIDE",$H$7,"EQY_CONSOLIDATED",$H$9,"EQY_FUND_CRNCY",$L$7,"StartCol",F$12,"EndCol",F$12,"StartRow",$B138,"EndRow",$B138))</f>
        <v/>
      </c>
      <c r="G138" s="218" t="str">
        <f>IF(LEFT(_xll.BDS(Ticker,"PG_DEPR_AMORTIZATION","PG_HIERARCHY_LEVEL=1","NUMBER_OF_PERIODS=-11","REVERSE_PERIOD_ORDER=N","PRODUCT_GEO_OVERRIDE=P","FUND_PER",RIGHT($B$11,1),"ACCOUNTING_STANDARD_OVERRIDE",$H$7,"EQY_CONSOLIDATED",$H$9,"EQY_FUND_CRNCY",$L$7,"StartCol",G$12,"EndCol",G$12,"StartRow",$B138,"EndRow",$B138),1)="#","",_xll.BDS(Ticker,"PG_DEPR_AMORTIZATION","PG_HIERARCHY_LEVEL=1","NUMBER_OF_PERIODS=-11","REVERSE_PERIOD_ORDER=N","PRODUCT_GEO_OVERRIDE=P","FUND_PER",RIGHT($B$11,1),"ACCOUNTING_STANDARD_OVERRIDE",$H$7,"EQY_CONSOLIDATED",$H$9,"EQY_FUND_CRNCY",$L$7,"StartCol",G$12,"EndCol",G$12,"StartRow",$B138,"EndRow",$B138))</f>
        <v/>
      </c>
      <c r="H138" s="218" t="str">
        <f>IF(LEFT(_xll.BDS(Ticker,"PG_DEPR_AMORTIZATION","PG_HIERARCHY_LEVEL=1","NUMBER_OF_PERIODS=-11","REVERSE_PERIOD_ORDER=N","PRODUCT_GEO_OVERRIDE=P","FUND_PER",RIGHT($B$11,1),"ACCOUNTING_STANDARD_OVERRIDE",$H$7,"EQY_CONSOLIDATED",$H$9,"EQY_FUND_CRNCY",$L$7,"StartCol",H$12,"EndCol",H$12,"StartRow",$B138,"EndRow",$B138),1)="#","",_xll.BDS(Ticker,"PG_DEPR_AMORTIZATION","PG_HIERARCHY_LEVEL=1","NUMBER_OF_PERIODS=-11","REVERSE_PERIOD_ORDER=N","PRODUCT_GEO_OVERRIDE=P","FUND_PER",RIGHT($B$11,1),"ACCOUNTING_STANDARD_OVERRIDE",$H$7,"EQY_CONSOLIDATED",$H$9,"EQY_FUND_CRNCY",$L$7,"StartCol",H$12,"EndCol",H$12,"StartRow",$B138,"EndRow",$B138))</f>
        <v/>
      </c>
      <c r="I138" s="218" t="str">
        <f>IF(LEFT(_xll.BDS(Ticker,"PG_DEPR_AMORTIZATION","PG_HIERARCHY_LEVEL=1","NUMBER_OF_PERIODS=-11","REVERSE_PERIOD_ORDER=N","PRODUCT_GEO_OVERRIDE=P","FUND_PER",RIGHT($B$11,1),"ACCOUNTING_STANDARD_OVERRIDE",$H$7,"EQY_CONSOLIDATED",$H$9,"EQY_FUND_CRNCY",$L$7,"StartCol",I$12,"EndCol",I$12,"StartRow",$B138,"EndRow",$B138),1)="#","",_xll.BDS(Ticker,"PG_DEPR_AMORTIZATION","PG_HIERARCHY_LEVEL=1","NUMBER_OF_PERIODS=-11","REVERSE_PERIOD_ORDER=N","PRODUCT_GEO_OVERRIDE=P","FUND_PER",RIGHT($B$11,1),"ACCOUNTING_STANDARD_OVERRIDE",$H$7,"EQY_CONSOLIDATED",$H$9,"EQY_FUND_CRNCY",$L$7,"StartCol",I$12,"EndCol",I$12,"StartRow",$B138,"EndRow",$B138))</f>
        <v/>
      </c>
      <c r="J138" s="218" t="str">
        <f>IF(LEFT(_xll.BDS(Ticker,"PG_DEPR_AMORTIZATION","PG_HIERARCHY_LEVEL=1","NUMBER_OF_PERIODS=-11","REVERSE_PERIOD_ORDER=N","PRODUCT_GEO_OVERRIDE=P","FUND_PER",RIGHT($B$11,1),"ACCOUNTING_STANDARD_OVERRIDE",$H$7,"EQY_CONSOLIDATED",$H$9,"EQY_FUND_CRNCY",$L$7,"StartCol",J$12,"EndCol",J$12,"StartRow",$B138,"EndRow",$B138),1)="#","",_xll.BDS(Ticker,"PG_DEPR_AMORTIZATION","PG_HIERARCHY_LEVEL=1","NUMBER_OF_PERIODS=-11","REVERSE_PERIOD_ORDER=N","PRODUCT_GEO_OVERRIDE=P","FUND_PER",RIGHT($B$11,1),"ACCOUNTING_STANDARD_OVERRIDE",$H$7,"EQY_CONSOLIDATED",$H$9,"EQY_FUND_CRNCY",$L$7,"StartCol",J$12,"EndCol",J$12,"StartRow",$B138,"EndRow",$B138))</f>
        <v/>
      </c>
      <c r="K138" s="218" t="str">
        <f>IF(LEFT(_xll.BDS(Ticker,"PG_DEPR_AMORTIZATION","PG_HIERARCHY_LEVEL=1","NUMBER_OF_PERIODS=-11","REVERSE_PERIOD_ORDER=N","PRODUCT_GEO_OVERRIDE=P","FUND_PER",RIGHT($B$11,1),"ACCOUNTING_STANDARD_OVERRIDE",$H$7,"EQY_CONSOLIDATED",$H$9,"EQY_FUND_CRNCY",$L$7,"StartCol",K$12,"EndCol",K$12,"StartRow",$B138,"EndRow",$B138),1)="#","",_xll.BDS(Ticker,"PG_DEPR_AMORTIZATION","PG_HIERARCHY_LEVEL=1","NUMBER_OF_PERIODS=-11","REVERSE_PERIOD_ORDER=N","PRODUCT_GEO_OVERRIDE=P","FUND_PER",RIGHT($B$11,1),"ACCOUNTING_STANDARD_OVERRIDE",$H$7,"EQY_CONSOLIDATED",$H$9,"EQY_FUND_CRNCY",$L$7,"StartCol",K$12,"EndCol",K$12,"StartRow",$B138,"EndRow",$B138))</f>
        <v/>
      </c>
      <c r="L138" s="218" t="str">
        <f>IF(LEFT(_xll.BDS(Ticker,"PG_DEPR_AMORTIZATION","PG_HIERARCHY_LEVEL=1","NUMBER_OF_PERIODS=-11","REVERSE_PERIOD_ORDER=N","PRODUCT_GEO_OVERRIDE=P","FUND_PER",RIGHT($B$11,1),"ACCOUNTING_STANDARD_OVERRIDE",$H$7,"EQY_CONSOLIDATED",$H$9,"EQY_FUND_CRNCY",$L$7,"StartCol",L$12,"EndCol",L$12,"StartRow",$B138,"EndRow",$B138),1)="#","",_xll.BDS(Ticker,"PG_DEPR_AMORTIZATION","PG_HIERARCHY_LEVEL=1","NUMBER_OF_PERIODS=-11","REVERSE_PERIOD_ORDER=N","PRODUCT_GEO_OVERRIDE=P","FUND_PER",RIGHT($B$11,1),"ACCOUNTING_STANDARD_OVERRIDE",$H$7,"EQY_CONSOLIDATED",$H$9,"EQY_FUND_CRNCY",$L$7,"StartCol",L$12,"EndCol",L$12,"StartRow",$B138,"EndRow",$B138))</f>
        <v/>
      </c>
      <c r="M138" s="218" t="str">
        <f>IF(LEFT(_xll.BDS(Ticker,"PG_DEPR_AMORTIZATION","PG_HIERARCHY_LEVEL=1","NUMBER_OF_PERIODS=-11","REVERSE_PERIOD_ORDER=N","PRODUCT_GEO_OVERRIDE=P","FUND_PER",RIGHT($B$11,1),"ACCOUNTING_STANDARD_OVERRIDE",$H$7,"EQY_CONSOLIDATED",$H$9,"EQY_FUND_CRNCY",$L$7,"StartCol",M$12,"EndCol",M$12,"StartRow",$B138,"EndRow",$B138),1)="#","",_xll.BDS(Ticker,"PG_DEPR_AMORTIZATION","PG_HIERARCHY_LEVEL=1","NUMBER_OF_PERIODS=-11","REVERSE_PERIOD_ORDER=N","PRODUCT_GEO_OVERRIDE=P","FUND_PER",RIGHT($B$11,1),"ACCOUNTING_STANDARD_OVERRIDE",$H$7,"EQY_CONSOLIDATED",$H$9,"EQY_FUND_CRNCY",$L$7,"StartCol",M$12,"EndCol",M$12,"StartRow",$B138,"EndRow",$B138))</f>
        <v/>
      </c>
      <c r="N138" s="218" t="str">
        <f>IF(LEFT(_xll.BDS(Ticker,"PG_DEPR_AMORTIZATION","PG_HIERARCHY_LEVEL=1","NUMBER_OF_PERIODS=-11","REVERSE_PERIOD_ORDER=N","PRODUCT_GEO_OVERRIDE=P","FUND_PER",RIGHT($B$11,1),"ACCOUNTING_STANDARD_OVERRIDE",$H$7,"EQY_CONSOLIDATED",$H$9,"EQY_FUND_CRNCY",$L$7,"StartCol",N$12,"EndCol",N$12,"StartRow",$B138,"EndRow",$B138),1)="#","",_xll.BDS(Ticker,"PG_DEPR_AMORTIZATION","PG_HIERARCHY_LEVEL=1","NUMBER_OF_PERIODS=-11","REVERSE_PERIOD_ORDER=N","PRODUCT_GEO_OVERRIDE=P","FUND_PER",RIGHT($B$11,1),"ACCOUNTING_STANDARD_OVERRIDE",$H$7,"EQY_CONSOLIDATED",$H$9,"EQY_FUND_CRNCY",$L$7,"StartCol",N$12,"EndCol",N$12,"StartRow",$B138,"EndRow",$B138))</f>
        <v/>
      </c>
    </row>
    <row r="139" spans="2:14" hidden="1" outlineLevel="1">
      <c r="B139" s="214">
        <v>7</v>
      </c>
      <c r="C139" s="216" t="str">
        <f>IF(LEFT(_xll.BDS(Ticker,"PG_DEPR_AMORTIZATION","PG_HIERARCHY_LEVEL=1","NUMBER_OF_PERIODS=-11","REVERSE_PERIOD_ORDER=N","PRODUCT_GEO_OVERRIDE=P","FUND_PER",RIGHT($B$11,1),"ACCOUNTING_STANDARD_OVERRIDE",$H$7,"EQY_CONSOLIDATED",$H$9,"EQY_FUND_CRNCY",$L$7,"StartCol",C$12,"EndCol",C$12,"StartRow",$B139,"EndRow",$B139),1)="#","",_xll.BDS(Ticker,"PG_DEPR_AMORTIZATION","PG_HIERARCHY_LEVEL=1","NUMBER_OF_PERIODS=-11","REVERSE_PERIOD_ORDER=N","PRODUCT_GEO_OVERRIDE=P","FUND_PER",RIGHT($B$11,1),"ACCOUNTING_STANDARD_OVERRIDE",$H$7,"EQY_CONSOLIDATED",$H$9,"EQY_FUND_CRNCY",$L$7,"StartCol",C$12,"EndCol",C$12,"StartRow",$B139,"EndRow",$B139))</f>
        <v>Reconstructive_orthopaedics</v>
      </c>
      <c r="D139" s="218" t="str">
        <f>IF(LEFT(_xll.BDS(Ticker,"PG_DEPR_AMORTIZATION","PG_HIERARCHY_LEVEL=1","NUMBER_OF_PERIODS=-11","REVERSE_PERIOD_ORDER=N","PRODUCT_GEO_OVERRIDE=P","FUND_PER",RIGHT($B$11,1),"ACCOUNTING_STANDARD_OVERRIDE",$H$7,"EQY_CONSOLIDATED",$H$9,"EQY_FUND_CRNCY",$L$7,"StartCol",D$12,"EndCol",D$12,"StartRow",$B139,"EndRow",$B139),1)="#","",_xll.BDS(Ticker,"PG_DEPR_AMORTIZATION","PG_HIERARCHY_LEVEL=1","NUMBER_OF_PERIODS=-11","REVERSE_PERIOD_ORDER=N","PRODUCT_GEO_OVERRIDE=P","FUND_PER",RIGHT($B$11,1),"ACCOUNTING_STANDARD_OVERRIDE",$H$7,"EQY_CONSOLIDATED",$H$9,"EQY_FUND_CRNCY",$L$7,"StartCol",D$12,"EndCol",D$12,"StartRow",$B139,"EndRow",$B139))</f>
        <v/>
      </c>
      <c r="E139" s="218">
        <f>IF(LEFT(_xll.BDS(Ticker,"PG_DEPR_AMORTIZATION","PG_HIERARCHY_LEVEL=1","NUMBER_OF_PERIODS=-11","REVERSE_PERIOD_ORDER=N","PRODUCT_GEO_OVERRIDE=P","FUND_PER",RIGHT($B$11,1),"ACCOUNTING_STANDARD_OVERRIDE",$H$7,"EQY_CONSOLIDATED",$H$9,"EQY_FUND_CRNCY",$L$7,"StartCol",E$12,"EndCol",E$12,"StartRow",$B139,"EndRow",$B139),1)="#","",_xll.BDS(Ticker,"PG_DEPR_AMORTIZATION","PG_HIERARCHY_LEVEL=1","NUMBER_OF_PERIODS=-11","REVERSE_PERIOD_ORDER=N","PRODUCT_GEO_OVERRIDE=P","FUND_PER",RIGHT($B$11,1),"ACCOUNTING_STANDARD_OVERRIDE",$H$7,"EQY_CONSOLIDATED",$H$9,"EQY_FUND_CRNCY",$L$7,"StartCol",E$12,"EndCol",E$12,"StartRow",$B139,"EndRow",$B139))</f>
        <v>245</v>
      </c>
      <c r="F139" s="218" t="str">
        <f>IF(LEFT(_xll.BDS(Ticker,"PG_DEPR_AMORTIZATION","PG_HIERARCHY_LEVEL=1","NUMBER_OF_PERIODS=-11","REVERSE_PERIOD_ORDER=N","PRODUCT_GEO_OVERRIDE=P","FUND_PER",RIGHT($B$11,1),"ACCOUNTING_STANDARD_OVERRIDE",$H$7,"EQY_CONSOLIDATED",$H$9,"EQY_FUND_CRNCY",$L$7,"StartCol",F$12,"EndCol",F$12,"StartRow",$B139,"EndRow",$B139),1)="#","",_xll.BDS(Ticker,"PG_DEPR_AMORTIZATION","PG_HIERARCHY_LEVEL=1","NUMBER_OF_PERIODS=-11","REVERSE_PERIOD_ORDER=N","PRODUCT_GEO_OVERRIDE=P","FUND_PER",RIGHT($B$11,1),"ACCOUNTING_STANDARD_OVERRIDE",$H$7,"EQY_CONSOLIDATED",$H$9,"EQY_FUND_CRNCY",$L$7,"StartCol",F$12,"EndCol",F$12,"StartRow",$B139,"EndRow",$B139))</f>
        <v/>
      </c>
      <c r="G139" s="218" t="str">
        <f>IF(LEFT(_xll.BDS(Ticker,"PG_DEPR_AMORTIZATION","PG_HIERARCHY_LEVEL=1","NUMBER_OF_PERIODS=-11","REVERSE_PERIOD_ORDER=N","PRODUCT_GEO_OVERRIDE=P","FUND_PER",RIGHT($B$11,1),"ACCOUNTING_STANDARD_OVERRIDE",$H$7,"EQY_CONSOLIDATED",$H$9,"EQY_FUND_CRNCY",$L$7,"StartCol",G$12,"EndCol",G$12,"StartRow",$B139,"EndRow",$B139),1)="#","",_xll.BDS(Ticker,"PG_DEPR_AMORTIZATION","PG_HIERARCHY_LEVEL=1","NUMBER_OF_PERIODS=-11","REVERSE_PERIOD_ORDER=N","PRODUCT_GEO_OVERRIDE=P","FUND_PER",RIGHT($B$11,1),"ACCOUNTING_STANDARD_OVERRIDE",$H$7,"EQY_CONSOLIDATED",$H$9,"EQY_FUND_CRNCY",$L$7,"StartCol",G$12,"EndCol",G$12,"StartRow",$B139,"EndRow",$B139))</f>
        <v/>
      </c>
      <c r="H139" s="218" t="str">
        <f>IF(LEFT(_xll.BDS(Ticker,"PG_DEPR_AMORTIZATION","PG_HIERARCHY_LEVEL=1","NUMBER_OF_PERIODS=-11","REVERSE_PERIOD_ORDER=N","PRODUCT_GEO_OVERRIDE=P","FUND_PER",RIGHT($B$11,1),"ACCOUNTING_STANDARD_OVERRIDE",$H$7,"EQY_CONSOLIDATED",$H$9,"EQY_FUND_CRNCY",$L$7,"StartCol",H$12,"EndCol",H$12,"StartRow",$B139,"EndRow",$B139),1)="#","",_xll.BDS(Ticker,"PG_DEPR_AMORTIZATION","PG_HIERARCHY_LEVEL=1","NUMBER_OF_PERIODS=-11","REVERSE_PERIOD_ORDER=N","PRODUCT_GEO_OVERRIDE=P","FUND_PER",RIGHT($B$11,1),"ACCOUNTING_STANDARD_OVERRIDE",$H$7,"EQY_CONSOLIDATED",$H$9,"EQY_FUND_CRNCY",$L$7,"StartCol",H$12,"EndCol",H$12,"StartRow",$B139,"EndRow",$B139))</f>
        <v/>
      </c>
      <c r="I139" s="218" t="str">
        <f>IF(LEFT(_xll.BDS(Ticker,"PG_DEPR_AMORTIZATION","PG_HIERARCHY_LEVEL=1","NUMBER_OF_PERIODS=-11","REVERSE_PERIOD_ORDER=N","PRODUCT_GEO_OVERRIDE=P","FUND_PER",RIGHT($B$11,1),"ACCOUNTING_STANDARD_OVERRIDE",$H$7,"EQY_CONSOLIDATED",$H$9,"EQY_FUND_CRNCY",$L$7,"StartCol",I$12,"EndCol",I$12,"StartRow",$B139,"EndRow",$B139),1)="#","",_xll.BDS(Ticker,"PG_DEPR_AMORTIZATION","PG_HIERARCHY_LEVEL=1","NUMBER_OF_PERIODS=-11","REVERSE_PERIOD_ORDER=N","PRODUCT_GEO_OVERRIDE=P","FUND_PER",RIGHT($B$11,1),"ACCOUNTING_STANDARD_OVERRIDE",$H$7,"EQY_CONSOLIDATED",$H$9,"EQY_FUND_CRNCY",$L$7,"StartCol",I$12,"EndCol",I$12,"StartRow",$B139,"EndRow",$B139))</f>
        <v/>
      </c>
      <c r="J139" s="218" t="str">
        <f>IF(LEFT(_xll.BDS(Ticker,"PG_DEPR_AMORTIZATION","PG_HIERARCHY_LEVEL=1","NUMBER_OF_PERIODS=-11","REVERSE_PERIOD_ORDER=N","PRODUCT_GEO_OVERRIDE=P","FUND_PER",RIGHT($B$11,1),"ACCOUNTING_STANDARD_OVERRIDE",$H$7,"EQY_CONSOLIDATED",$H$9,"EQY_FUND_CRNCY",$L$7,"StartCol",J$12,"EndCol",J$12,"StartRow",$B139,"EndRow",$B139),1)="#","",_xll.BDS(Ticker,"PG_DEPR_AMORTIZATION","PG_HIERARCHY_LEVEL=1","NUMBER_OF_PERIODS=-11","REVERSE_PERIOD_ORDER=N","PRODUCT_GEO_OVERRIDE=P","FUND_PER",RIGHT($B$11,1),"ACCOUNTING_STANDARD_OVERRIDE",$H$7,"EQY_CONSOLIDATED",$H$9,"EQY_FUND_CRNCY",$L$7,"StartCol",J$12,"EndCol",J$12,"StartRow",$B139,"EndRow",$B139))</f>
        <v/>
      </c>
      <c r="K139" s="218" t="str">
        <f>IF(LEFT(_xll.BDS(Ticker,"PG_DEPR_AMORTIZATION","PG_HIERARCHY_LEVEL=1","NUMBER_OF_PERIODS=-11","REVERSE_PERIOD_ORDER=N","PRODUCT_GEO_OVERRIDE=P","FUND_PER",RIGHT($B$11,1),"ACCOUNTING_STANDARD_OVERRIDE",$H$7,"EQY_CONSOLIDATED",$H$9,"EQY_FUND_CRNCY",$L$7,"StartCol",K$12,"EndCol",K$12,"StartRow",$B139,"EndRow",$B139),1)="#","",_xll.BDS(Ticker,"PG_DEPR_AMORTIZATION","PG_HIERARCHY_LEVEL=1","NUMBER_OF_PERIODS=-11","REVERSE_PERIOD_ORDER=N","PRODUCT_GEO_OVERRIDE=P","FUND_PER",RIGHT($B$11,1),"ACCOUNTING_STANDARD_OVERRIDE",$H$7,"EQY_CONSOLIDATED",$H$9,"EQY_FUND_CRNCY",$L$7,"StartCol",K$12,"EndCol",K$12,"StartRow",$B139,"EndRow",$B139))</f>
        <v/>
      </c>
      <c r="L139" s="218" t="str">
        <f>IF(LEFT(_xll.BDS(Ticker,"PG_DEPR_AMORTIZATION","PG_HIERARCHY_LEVEL=1","NUMBER_OF_PERIODS=-11","REVERSE_PERIOD_ORDER=N","PRODUCT_GEO_OVERRIDE=P","FUND_PER",RIGHT($B$11,1),"ACCOUNTING_STANDARD_OVERRIDE",$H$7,"EQY_CONSOLIDATED",$H$9,"EQY_FUND_CRNCY",$L$7,"StartCol",L$12,"EndCol",L$12,"StartRow",$B139,"EndRow",$B139),1)="#","",_xll.BDS(Ticker,"PG_DEPR_AMORTIZATION","PG_HIERARCHY_LEVEL=1","NUMBER_OF_PERIODS=-11","REVERSE_PERIOD_ORDER=N","PRODUCT_GEO_OVERRIDE=P","FUND_PER",RIGHT($B$11,1),"ACCOUNTING_STANDARD_OVERRIDE",$H$7,"EQY_CONSOLIDATED",$H$9,"EQY_FUND_CRNCY",$L$7,"StartCol",L$12,"EndCol",L$12,"StartRow",$B139,"EndRow",$B139))</f>
        <v/>
      </c>
      <c r="M139" s="218" t="str">
        <f>IF(LEFT(_xll.BDS(Ticker,"PG_DEPR_AMORTIZATION","PG_HIERARCHY_LEVEL=1","NUMBER_OF_PERIODS=-11","REVERSE_PERIOD_ORDER=N","PRODUCT_GEO_OVERRIDE=P","FUND_PER",RIGHT($B$11,1),"ACCOUNTING_STANDARD_OVERRIDE",$H$7,"EQY_CONSOLIDATED",$H$9,"EQY_FUND_CRNCY",$L$7,"StartCol",M$12,"EndCol",M$12,"StartRow",$B139,"EndRow",$B139),1)="#","",_xll.BDS(Ticker,"PG_DEPR_AMORTIZATION","PG_HIERARCHY_LEVEL=1","NUMBER_OF_PERIODS=-11","REVERSE_PERIOD_ORDER=N","PRODUCT_GEO_OVERRIDE=P","FUND_PER",RIGHT($B$11,1),"ACCOUNTING_STANDARD_OVERRIDE",$H$7,"EQY_CONSOLIDATED",$H$9,"EQY_FUND_CRNCY",$L$7,"StartCol",M$12,"EndCol",M$12,"StartRow",$B139,"EndRow",$B139))</f>
        <v/>
      </c>
      <c r="N139" s="218" t="str">
        <f>IF(LEFT(_xll.BDS(Ticker,"PG_DEPR_AMORTIZATION","PG_HIERARCHY_LEVEL=1","NUMBER_OF_PERIODS=-11","REVERSE_PERIOD_ORDER=N","PRODUCT_GEO_OVERRIDE=P","FUND_PER",RIGHT($B$11,1),"ACCOUNTING_STANDARD_OVERRIDE",$H$7,"EQY_CONSOLIDATED",$H$9,"EQY_FUND_CRNCY",$L$7,"StartCol",N$12,"EndCol",N$12,"StartRow",$B139,"EndRow",$B139),1)="#","",_xll.BDS(Ticker,"PG_DEPR_AMORTIZATION","PG_HIERARCHY_LEVEL=1","NUMBER_OF_PERIODS=-11","REVERSE_PERIOD_ORDER=N","PRODUCT_GEO_OVERRIDE=P","FUND_PER",RIGHT($B$11,1),"ACCOUNTING_STANDARD_OVERRIDE",$H$7,"EQY_CONSOLIDATED",$H$9,"EQY_FUND_CRNCY",$L$7,"StartCol",N$12,"EndCol",N$12,"StartRow",$B139,"EndRow",$B139))</f>
        <v/>
      </c>
    </row>
    <row r="140" spans="2:14" hidden="1" outlineLevel="1">
      <c r="B140" s="214">
        <v>8</v>
      </c>
      <c r="C140" s="216" t="str">
        <f>IF(LEFT(_xll.BDS(Ticker,"PG_DEPR_AMORTIZATION","PG_HIERARCHY_LEVEL=1","NUMBER_OF_PERIODS=-11","REVERSE_PERIOD_ORDER=N","PRODUCT_GEO_OVERRIDE=P","FUND_PER",RIGHT($B$11,1),"ACCOUNTING_STANDARD_OVERRIDE",$H$7,"EQY_CONSOLIDATED",$H$9,"EQY_FUND_CRNCY",$L$7,"StartCol",C$12,"EndCol",C$12,"StartRow",$B140,"EndRow",$B140),1)="#","",_xll.BDS(Ticker,"PG_DEPR_AMORTIZATION","PG_HIERARCHY_LEVEL=1","NUMBER_OF_PERIODS=-11","REVERSE_PERIOD_ORDER=N","PRODUCT_GEO_OVERRIDE=P","FUND_PER",RIGHT($B$11,1),"ACCOUNTING_STANDARD_OVERRIDE",$H$7,"EQY_CONSOLIDATED",$H$9,"EQY_FUND_CRNCY",$L$7,"StartCol",C$12,"EndCol",C$12,"StartRow",$B140,"EndRow",$B140))</f>
        <v/>
      </c>
      <c r="D140" s="218" t="str">
        <f>IF(LEFT(_xll.BDS(Ticker,"PG_DEPR_AMORTIZATION","PG_HIERARCHY_LEVEL=1","NUMBER_OF_PERIODS=-11","REVERSE_PERIOD_ORDER=N","PRODUCT_GEO_OVERRIDE=P","FUND_PER",RIGHT($B$11,1),"ACCOUNTING_STANDARD_OVERRIDE",$H$7,"EQY_CONSOLIDATED",$H$9,"EQY_FUND_CRNCY",$L$7,"StartCol",D$12,"EndCol",D$12,"StartRow",$B140,"EndRow",$B140),1)="#","",_xll.BDS(Ticker,"PG_DEPR_AMORTIZATION","PG_HIERARCHY_LEVEL=1","NUMBER_OF_PERIODS=-11","REVERSE_PERIOD_ORDER=N","PRODUCT_GEO_OVERRIDE=P","FUND_PER",RIGHT($B$11,1),"ACCOUNTING_STANDARD_OVERRIDE",$H$7,"EQY_CONSOLIDATED",$H$9,"EQY_FUND_CRNCY",$L$7,"StartCol",D$12,"EndCol",D$12,"StartRow",$B140,"EndRow",$B140))</f>
        <v/>
      </c>
      <c r="E140" s="218" t="str">
        <f>IF(LEFT(_xll.BDS(Ticker,"PG_DEPR_AMORTIZATION","PG_HIERARCHY_LEVEL=1","NUMBER_OF_PERIODS=-11","REVERSE_PERIOD_ORDER=N","PRODUCT_GEO_OVERRIDE=P","FUND_PER",RIGHT($B$11,1),"ACCOUNTING_STANDARD_OVERRIDE",$H$7,"EQY_CONSOLIDATED",$H$9,"EQY_FUND_CRNCY",$L$7,"StartCol",E$12,"EndCol",E$12,"StartRow",$B140,"EndRow",$B140),1)="#","",_xll.BDS(Ticker,"PG_DEPR_AMORTIZATION","PG_HIERARCHY_LEVEL=1","NUMBER_OF_PERIODS=-11","REVERSE_PERIOD_ORDER=N","PRODUCT_GEO_OVERRIDE=P","FUND_PER",RIGHT($B$11,1),"ACCOUNTING_STANDARD_OVERRIDE",$H$7,"EQY_CONSOLIDATED",$H$9,"EQY_FUND_CRNCY",$L$7,"StartCol",E$12,"EndCol",E$12,"StartRow",$B140,"EndRow",$B140))</f>
        <v/>
      </c>
      <c r="F140" s="218" t="str">
        <f>IF(LEFT(_xll.BDS(Ticker,"PG_DEPR_AMORTIZATION","PG_HIERARCHY_LEVEL=1","NUMBER_OF_PERIODS=-11","REVERSE_PERIOD_ORDER=N","PRODUCT_GEO_OVERRIDE=P","FUND_PER",RIGHT($B$11,1),"ACCOUNTING_STANDARD_OVERRIDE",$H$7,"EQY_CONSOLIDATED",$H$9,"EQY_FUND_CRNCY",$L$7,"StartCol",F$12,"EndCol",F$12,"StartRow",$B140,"EndRow",$B140),1)="#","",_xll.BDS(Ticker,"PG_DEPR_AMORTIZATION","PG_HIERARCHY_LEVEL=1","NUMBER_OF_PERIODS=-11","REVERSE_PERIOD_ORDER=N","PRODUCT_GEO_OVERRIDE=P","FUND_PER",RIGHT($B$11,1),"ACCOUNTING_STANDARD_OVERRIDE",$H$7,"EQY_CONSOLIDATED",$H$9,"EQY_FUND_CRNCY",$L$7,"StartCol",F$12,"EndCol",F$12,"StartRow",$B140,"EndRow",$B140))</f>
        <v/>
      </c>
      <c r="G140" s="218" t="str">
        <f>IF(LEFT(_xll.BDS(Ticker,"PG_DEPR_AMORTIZATION","PG_HIERARCHY_LEVEL=1","NUMBER_OF_PERIODS=-11","REVERSE_PERIOD_ORDER=N","PRODUCT_GEO_OVERRIDE=P","FUND_PER",RIGHT($B$11,1),"ACCOUNTING_STANDARD_OVERRIDE",$H$7,"EQY_CONSOLIDATED",$H$9,"EQY_FUND_CRNCY",$L$7,"StartCol",G$12,"EndCol",G$12,"StartRow",$B140,"EndRow",$B140),1)="#","",_xll.BDS(Ticker,"PG_DEPR_AMORTIZATION","PG_HIERARCHY_LEVEL=1","NUMBER_OF_PERIODS=-11","REVERSE_PERIOD_ORDER=N","PRODUCT_GEO_OVERRIDE=P","FUND_PER",RIGHT($B$11,1),"ACCOUNTING_STANDARD_OVERRIDE",$H$7,"EQY_CONSOLIDATED",$H$9,"EQY_FUND_CRNCY",$L$7,"StartCol",G$12,"EndCol",G$12,"StartRow",$B140,"EndRow",$B140))</f>
        <v/>
      </c>
      <c r="H140" s="218" t="str">
        <f>IF(LEFT(_xll.BDS(Ticker,"PG_DEPR_AMORTIZATION","PG_HIERARCHY_LEVEL=1","NUMBER_OF_PERIODS=-11","REVERSE_PERIOD_ORDER=N","PRODUCT_GEO_OVERRIDE=P","FUND_PER",RIGHT($B$11,1),"ACCOUNTING_STANDARD_OVERRIDE",$H$7,"EQY_CONSOLIDATED",$H$9,"EQY_FUND_CRNCY",$L$7,"StartCol",H$12,"EndCol",H$12,"StartRow",$B140,"EndRow",$B140),1)="#","",_xll.BDS(Ticker,"PG_DEPR_AMORTIZATION","PG_HIERARCHY_LEVEL=1","NUMBER_OF_PERIODS=-11","REVERSE_PERIOD_ORDER=N","PRODUCT_GEO_OVERRIDE=P","FUND_PER",RIGHT($B$11,1),"ACCOUNTING_STANDARD_OVERRIDE",$H$7,"EQY_CONSOLIDATED",$H$9,"EQY_FUND_CRNCY",$L$7,"StartCol",H$12,"EndCol",H$12,"StartRow",$B140,"EndRow",$B140))</f>
        <v/>
      </c>
      <c r="I140" s="218" t="str">
        <f>IF(LEFT(_xll.BDS(Ticker,"PG_DEPR_AMORTIZATION","PG_HIERARCHY_LEVEL=1","NUMBER_OF_PERIODS=-11","REVERSE_PERIOD_ORDER=N","PRODUCT_GEO_OVERRIDE=P","FUND_PER",RIGHT($B$11,1),"ACCOUNTING_STANDARD_OVERRIDE",$H$7,"EQY_CONSOLIDATED",$H$9,"EQY_FUND_CRNCY",$L$7,"StartCol",I$12,"EndCol",I$12,"StartRow",$B140,"EndRow",$B140),1)="#","",_xll.BDS(Ticker,"PG_DEPR_AMORTIZATION","PG_HIERARCHY_LEVEL=1","NUMBER_OF_PERIODS=-11","REVERSE_PERIOD_ORDER=N","PRODUCT_GEO_OVERRIDE=P","FUND_PER",RIGHT($B$11,1),"ACCOUNTING_STANDARD_OVERRIDE",$H$7,"EQY_CONSOLIDATED",$H$9,"EQY_FUND_CRNCY",$L$7,"StartCol",I$12,"EndCol",I$12,"StartRow",$B140,"EndRow",$B140))</f>
        <v/>
      </c>
      <c r="J140" s="218" t="str">
        <f>IF(LEFT(_xll.BDS(Ticker,"PG_DEPR_AMORTIZATION","PG_HIERARCHY_LEVEL=1","NUMBER_OF_PERIODS=-11","REVERSE_PERIOD_ORDER=N","PRODUCT_GEO_OVERRIDE=P","FUND_PER",RIGHT($B$11,1),"ACCOUNTING_STANDARD_OVERRIDE",$H$7,"EQY_CONSOLIDATED",$H$9,"EQY_FUND_CRNCY",$L$7,"StartCol",J$12,"EndCol",J$12,"StartRow",$B140,"EndRow",$B140),1)="#","",_xll.BDS(Ticker,"PG_DEPR_AMORTIZATION","PG_HIERARCHY_LEVEL=1","NUMBER_OF_PERIODS=-11","REVERSE_PERIOD_ORDER=N","PRODUCT_GEO_OVERRIDE=P","FUND_PER",RIGHT($B$11,1),"ACCOUNTING_STANDARD_OVERRIDE",$H$7,"EQY_CONSOLIDATED",$H$9,"EQY_FUND_CRNCY",$L$7,"StartCol",J$12,"EndCol",J$12,"StartRow",$B140,"EndRow",$B140))</f>
        <v/>
      </c>
      <c r="K140" s="218" t="str">
        <f>IF(LEFT(_xll.BDS(Ticker,"PG_DEPR_AMORTIZATION","PG_HIERARCHY_LEVEL=1","NUMBER_OF_PERIODS=-11","REVERSE_PERIOD_ORDER=N","PRODUCT_GEO_OVERRIDE=P","FUND_PER",RIGHT($B$11,1),"ACCOUNTING_STANDARD_OVERRIDE",$H$7,"EQY_CONSOLIDATED",$H$9,"EQY_FUND_CRNCY",$L$7,"StartCol",K$12,"EndCol",K$12,"StartRow",$B140,"EndRow",$B140),1)="#","",_xll.BDS(Ticker,"PG_DEPR_AMORTIZATION","PG_HIERARCHY_LEVEL=1","NUMBER_OF_PERIODS=-11","REVERSE_PERIOD_ORDER=N","PRODUCT_GEO_OVERRIDE=P","FUND_PER",RIGHT($B$11,1),"ACCOUNTING_STANDARD_OVERRIDE",$H$7,"EQY_CONSOLIDATED",$H$9,"EQY_FUND_CRNCY",$L$7,"StartCol",K$12,"EndCol",K$12,"StartRow",$B140,"EndRow",$B140))</f>
        <v/>
      </c>
      <c r="L140" s="218" t="str">
        <f>IF(LEFT(_xll.BDS(Ticker,"PG_DEPR_AMORTIZATION","PG_HIERARCHY_LEVEL=1","NUMBER_OF_PERIODS=-11","REVERSE_PERIOD_ORDER=N","PRODUCT_GEO_OVERRIDE=P","FUND_PER",RIGHT($B$11,1),"ACCOUNTING_STANDARD_OVERRIDE",$H$7,"EQY_CONSOLIDATED",$H$9,"EQY_FUND_CRNCY",$L$7,"StartCol",L$12,"EndCol",L$12,"StartRow",$B140,"EndRow",$B140),1)="#","",_xll.BDS(Ticker,"PG_DEPR_AMORTIZATION","PG_HIERARCHY_LEVEL=1","NUMBER_OF_PERIODS=-11","REVERSE_PERIOD_ORDER=N","PRODUCT_GEO_OVERRIDE=P","FUND_PER",RIGHT($B$11,1),"ACCOUNTING_STANDARD_OVERRIDE",$H$7,"EQY_CONSOLIDATED",$H$9,"EQY_FUND_CRNCY",$L$7,"StartCol",L$12,"EndCol",L$12,"StartRow",$B140,"EndRow",$B140))</f>
        <v/>
      </c>
      <c r="M140" s="218" t="str">
        <f>IF(LEFT(_xll.BDS(Ticker,"PG_DEPR_AMORTIZATION","PG_HIERARCHY_LEVEL=1","NUMBER_OF_PERIODS=-11","REVERSE_PERIOD_ORDER=N","PRODUCT_GEO_OVERRIDE=P","FUND_PER",RIGHT($B$11,1),"ACCOUNTING_STANDARD_OVERRIDE",$H$7,"EQY_CONSOLIDATED",$H$9,"EQY_FUND_CRNCY",$L$7,"StartCol",M$12,"EndCol",M$12,"StartRow",$B140,"EndRow",$B140),1)="#","",_xll.BDS(Ticker,"PG_DEPR_AMORTIZATION","PG_HIERARCHY_LEVEL=1","NUMBER_OF_PERIODS=-11","REVERSE_PERIOD_ORDER=N","PRODUCT_GEO_OVERRIDE=P","FUND_PER",RIGHT($B$11,1),"ACCOUNTING_STANDARD_OVERRIDE",$H$7,"EQY_CONSOLIDATED",$H$9,"EQY_FUND_CRNCY",$L$7,"StartCol",M$12,"EndCol",M$12,"StartRow",$B140,"EndRow",$B140))</f>
        <v/>
      </c>
      <c r="N140" s="218" t="str">
        <f>IF(LEFT(_xll.BDS(Ticker,"PG_DEPR_AMORTIZATION","PG_HIERARCHY_LEVEL=1","NUMBER_OF_PERIODS=-11","REVERSE_PERIOD_ORDER=N","PRODUCT_GEO_OVERRIDE=P","FUND_PER",RIGHT($B$11,1),"ACCOUNTING_STANDARD_OVERRIDE",$H$7,"EQY_CONSOLIDATED",$H$9,"EQY_FUND_CRNCY",$L$7,"StartCol",N$12,"EndCol",N$12,"StartRow",$B140,"EndRow",$B140),1)="#","",_xll.BDS(Ticker,"PG_DEPR_AMORTIZATION","PG_HIERARCHY_LEVEL=1","NUMBER_OF_PERIODS=-11","REVERSE_PERIOD_ORDER=N","PRODUCT_GEO_OVERRIDE=P","FUND_PER",RIGHT($B$11,1),"ACCOUNTING_STANDARD_OVERRIDE",$H$7,"EQY_CONSOLIDATED",$H$9,"EQY_FUND_CRNCY",$L$7,"StartCol",N$12,"EndCol",N$12,"StartRow",$B140,"EndRow",$B140))</f>
        <v/>
      </c>
    </row>
    <row r="141" spans="2:14" hidden="1" outlineLevel="1">
      <c r="B141" s="214">
        <v>9</v>
      </c>
      <c r="C141" s="216" t="str">
        <f>IF(LEFT(_xll.BDS(Ticker,"PG_DEPR_AMORTIZATION","PG_HIERARCHY_LEVEL=1","NUMBER_OF_PERIODS=-11","REVERSE_PERIOD_ORDER=N","PRODUCT_GEO_OVERRIDE=P","FUND_PER",RIGHT($B$11,1),"ACCOUNTING_STANDARD_OVERRIDE",$H$7,"EQY_CONSOLIDATED",$H$9,"EQY_FUND_CRNCY",$L$7,"StartCol",C$12,"EndCol",C$12,"StartRow",$B141,"EndRow",$B141),1)="#","",_xll.BDS(Ticker,"PG_DEPR_AMORTIZATION","PG_HIERARCHY_LEVEL=1","NUMBER_OF_PERIODS=-11","REVERSE_PERIOD_ORDER=N","PRODUCT_GEO_OVERRIDE=P","FUND_PER",RIGHT($B$11,1),"ACCOUNTING_STANDARD_OVERRIDE",$H$7,"EQY_CONSOLIDATED",$H$9,"EQY_FUND_CRNCY",$L$7,"StartCol",C$12,"EndCol",C$12,"StartRow",$B141,"EndRow",$B141))</f>
        <v/>
      </c>
      <c r="D141" s="218" t="str">
        <f>IF(LEFT(_xll.BDS(Ticker,"PG_DEPR_AMORTIZATION","PG_HIERARCHY_LEVEL=1","NUMBER_OF_PERIODS=-11","REVERSE_PERIOD_ORDER=N","PRODUCT_GEO_OVERRIDE=P","FUND_PER",RIGHT($B$11,1),"ACCOUNTING_STANDARD_OVERRIDE",$H$7,"EQY_CONSOLIDATED",$H$9,"EQY_FUND_CRNCY",$L$7,"StartCol",D$12,"EndCol",D$12,"StartRow",$B141,"EndRow",$B141),1)="#","",_xll.BDS(Ticker,"PG_DEPR_AMORTIZATION","PG_HIERARCHY_LEVEL=1","NUMBER_OF_PERIODS=-11","REVERSE_PERIOD_ORDER=N","PRODUCT_GEO_OVERRIDE=P","FUND_PER",RIGHT($B$11,1),"ACCOUNTING_STANDARD_OVERRIDE",$H$7,"EQY_CONSOLIDATED",$H$9,"EQY_FUND_CRNCY",$L$7,"StartCol",D$12,"EndCol",D$12,"StartRow",$B141,"EndRow",$B141))</f>
        <v/>
      </c>
      <c r="E141" s="218" t="str">
        <f>IF(LEFT(_xll.BDS(Ticker,"PG_DEPR_AMORTIZATION","PG_HIERARCHY_LEVEL=1","NUMBER_OF_PERIODS=-11","REVERSE_PERIOD_ORDER=N","PRODUCT_GEO_OVERRIDE=P","FUND_PER",RIGHT($B$11,1),"ACCOUNTING_STANDARD_OVERRIDE",$H$7,"EQY_CONSOLIDATED",$H$9,"EQY_FUND_CRNCY",$L$7,"StartCol",E$12,"EndCol",E$12,"StartRow",$B141,"EndRow",$B141),1)="#","",_xll.BDS(Ticker,"PG_DEPR_AMORTIZATION","PG_HIERARCHY_LEVEL=1","NUMBER_OF_PERIODS=-11","REVERSE_PERIOD_ORDER=N","PRODUCT_GEO_OVERRIDE=P","FUND_PER",RIGHT($B$11,1),"ACCOUNTING_STANDARD_OVERRIDE",$H$7,"EQY_CONSOLIDATED",$H$9,"EQY_FUND_CRNCY",$L$7,"StartCol",E$12,"EndCol",E$12,"StartRow",$B141,"EndRow",$B141))</f>
        <v/>
      </c>
      <c r="F141" s="218" t="str">
        <f>IF(LEFT(_xll.BDS(Ticker,"PG_DEPR_AMORTIZATION","PG_HIERARCHY_LEVEL=1","NUMBER_OF_PERIODS=-11","REVERSE_PERIOD_ORDER=N","PRODUCT_GEO_OVERRIDE=P","FUND_PER",RIGHT($B$11,1),"ACCOUNTING_STANDARD_OVERRIDE",$H$7,"EQY_CONSOLIDATED",$H$9,"EQY_FUND_CRNCY",$L$7,"StartCol",F$12,"EndCol",F$12,"StartRow",$B141,"EndRow",$B141),1)="#","",_xll.BDS(Ticker,"PG_DEPR_AMORTIZATION","PG_HIERARCHY_LEVEL=1","NUMBER_OF_PERIODS=-11","REVERSE_PERIOD_ORDER=N","PRODUCT_GEO_OVERRIDE=P","FUND_PER",RIGHT($B$11,1),"ACCOUNTING_STANDARD_OVERRIDE",$H$7,"EQY_CONSOLIDATED",$H$9,"EQY_FUND_CRNCY",$L$7,"StartCol",F$12,"EndCol",F$12,"StartRow",$B141,"EndRow",$B141))</f>
        <v/>
      </c>
      <c r="G141" s="218" t="str">
        <f>IF(LEFT(_xll.BDS(Ticker,"PG_DEPR_AMORTIZATION","PG_HIERARCHY_LEVEL=1","NUMBER_OF_PERIODS=-11","REVERSE_PERIOD_ORDER=N","PRODUCT_GEO_OVERRIDE=P","FUND_PER",RIGHT($B$11,1),"ACCOUNTING_STANDARD_OVERRIDE",$H$7,"EQY_CONSOLIDATED",$H$9,"EQY_FUND_CRNCY",$L$7,"StartCol",G$12,"EndCol",G$12,"StartRow",$B141,"EndRow",$B141),1)="#","",_xll.BDS(Ticker,"PG_DEPR_AMORTIZATION","PG_HIERARCHY_LEVEL=1","NUMBER_OF_PERIODS=-11","REVERSE_PERIOD_ORDER=N","PRODUCT_GEO_OVERRIDE=P","FUND_PER",RIGHT($B$11,1),"ACCOUNTING_STANDARD_OVERRIDE",$H$7,"EQY_CONSOLIDATED",$H$9,"EQY_FUND_CRNCY",$L$7,"StartCol",G$12,"EndCol",G$12,"StartRow",$B141,"EndRow",$B141))</f>
        <v/>
      </c>
      <c r="H141" s="218" t="str">
        <f>IF(LEFT(_xll.BDS(Ticker,"PG_DEPR_AMORTIZATION","PG_HIERARCHY_LEVEL=1","NUMBER_OF_PERIODS=-11","REVERSE_PERIOD_ORDER=N","PRODUCT_GEO_OVERRIDE=P","FUND_PER",RIGHT($B$11,1),"ACCOUNTING_STANDARD_OVERRIDE",$H$7,"EQY_CONSOLIDATED",$H$9,"EQY_FUND_CRNCY",$L$7,"StartCol",H$12,"EndCol",H$12,"StartRow",$B141,"EndRow",$B141),1)="#","",_xll.BDS(Ticker,"PG_DEPR_AMORTIZATION","PG_HIERARCHY_LEVEL=1","NUMBER_OF_PERIODS=-11","REVERSE_PERIOD_ORDER=N","PRODUCT_GEO_OVERRIDE=P","FUND_PER",RIGHT($B$11,1),"ACCOUNTING_STANDARD_OVERRIDE",$H$7,"EQY_CONSOLIDATED",$H$9,"EQY_FUND_CRNCY",$L$7,"StartCol",H$12,"EndCol",H$12,"StartRow",$B141,"EndRow",$B141))</f>
        <v/>
      </c>
      <c r="I141" s="218" t="str">
        <f>IF(LEFT(_xll.BDS(Ticker,"PG_DEPR_AMORTIZATION","PG_HIERARCHY_LEVEL=1","NUMBER_OF_PERIODS=-11","REVERSE_PERIOD_ORDER=N","PRODUCT_GEO_OVERRIDE=P","FUND_PER",RIGHT($B$11,1),"ACCOUNTING_STANDARD_OVERRIDE",$H$7,"EQY_CONSOLIDATED",$H$9,"EQY_FUND_CRNCY",$L$7,"StartCol",I$12,"EndCol",I$12,"StartRow",$B141,"EndRow",$B141),1)="#","",_xll.BDS(Ticker,"PG_DEPR_AMORTIZATION","PG_HIERARCHY_LEVEL=1","NUMBER_OF_PERIODS=-11","REVERSE_PERIOD_ORDER=N","PRODUCT_GEO_OVERRIDE=P","FUND_PER",RIGHT($B$11,1),"ACCOUNTING_STANDARD_OVERRIDE",$H$7,"EQY_CONSOLIDATED",$H$9,"EQY_FUND_CRNCY",$L$7,"StartCol",I$12,"EndCol",I$12,"StartRow",$B141,"EndRow",$B141))</f>
        <v/>
      </c>
      <c r="J141" s="218" t="str">
        <f>IF(LEFT(_xll.BDS(Ticker,"PG_DEPR_AMORTIZATION","PG_HIERARCHY_LEVEL=1","NUMBER_OF_PERIODS=-11","REVERSE_PERIOD_ORDER=N","PRODUCT_GEO_OVERRIDE=P","FUND_PER",RIGHT($B$11,1),"ACCOUNTING_STANDARD_OVERRIDE",$H$7,"EQY_CONSOLIDATED",$H$9,"EQY_FUND_CRNCY",$L$7,"StartCol",J$12,"EndCol",J$12,"StartRow",$B141,"EndRow",$B141),1)="#","",_xll.BDS(Ticker,"PG_DEPR_AMORTIZATION","PG_HIERARCHY_LEVEL=1","NUMBER_OF_PERIODS=-11","REVERSE_PERIOD_ORDER=N","PRODUCT_GEO_OVERRIDE=P","FUND_PER",RIGHT($B$11,1),"ACCOUNTING_STANDARD_OVERRIDE",$H$7,"EQY_CONSOLIDATED",$H$9,"EQY_FUND_CRNCY",$L$7,"StartCol",J$12,"EndCol",J$12,"StartRow",$B141,"EndRow",$B141))</f>
        <v/>
      </c>
      <c r="K141" s="218" t="str">
        <f>IF(LEFT(_xll.BDS(Ticker,"PG_DEPR_AMORTIZATION","PG_HIERARCHY_LEVEL=1","NUMBER_OF_PERIODS=-11","REVERSE_PERIOD_ORDER=N","PRODUCT_GEO_OVERRIDE=P","FUND_PER",RIGHT($B$11,1),"ACCOUNTING_STANDARD_OVERRIDE",$H$7,"EQY_CONSOLIDATED",$H$9,"EQY_FUND_CRNCY",$L$7,"StartCol",K$12,"EndCol",K$12,"StartRow",$B141,"EndRow",$B141),1)="#","",_xll.BDS(Ticker,"PG_DEPR_AMORTIZATION","PG_HIERARCHY_LEVEL=1","NUMBER_OF_PERIODS=-11","REVERSE_PERIOD_ORDER=N","PRODUCT_GEO_OVERRIDE=P","FUND_PER",RIGHT($B$11,1),"ACCOUNTING_STANDARD_OVERRIDE",$H$7,"EQY_CONSOLIDATED",$H$9,"EQY_FUND_CRNCY",$L$7,"StartCol",K$12,"EndCol",K$12,"StartRow",$B141,"EndRow",$B141))</f>
        <v/>
      </c>
      <c r="L141" s="218" t="str">
        <f>IF(LEFT(_xll.BDS(Ticker,"PG_DEPR_AMORTIZATION","PG_HIERARCHY_LEVEL=1","NUMBER_OF_PERIODS=-11","REVERSE_PERIOD_ORDER=N","PRODUCT_GEO_OVERRIDE=P","FUND_PER",RIGHT($B$11,1),"ACCOUNTING_STANDARD_OVERRIDE",$H$7,"EQY_CONSOLIDATED",$H$9,"EQY_FUND_CRNCY",$L$7,"StartCol",L$12,"EndCol",L$12,"StartRow",$B141,"EndRow",$B141),1)="#","",_xll.BDS(Ticker,"PG_DEPR_AMORTIZATION","PG_HIERARCHY_LEVEL=1","NUMBER_OF_PERIODS=-11","REVERSE_PERIOD_ORDER=N","PRODUCT_GEO_OVERRIDE=P","FUND_PER",RIGHT($B$11,1),"ACCOUNTING_STANDARD_OVERRIDE",$H$7,"EQY_CONSOLIDATED",$H$9,"EQY_FUND_CRNCY",$L$7,"StartCol",L$12,"EndCol",L$12,"StartRow",$B141,"EndRow",$B141))</f>
        <v/>
      </c>
      <c r="M141" s="218" t="str">
        <f>IF(LEFT(_xll.BDS(Ticker,"PG_DEPR_AMORTIZATION","PG_HIERARCHY_LEVEL=1","NUMBER_OF_PERIODS=-11","REVERSE_PERIOD_ORDER=N","PRODUCT_GEO_OVERRIDE=P","FUND_PER",RIGHT($B$11,1),"ACCOUNTING_STANDARD_OVERRIDE",$H$7,"EQY_CONSOLIDATED",$H$9,"EQY_FUND_CRNCY",$L$7,"StartCol",M$12,"EndCol",M$12,"StartRow",$B141,"EndRow",$B141),1)="#","",_xll.BDS(Ticker,"PG_DEPR_AMORTIZATION","PG_HIERARCHY_LEVEL=1","NUMBER_OF_PERIODS=-11","REVERSE_PERIOD_ORDER=N","PRODUCT_GEO_OVERRIDE=P","FUND_PER",RIGHT($B$11,1),"ACCOUNTING_STANDARD_OVERRIDE",$H$7,"EQY_CONSOLIDATED",$H$9,"EQY_FUND_CRNCY",$L$7,"StartCol",M$12,"EndCol",M$12,"StartRow",$B141,"EndRow",$B141))</f>
        <v/>
      </c>
      <c r="N141" s="218" t="str">
        <f>IF(LEFT(_xll.BDS(Ticker,"PG_DEPR_AMORTIZATION","PG_HIERARCHY_LEVEL=1","NUMBER_OF_PERIODS=-11","REVERSE_PERIOD_ORDER=N","PRODUCT_GEO_OVERRIDE=P","FUND_PER",RIGHT($B$11,1),"ACCOUNTING_STANDARD_OVERRIDE",$H$7,"EQY_CONSOLIDATED",$H$9,"EQY_FUND_CRNCY",$L$7,"StartCol",N$12,"EndCol",N$12,"StartRow",$B141,"EndRow",$B141),1)="#","",_xll.BDS(Ticker,"PG_DEPR_AMORTIZATION","PG_HIERARCHY_LEVEL=1","NUMBER_OF_PERIODS=-11","REVERSE_PERIOD_ORDER=N","PRODUCT_GEO_OVERRIDE=P","FUND_PER",RIGHT($B$11,1),"ACCOUNTING_STANDARD_OVERRIDE",$H$7,"EQY_CONSOLIDATED",$H$9,"EQY_FUND_CRNCY",$L$7,"StartCol",N$12,"EndCol",N$12,"StartRow",$B141,"EndRow",$B141))</f>
        <v/>
      </c>
    </row>
    <row r="142" spans="2:14" hidden="1" outlineLevel="1">
      <c r="B142" s="214">
        <v>10</v>
      </c>
      <c r="C142" s="216" t="str">
        <f>IF(LEFT(_xll.BDS(Ticker,"PG_DEPR_AMORTIZATION","PG_HIERARCHY_LEVEL=1","NUMBER_OF_PERIODS=-11","REVERSE_PERIOD_ORDER=N","PRODUCT_GEO_OVERRIDE=P","FUND_PER",RIGHT($B$11,1),"ACCOUNTING_STANDARD_OVERRIDE",$H$7,"EQY_CONSOLIDATED",$H$9,"EQY_FUND_CRNCY",$L$7,"StartCol",C$12,"EndCol",C$12,"StartRow",$B142,"EndRow",$B142),1)="#","",_xll.BDS(Ticker,"PG_DEPR_AMORTIZATION","PG_HIERARCHY_LEVEL=1","NUMBER_OF_PERIODS=-11","REVERSE_PERIOD_ORDER=N","PRODUCT_GEO_OVERRIDE=P","FUND_PER",RIGHT($B$11,1),"ACCOUNTING_STANDARD_OVERRIDE",$H$7,"EQY_CONSOLIDATED",$H$9,"EQY_FUND_CRNCY",$L$7,"StartCol",C$12,"EndCol",C$12,"StartRow",$B142,"EndRow",$B142))</f>
        <v/>
      </c>
      <c r="D142" s="218" t="str">
        <f>IF(LEFT(_xll.BDS(Ticker,"PG_DEPR_AMORTIZATION","PG_HIERARCHY_LEVEL=1","NUMBER_OF_PERIODS=-11","REVERSE_PERIOD_ORDER=N","PRODUCT_GEO_OVERRIDE=P","FUND_PER",RIGHT($B$11,1),"ACCOUNTING_STANDARD_OVERRIDE",$H$7,"EQY_CONSOLIDATED",$H$9,"EQY_FUND_CRNCY",$L$7,"StartCol",D$12,"EndCol",D$12,"StartRow",$B142,"EndRow",$B142),1)="#","",_xll.BDS(Ticker,"PG_DEPR_AMORTIZATION","PG_HIERARCHY_LEVEL=1","NUMBER_OF_PERIODS=-11","REVERSE_PERIOD_ORDER=N","PRODUCT_GEO_OVERRIDE=P","FUND_PER",RIGHT($B$11,1),"ACCOUNTING_STANDARD_OVERRIDE",$H$7,"EQY_CONSOLIDATED",$H$9,"EQY_FUND_CRNCY",$L$7,"StartCol",D$12,"EndCol",D$12,"StartRow",$B142,"EndRow",$B142))</f>
        <v/>
      </c>
      <c r="E142" s="218" t="str">
        <f>IF(LEFT(_xll.BDS(Ticker,"PG_DEPR_AMORTIZATION","PG_HIERARCHY_LEVEL=1","NUMBER_OF_PERIODS=-11","REVERSE_PERIOD_ORDER=N","PRODUCT_GEO_OVERRIDE=P","FUND_PER",RIGHT($B$11,1),"ACCOUNTING_STANDARD_OVERRIDE",$H$7,"EQY_CONSOLIDATED",$H$9,"EQY_FUND_CRNCY",$L$7,"StartCol",E$12,"EndCol",E$12,"StartRow",$B142,"EndRow",$B142),1)="#","",_xll.BDS(Ticker,"PG_DEPR_AMORTIZATION","PG_HIERARCHY_LEVEL=1","NUMBER_OF_PERIODS=-11","REVERSE_PERIOD_ORDER=N","PRODUCT_GEO_OVERRIDE=P","FUND_PER",RIGHT($B$11,1),"ACCOUNTING_STANDARD_OVERRIDE",$H$7,"EQY_CONSOLIDATED",$H$9,"EQY_FUND_CRNCY",$L$7,"StartCol",E$12,"EndCol",E$12,"StartRow",$B142,"EndRow",$B142))</f>
        <v/>
      </c>
      <c r="F142" s="218" t="str">
        <f>IF(LEFT(_xll.BDS(Ticker,"PG_DEPR_AMORTIZATION","PG_HIERARCHY_LEVEL=1","NUMBER_OF_PERIODS=-11","REVERSE_PERIOD_ORDER=N","PRODUCT_GEO_OVERRIDE=P","FUND_PER",RIGHT($B$11,1),"ACCOUNTING_STANDARD_OVERRIDE",$H$7,"EQY_CONSOLIDATED",$H$9,"EQY_FUND_CRNCY",$L$7,"StartCol",F$12,"EndCol",F$12,"StartRow",$B142,"EndRow",$B142),1)="#","",_xll.BDS(Ticker,"PG_DEPR_AMORTIZATION","PG_HIERARCHY_LEVEL=1","NUMBER_OF_PERIODS=-11","REVERSE_PERIOD_ORDER=N","PRODUCT_GEO_OVERRIDE=P","FUND_PER",RIGHT($B$11,1),"ACCOUNTING_STANDARD_OVERRIDE",$H$7,"EQY_CONSOLIDATED",$H$9,"EQY_FUND_CRNCY",$L$7,"StartCol",F$12,"EndCol",F$12,"StartRow",$B142,"EndRow",$B142))</f>
        <v/>
      </c>
      <c r="G142" s="218" t="str">
        <f>IF(LEFT(_xll.BDS(Ticker,"PG_DEPR_AMORTIZATION","PG_HIERARCHY_LEVEL=1","NUMBER_OF_PERIODS=-11","REVERSE_PERIOD_ORDER=N","PRODUCT_GEO_OVERRIDE=P","FUND_PER",RIGHT($B$11,1),"ACCOUNTING_STANDARD_OVERRIDE",$H$7,"EQY_CONSOLIDATED",$H$9,"EQY_FUND_CRNCY",$L$7,"StartCol",G$12,"EndCol",G$12,"StartRow",$B142,"EndRow",$B142),1)="#","",_xll.BDS(Ticker,"PG_DEPR_AMORTIZATION","PG_HIERARCHY_LEVEL=1","NUMBER_OF_PERIODS=-11","REVERSE_PERIOD_ORDER=N","PRODUCT_GEO_OVERRIDE=P","FUND_PER",RIGHT($B$11,1),"ACCOUNTING_STANDARD_OVERRIDE",$H$7,"EQY_CONSOLIDATED",$H$9,"EQY_FUND_CRNCY",$L$7,"StartCol",G$12,"EndCol",G$12,"StartRow",$B142,"EndRow",$B142))</f>
        <v/>
      </c>
      <c r="H142" s="218" t="str">
        <f>IF(LEFT(_xll.BDS(Ticker,"PG_DEPR_AMORTIZATION","PG_HIERARCHY_LEVEL=1","NUMBER_OF_PERIODS=-11","REVERSE_PERIOD_ORDER=N","PRODUCT_GEO_OVERRIDE=P","FUND_PER",RIGHT($B$11,1),"ACCOUNTING_STANDARD_OVERRIDE",$H$7,"EQY_CONSOLIDATED",$H$9,"EQY_FUND_CRNCY",$L$7,"StartCol",H$12,"EndCol",H$12,"StartRow",$B142,"EndRow",$B142),1)="#","",_xll.BDS(Ticker,"PG_DEPR_AMORTIZATION","PG_HIERARCHY_LEVEL=1","NUMBER_OF_PERIODS=-11","REVERSE_PERIOD_ORDER=N","PRODUCT_GEO_OVERRIDE=P","FUND_PER",RIGHT($B$11,1),"ACCOUNTING_STANDARD_OVERRIDE",$H$7,"EQY_CONSOLIDATED",$H$9,"EQY_FUND_CRNCY",$L$7,"StartCol",H$12,"EndCol",H$12,"StartRow",$B142,"EndRow",$B142))</f>
        <v/>
      </c>
      <c r="I142" s="218" t="str">
        <f>IF(LEFT(_xll.BDS(Ticker,"PG_DEPR_AMORTIZATION","PG_HIERARCHY_LEVEL=1","NUMBER_OF_PERIODS=-11","REVERSE_PERIOD_ORDER=N","PRODUCT_GEO_OVERRIDE=P","FUND_PER",RIGHT($B$11,1),"ACCOUNTING_STANDARD_OVERRIDE",$H$7,"EQY_CONSOLIDATED",$H$9,"EQY_FUND_CRNCY",$L$7,"StartCol",I$12,"EndCol",I$12,"StartRow",$B142,"EndRow",$B142),1)="#","",_xll.BDS(Ticker,"PG_DEPR_AMORTIZATION","PG_HIERARCHY_LEVEL=1","NUMBER_OF_PERIODS=-11","REVERSE_PERIOD_ORDER=N","PRODUCT_GEO_OVERRIDE=P","FUND_PER",RIGHT($B$11,1),"ACCOUNTING_STANDARD_OVERRIDE",$H$7,"EQY_CONSOLIDATED",$H$9,"EQY_FUND_CRNCY",$L$7,"StartCol",I$12,"EndCol",I$12,"StartRow",$B142,"EndRow",$B142))</f>
        <v/>
      </c>
      <c r="J142" s="218" t="str">
        <f>IF(LEFT(_xll.BDS(Ticker,"PG_DEPR_AMORTIZATION","PG_HIERARCHY_LEVEL=1","NUMBER_OF_PERIODS=-11","REVERSE_PERIOD_ORDER=N","PRODUCT_GEO_OVERRIDE=P","FUND_PER",RIGHT($B$11,1),"ACCOUNTING_STANDARD_OVERRIDE",$H$7,"EQY_CONSOLIDATED",$H$9,"EQY_FUND_CRNCY",$L$7,"StartCol",J$12,"EndCol",J$12,"StartRow",$B142,"EndRow",$B142),1)="#","",_xll.BDS(Ticker,"PG_DEPR_AMORTIZATION","PG_HIERARCHY_LEVEL=1","NUMBER_OF_PERIODS=-11","REVERSE_PERIOD_ORDER=N","PRODUCT_GEO_OVERRIDE=P","FUND_PER",RIGHT($B$11,1),"ACCOUNTING_STANDARD_OVERRIDE",$H$7,"EQY_CONSOLIDATED",$H$9,"EQY_FUND_CRNCY",$L$7,"StartCol",J$12,"EndCol",J$12,"StartRow",$B142,"EndRow",$B142))</f>
        <v/>
      </c>
      <c r="K142" s="218" t="str">
        <f>IF(LEFT(_xll.BDS(Ticker,"PG_DEPR_AMORTIZATION","PG_HIERARCHY_LEVEL=1","NUMBER_OF_PERIODS=-11","REVERSE_PERIOD_ORDER=N","PRODUCT_GEO_OVERRIDE=P","FUND_PER",RIGHT($B$11,1),"ACCOUNTING_STANDARD_OVERRIDE",$H$7,"EQY_CONSOLIDATED",$H$9,"EQY_FUND_CRNCY",$L$7,"StartCol",K$12,"EndCol",K$12,"StartRow",$B142,"EndRow",$B142),1)="#","",_xll.BDS(Ticker,"PG_DEPR_AMORTIZATION","PG_HIERARCHY_LEVEL=1","NUMBER_OF_PERIODS=-11","REVERSE_PERIOD_ORDER=N","PRODUCT_GEO_OVERRIDE=P","FUND_PER",RIGHT($B$11,1),"ACCOUNTING_STANDARD_OVERRIDE",$H$7,"EQY_CONSOLIDATED",$H$9,"EQY_FUND_CRNCY",$L$7,"StartCol",K$12,"EndCol",K$12,"StartRow",$B142,"EndRow",$B142))</f>
        <v/>
      </c>
      <c r="L142" s="218" t="str">
        <f>IF(LEFT(_xll.BDS(Ticker,"PG_DEPR_AMORTIZATION","PG_HIERARCHY_LEVEL=1","NUMBER_OF_PERIODS=-11","REVERSE_PERIOD_ORDER=N","PRODUCT_GEO_OVERRIDE=P","FUND_PER",RIGHT($B$11,1),"ACCOUNTING_STANDARD_OVERRIDE",$H$7,"EQY_CONSOLIDATED",$H$9,"EQY_FUND_CRNCY",$L$7,"StartCol",L$12,"EndCol",L$12,"StartRow",$B142,"EndRow",$B142),1)="#","",_xll.BDS(Ticker,"PG_DEPR_AMORTIZATION","PG_HIERARCHY_LEVEL=1","NUMBER_OF_PERIODS=-11","REVERSE_PERIOD_ORDER=N","PRODUCT_GEO_OVERRIDE=P","FUND_PER",RIGHT($B$11,1),"ACCOUNTING_STANDARD_OVERRIDE",$H$7,"EQY_CONSOLIDATED",$H$9,"EQY_FUND_CRNCY",$L$7,"StartCol",L$12,"EndCol",L$12,"StartRow",$B142,"EndRow",$B142))</f>
        <v/>
      </c>
      <c r="M142" s="218" t="str">
        <f>IF(LEFT(_xll.BDS(Ticker,"PG_DEPR_AMORTIZATION","PG_HIERARCHY_LEVEL=1","NUMBER_OF_PERIODS=-11","REVERSE_PERIOD_ORDER=N","PRODUCT_GEO_OVERRIDE=P","FUND_PER",RIGHT($B$11,1),"ACCOUNTING_STANDARD_OVERRIDE",$H$7,"EQY_CONSOLIDATED",$H$9,"EQY_FUND_CRNCY",$L$7,"StartCol",M$12,"EndCol",M$12,"StartRow",$B142,"EndRow",$B142),1)="#","",_xll.BDS(Ticker,"PG_DEPR_AMORTIZATION","PG_HIERARCHY_LEVEL=1","NUMBER_OF_PERIODS=-11","REVERSE_PERIOD_ORDER=N","PRODUCT_GEO_OVERRIDE=P","FUND_PER",RIGHT($B$11,1),"ACCOUNTING_STANDARD_OVERRIDE",$H$7,"EQY_CONSOLIDATED",$H$9,"EQY_FUND_CRNCY",$L$7,"StartCol",M$12,"EndCol",M$12,"StartRow",$B142,"EndRow",$B142))</f>
        <v/>
      </c>
      <c r="N142" s="218" t="str">
        <f>IF(LEFT(_xll.BDS(Ticker,"PG_DEPR_AMORTIZATION","PG_HIERARCHY_LEVEL=1","NUMBER_OF_PERIODS=-11","REVERSE_PERIOD_ORDER=N","PRODUCT_GEO_OVERRIDE=P","FUND_PER",RIGHT($B$11,1),"ACCOUNTING_STANDARD_OVERRIDE",$H$7,"EQY_CONSOLIDATED",$H$9,"EQY_FUND_CRNCY",$L$7,"StartCol",N$12,"EndCol",N$12,"StartRow",$B142,"EndRow",$B142),1)="#","",_xll.BDS(Ticker,"PG_DEPR_AMORTIZATION","PG_HIERARCHY_LEVEL=1","NUMBER_OF_PERIODS=-11","REVERSE_PERIOD_ORDER=N","PRODUCT_GEO_OVERRIDE=P","FUND_PER",RIGHT($B$11,1),"ACCOUNTING_STANDARD_OVERRIDE",$H$7,"EQY_CONSOLIDATED",$H$9,"EQY_FUND_CRNCY",$L$7,"StartCol",N$12,"EndCol",N$12,"StartRow",$B142,"EndRow",$B142))</f>
        <v/>
      </c>
    </row>
    <row r="143" spans="2:14" hidden="1" outlineLevel="1">
      <c r="B143" s="214"/>
      <c r="C143" s="208"/>
      <c r="D143" s="208"/>
      <c r="E143" s="208"/>
      <c r="F143" s="208"/>
      <c r="G143" s="208"/>
      <c r="H143" s="208"/>
      <c r="I143" s="208"/>
      <c r="J143" s="208"/>
      <c r="K143" s="208"/>
      <c r="L143" s="208"/>
      <c r="M143" s="208"/>
      <c r="N143" s="208"/>
    </row>
    <row r="144" spans="2:14" hidden="1" outlineLevel="1">
      <c r="B144" s="220"/>
      <c r="C144" s="233" t="s">
        <v>359</v>
      </c>
      <c r="D144"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44"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44"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44"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44"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44"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44"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44"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44"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44"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44"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45" spans="2:14" hidden="1" outlineLevel="1">
      <c r="B145" s="222"/>
      <c r="C145" s="233" t="s">
        <v>357</v>
      </c>
      <c r="D145" s="231" t="str">
        <f>IF(LEFT(_xll.BDP(Ticker,"LATEST_PERIOD_END_DT_FULL_RECORD","EQY_FUND_RELATIVE_PERIOD",D$11,"EQY_CONSOLIDATED",$H$9),1)="#","--",_xll.BDP(Ticker,"LATEST_PERIOD_END_DT_FULL_RECORD","EQY_FUND_RELATIVE_PERIOD",D$11,"EQY_CONSOLIDATED",$H$9))</f>
        <v>12/31/2008</v>
      </c>
      <c r="E145" s="231" t="str">
        <f>IF(LEFT(_xll.BDP(Ticker,"LATEST_PERIOD_END_DT_FULL_RECORD","EQY_FUND_RELATIVE_PERIOD",E$11,"EQY_CONSOLIDATED",$H$9),1)="#","--",_xll.BDP(Ticker,"LATEST_PERIOD_END_DT_FULL_RECORD","EQY_FUND_RELATIVE_PERIOD",E$11,"EQY_CONSOLIDATED",$H$9))</f>
        <v>12/31/2009</v>
      </c>
      <c r="F145" s="231" t="str">
        <f>IF(LEFT(_xll.BDP(Ticker,"LATEST_PERIOD_END_DT_FULL_RECORD","EQY_FUND_RELATIVE_PERIOD",F$11,"EQY_CONSOLIDATED",$H$9),1)="#","--",_xll.BDP(Ticker,"LATEST_PERIOD_END_DT_FULL_RECORD","EQY_FUND_RELATIVE_PERIOD",F$11,"EQY_CONSOLIDATED",$H$9))</f>
        <v>12/31/2010</v>
      </c>
      <c r="G145" s="231" t="str">
        <f>IF(LEFT(_xll.BDP(Ticker,"LATEST_PERIOD_END_DT_FULL_RECORD","EQY_FUND_RELATIVE_PERIOD",G$11,"EQY_CONSOLIDATED",$H$9),1)="#","--",_xll.BDP(Ticker,"LATEST_PERIOD_END_DT_FULL_RECORD","EQY_FUND_RELATIVE_PERIOD",G$11,"EQY_CONSOLIDATED",$H$9))</f>
        <v>12/31/2011</v>
      </c>
      <c r="H145" s="231" t="str">
        <f>IF(LEFT(_xll.BDP(Ticker,"LATEST_PERIOD_END_DT_FULL_RECORD","EQY_FUND_RELATIVE_PERIOD",H$11,"EQY_CONSOLIDATED",$H$9),1)="#","--",_xll.BDP(Ticker,"LATEST_PERIOD_END_DT_FULL_RECORD","EQY_FUND_RELATIVE_PERIOD",H$11,"EQY_CONSOLIDATED",$H$9))</f>
        <v>12/31/2012</v>
      </c>
      <c r="I145" s="231" t="str">
        <f>IF(LEFT(_xll.BDP(Ticker,"LATEST_PERIOD_END_DT_FULL_RECORD","EQY_FUND_RELATIVE_PERIOD",I$11,"EQY_CONSOLIDATED",$H$9),1)="#","--",_xll.BDP(Ticker,"LATEST_PERIOD_END_DT_FULL_RECORD","EQY_FUND_RELATIVE_PERIOD",I$11,"EQY_CONSOLIDATED",$H$9))</f>
        <v>12/31/2013</v>
      </c>
      <c r="J145" s="231" t="str">
        <f>IF(LEFT(_xll.BDP(Ticker,"LATEST_PERIOD_END_DT_FULL_RECORD","EQY_FUND_RELATIVE_PERIOD",J$11,"EQY_CONSOLIDATED",$H$9),1)="#","--",_xll.BDP(Ticker,"LATEST_PERIOD_END_DT_FULL_RECORD","EQY_FUND_RELATIVE_PERIOD",J$11,"EQY_CONSOLIDATED",$H$9))</f>
        <v>12/31/2014</v>
      </c>
      <c r="K145" s="231" t="str">
        <f>IF(LEFT(_xll.BDP(Ticker,"LATEST_PERIOD_END_DT_FULL_RECORD","EQY_FUND_RELATIVE_PERIOD",K$11,"EQY_CONSOLIDATED",$H$9),1)="#","--",_xll.BDP(Ticker,"LATEST_PERIOD_END_DT_FULL_RECORD","EQY_FUND_RELATIVE_PERIOD",K$11,"EQY_CONSOLIDATED",$H$9))</f>
        <v>12/31/2015</v>
      </c>
      <c r="L145" s="231" t="str">
        <f>IF(LEFT(_xll.BDP(Ticker,"LATEST_PERIOD_END_DT_FULL_RECORD","EQY_FUND_RELATIVE_PERIOD",L$11,"EQY_CONSOLIDATED",$H$9),1)="#","--",_xll.BDP(Ticker,"LATEST_PERIOD_END_DT_FULL_RECORD","EQY_FUND_RELATIVE_PERIOD",L$11,"EQY_CONSOLIDATED",$H$9))</f>
        <v>12/31/2016</v>
      </c>
      <c r="M145" s="231" t="str">
        <f>IF(LEFT(_xll.BDP(Ticker,"LATEST_PERIOD_END_DT_FULL_RECORD","EQY_FUND_RELATIVE_PERIOD",M$11,"EQY_CONSOLIDATED",$H$9),1)="#","--",_xll.BDP(Ticker,"LATEST_PERIOD_END_DT_FULL_RECORD","EQY_FUND_RELATIVE_PERIOD",M$11,"EQY_CONSOLIDATED",$H$9))</f>
        <v>12/31/2017</v>
      </c>
      <c r="N145" s="231" t="str">
        <f>IF(LEFT(_xll.BDP(Ticker,"LATEST_PERIOD_END_DT_FULL_RECORD","EQY_FUND_RELATIVE_PERIOD",N$11,"EQY_CONSOLIDATED",$H$9),1)="#","--",_xll.BDP(Ticker,"LATEST_PERIOD_END_DT_FULL_RECORD","EQY_FUND_RELATIVE_PERIOD",N$11,"EQY_CONSOLIDATED",$H$9))</f>
        <v>12/31/2018</v>
      </c>
    </row>
    <row r="146" spans="2:14" hidden="1" outlineLevel="1">
      <c r="B146" s="215"/>
      <c r="C146" s="207" t="s">
        <v>359</v>
      </c>
      <c r="D146" s="275" t="str">
        <f t="shared" ref="D146:I146" si="8">IF(LEN(D147),SUM(D147:D156),"")</f>
        <v/>
      </c>
      <c r="E146" s="275" t="str">
        <f t="shared" si="8"/>
        <v/>
      </c>
      <c r="F146" s="275" t="str">
        <f t="shared" si="8"/>
        <v/>
      </c>
      <c r="G146" s="275" t="str">
        <f t="shared" si="8"/>
        <v/>
      </c>
      <c r="H146" s="275" t="str">
        <f t="shared" si="8"/>
        <v/>
      </c>
      <c r="I146" s="275" t="str">
        <f t="shared" si="8"/>
        <v/>
      </c>
      <c r="J146" s="275" t="str">
        <f>IF(LEN(J147),SUM(J147:J156),"")</f>
        <v/>
      </c>
      <c r="K146" s="275" t="str">
        <f>IF(LEN(K147),SUM(K147:K156),"")</f>
        <v/>
      </c>
      <c r="L146" s="275" t="str">
        <f>IF(LEN(L147),SUM(L147:L156),"")</f>
        <v/>
      </c>
      <c r="M146" s="275" t="str">
        <f>IF(LEN(M147),SUM(M147:M156),"")</f>
        <v/>
      </c>
      <c r="N146" s="275" t="str">
        <f>IF(LEN(N147),SUM(N147:N156),"")</f>
        <v/>
      </c>
    </row>
    <row r="147" spans="2:14" hidden="1" outlineLevel="1">
      <c r="B147" s="214">
        <v>1</v>
      </c>
      <c r="C147" s="216" t="str">
        <f>IF(LEFT(_xll.BDS(Ticker,"PG_DEPR_AMORTIZATION","PG_HIERARCHY_LEVEL=1","NUMBER_OF_PERIODS=-11","REVERSE_PERIOD_ORDER=N","PRODUCT_GEO_OVERRIDE=G","FUND_PER",RIGHT($B$11,1),"ACCOUNTING_STANDARD_OVERRIDE",$H$7,"EQY_CONSOLIDATED",$H$9,"EQY_FUND_CRNCY",$L$7,"StartCol",C$12,"EndCol",C$12,"StartRow",$B147,"EndRow",$B147),1)="#","",_xll.BDS(Ticker,"PG_DEPR_AMORTIZATION","PG_HIERARCHY_LEVEL=1","NUMBER_OF_PERIODS=-11","REVERSE_PERIOD_ORDER=N","PRODUCT_GEO_OVERRIDE=G","FUND_PER",RIGHT($B$11,1),"ACCOUNTING_STANDARD_OVERRIDE",$H$7,"EQY_CONSOLIDATED",$H$9,"EQY_FUND_CRNCY",$L$7,"StartCol",C$12,"EndCol",C$12,"StartRow",$B147,"EndRow",$B147))</f>
        <v/>
      </c>
      <c r="D147" s="218" t="str">
        <f>IF(LEFT(_xll.BDS(Ticker,"PG_DEPR_AMORTIZATION","PG_HIERARCHY_LEVEL=1","NUMBER_OF_PERIODS=-11","REVERSE_PERIOD_ORDER=N","PRODUCT_GEO_OVERRIDE=G","FUND_PER",RIGHT($B$11,1),"ACCOUNTING_STANDARD_OVERRIDE",$H$7,"EQY_CONSOLIDATED",$H$9,"EQY_FUND_CRNCY",$L$7,"StartCol",D$12,"EndCol",D$12,"StartRow",$B147,"EndRow",$B147),1)="#","",_xll.BDS(Ticker,"PG_DEPR_AMORTIZATION","PG_HIERARCHY_LEVEL=1","NUMBER_OF_PERIODS=-11","REVERSE_PERIOD_ORDER=N","PRODUCT_GEO_OVERRIDE=G","FUND_PER",RIGHT($B$11,1),"ACCOUNTING_STANDARD_OVERRIDE",$H$7,"EQY_CONSOLIDATED",$H$9,"EQY_FUND_CRNCY",$L$7,"StartCol",D$12,"EndCol",D$12,"StartRow",$B147,"EndRow",$B147))</f>
        <v/>
      </c>
      <c r="E147" s="218" t="str">
        <f>IF(LEFT(_xll.BDS(Ticker,"PG_DEPR_AMORTIZATION","PG_HIERARCHY_LEVEL=1","NUMBER_OF_PERIODS=-11","REVERSE_PERIOD_ORDER=N","PRODUCT_GEO_OVERRIDE=G","FUND_PER",RIGHT($B$11,1),"ACCOUNTING_STANDARD_OVERRIDE",$H$7,"EQY_CONSOLIDATED",$H$9,"EQY_FUND_CRNCY",$L$7,"StartCol",E$12,"EndCol",E$12,"StartRow",$B147,"EndRow",$B147),1)="#","",_xll.BDS(Ticker,"PG_DEPR_AMORTIZATION","PG_HIERARCHY_LEVEL=1","NUMBER_OF_PERIODS=-11","REVERSE_PERIOD_ORDER=N","PRODUCT_GEO_OVERRIDE=G","FUND_PER",RIGHT($B$11,1),"ACCOUNTING_STANDARD_OVERRIDE",$H$7,"EQY_CONSOLIDATED",$H$9,"EQY_FUND_CRNCY",$L$7,"StartCol",E$12,"EndCol",E$12,"StartRow",$B147,"EndRow",$B147))</f>
        <v/>
      </c>
      <c r="F147" s="218" t="str">
        <f>IF(LEFT(_xll.BDS(Ticker,"PG_DEPR_AMORTIZATION","PG_HIERARCHY_LEVEL=1","NUMBER_OF_PERIODS=-11","REVERSE_PERIOD_ORDER=N","PRODUCT_GEO_OVERRIDE=G","FUND_PER",RIGHT($B$11,1),"ACCOUNTING_STANDARD_OVERRIDE",$H$7,"EQY_CONSOLIDATED",$H$9,"EQY_FUND_CRNCY",$L$7,"StartCol",F$12,"EndCol",F$12,"StartRow",$B147,"EndRow",$B147),1)="#","",_xll.BDS(Ticker,"PG_DEPR_AMORTIZATION","PG_HIERARCHY_LEVEL=1","NUMBER_OF_PERIODS=-11","REVERSE_PERIOD_ORDER=N","PRODUCT_GEO_OVERRIDE=G","FUND_PER",RIGHT($B$11,1),"ACCOUNTING_STANDARD_OVERRIDE",$H$7,"EQY_CONSOLIDATED",$H$9,"EQY_FUND_CRNCY",$L$7,"StartCol",F$12,"EndCol",F$12,"StartRow",$B147,"EndRow",$B147))</f>
        <v/>
      </c>
      <c r="G147" s="218" t="str">
        <f>IF(LEFT(_xll.BDS(Ticker,"PG_DEPR_AMORTIZATION","PG_HIERARCHY_LEVEL=1","NUMBER_OF_PERIODS=-11","REVERSE_PERIOD_ORDER=N","PRODUCT_GEO_OVERRIDE=G","FUND_PER",RIGHT($B$11,1),"ACCOUNTING_STANDARD_OVERRIDE",$H$7,"EQY_CONSOLIDATED",$H$9,"EQY_FUND_CRNCY",$L$7,"StartCol",G$12,"EndCol",G$12,"StartRow",$B147,"EndRow",$B147),1)="#","",_xll.BDS(Ticker,"PG_DEPR_AMORTIZATION","PG_HIERARCHY_LEVEL=1","NUMBER_OF_PERIODS=-11","REVERSE_PERIOD_ORDER=N","PRODUCT_GEO_OVERRIDE=G","FUND_PER",RIGHT($B$11,1),"ACCOUNTING_STANDARD_OVERRIDE",$H$7,"EQY_CONSOLIDATED",$H$9,"EQY_FUND_CRNCY",$L$7,"StartCol",G$12,"EndCol",G$12,"StartRow",$B147,"EndRow",$B147))</f>
        <v/>
      </c>
      <c r="H147" s="218" t="str">
        <f>IF(LEFT(_xll.BDS(Ticker,"PG_DEPR_AMORTIZATION","PG_HIERARCHY_LEVEL=1","NUMBER_OF_PERIODS=-11","REVERSE_PERIOD_ORDER=N","PRODUCT_GEO_OVERRIDE=G","FUND_PER",RIGHT($B$11,1),"ACCOUNTING_STANDARD_OVERRIDE",$H$7,"EQY_CONSOLIDATED",$H$9,"EQY_FUND_CRNCY",$L$7,"StartCol",H$12,"EndCol",H$12,"StartRow",$B147,"EndRow",$B147),1)="#","",_xll.BDS(Ticker,"PG_DEPR_AMORTIZATION","PG_HIERARCHY_LEVEL=1","NUMBER_OF_PERIODS=-11","REVERSE_PERIOD_ORDER=N","PRODUCT_GEO_OVERRIDE=G","FUND_PER",RIGHT($B$11,1),"ACCOUNTING_STANDARD_OVERRIDE",$H$7,"EQY_CONSOLIDATED",$H$9,"EQY_FUND_CRNCY",$L$7,"StartCol",H$12,"EndCol",H$12,"StartRow",$B147,"EndRow",$B147))</f>
        <v/>
      </c>
      <c r="I147" s="218" t="str">
        <f>IF(LEFT(_xll.BDS(Ticker,"PG_DEPR_AMORTIZATION","PG_HIERARCHY_LEVEL=1","NUMBER_OF_PERIODS=-11","REVERSE_PERIOD_ORDER=N","PRODUCT_GEO_OVERRIDE=G","FUND_PER",RIGHT($B$11,1),"ACCOUNTING_STANDARD_OVERRIDE",$H$7,"EQY_CONSOLIDATED",$H$9,"EQY_FUND_CRNCY",$L$7,"StartCol",I$12,"EndCol",I$12,"StartRow",$B147,"EndRow",$B147),1)="#","",_xll.BDS(Ticker,"PG_DEPR_AMORTIZATION","PG_HIERARCHY_LEVEL=1","NUMBER_OF_PERIODS=-11","REVERSE_PERIOD_ORDER=N","PRODUCT_GEO_OVERRIDE=G","FUND_PER",RIGHT($B$11,1),"ACCOUNTING_STANDARD_OVERRIDE",$H$7,"EQY_CONSOLIDATED",$H$9,"EQY_FUND_CRNCY",$L$7,"StartCol",I$12,"EndCol",I$12,"StartRow",$B147,"EndRow",$B147))</f>
        <v/>
      </c>
      <c r="J147" s="218" t="str">
        <f>IF(LEFT(_xll.BDS(Ticker,"PG_DEPR_AMORTIZATION","PG_HIERARCHY_LEVEL=1","NUMBER_OF_PERIODS=-11","REVERSE_PERIOD_ORDER=N","PRODUCT_GEO_OVERRIDE=G","FUND_PER",RIGHT($B$11,1),"ACCOUNTING_STANDARD_OVERRIDE",$H$7,"EQY_CONSOLIDATED",$H$9,"EQY_FUND_CRNCY",$L$7,"StartCol",J$12,"EndCol",J$12,"StartRow",$B147,"EndRow",$B147),1)="#","",_xll.BDS(Ticker,"PG_DEPR_AMORTIZATION","PG_HIERARCHY_LEVEL=1","NUMBER_OF_PERIODS=-11","REVERSE_PERIOD_ORDER=N","PRODUCT_GEO_OVERRIDE=G","FUND_PER",RIGHT($B$11,1),"ACCOUNTING_STANDARD_OVERRIDE",$H$7,"EQY_CONSOLIDATED",$H$9,"EQY_FUND_CRNCY",$L$7,"StartCol",J$12,"EndCol",J$12,"StartRow",$B147,"EndRow",$B147))</f>
        <v/>
      </c>
      <c r="K147" s="218" t="str">
        <f>IF(LEFT(_xll.BDS(Ticker,"PG_DEPR_AMORTIZATION","PG_HIERARCHY_LEVEL=1","NUMBER_OF_PERIODS=-11","REVERSE_PERIOD_ORDER=N","PRODUCT_GEO_OVERRIDE=G","FUND_PER",RIGHT($B$11,1),"ACCOUNTING_STANDARD_OVERRIDE",$H$7,"EQY_CONSOLIDATED",$H$9,"EQY_FUND_CRNCY",$L$7,"StartCol",K$12,"EndCol",K$12,"StartRow",$B147,"EndRow",$B147),1)="#","",_xll.BDS(Ticker,"PG_DEPR_AMORTIZATION","PG_HIERARCHY_LEVEL=1","NUMBER_OF_PERIODS=-11","REVERSE_PERIOD_ORDER=N","PRODUCT_GEO_OVERRIDE=G","FUND_PER",RIGHT($B$11,1),"ACCOUNTING_STANDARD_OVERRIDE",$H$7,"EQY_CONSOLIDATED",$H$9,"EQY_FUND_CRNCY",$L$7,"StartCol",K$12,"EndCol",K$12,"StartRow",$B147,"EndRow",$B147))</f>
        <v/>
      </c>
      <c r="L147" s="218" t="str">
        <f>IF(LEFT(_xll.BDS(Ticker,"PG_DEPR_AMORTIZATION","PG_HIERARCHY_LEVEL=1","NUMBER_OF_PERIODS=-11","REVERSE_PERIOD_ORDER=N","PRODUCT_GEO_OVERRIDE=G","FUND_PER",RIGHT($B$11,1),"ACCOUNTING_STANDARD_OVERRIDE",$H$7,"EQY_CONSOLIDATED",$H$9,"EQY_FUND_CRNCY",$L$7,"StartCol",L$12,"EndCol",L$12,"StartRow",$B147,"EndRow",$B147),1)="#","",_xll.BDS(Ticker,"PG_DEPR_AMORTIZATION","PG_HIERARCHY_LEVEL=1","NUMBER_OF_PERIODS=-11","REVERSE_PERIOD_ORDER=N","PRODUCT_GEO_OVERRIDE=G","FUND_PER",RIGHT($B$11,1),"ACCOUNTING_STANDARD_OVERRIDE",$H$7,"EQY_CONSOLIDATED",$H$9,"EQY_FUND_CRNCY",$L$7,"StartCol",L$12,"EndCol",L$12,"StartRow",$B147,"EndRow",$B147))</f>
        <v/>
      </c>
      <c r="M147" s="218" t="str">
        <f>IF(LEFT(_xll.BDS(Ticker,"PG_DEPR_AMORTIZATION","PG_HIERARCHY_LEVEL=1","NUMBER_OF_PERIODS=-11","REVERSE_PERIOD_ORDER=N","PRODUCT_GEO_OVERRIDE=G","FUND_PER",RIGHT($B$11,1),"ACCOUNTING_STANDARD_OVERRIDE",$H$7,"EQY_CONSOLIDATED",$H$9,"EQY_FUND_CRNCY",$L$7,"StartCol",M$12,"EndCol",M$12,"StartRow",$B147,"EndRow",$B147),1)="#","",_xll.BDS(Ticker,"PG_DEPR_AMORTIZATION","PG_HIERARCHY_LEVEL=1","NUMBER_OF_PERIODS=-11","REVERSE_PERIOD_ORDER=N","PRODUCT_GEO_OVERRIDE=G","FUND_PER",RIGHT($B$11,1),"ACCOUNTING_STANDARD_OVERRIDE",$H$7,"EQY_CONSOLIDATED",$H$9,"EQY_FUND_CRNCY",$L$7,"StartCol",M$12,"EndCol",M$12,"StartRow",$B147,"EndRow",$B147))</f>
        <v/>
      </c>
      <c r="N147" s="218" t="str">
        <f>IF(LEFT(_xll.BDS(Ticker,"PG_DEPR_AMORTIZATION","PG_HIERARCHY_LEVEL=1","NUMBER_OF_PERIODS=-11","REVERSE_PERIOD_ORDER=N","PRODUCT_GEO_OVERRIDE=G","FUND_PER",RIGHT($B$11,1),"ACCOUNTING_STANDARD_OVERRIDE",$H$7,"EQY_CONSOLIDATED",$H$9,"EQY_FUND_CRNCY",$L$7,"StartCol",N$12,"EndCol",N$12,"StartRow",$B147,"EndRow",$B147),1)="#","",_xll.BDS(Ticker,"PG_DEPR_AMORTIZATION","PG_HIERARCHY_LEVEL=1","NUMBER_OF_PERIODS=-11","REVERSE_PERIOD_ORDER=N","PRODUCT_GEO_OVERRIDE=G","FUND_PER",RIGHT($B$11,1),"ACCOUNTING_STANDARD_OVERRIDE",$H$7,"EQY_CONSOLIDATED",$H$9,"EQY_FUND_CRNCY",$L$7,"StartCol",N$12,"EndCol",N$12,"StartRow",$B147,"EndRow",$B147))</f>
        <v/>
      </c>
    </row>
    <row r="148" spans="2:14" hidden="1" outlineLevel="1">
      <c r="B148" s="214">
        <v>2</v>
      </c>
      <c r="C148" s="216" t="str">
        <f>IF(LEFT(_xll.BDS(Ticker,"PG_DEPR_AMORTIZATION","PG_HIERARCHY_LEVEL=1","NUMBER_OF_PERIODS=-11","REVERSE_PERIOD_ORDER=N","PRODUCT_GEO_OVERRIDE=G","FUND_PER",RIGHT($B$11,1),"ACCOUNTING_STANDARD_OVERRIDE",$H$7,"EQY_CONSOLIDATED",$H$9,"EQY_FUND_CRNCY",$L$7,"StartCol",C$12,"EndCol",C$12,"StartRow",$B148,"EndRow",$B148),1)="#","",_xll.BDS(Ticker,"PG_DEPR_AMORTIZATION","PG_HIERARCHY_LEVEL=1","NUMBER_OF_PERIODS=-11","REVERSE_PERIOD_ORDER=N","PRODUCT_GEO_OVERRIDE=G","FUND_PER",RIGHT($B$11,1),"ACCOUNTING_STANDARD_OVERRIDE",$H$7,"EQY_CONSOLIDATED",$H$9,"EQY_FUND_CRNCY",$L$7,"StartCol",C$12,"EndCol",C$12,"StartRow",$B148,"EndRow",$B148))</f>
        <v/>
      </c>
      <c r="D148" s="218" t="str">
        <f>IF(LEFT(_xll.BDS(Ticker,"PG_DEPR_AMORTIZATION","PG_HIERARCHY_LEVEL=1","NUMBER_OF_PERIODS=-11","REVERSE_PERIOD_ORDER=N","PRODUCT_GEO_OVERRIDE=G","FUND_PER",RIGHT($B$11,1),"ACCOUNTING_STANDARD_OVERRIDE",$H$7,"EQY_CONSOLIDATED",$H$9,"EQY_FUND_CRNCY",$L$7,"StartCol",D$12,"EndCol",D$12,"StartRow",$B148,"EndRow",$B148),1)="#","",_xll.BDS(Ticker,"PG_DEPR_AMORTIZATION","PG_HIERARCHY_LEVEL=1","NUMBER_OF_PERIODS=-11","REVERSE_PERIOD_ORDER=N","PRODUCT_GEO_OVERRIDE=G","FUND_PER",RIGHT($B$11,1),"ACCOUNTING_STANDARD_OVERRIDE",$H$7,"EQY_CONSOLIDATED",$H$9,"EQY_FUND_CRNCY",$L$7,"StartCol",D$12,"EndCol",D$12,"StartRow",$B148,"EndRow",$B148))</f>
        <v/>
      </c>
      <c r="E148" s="218" t="str">
        <f>IF(LEFT(_xll.BDS(Ticker,"PG_DEPR_AMORTIZATION","PG_HIERARCHY_LEVEL=1","NUMBER_OF_PERIODS=-11","REVERSE_PERIOD_ORDER=N","PRODUCT_GEO_OVERRIDE=G","FUND_PER",RIGHT($B$11,1),"ACCOUNTING_STANDARD_OVERRIDE",$H$7,"EQY_CONSOLIDATED",$H$9,"EQY_FUND_CRNCY",$L$7,"StartCol",E$12,"EndCol",E$12,"StartRow",$B148,"EndRow",$B148),1)="#","",_xll.BDS(Ticker,"PG_DEPR_AMORTIZATION","PG_HIERARCHY_LEVEL=1","NUMBER_OF_PERIODS=-11","REVERSE_PERIOD_ORDER=N","PRODUCT_GEO_OVERRIDE=G","FUND_PER",RIGHT($B$11,1),"ACCOUNTING_STANDARD_OVERRIDE",$H$7,"EQY_CONSOLIDATED",$H$9,"EQY_FUND_CRNCY",$L$7,"StartCol",E$12,"EndCol",E$12,"StartRow",$B148,"EndRow",$B148))</f>
        <v/>
      </c>
      <c r="F148" s="218" t="str">
        <f>IF(LEFT(_xll.BDS(Ticker,"PG_DEPR_AMORTIZATION","PG_HIERARCHY_LEVEL=1","NUMBER_OF_PERIODS=-11","REVERSE_PERIOD_ORDER=N","PRODUCT_GEO_OVERRIDE=G","FUND_PER",RIGHT($B$11,1),"ACCOUNTING_STANDARD_OVERRIDE",$H$7,"EQY_CONSOLIDATED",$H$9,"EQY_FUND_CRNCY",$L$7,"StartCol",F$12,"EndCol",F$12,"StartRow",$B148,"EndRow",$B148),1)="#","",_xll.BDS(Ticker,"PG_DEPR_AMORTIZATION","PG_HIERARCHY_LEVEL=1","NUMBER_OF_PERIODS=-11","REVERSE_PERIOD_ORDER=N","PRODUCT_GEO_OVERRIDE=G","FUND_PER",RIGHT($B$11,1),"ACCOUNTING_STANDARD_OVERRIDE",$H$7,"EQY_CONSOLIDATED",$H$9,"EQY_FUND_CRNCY",$L$7,"StartCol",F$12,"EndCol",F$12,"StartRow",$B148,"EndRow",$B148))</f>
        <v/>
      </c>
      <c r="G148" s="218" t="str">
        <f>IF(LEFT(_xll.BDS(Ticker,"PG_DEPR_AMORTIZATION","PG_HIERARCHY_LEVEL=1","NUMBER_OF_PERIODS=-11","REVERSE_PERIOD_ORDER=N","PRODUCT_GEO_OVERRIDE=G","FUND_PER",RIGHT($B$11,1),"ACCOUNTING_STANDARD_OVERRIDE",$H$7,"EQY_CONSOLIDATED",$H$9,"EQY_FUND_CRNCY",$L$7,"StartCol",G$12,"EndCol",G$12,"StartRow",$B148,"EndRow",$B148),1)="#","",_xll.BDS(Ticker,"PG_DEPR_AMORTIZATION","PG_HIERARCHY_LEVEL=1","NUMBER_OF_PERIODS=-11","REVERSE_PERIOD_ORDER=N","PRODUCT_GEO_OVERRIDE=G","FUND_PER",RIGHT($B$11,1),"ACCOUNTING_STANDARD_OVERRIDE",$H$7,"EQY_CONSOLIDATED",$H$9,"EQY_FUND_CRNCY",$L$7,"StartCol",G$12,"EndCol",G$12,"StartRow",$B148,"EndRow",$B148))</f>
        <v/>
      </c>
      <c r="H148" s="218" t="str">
        <f>IF(LEFT(_xll.BDS(Ticker,"PG_DEPR_AMORTIZATION","PG_HIERARCHY_LEVEL=1","NUMBER_OF_PERIODS=-11","REVERSE_PERIOD_ORDER=N","PRODUCT_GEO_OVERRIDE=G","FUND_PER",RIGHT($B$11,1),"ACCOUNTING_STANDARD_OVERRIDE",$H$7,"EQY_CONSOLIDATED",$H$9,"EQY_FUND_CRNCY",$L$7,"StartCol",H$12,"EndCol",H$12,"StartRow",$B148,"EndRow",$B148),1)="#","",_xll.BDS(Ticker,"PG_DEPR_AMORTIZATION","PG_HIERARCHY_LEVEL=1","NUMBER_OF_PERIODS=-11","REVERSE_PERIOD_ORDER=N","PRODUCT_GEO_OVERRIDE=G","FUND_PER",RIGHT($B$11,1),"ACCOUNTING_STANDARD_OVERRIDE",$H$7,"EQY_CONSOLIDATED",$H$9,"EQY_FUND_CRNCY",$L$7,"StartCol",H$12,"EndCol",H$12,"StartRow",$B148,"EndRow",$B148))</f>
        <v/>
      </c>
      <c r="I148" s="218" t="str">
        <f>IF(LEFT(_xll.BDS(Ticker,"PG_DEPR_AMORTIZATION","PG_HIERARCHY_LEVEL=1","NUMBER_OF_PERIODS=-11","REVERSE_PERIOD_ORDER=N","PRODUCT_GEO_OVERRIDE=G","FUND_PER",RIGHT($B$11,1),"ACCOUNTING_STANDARD_OVERRIDE",$H$7,"EQY_CONSOLIDATED",$H$9,"EQY_FUND_CRNCY",$L$7,"StartCol",I$12,"EndCol",I$12,"StartRow",$B148,"EndRow",$B148),1)="#","",_xll.BDS(Ticker,"PG_DEPR_AMORTIZATION","PG_HIERARCHY_LEVEL=1","NUMBER_OF_PERIODS=-11","REVERSE_PERIOD_ORDER=N","PRODUCT_GEO_OVERRIDE=G","FUND_PER",RIGHT($B$11,1),"ACCOUNTING_STANDARD_OVERRIDE",$H$7,"EQY_CONSOLIDATED",$H$9,"EQY_FUND_CRNCY",$L$7,"StartCol",I$12,"EndCol",I$12,"StartRow",$B148,"EndRow",$B148))</f>
        <v/>
      </c>
      <c r="J148" s="218" t="str">
        <f>IF(LEFT(_xll.BDS(Ticker,"PG_DEPR_AMORTIZATION","PG_HIERARCHY_LEVEL=1","NUMBER_OF_PERIODS=-11","REVERSE_PERIOD_ORDER=N","PRODUCT_GEO_OVERRIDE=G","FUND_PER",RIGHT($B$11,1),"ACCOUNTING_STANDARD_OVERRIDE",$H$7,"EQY_CONSOLIDATED",$H$9,"EQY_FUND_CRNCY",$L$7,"StartCol",J$12,"EndCol",J$12,"StartRow",$B148,"EndRow",$B148),1)="#","",_xll.BDS(Ticker,"PG_DEPR_AMORTIZATION","PG_HIERARCHY_LEVEL=1","NUMBER_OF_PERIODS=-11","REVERSE_PERIOD_ORDER=N","PRODUCT_GEO_OVERRIDE=G","FUND_PER",RIGHT($B$11,1),"ACCOUNTING_STANDARD_OVERRIDE",$H$7,"EQY_CONSOLIDATED",$H$9,"EQY_FUND_CRNCY",$L$7,"StartCol",J$12,"EndCol",J$12,"StartRow",$B148,"EndRow",$B148))</f>
        <v/>
      </c>
      <c r="K148" s="218" t="str">
        <f>IF(LEFT(_xll.BDS(Ticker,"PG_DEPR_AMORTIZATION","PG_HIERARCHY_LEVEL=1","NUMBER_OF_PERIODS=-11","REVERSE_PERIOD_ORDER=N","PRODUCT_GEO_OVERRIDE=G","FUND_PER",RIGHT($B$11,1),"ACCOUNTING_STANDARD_OVERRIDE",$H$7,"EQY_CONSOLIDATED",$H$9,"EQY_FUND_CRNCY",$L$7,"StartCol",K$12,"EndCol",K$12,"StartRow",$B148,"EndRow",$B148),1)="#","",_xll.BDS(Ticker,"PG_DEPR_AMORTIZATION","PG_HIERARCHY_LEVEL=1","NUMBER_OF_PERIODS=-11","REVERSE_PERIOD_ORDER=N","PRODUCT_GEO_OVERRIDE=G","FUND_PER",RIGHT($B$11,1),"ACCOUNTING_STANDARD_OVERRIDE",$H$7,"EQY_CONSOLIDATED",$H$9,"EQY_FUND_CRNCY",$L$7,"StartCol",K$12,"EndCol",K$12,"StartRow",$B148,"EndRow",$B148))</f>
        <v/>
      </c>
      <c r="L148" s="218" t="str">
        <f>IF(LEFT(_xll.BDS(Ticker,"PG_DEPR_AMORTIZATION","PG_HIERARCHY_LEVEL=1","NUMBER_OF_PERIODS=-11","REVERSE_PERIOD_ORDER=N","PRODUCT_GEO_OVERRIDE=G","FUND_PER",RIGHT($B$11,1),"ACCOUNTING_STANDARD_OVERRIDE",$H$7,"EQY_CONSOLIDATED",$H$9,"EQY_FUND_CRNCY",$L$7,"StartCol",L$12,"EndCol",L$12,"StartRow",$B148,"EndRow",$B148),1)="#","",_xll.BDS(Ticker,"PG_DEPR_AMORTIZATION","PG_HIERARCHY_LEVEL=1","NUMBER_OF_PERIODS=-11","REVERSE_PERIOD_ORDER=N","PRODUCT_GEO_OVERRIDE=G","FUND_PER",RIGHT($B$11,1),"ACCOUNTING_STANDARD_OVERRIDE",$H$7,"EQY_CONSOLIDATED",$H$9,"EQY_FUND_CRNCY",$L$7,"StartCol",L$12,"EndCol",L$12,"StartRow",$B148,"EndRow",$B148))</f>
        <v/>
      </c>
      <c r="M148" s="218" t="str">
        <f>IF(LEFT(_xll.BDS(Ticker,"PG_DEPR_AMORTIZATION","PG_HIERARCHY_LEVEL=1","NUMBER_OF_PERIODS=-11","REVERSE_PERIOD_ORDER=N","PRODUCT_GEO_OVERRIDE=G","FUND_PER",RIGHT($B$11,1),"ACCOUNTING_STANDARD_OVERRIDE",$H$7,"EQY_CONSOLIDATED",$H$9,"EQY_FUND_CRNCY",$L$7,"StartCol",M$12,"EndCol",M$12,"StartRow",$B148,"EndRow",$B148),1)="#","",_xll.BDS(Ticker,"PG_DEPR_AMORTIZATION","PG_HIERARCHY_LEVEL=1","NUMBER_OF_PERIODS=-11","REVERSE_PERIOD_ORDER=N","PRODUCT_GEO_OVERRIDE=G","FUND_PER",RIGHT($B$11,1),"ACCOUNTING_STANDARD_OVERRIDE",$H$7,"EQY_CONSOLIDATED",$H$9,"EQY_FUND_CRNCY",$L$7,"StartCol",M$12,"EndCol",M$12,"StartRow",$B148,"EndRow",$B148))</f>
        <v/>
      </c>
      <c r="N148" s="218" t="str">
        <f>IF(LEFT(_xll.BDS(Ticker,"PG_DEPR_AMORTIZATION","PG_HIERARCHY_LEVEL=1","NUMBER_OF_PERIODS=-11","REVERSE_PERIOD_ORDER=N","PRODUCT_GEO_OVERRIDE=G","FUND_PER",RIGHT($B$11,1),"ACCOUNTING_STANDARD_OVERRIDE",$H$7,"EQY_CONSOLIDATED",$H$9,"EQY_FUND_CRNCY",$L$7,"StartCol",N$12,"EndCol",N$12,"StartRow",$B148,"EndRow",$B148),1)="#","",_xll.BDS(Ticker,"PG_DEPR_AMORTIZATION","PG_HIERARCHY_LEVEL=1","NUMBER_OF_PERIODS=-11","REVERSE_PERIOD_ORDER=N","PRODUCT_GEO_OVERRIDE=G","FUND_PER",RIGHT($B$11,1),"ACCOUNTING_STANDARD_OVERRIDE",$H$7,"EQY_CONSOLIDATED",$H$9,"EQY_FUND_CRNCY",$L$7,"StartCol",N$12,"EndCol",N$12,"StartRow",$B148,"EndRow",$B148))</f>
        <v/>
      </c>
    </row>
    <row r="149" spans="2:14" hidden="1" outlineLevel="1">
      <c r="B149" s="214">
        <v>3</v>
      </c>
      <c r="C149" s="216" t="str">
        <f>IF(LEFT(_xll.BDS(Ticker,"PG_DEPR_AMORTIZATION","PG_HIERARCHY_LEVEL=1","NUMBER_OF_PERIODS=-11","REVERSE_PERIOD_ORDER=N","PRODUCT_GEO_OVERRIDE=G","FUND_PER",RIGHT($B$11,1),"ACCOUNTING_STANDARD_OVERRIDE",$H$7,"EQY_CONSOLIDATED",$H$9,"EQY_FUND_CRNCY",$L$7,"StartCol",C$12,"EndCol",C$12,"StartRow",$B149,"EndRow",$B149),1)="#","",_xll.BDS(Ticker,"PG_DEPR_AMORTIZATION","PG_HIERARCHY_LEVEL=1","NUMBER_OF_PERIODS=-11","REVERSE_PERIOD_ORDER=N","PRODUCT_GEO_OVERRIDE=G","FUND_PER",RIGHT($B$11,1),"ACCOUNTING_STANDARD_OVERRIDE",$H$7,"EQY_CONSOLIDATED",$H$9,"EQY_FUND_CRNCY",$L$7,"StartCol",C$12,"EndCol",C$12,"StartRow",$B149,"EndRow",$B149))</f>
        <v/>
      </c>
      <c r="D149" s="218" t="str">
        <f>IF(LEFT(_xll.BDS(Ticker,"PG_DEPR_AMORTIZATION","PG_HIERARCHY_LEVEL=1","NUMBER_OF_PERIODS=-11","REVERSE_PERIOD_ORDER=N","PRODUCT_GEO_OVERRIDE=G","FUND_PER",RIGHT($B$11,1),"ACCOUNTING_STANDARD_OVERRIDE",$H$7,"EQY_CONSOLIDATED",$H$9,"EQY_FUND_CRNCY",$L$7,"StartCol",D$12,"EndCol",D$12,"StartRow",$B149,"EndRow",$B149),1)="#","",_xll.BDS(Ticker,"PG_DEPR_AMORTIZATION","PG_HIERARCHY_LEVEL=1","NUMBER_OF_PERIODS=-11","REVERSE_PERIOD_ORDER=N","PRODUCT_GEO_OVERRIDE=G","FUND_PER",RIGHT($B$11,1),"ACCOUNTING_STANDARD_OVERRIDE",$H$7,"EQY_CONSOLIDATED",$H$9,"EQY_FUND_CRNCY",$L$7,"StartCol",D$12,"EndCol",D$12,"StartRow",$B149,"EndRow",$B149))</f>
        <v/>
      </c>
      <c r="E149" s="218" t="str">
        <f>IF(LEFT(_xll.BDS(Ticker,"PG_DEPR_AMORTIZATION","PG_HIERARCHY_LEVEL=1","NUMBER_OF_PERIODS=-11","REVERSE_PERIOD_ORDER=N","PRODUCT_GEO_OVERRIDE=G","FUND_PER",RIGHT($B$11,1),"ACCOUNTING_STANDARD_OVERRIDE",$H$7,"EQY_CONSOLIDATED",$H$9,"EQY_FUND_CRNCY",$L$7,"StartCol",E$12,"EndCol",E$12,"StartRow",$B149,"EndRow",$B149),1)="#","",_xll.BDS(Ticker,"PG_DEPR_AMORTIZATION","PG_HIERARCHY_LEVEL=1","NUMBER_OF_PERIODS=-11","REVERSE_PERIOD_ORDER=N","PRODUCT_GEO_OVERRIDE=G","FUND_PER",RIGHT($B$11,1),"ACCOUNTING_STANDARD_OVERRIDE",$H$7,"EQY_CONSOLIDATED",$H$9,"EQY_FUND_CRNCY",$L$7,"StartCol",E$12,"EndCol",E$12,"StartRow",$B149,"EndRow",$B149))</f>
        <v/>
      </c>
      <c r="F149" s="218" t="str">
        <f>IF(LEFT(_xll.BDS(Ticker,"PG_DEPR_AMORTIZATION","PG_HIERARCHY_LEVEL=1","NUMBER_OF_PERIODS=-11","REVERSE_PERIOD_ORDER=N","PRODUCT_GEO_OVERRIDE=G","FUND_PER",RIGHT($B$11,1),"ACCOUNTING_STANDARD_OVERRIDE",$H$7,"EQY_CONSOLIDATED",$H$9,"EQY_FUND_CRNCY",$L$7,"StartCol",F$12,"EndCol",F$12,"StartRow",$B149,"EndRow",$B149),1)="#","",_xll.BDS(Ticker,"PG_DEPR_AMORTIZATION","PG_HIERARCHY_LEVEL=1","NUMBER_OF_PERIODS=-11","REVERSE_PERIOD_ORDER=N","PRODUCT_GEO_OVERRIDE=G","FUND_PER",RIGHT($B$11,1),"ACCOUNTING_STANDARD_OVERRIDE",$H$7,"EQY_CONSOLIDATED",$H$9,"EQY_FUND_CRNCY",$L$7,"StartCol",F$12,"EndCol",F$12,"StartRow",$B149,"EndRow",$B149))</f>
        <v/>
      </c>
      <c r="G149" s="218" t="str">
        <f>IF(LEFT(_xll.BDS(Ticker,"PG_DEPR_AMORTIZATION","PG_HIERARCHY_LEVEL=1","NUMBER_OF_PERIODS=-11","REVERSE_PERIOD_ORDER=N","PRODUCT_GEO_OVERRIDE=G","FUND_PER",RIGHT($B$11,1),"ACCOUNTING_STANDARD_OVERRIDE",$H$7,"EQY_CONSOLIDATED",$H$9,"EQY_FUND_CRNCY",$L$7,"StartCol",G$12,"EndCol",G$12,"StartRow",$B149,"EndRow",$B149),1)="#","",_xll.BDS(Ticker,"PG_DEPR_AMORTIZATION","PG_HIERARCHY_LEVEL=1","NUMBER_OF_PERIODS=-11","REVERSE_PERIOD_ORDER=N","PRODUCT_GEO_OVERRIDE=G","FUND_PER",RIGHT($B$11,1),"ACCOUNTING_STANDARD_OVERRIDE",$H$7,"EQY_CONSOLIDATED",$H$9,"EQY_FUND_CRNCY",$L$7,"StartCol",G$12,"EndCol",G$12,"StartRow",$B149,"EndRow",$B149))</f>
        <v/>
      </c>
      <c r="H149" s="218" t="str">
        <f>IF(LEFT(_xll.BDS(Ticker,"PG_DEPR_AMORTIZATION","PG_HIERARCHY_LEVEL=1","NUMBER_OF_PERIODS=-11","REVERSE_PERIOD_ORDER=N","PRODUCT_GEO_OVERRIDE=G","FUND_PER",RIGHT($B$11,1),"ACCOUNTING_STANDARD_OVERRIDE",$H$7,"EQY_CONSOLIDATED",$H$9,"EQY_FUND_CRNCY",$L$7,"StartCol",H$12,"EndCol",H$12,"StartRow",$B149,"EndRow",$B149),1)="#","",_xll.BDS(Ticker,"PG_DEPR_AMORTIZATION","PG_HIERARCHY_LEVEL=1","NUMBER_OF_PERIODS=-11","REVERSE_PERIOD_ORDER=N","PRODUCT_GEO_OVERRIDE=G","FUND_PER",RIGHT($B$11,1),"ACCOUNTING_STANDARD_OVERRIDE",$H$7,"EQY_CONSOLIDATED",$H$9,"EQY_FUND_CRNCY",$L$7,"StartCol",H$12,"EndCol",H$12,"StartRow",$B149,"EndRow",$B149))</f>
        <v/>
      </c>
      <c r="I149" s="218" t="str">
        <f>IF(LEFT(_xll.BDS(Ticker,"PG_DEPR_AMORTIZATION","PG_HIERARCHY_LEVEL=1","NUMBER_OF_PERIODS=-11","REVERSE_PERIOD_ORDER=N","PRODUCT_GEO_OVERRIDE=G","FUND_PER",RIGHT($B$11,1),"ACCOUNTING_STANDARD_OVERRIDE",$H$7,"EQY_CONSOLIDATED",$H$9,"EQY_FUND_CRNCY",$L$7,"StartCol",I$12,"EndCol",I$12,"StartRow",$B149,"EndRow",$B149),1)="#","",_xll.BDS(Ticker,"PG_DEPR_AMORTIZATION","PG_HIERARCHY_LEVEL=1","NUMBER_OF_PERIODS=-11","REVERSE_PERIOD_ORDER=N","PRODUCT_GEO_OVERRIDE=G","FUND_PER",RIGHT($B$11,1),"ACCOUNTING_STANDARD_OVERRIDE",$H$7,"EQY_CONSOLIDATED",$H$9,"EQY_FUND_CRNCY",$L$7,"StartCol",I$12,"EndCol",I$12,"StartRow",$B149,"EndRow",$B149))</f>
        <v/>
      </c>
      <c r="J149" s="218" t="str">
        <f>IF(LEFT(_xll.BDS(Ticker,"PG_DEPR_AMORTIZATION","PG_HIERARCHY_LEVEL=1","NUMBER_OF_PERIODS=-11","REVERSE_PERIOD_ORDER=N","PRODUCT_GEO_OVERRIDE=G","FUND_PER",RIGHT($B$11,1),"ACCOUNTING_STANDARD_OVERRIDE",$H$7,"EQY_CONSOLIDATED",$H$9,"EQY_FUND_CRNCY",$L$7,"StartCol",J$12,"EndCol",J$12,"StartRow",$B149,"EndRow",$B149),1)="#","",_xll.BDS(Ticker,"PG_DEPR_AMORTIZATION","PG_HIERARCHY_LEVEL=1","NUMBER_OF_PERIODS=-11","REVERSE_PERIOD_ORDER=N","PRODUCT_GEO_OVERRIDE=G","FUND_PER",RIGHT($B$11,1),"ACCOUNTING_STANDARD_OVERRIDE",$H$7,"EQY_CONSOLIDATED",$H$9,"EQY_FUND_CRNCY",$L$7,"StartCol",J$12,"EndCol",J$12,"StartRow",$B149,"EndRow",$B149))</f>
        <v/>
      </c>
      <c r="K149" s="218" t="str">
        <f>IF(LEFT(_xll.BDS(Ticker,"PG_DEPR_AMORTIZATION","PG_HIERARCHY_LEVEL=1","NUMBER_OF_PERIODS=-11","REVERSE_PERIOD_ORDER=N","PRODUCT_GEO_OVERRIDE=G","FUND_PER",RIGHT($B$11,1),"ACCOUNTING_STANDARD_OVERRIDE",$H$7,"EQY_CONSOLIDATED",$H$9,"EQY_FUND_CRNCY",$L$7,"StartCol",K$12,"EndCol",K$12,"StartRow",$B149,"EndRow",$B149),1)="#","",_xll.BDS(Ticker,"PG_DEPR_AMORTIZATION","PG_HIERARCHY_LEVEL=1","NUMBER_OF_PERIODS=-11","REVERSE_PERIOD_ORDER=N","PRODUCT_GEO_OVERRIDE=G","FUND_PER",RIGHT($B$11,1),"ACCOUNTING_STANDARD_OVERRIDE",$H$7,"EQY_CONSOLIDATED",$H$9,"EQY_FUND_CRNCY",$L$7,"StartCol",K$12,"EndCol",K$12,"StartRow",$B149,"EndRow",$B149))</f>
        <v/>
      </c>
      <c r="L149" s="218" t="str">
        <f>IF(LEFT(_xll.BDS(Ticker,"PG_DEPR_AMORTIZATION","PG_HIERARCHY_LEVEL=1","NUMBER_OF_PERIODS=-11","REVERSE_PERIOD_ORDER=N","PRODUCT_GEO_OVERRIDE=G","FUND_PER",RIGHT($B$11,1),"ACCOUNTING_STANDARD_OVERRIDE",$H$7,"EQY_CONSOLIDATED",$H$9,"EQY_FUND_CRNCY",$L$7,"StartCol",L$12,"EndCol",L$12,"StartRow",$B149,"EndRow",$B149),1)="#","",_xll.BDS(Ticker,"PG_DEPR_AMORTIZATION","PG_HIERARCHY_LEVEL=1","NUMBER_OF_PERIODS=-11","REVERSE_PERIOD_ORDER=N","PRODUCT_GEO_OVERRIDE=G","FUND_PER",RIGHT($B$11,1),"ACCOUNTING_STANDARD_OVERRIDE",$H$7,"EQY_CONSOLIDATED",$H$9,"EQY_FUND_CRNCY",$L$7,"StartCol",L$12,"EndCol",L$12,"StartRow",$B149,"EndRow",$B149))</f>
        <v/>
      </c>
      <c r="M149" s="218" t="str">
        <f>IF(LEFT(_xll.BDS(Ticker,"PG_DEPR_AMORTIZATION","PG_HIERARCHY_LEVEL=1","NUMBER_OF_PERIODS=-11","REVERSE_PERIOD_ORDER=N","PRODUCT_GEO_OVERRIDE=G","FUND_PER",RIGHT($B$11,1),"ACCOUNTING_STANDARD_OVERRIDE",$H$7,"EQY_CONSOLIDATED",$H$9,"EQY_FUND_CRNCY",$L$7,"StartCol",M$12,"EndCol",M$12,"StartRow",$B149,"EndRow",$B149),1)="#","",_xll.BDS(Ticker,"PG_DEPR_AMORTIZATION","PG_HIERARCHY_LEVEL=1","NUMBER_OF_PERIODS=-11","REVERSE_PERIOD_ORDER=N","PRODUCT_GEO_OVERRIDE=G","FUND_PER",RIGHT($B$11,1),"ACCOUNTING_STANDARD_OVERRIDE",$H$7,"EQY_CONSOLIDATED",$H$9,"EQY_FUND_CRNCY",$L$7,"StartCol",M$12,"EndCol",M$12,"StartRow",$B149,"EndRow",$B149))</f>
        <v/>
      </c>
      <c r="N149" s="218" t="str">
        <f>IF(LEFT(_xll.BDS(Ticker,"PG_DEPR_AMORTIZATION","PG_HIERARCHY_LEVEL=1","NUMBER_OF_PERIODS=-11","REVERSE_PERIOD_ORDER=N","PRODUCT_GEO_OVERRIDE=G","FUND_PER",RIGHT($B$11,1),"ACCOUNTING_STANDARD_OVERRIDE",$H$7,"EQY_CONSOLIDATED",$H$9,"EQY_FUND_CRNCY",$L$7,"StartCol",N$12,"EndCol",N$12,"StartRow",$B149,"EndRow",$B149),1)="#","",_xll.BDS(Ticker,"PG_DEPR_AMORTIZATION","PG_HIERARCHY_LEVEL=1","NUMBER_OF_PERIODS=-11","REVERSE_PERIOD_ORDER=N","PRODUCT_GEO_OVERRIDE=G","FUND_PER",RIGHT($B$11,1),"ACCOUNTING_STANDARD_OVERRIDE",$H$7,"EQY_CONSOLIDATED",$H$9,"EQY_FUND_CRNCY",$L$7,"StartCol",N$12,"EndCol",N$12,"StartRow",$B149,"EndRow",$B149))</f>
        <v/>
      </c>
    </row>
    <row r="150" spans="2:14" hidden="1" outlineLevel="1">
      <c r="B150" s="214">
        <v>4</v>
      </c>
      <c r="C150" s="216" t="str">
        <f>IF(LEFT(_xll.BDS(Ticker,"PG_DEPR_AMORTIZATION","PG_HIERARCHY_LEVEL=1","NUMBER_OF_PERIODS=-11","REVERSE_PERIOD_ORDER=N","PRODUCT_GEO_OVERRIDE=G","FUND_PER",RIGHT($B$11,1),"ACCOUNTING_STANDARD_OVERRIDE",$H$7,"EQY_CONSOLIDATED",$H$9,"EQY_FUND_CRNCY",$L$7,"StartCol",C$12,"EndCol",C$12,"StartRow",$B150,"EndRow",$B150),1)="#","",_xll.BDS(Ticker,"PG_DEPR_AMORTIZATION","PG_HIERARCHY_LEVEL=1","NUMBER_OF_PERIODS=-11","REVERSE_PERIOD_ORDER=N","PRODUCT_GEO_OVERRIDE=G","FUND_PER",RIGHT($B$11,1),"ACCOUNTING_STANDARD_OVERRIDE",$H$7,"EQY_CONSOLIDATED",$H$9,"EQY_FUND_CRNCY",$L$7,"StartCol",C$12,"EndCol",C$12,"StartRow",$B150,"EndRow",$B150))</f>
        <v/>
      </c>
      <c r="D150" s="218" t="str">
        <f>IF(LEFT(_xll.BDS(Ticker,"PG_DEPR_AMORTIZATION","PG_HIERARCHY_LEVEL=1","NUMBER_OF_PERIODS=-11","REVERSE_PERIOD_ORDER=N","PRODUCT_GEO_OVERRIDE=G","FUND_PER",RIGHT($B$11,1),"ACCOUNTING_STANDARD_OVERRIDE",$H$7,"EQY_CONSOLIDATED",$H$9,"EQY_FUND_CRNCY",$L$7,"StartCol",D$12,"EndCol",D$12,"StartRow",$B150,"EndRow",$B150),1)="#","",_xll.BDS(Ticker,"PG_DEPR_AMORTIZATION","PG_HIERARCHY_LEVEL=1","NUMBER_OF_PERIODS=-11","REVERSE_PERIOD_ORDER=N","PRODUCT_GEO_OVERRIDE=G","FUND_PER",RIGHT($B$11,1),"ACCOUNTING_STANDARD_OVERRIDE",$H$7,"EQY_CONSOLIDATED",$H$9,"EQY_FUND_CRNCY",$L$7,"StartCol",D$12,"EndCol",D$12,"StartRow",$B150,"EndRow",$B150))</f>
        <v/>
      </c>
      <c r="E150" s="218" t="str">
        <f>IF(LEFT(_xll.BDS(Ticker,"PG_DEPR_AMORTIZATION","PG_HIERARCHY_LEVEL=1","NUMBER_OF_PERIODS=-11","REVERSE_PERIOD_ORDER=N","PRODUCT_GEO_OVERRIDE=G","FUND_PER",RIGHT($B$11,1),"ACCOUNTING_STANDARD_OVERRIDE",$H$7,"EQY_CONSOLIDATED",$H$9,"EQY_FUND_CRNCY",$L$7,"StartCol",E$12,"EndCol",E$12,"StartRow",$B150,"EndRow",$B150),1)="#","",_xll.BDS(Ticker,"PG_DEPR_AMORTIZATION","PG_HIERARCHY_LEVEL=1","NUMBER_OF_PERIODS=-11","REVERSE_PERIOD_ORDER=N","PRODUCT_GEO_OVERRIDE=G","FUND_PER",RIGHT($B$11,1),"ACCOUNTING_STANDARD_OVERRIDE",$H$7,"EQY_CONSOLIDATED",$H$9,"EQY_FUND_CRNCY",$L$7,"StartCol",E$12,"EndCol",E$12,"StartRow",$B150,"EndRow",$B150))</f>
        <v/>
      </c>
      <c r="F150" s="218" t="str">
        <f>IF(LEFT(_xll.BDS(Ticker,"PG_DEPR_AMORTIZATION","PG_HIERARCHY_LEVEL=1","NUMBER_OF_PERIODS=-11","REVERSE_PERIOD_ORDER=N","PRODUCT_GEO_OVERRIDE=G","FUND_PER",RIGHT($B$11,1),"ACCOUNTING_STANDARD_OVERRIDE",$H$7,"EQY_CONSOLIDATED",$H$9,"EQY_FUND_CRNCY",$L$7,"StartCol",F$12,"EndCol",F$12,"StartRow",$B150,"EndRow",$B150),1)="#","",_xll.BDS(Ticker,"PG_DEPR_AMORTIZATION","PG_HIERARCHY_LEVEL=1","NUMBER_OF_PERIODS=-11","REVERSE_PERIOD_ORDER=N","PRODUCT_GEO_OVERRIDE=G","FUND_PER",RIGHT($B$11,1),"ACCOUNTING_STANDARD_OVERRIDE",$H$7,"EQY_CONSOLIDATED",$H$9,"EQY_FUND_CRNCY",$L$7,"StartCol",F$12,"EndCol",F$12,"StartRow",$B150,"EndRow",$B150))</f>
        <v/>
      </c>
      <c r="G150" s="218" t="str">
        <f>IF(LEFT(_xll.BDS(Ticker,"PG_DEPR_AMORTIZATION","PG_HIERARCHY_LEVEL=1","NUMBER_OF_PERIODS=-11","REVERSE_PERIOD_ORDER=N","PRODUCT_GEO_OVERRIDE=G","FUND_PER",RIGHT($B$11,1),"ACCOUNTING_STANDARD_OVERRIDE",$H$7,"EQY_CONSOLIDATED",$H$9,"EQY_FUND_CRNCY",$L$7,"StartCol",G$12,"EndCol",G$12,"StartRow",$B150,"EndRow",$B150),1)="#","",_xll.BDS(Ticker,"PG_DEPR_AMORTIZATION","PG_HIERARCHY_LEVEL=1","NUMBER_OF_PERIODS=-11","REVERSE_PERIOD_ORDER=N","PRODUCT_GEO_OVERRIDE=G","FUND_PER",RIGHT($B$11,1),"ACCOUNTING_STANDARD_OVERRIDE",$H$7,"EQY_CONSOLIDATED",$H$9,"EQY_FUND_CRNCY",$L$7,"StartCol",G$12,"EndCol",G$12,"StartRow",$B150,"EndRow",$B150))</f>
        <v/>
      </c>
      <c r="H150" s="218" t="str">
        <f>IF(LEFT(_xll.BDS(Ticker,"PG_DEPR_AMORTIZATION","PG_HIERARCHY_LEVEL=1","NUMBER_OF_PERIODS=-11","REVERSE_PERIOD_ORDER=N","PRODUCT_GEO_OVERRIDE=G","FUND_PER",RIGHT($B$11,1),"ACCOUNTING_STANDARD_OVERRIDE",$H$7,"EQY_CONSOLIDATED",$H$9,"EQY_FUND_CRNCY",$L$7,"StartCol",H$12,"EndCol",H$12,"StartRow",$B150,"EndRow",$B150),1)="#","",_xll.BDS(Ticker,"PG_DEPR_AMORTIZATION","PG_HIERARCHY_LEVEL=1","NUMBER_OF_PERIODS=-11","REVERSE_PERIOD_ORDER=N","PRODUCT_GEO_OVERRIDE=G","FUND_PER",RIGHT($B$11,1),"ACCOUNTING_STANDARD_OVERRIDE",$H$7,"EQY_CONSOLIDATED",$H$9,"EQY_FUND_CRNCY",$L$7,"StartCol",H$12,"EndCol",H$12,"StartRow",$B150,"EndRow",$B150))</f>
        <v/>
      </c>
      <c r="I150" s="218" t="str">
        <f>IF(LEFT(_xll.BDS(Ticker,"PG_DEPR_AMORTIZATION","PG_HIERARCHY_LEVEL=1","NUMBER_OF_PERIODS=-11","REVERSE_PERIOD_ORDER=N","PRODUCT_GEO_OVERRIDE=G","FUND_PER",RIGHT($B$11,1),"ACCOUNTING_STANDARD_OVERRIDE",$H$7,"EQY_CONSOLIDATED",$H$9,"EQY_FUND_CRNCY",$L$7,"StartCol",I$12,"EndCol",I$12,"StartRow",$B150,"EndRow",$B150),1)="#","",_xll.BDS(Ticker,"PG_DEPR_AMORTIZATION","PG_HIERARCHY_LEVEL=1","NUMBER_OF_PERIODS=-11","REVERSE_PERIOD_ORDER=N","PRODUCT_GEO_OVERRIDE=G","FUND_PER",RIGHT($B$11,1),"ACCOUNTING_STANDARD_OVERRIDE",$H$7,"EQY_CONSOLIDATED",$H$9,"EQY_FUND_CRNCY",$L$7,"StartCol",I$12,"EndCol",I$12,"StartRow",$B150,"EndRow",$B150))</f>
        <v/>
      </c>
      <c r="J150" s="218" t="str">
        <f>IF(LEFT(_xll.BDS(Ticker,"PG_DEPR_AMORTIZATION","PG_HIERARCHY_LEVEL=1","NUMBER_OF_PERIODS=-11","REVERSE_PERIOD_ORDER=N","PRODUCT_GEO_OVERRIDE=G","FUND_PER",RIGHT($B$11,1),"ACCOUNTING_STANDARD_OVERRIDE",$H$7,"EQY_CONSOLIDATED",$H$9,"EQY_FUND_CRNCY",$L$7,"StartCol",J$12,"EndCol",J$12,"StartRow",$B150,"EndRow",$B150),1)="#","",_xll.BDS(Ticker,"PG_DEPR_AMORTIZATION","PG_HIERARCHY_LEVEL=1","NUMBER_OF_PERIODS=-11","REVERSE_PERIOD_ORDER=N","PRODUCT_GEO_OVERRIDE=G","FUND_PER",RIGHT($B$11,1),"ACCOUNTING_STANDARD_OVERRIDE",$H$7,"EQY_CONSOLIDATED",$H$9,"EQY_FUND_CRNCY",$L$7,"StartCol",J$12,"EndCol",J$12,"StartRow",$B150,"EndRow",$B150))</f>
        <v/>
      </c>
      <c r="K150" s="218" t="str">
        <f>IF(LEFT(_xll.BDS(Ticker,"PG_DEPR_AMORTIZATION","PG_HIERARCHY_LEVEL=1","NUMBER_OF_PERIODS=-11","REVERSE_PERIOD_ORDER=N","PRODUCT_GEO_OVERRIDE=G","FUND_PER",RIGHT($B$11,1),"ACCOUNTING_STANDARD_OVERRIDE",$H$7,"EQY_CONSOLIDATED",$H$9,"EQY_FUND_CRNCY",$L$7,"StartCol",K$12,"EndCol",K$12,"StartRow",$B150,"EndRow",$B150),1)="#","",_xll.BDS(Ticker,"PG_DEPR_AMORTIZATION","PG_HIERARCHY_LEVEL=1","NUMBER_OF_PERIODS=-11","REVERSE_PERIOD_ORDER=N","PRODUCT_GEO_OVERRIDE=G","FUND_PER",RIGHT($B$11,1),"ACCOUNTING_STANDARD_OVERRIDE",$H$7,"EQY_CONSOLIDATED",$H$9,"EQY_FUND_CRNCY",$L$7,"StartCol",K$12,"EndCol",K$12,"StartRow",$B150,"EndRow",$B150))</f>
        <v/>
      </c>
      <c r="L150" s="218" t="str">
        <f>IF(LEFT(_xll.BDS(Ticker,"PG_DEPR_AMORTIZATION","PG_HIERARCHY_LEVEL=1","NUMBER_OF_PERIODS=-11","REVERSE_PERIOD_ORDER=N","PRODUCT_GEO_OVERRIDE=G","FUND_PER",RIGHT($B$11,1),"ACCOUNTING_STANDARD_OVERRIDE",$H$7,"EQY_CONSOLIDATED",$H$9,"EQY_FUND_CRNCY",$L$7,"StartCol",L$12,"EndCol",L$12,"StartRow",$B150,"EndRow",$B150),1)="#","",_xll.BDS(Ticker,"PG_DEPR_AMORTIZATION","PG_HIERARCHY_LEVEL=1","NUMBER_OF_PERIODS=-11","REVERSE_PERIOD_ORDER=N","PRODUCT_GEO_OVERRIDE=G","FUND_PER",RIGHT($B$11,1),"ACCOUNTING_STANDARD_OVERRIDE",$H$7,"EQY_CONSOLIDATED",$H$9,"EQY_FUND_CRNCY",$L$7,"StartCol",L$12,"EndCol",L$12,"StartRow",$B150,"EndRow",$B150))</f>
        <v/>
      </c>
      <c r="M150" s="218" t="str">
        <f>IF(LEFT(_xll.BDS(Ticker,"PG_DEPR_AMORTIZATION","PG_HIERARCHY_LEVEL=1","NUMBER_OF_PERIODS=-11","REVERSE_PERIOD_ORDER=N","PRODUCT_GEO_OVERRIDE=G","FUND_PER",RIGHT($B$11,1),"ACCOUNTING_STANDARD_OVERRIDE",$H$7,"EQY_CONSOLIDATED",$H$9,"EQY_FUND_CRNCY",$L$7,"StartCol",M$12,"EndCol",M$12,"StartRow",$B150,"EndRow",$B150),1)="#","",_xll.BDS(Ticker,"PG_DEPR_AMORTIZATION","PG_HIERARCHY_LEVEL=1","NUMBER_OF_PERIODS=-11","REVERSE_PERIOD_ORDER=N","PRODUCT_GEO_OVERRIDE=G","FUND_PER",RIGHT($B$11,1),"ACCOUNTING_STANDARD_OVERRIDE",$H$7,"EQY_CONSOLIDATED",$H$9,"EQY_FUND_CRNCY",$L$7,"StartCol",M$12,"EndCol",M$12,"StartRow",$B150,"EndRow",$B150))</f>
        <v/>
      </c>
      <c r="N150" s="218" t="str">
        <f>IF(LEFT(_xll.BDS(Ticker,"PG_DEPR_AMORTIZATION","PG_HIERARCHY_LEVEL=1","NUMBER_OF_PERIODS=-11","REVERSE_PERIOD_ORDER=N","PRODUCT_GEO_OVERRIDE=G","FUND_PER",RIGHT($B$11,1),"ACCOUNTING_STANDARD_OVERRIDE",$H$7,"EQY_CONSOLIDATED",$H$9,"EQY_FUND_CRNCY",$L$7,"StartCol",N$12,"EndCol",N$12,"StartRow",$B150,"EndRow",$B150),1)="#","",_xll.BDS(Ticker,"PG_DEPR_AMORTIZATION","PG_HIERARCHY_LEVEL=1","NUMBER_OF_PERIODS=-11","REVERSE_PERIOD_ORDER=N","PRODUCT_GEO_OVERRIDE=G","FUND_PER",RIGHT($B$11,1),"ACCOUNTING_STANDARD_OVERRIDE",$H$7,"EQY_CONSOLIDATED",$H$9,"EQY_FUND_CRNCY",$L$7,"StartCol",N$12,"EndCol",N$12,"StartRow",$B150,"EndRow",$B150))</f>
        <v/>
      </c>
    </row>
    <row r="151" spans="2:14" hidden="1" outlineLevel="1">
      <c r="B151" s="214">
        <v>5</v>
      </c>
      <c r="C151" s="216" t="str">
        <f>IF(LEFT(_xll.BDS(Ticker,"PG_DEPR_AMORTIZATION","PG_HIERARCHY_LEVEL=1","NUMBER_OF_PERIODS=-11","REVERSE_PERIOD_ORDER=N","PRODUCT_GEO_OVERRIDE=G","FUND_PER",RIGHT($B$11,1),"ACCOUNTING_STANDARD_OVERRIDE",$H$7,"EQY_CONSOLIDATED",$H$9,"EQY_FUND_CRNCY",$L$7,"StartCol",C$12,"EndCol",C$12,"StartRow",$B151,"EndRow",$B151),1)="#","",_xll.BDS(Ticker,"PG_DEPR_AMORTIZATION","PG_HIERARCHY_LEVEL=1","NUMBER_OF_PERIODS=-11","REVERSE_PERIOD_ORDER=N","PRODUCT_GEO_OVERRIDE=G","FUND_PER",RIGHT($B$11,1),"ACCOUNTING_STANDARD_OVERRIDE",$H$7,"EQY_CONSOLIDATED",$H$9,"EQY_FUND_CRNCY",$L$7,"StartCol",C$12,"EndCol",C$12,"StartRow",$B151,"EndRow",$B151))</f>
        <v/>
      </c>
      <c r="D151" s="218" t="str">
        <f>IF(LEFT(_xll.BDS(Ticker,"PG_DEPR_AMORTIZATION","PG_HIERARCHY_LEVEL=1","NUMBER_OF_PERIODS=-11","REVERSE_PERIOD_ORDER=N","PRODUCT_GEO_OVERRIDE=G","FUND_PER",RIGHT($B$11,1),"ACCOUNTING_STANDARD_OVERRIDE",$H$7,"EQY_CONSOLIDATED",$H$9,"EQY_FUND_CRNCY",$L$7,"StartCol",D$12,"EndCol",D$12,"StartRow",$B151,"EndRow",$B151),1)="#","",_xll.BDS(Ticker,"PG_DEPR_AMORTIZATION","PG_HIERARCHY_LEVEL=1","NUMBER_OF_PERIODS=-11","REVERSE_PERIOD_ORDER=N","PRODUCT_GEO_OVERRIDE=G","FUND_PER",RIGHT($B$11,1),"ACCOUNTING_STANDARD_OVERRIDE",$H$7,"EQY_CONSOLIDATED",$H$9,"EQY_FUND_CRNCY",$L$7,"StartCol",D$12,"EndCol",D$12,"StartRow",$B151,"EndRow",$B151))</f>
        <v/>
      </c>
      <c r="E151" s="218" t="str">
        <f>IF(LEFT(_xll.BDS(Ticker,"PG_DEPR_AMORTIZATION","PG_HIERARCHY_LEVEL=1","NUMBER_OF_PERIODS=-11","REVERSE_PERIOD_ORDER=N","PRODUCT_GEO_OVERRIDE=G","FUND_PER",RIGHT($B$11,1),"ACCOUNTING_STANDARD_OVERRIDE",$H$7,"EQY_CONSOLIDATED",$H$9,"EQY_FUND_CRNCY",$L$7,"StartCol",E$12,"EndCol",E$12,"StartRow",$B151,"EndRow",$B151),1)="#","",_xll.BDS(Ticker,"PG_DEPR_AMORTIZATION","PG_HIERARCHY_LEVEL=1","NUMBER_OF_PERIODS=-11","REVERSE_PERIOD_ORDER=N","PRODUCT_GEO_OVERRIDE=G","FUND_PER",RIGHT($B$11,1),"ACCOUNTING_STANDARD_OVERRIDE",$H$7,"EQY_CONSOLIDATED",$H$9,"EQY_FUND_CRNCY",$L$7,"StartCol",E$12,"EndCol",E$12,"StartRow",$B151,"EndRow",$B151))</f>
        <v/>
      </c>
      <c r="F151" s="218" t="str">
        <f>IF(LEFT(_xll.BDS(Ticker,"PG_DEPR_AMORTIZATION","PG_HIERARCHY_LEVEL=1","NUMBER_OF_PERIODS=-11","REVERSE_PERIOD_ORDER=N","PRODUCT_GEO_OVERRIDE=G","FUND_PER",RIGHT($B$11,1),"ACCOUNTING_STANDARD_OVERRIDE",$H$7,"EQY_CONSOLIDATED",$H$9,"EQY_FUND_CRNCY",$L$7,"StartCol",F$12,"EndCol",F$12,"StartRow",$B151,"EndRow",$B151),1)="#","",_xll.BDS(Ticker,"PG_DEPR_AMORTIZATION","PG_HIERARCHY_LEVEL=1","NUMBER_OF_PERIODS=-11","REVERSE_PERIOD_ORDER=N","PRODUCT_GEO_OVERRIDE=G","FUND_PER",RIGHT($B$11,1),"ACCOUNTING_STANDARD_OVERRIDE",$H$7,"EQY_CONSOLIDATED",$H$9,"EQY_FUND_CRNCY",$L$7,"StartCol",F$12,"EndCol",F$12,"StartRow",$B151,"EndRow",$B151))</f>
        <v/>
      </c>
      <c r="G151" s="218" t="str">
        <f>IF(LEFT(_xll.BDS(Ticker,"PG_DEPR_AMORTIZATION","PG_HIERARCHY_LEVEL=1","NUMBER_OF_PERIODS=-11","REVERSE_PERIOD_ORDER=N","PRODUCT_GEO_OVERRIDE=G","FUND_PER",RIGHT($B$11,1),"ACCOUNTING_STANDARD_OVERRIDE",$H$7,"EQY_CONSOLIDATED",$H$9,"EQY_FUND_CRNCY",$L$7,"StartCol",G$12,"EndCol",G$12,"StartRow",$B151,"EndRow",$B151),1)="#","",_xll.BDS(Ticker,"PG_DEPR_AMORTIZATION","PG_HIERARCHY_LEVEL=1","NUMBER_OF_PERIODS=-11","REVERSE_PERIOD_ORDER=N","PRODUCT_GEO_OVERRIDE=G","FUND_PER",RIGHT($B$11,1),"ACCOUNTING_STANDARD_OVERRIDE",$H$7,"EQY_CONSOLIDATED",$H$9,"EQY_FUND_CRNCY",$L$7,"StartCol",G$12,"EndCol",G$12,"StartRow",$B151,"EndRow",$B151))</f>
        <v/>
      </c>
      <c r="H151" s="218" t="str">
        <f>IF(LEFT(_xll.BDS(Ticker,"PG_DEPR_AMORTIZATION","PG_HIERARCHY_LEVEL=1","NUMBER_OF_PERIODS=-11","REVERSE_PERIOD_ORDER=N","PRODUCT_GEO_OVERRIDE=G","FUND_PER",RIGHT($B$11,1),"ACCOUNTING_STANDARD_OVERRIDE",$H$7,"EQY_CONSOLIDATED",$H$9,"EQY_FUND_CRNCY",$L$7,"StartCol",H$12,"EndCol",H$12,"StartRow",$B151,"EndRow",$B151),1)="#","",_xll.BDS(Ticker,"PG_DEPR_AMORTIZATION","PG_HIERARCHY_LEVEL=1","NUMBER_OF_PERIODS=-11","REVERSE_PERIOD_ORDER=N","PRODUCT_GEO_OVERRIDE=G","FUND_PER",RIGHT($B$11,1),"ACCOUNTING_STANDARD_OVERRIDE",$H$7,"EQY_CONSOLIDATED",$H$9,"EQY_FUND_CRNCY",$L$7,"StartCol",H$12,"EndCol",H$12,"StartRow",$B151,"EndRow",$B151))</f>
        <v/>
      </c>
      <c r="I151" s="218" t="str">
        <f>IF(LEFT(_xll.BDS(Ticker,"PG_DEPR_AMORTIZATION","PG_HIERARCHY_LEVEL=1","NUMBER_OF_PERIODS=-11","REVERSE_PERIOD_ORDER=N","PRODUCT_GEO_OVERRIDE=G","FUND_PER",RIGHT($B$11,1),"ACCOUNTING_STANDARD_OVERRIDE",$H$7,"EQY_CONSOLIDATED",$H$9,"EQY_FUND_CRNCY",$L$7,"StartCol",I$12,"EndCol",I$12,"StartRow",$B151,"EndRow",$B151),1)="#","",_xll.BDS(Ticker,"PG_DEPR_AMORTIZATION","PG_HIERARCHY_LEVEL=1","NUMBER_OF_PERIODS=-11","REVERSE_PERIOD_ORDER=N","PRODUCT_GEO_OVERRIDE=G","FUND_PER",RIGHT($B$11,1),"ACCOUNTING_STANDARD_OVERRIDE",$H$7,"EQY_CONSOLIDATED",$H$9,"EQY_FUND_CRNCY",$L$7,"StartCol",I$12,"EndCol",I$12,"StartRow",$B151,"EndRow",$B151))</f>
        <v/>
      </c>
      <c r="J151" s="218" t="str">
        <f>IF(LEFT(_xll.BDS(Ticker,"PG_DEPR_AMORTIZATION","PG_HIERARCHY_LEVEL=1","NUMBER_OF_PERIODS=-11","REVERSE_PERIOD_ORDER=N","PRODUCT_GEO_OVERRIDE=G","FUND_PER",RIGHT($B$11,1),"ACCOUNTING_STANDARD_OVERRIDE",$H$7,"EQY_CONSOLIDATED",$H$9,"EQY_FUND_CRNCY",$L$7,"StartCol",J$12,"EndCol",J$12,"StartRow",$B151,"EndRow",$B151),1)="#","",_xll.BDS(Ticker,"PG_DEPR_AMORTIZATION","PG_HIERARCHY_LEVEL=1","NUMBER_OF_PERIODS=-11","REVERSE_PERIOD_ORDER=N","PRODUCT_GEO_OVERRIDE=G","FUND_PER",RIGHT($B$11,1),"ACCOUNTING_STANDARD_OVERRIDE",$H$7,"EQY_CONSOLIDATED",$H$9,"EQY_FUND_CRNCY",$L$7,"StartCol",J$12,"EndCol",J$12,"StartRow",$B151,"EndRow",$B151))</f>
        <v/>
      </c>
      <c r="K151" s="218" t="str">
        <f>IF(LEFT(_xll.BDS(Ticker,"PG_DEPR_AMORTIZATION","PG_HIERARCHY_LEVEL=1","NUMBER_OF_PERIODS=-11","REVERSE_PERIOD_ORDER=N","PRODUCT_GEO_OVERRIDE=G","FUND_PER",RIGHT($B$11,1),"ACCOUNTING_STANDARD_OVERRIDE",$H$7,"EQY_CONSOLIDATED",$H$9,"EQY_FUND_CRNCY",$L$7,"StartCol",K$12,"EndCol",K$12,"StartRow",$B151,"EndRow",$B151),1)="#","",_xll.BDS(Ticker,"PG_DEPR_AMORTIZATION","PG_HIERARCHY_LEVEL=1","NUMBER_OF_PERIODS=-11","REVERSE_PERIOD_ORDER=N","PRODUCT_GEO_OVERRIDE=G","FUND_PER",RIGHT($B$11,1),"ACCOUNTING_STANDARD_OVERRIDE",$H$7,"EQY_CONSOLIDATED",$H$9,"EQY_FUND_CRNCY",$L$7,"StartCol",K$12,"EndCol",K$12,"StartRow",$B151,"EndRow",$B151))</f>
        <v/>
      </c>
      <c r="L151" s="218" t="str">
        <f>IF(LEFT(_xll.BDS(Ticker,"PG_DEPR_AMORTIZATION","PG_HIERARCHY_LEVEL=1","NUMBER_OF_PERIODS=-11","REVERSE_PERIOD_ORDER=N","PRODUCT_GEO_OVERRIDE=G","FUND_PER",RIGHT($B$11,1),"ACCOUNTING_STANDARD_OVERRIDE",$H$7,"EQY_CONSOLIDATED",$H$9,"EQY_FUND_CRNCY",$L$7,"StartCol",L$12,"EndCol",L$12,"StartRow",$B151,"EndRow",$B151),1)="#","",_xll.BDS(Ticker,"PG_DEPR_AMORTIZATION","PG_HIERARCHY_LEVEL=1","NUMBER_OF_PERIODS=-11","REVERSE_PERIOD_ORDER=N","PRODUCT_GEO_OVERRIDE=G","FUND_PER",RIGHT($B$11,1),"ACCOUNTING_STANDARD_OVERRIDE",$H$7,"EQY_CONSOLIDATED",$H$9,"EQY_FUND_CRNCY",$L$7,"StartCol",L$12,"EndCol",L$12,"StartRow",$B151,"EndRow",$B151))</f>
        <v/>
      </c>
      <c r="M151" s="218" t="str">
        <f>IF(LEFT(_xll.BDS(Ticker,"PG_DEPR_AMORTIZATION","PG_HIERARCHY_LEVEL=1","NUMBER_OF_PERIODS=-11","REVERSE_PERIOD_ORDER=N","PRODUCT_GEO_OVERRIDE=G","FUND_PER",RIGHT($B$11,1),"ACCOUNTING_STANDARD_OVERRIDE",$H$7,"EQY_CONSOLIDATED",$H$9,"EQY_FUND_CRNCY",$L$7,"StartCol",M$12,"EndCol",M$12,"StartRow",$B151,"EndRow",$B151),1)="#","",_xll.BDS(Ticker,"PG_DEPR_AMORTIZATION","PG_HIERARCHY_LEVEL=1","NUMBER_OF_PERIODS=-11","REVERSE_PERIOD_ORDER=N","PRODUCT_GEO_OVERRIDE=G","FUND_PER",RIGHT($B$11,1),"ACCOUNTING_STANDARD_OVERRIDE",$H$7,"EQY_CONSOLIDATED",$H$9,"EQY_FUND_CRNCY",$L$7,"StartCol",M$12,"EndCol",M$12,"StartRow",$B151,"EndRow",$B151))</f>
        <v/>
      </c>
      <c r="N151" s="218" t="str">
        <f>IF(LEFT(_xll.BDS(Ticker,"PG_DEPR_AMORTIZATION","PG_HIERARCHY_LEVEL=1","NUMBER_OF_PERIODS=-11","REVERSE_PERIOD_ORDER=N","PRODUCT_GEO_OVERRIDE=G","FUND_PER",RIGHT($B$11,1),"ACCOUNTING_STANDARD_OVERRIDE",$H$7,"EQY_CONSOLIDATED",$H$9,"EQY_FUND_CRNCY",$L$7,"StartCol",N$12,"EndCol",N$12,"StartRow",$B151,"EndRow",$B151),1)="#","",_xll.BDS(Ticker,"PG_DEPR_AMORTIZATION","PG_HIERARCHY_LEVEL=1","NUMBER_OF_PERIODS=-11","REVERSE_PERIOD_ORDER=N","PRODUCT_GEO_OVERRIDE=G","FUND_PER",RIGHT($B$11,1),"ACCOUNTING_STANDARD_OVERRIDE",$H$7,"EQY_CONSOLIDATED",$H$9,"EQY_FUND_CRNCY",$L$7,"StartCol",N$12,"EndCol",N$12,"StartRow",$B151,"EndRow",$B151))</f>
        <v/>
      </c>
    </row>
    <row r="152" spans="2:14" hidden="1" outlineLevel="1">
      <c r="B152" s="214">
        <v>6</v>
      </c>
      <c r="C152" s="216" t="str">
        <f>IF(LEFT(_xll.BDS(Ticker,"PG_DEPR_AMORTIZATION","PG_HIERARCHY_LEVEL=1","NUMBER_OF_PERIODS=-11","REVERSE_PERIOD_ORDER=N","PRODUCT_GEO_OVERRIDE=G","FUND_PER",RIGHT($B$11,1),"ACCOUNTING_STANDARD_OVERRIDE",$H$7,"EQY_CONSOLIDATED",$H$9,"EQY_FUND_CRNCY",$L$7,"StartCol",C$12,"EndCol",C$12,"StartRow",$B152,"EndRow",$B152),1)="#","",_xll.BDS(Ticker,"PG_DEPR_AMORTIZATION","PG_HIERARCHY_LEVEL=1","NUMBER_OF_PERIODS=-11","REVERSE_PERIOD_ORDER=N","PRODUCT_GEO_OVERRIDE=G","FUND_PER",RIGHT($B$11,1),"ACCOUNTING_STANDARD_OVERRIDE",$H$7,"EQY_CONSOLIDATED",$H$9,"EQY_FUND_CRNCY",$L$7,"StartCol",C$12,"EndCol",C$12,"StartRow",$B152,"EndRow",$B152))</f>
        <v/>
      </c>
      <c r="D152" s="218" t="str">
        <f>IF(LEFT(_xll.BDS(Ticker,"PG_DEPR_AMORTIZATION","PG_HIERARCHY_LEVEL=1","NUMBER_OF_PERIODS=-11","REVERSE_PERIOD_ORDER=N","PRODUCT_GEO_OVERRIDE=G","FUND_PER",RIGHT($B$11,1),"ACCOUNTING_STANDARD_OVERRIDE",$H$7,"EQY_CONSOLIDATED",$H$9,"EQY_FUND_CRNCY",$L$7,"StartCol",D$12,"EndCol",D$12,"StartRow",$B152,"EndRow",$B152),1)="#","",_xll.BDS(Ticker,"PG_DEPR_AMORTIZATION","PG_HIERARCHY_LEVEL=1","NUMBER_OF_PERIODS=-11","REVERSE_PERIOD_ORDER=N","PRODUCT_GEO_OVERRIDE=G","FUND_PER",RIGHT($B$11,1),"ACCOUNTING_STANDARD_OVERRIDE",$H$7,"EQY_CONSOLIDATED",$H$9,"EQY_FUND_CRNCY",$L$7,"StartCol",D$12,"EndCol",D$12,"StartRow",$B152,"EndRow",$B152))</f>
        <v/>
      </c>
      <c r="E152" s="218" t="str">
        <f>IF(LEFT(_xll.BDS(Ticker,"PG_DEPR_AMORTIZATION","PG_HIERARCHY_LEVEL=1","NUMBER_OF_PERIODS=-11","REVERSE_PERIOD_ORDER=N","PRODUCT_GEO_OVERRIDE=G","FUND_PER",RIGHT($B$11,1),"ACCOUNTING_STANDARD_OVERRIDE",$H$7,"EQY_CONSOLIDATED",$H$9,"EQY_FUND_CRNCY",$L$7,"StartCol",E$12,"EndCol",E$12,"StartRow",$B152,"EndRow",$B152),1)="#","",_xll.BDS(Ticker,"PG_DEPR_AMORTIZATION","PG_HIERARCHY_LEVEL=1","NUMBER_OF_PERIODS=-11","REVERSE_PERIOD_ORDER=N","PRODUCT_GEO_OVERRIDE=G","FUND_PER",RIGHT($B$11,1),"ACCOUNTING_STANDARD_OVERRIDE",$H$7,"EQY_CONSOLIDATED",$H$9,"EQY_FUND_CRNCY",$L$7,"StartCol",E$12,"EndCol",E$12,"StartRow",$B152,"EndRow",$B152))</f>
        <v/>
      </c>
      <c r="F152" s="218" t="str">
        <f>IF(LEFT(_xll.BDS(Ticker,"PG_DEPR_AMORTIZATION","PG_HIERARCHY_LEVEL=1","NUMBER_OF_PERIODS=-11","REVERSE_PERIOD_ORDER=N","PRODUCT_GEO_OVERRIDE=G","FUND_PER",RIGHT($B$11,1),"ACCOUNTING_STANDARD_OVERRIDE",$H$7,"EQY_CONSOLIDATED",$H$9,"EQY_FUND_CRNCY",$L$7,"StartCol",F$12,"EndCol",F$12,"StartRow",$B152,"EndRow",$B152),1)="#","",_xll.BDS(Ticker,"PG_DEPR_AMORTIZATION","PG_HIERARCHY_LEVEL=1","NUMBER_OF_PERIODS=-11","REVERSE_PERIOD_ORDER=N","PRODUCT_GEO_OVERRIDE=G","FUND_PER",RIGHT($B$11,1),"ACCOUNTING_STANDARD_OVERRIDE",$H$7,"EQY_CONSOLIDATED",$H$9,"EQY_FUND_CRNCY",$L$7,"StartCol",F$12,"EndCol",F$12,"StartRow",$B152,"EndRow",$B152))</f>
        <v/>
      </c>
      <c r="G152" s="218" t="str">
        <f>IF(LEFT(_xll.BDS(Ticker,"PG_DEPR_AMORTIZATION","PG_HIERARCHY_LEVEL=1","NUMBER_OF_PERIODS=-11","REVERSE_PERIOD_ORDER=N","PRODUCT_GEO_OVERRIDE=G","FUND_PER",RIGHT($B$11,1),"ACCOUNTING_STANDARD_OVERRIDE",$H$7,"EQY_CONSOLIDATED",$H$9,"EQY_FUND_CRNCY",$L$7,"StartCol",G$12,"EndCol",G$12,"StartRow",$B152,"EndRow",$B152),1)="#","",_xll.BDS(Ticker,"PG_DEPR_AMORTIZATION","PG_HIERARCHY_LEVEL=1","NUMBER_OF_PERIODS=-11","REVERSE_PERIOD_ORDER=N","PRODUCT_GEO_OVERRIDE=G","FUND_PER",RIGHT($B$11,1),"ACCOUNTING_STANDARD_OVERRIDE",$H$7,"EQY_CONSOLIDATED",$H$9,"EQY_FUND_CRNCY",$L$7,"StartCol",G$12,"EndCol",G$12,"StartRow",$B152,"EndRow",$B152))</f>
        <v/>
      </c>
      <c r="H152" s="218" t="str">
        <f>IF(LEFT(_xll.BDS(Ticker,"PG_DEPR_AMORTIZATION","PG_HIERARCHY_LEVEL=1","NUMBER_OF_PERIODS=-11","REVERSE_PERIOD_ORDER=N","PRODUCT_GEO_OVERRIDE=G","FUND_PER",RIGHT($B$11,1),"ACCOUNTING_STANDARD_OVERRIDE",$H$7,"EQY_CONSOLIDATED",$H$9,"EQY_FUND_CRNCY",$L$7,"StartCol",H$12,"EndCol",H$12,"StartRow",$B152,"EndRow",$B152),1)="#","",_xll.BDS(Ticker,"PG_DEPR_AMORTIZATION","PG_HIERARCHY_LEVEL=1","NUMBER_OF_PERIODS=-11","REVERSE_PERIOD_ORDER=N","PRODUCT_GEO_OVERRIDE=G","FUND_PER",RIGHT($B$11,1),"ACCOUNTING_STANDARD_OVERRIDE",$H$7,"EQY_CONSOLIDATED",$H$9,"EQY_FUND_CRNCY",$L$7,"StartCol",H$12,"EndCol",H$12,"StartRow",$B152,"EndRow",$B152))</f>
        <v/>
      </c>
      <c r="I152" s="218" t="str">
        <f>IF(LEFT(_xll.BDS(Ticker,"PG_DEPR_AMORTIZATION","PG_HIERARCHY_LEVEL=1","NUMBER_OF_PERIODS=-11","REVERSE_PERIOD_ORDER=N","PRODUCT_GEO_OVERRIDE=G","FUND_PER",RIGHT($B$11,1),"ACCOUNTING_STANDARD_OVERRIDE",$H$7,"EQY_CONSOLIDATED",$H$9,"EQY_FUND_CRNCY",$L$7,"StartCol",I$12,"EndCol",I$12,"StartRow",$B152,"EndRow",$B152),1)="#","",_xll.BDS(Ticker,"PG_DEPR_AMORTIZATION","PG_HIERARCHY_LEVEL=1","NUMBER_OF_PERIODS=-11","REVERSE_PERIOD_ORDER=N","PRODUCT_GEO_OVERRIDE=G","FUND_PER",RIGHT($B$11,1),"ACCOUNTING_STANDARD_OVERRIDE",$H$7,"EQY_CONSOLIDATED",$H$9,"EQY_FUND_CRNCY",$L$7,"StartCol",I$12,"EndCol",I$12,"StartRow",$B152,"EndRow",$B152))</f>
        <v/>
      </c>
      <c r="J152" s="218" t="str">
        <f>IF(LEFT(_xll.BDS(Ticker,"PG_DEPR_AMORTIZATION","PG_HIERARCHY_LEVEL=1","NUMBER_OF_PERIODS=-11","REVERSE_PERIOD_ORDER=N","PRODUCT_GEO_OVERRIDE=G","FUND_PER",RIGHT($B$11,1),"ACCOUNTING_STANDARD_OVERRIDE",$H$7,"EQY_CONSOLIDATED",$H$9,"EQY_FUND_CRNCY",$L$7,"StartCol",J$12,"EndCol",J$12,"StartRow",$B152,"EndRow",$B152),1)="#","",_xll.BDS(Ticker,"PG_DEPR_AMORTIZATION","PG_HIERARCHY_LEVEL=1","NUMBER_OF_PERIODS=-11","REVERSE_PERIOD_ORDER=N","PRODUCT_GEO_OVERRIDE=G","FUND_PER",RIGHT($B$11,1),"ACCOUNTING_STANDARD_OVERRIDE",$H$7,"EQY_CONSOLIDATED",$H$9,"EQY_FUND_CRNCY",$L$7,"StartCol",J$12,"EndCol",J$12,"StartRow",$B152,"EndRow",$B152))</f>
        <v/>
      </c>
      <c r="K152" s="218" t="str">
        <f>IF(LEFT(_xll.BDS(Ticker,"PG_DEPR_AMORTIZATION","PG_HIERARCHY_LEVEL=1","NUMBER_OF_PERIODS=-11","REVERSE_PERIOD_ORDER=N","PRODUCT_GEO_OVERRIDE=G","FUND_PER",RIGHT($B$11,1),"ACCOUNTING_STANDARD_OVERRIDE",$H$7,"EQY_CONSOLIDATED",$H$9,"EQY_FUND_CRNCY",$L$7,"StartCol",K$12,"EndCol",K$12,"StartRow",$B152,"EndRow",$B152),1)="#","",_xll.BDS(Ticker,"PG_DEPR_AMORTIZATION","PG_HIERARCHY_LEVEL=1","NUMBER_OF_PERIODS=-11","REVERSE_PERIOD_ORDER=N","PRODUCT_GEO_OVERRIDE=G","FUND_PER",RIGHT($B$11,1),"ACCOUNTING_STANDARD_OVERRIDE",$H$7,"EQY_CONSOLIDATED",$H$9,"EQY_FUND_CRNCY",$L$7,"StartCol",K$12,"EndCol",K$12,"StartRow",$B152,"EndRow",$B152))</f>
        <v/>
      </c>
      <c r="L152" s="218" t="str">
        <f>IF(LEFT(_xll.BDS(Ticker,"PG_DEPR_AMORTIZATION","PG_HIERARCHY_LEVEL=1","NUMBER_OF_PERIODS=-11","REVERSE_PERIOD_ORDER=N","PRODUCT_GEO_OVERRIDE=G","FUND_PER",RIGHT($B$11,1),"ACCOUNTING_STANDARD_OVERRIDE",$H$7,"EQY_CONSOLIDATED",$H$9,"EQY_FUND_CRNCY",$L$7,"StartCol",L$12,"EndCol",L$12,"StartRow",$B152,"EndRow",$B152),1)="#","",_xll.BDS(Ticker,"PG_DEPR_AMORTIZATION","PG_HIERARCHY_LEVEL=1","NUMBER_OF_PERIODS=-11","REVERSE_PERIOD_ORDER=N","PRODUCT_GEO_OVERRIDE=G","FUND_PER",RIGHT($B$11,1),"ACCOUNTING_STANDARD_OVERRIDE",$H$7,"EQY_CONSOLIDATED",$H$9,"EQY_FUND_CRNCY",$L$7,"StartCol",L$12,"EndCol",L$12,"StartRow",$B152,"EndRow",$B152))</f>
        <v/>
      </c>
      <c r="M152" s="218" t="str">
        <f>IF(LEFT(_xll.BDS(Ticker,"PG_DEPR_AMORTIZATION","PG_HIERARCHY_LEVEL=1","NUMBER_OF_PERIODS=-11","REVERSE_PERIOD_ORDER=N","PRODUCT_GEO_OVERRIDE=G","FUND_PER",RIGHT($B$11,1),"ACCOUNTING_STANDARD_OVERRIDE",$H$7,"EQY_CONSOLIDATED",$H$9,"EQY_FUND_CRNCY",$L$7,"StartCol",M$12,"EndCol",M$12,"StartRow",$B152,"EndRow",$B152),1)="#","",_xll.BDS(Ticker,"PG_DEPR_AMORTIZATION","PG_HIERARCHY_LEVEL=1","NUMBER_OF_PERIODS=-11","REVERSE_PERIOD_ORDER=N","PRODUCT_GEO_OVERRIDE=G","FUND_PER",RIGHT($B$11,1),"ACCOUNTING_STANDARD_OVERRIDE",$H$7,"EQY_CONSOLIDATED",$H$9,"EQY_FUND_CRNCY",$L$7,"StartCol",M$12,"EndCol",M$12,"StartRow",$B152,"EndRow",$B152))</f>
        <v/>
      </c>
      <c r="N152" s="218" t="str">
        <f>IF(LEFT(_xll.BDS(Ticker,"PG_DEPR_AMORTIZATION","PG_HIERARCHY_LEVEL=1","NUMBER_OF_PERIODS=-11","REVERSE_PERIOD_ORDER=N","PRODUCT_GEO_OVERRIDE=G","FUND_PER",RIGHT($B$11,1),"ACCOUNTING_STANDARD_OVERRIDE",$H$7,"EQY_CONSOLIDATED",$H$9,"EQY_FUND_CRNCY",$L$7,"StartCol",N$12,"EndCol",N$12,"StartRow",$B152,"EndRow",$B152),1)="#","",_xll.BDS(Ticker,"PG_DEPR_AMORTIZATION","PG_HIERARCHY_LEVEL=1","NUMBER_OF_PERIODS=-11","REVERSE_PERIOD_ORDER=N","PRODUCT_GEO_OVERRIDE=G","FUND_PER",RIGHT($B$11,1),"ACCOUNTING_STANDARD_OVERRIDE",$H$7,"EQY_CONSOLIDATED",$H$9,"EQY_FUND_CRNCY",$L$7,"StartCol",N$12,"EndCol",N$12,"StartRow",$B152,"EndRow",$B152))</f>
        <v/>
      </c>
    </row>
    <row r="153" spans="2:14" hidden="1" outlineLevel="1">
      <c r="B153" s="214">
        <v>7</v>
      </c>
      <c r="C153" s="216" t="str">
        <f>IF(LEFT(_xll.BDS(Ticker,"PG_DEPR_AMORTIZATION","PG_HIERARCHY_LEVEL=1","NUMBER_OF_PERIODS=-11","REVERSE_PERIOD_ORDER=N","PRODUCT_GEO_OVERRIDE=G","FUND_PER",RIGHT($B$11,1),"ACCOUNTING_STANDARD_OVERRIDE",$H$7,"EQY_CONSOLIDATED",$H$9,"EQY_FUND_CRNCY",$L$7,"StartCol",C$12,"EndCol",C$12,"StartRow",$B153,"EndRow",$B153),1)="#","",_xll.BDS(Ticker,"PG_DEPR_AMORTIZATION","PG_HIERARCHY_LEVEL=1","NUMBER_OF_PERIODS=-11","REVERSE_PERIOD_ORDER=N","PRODUCT_GEO_OVERRIDE=G","FUND_PER",RIGHT($B$11,1),"ACCOUNTING_STANDARD_OVERRIDE",$H$7,"EQY_CONSOLIDATED",$H$9,"EQY_FUND_CRNCY",$L$7,"StartCol",C$12,"EndCol",C$12,"StartRow",$B153,"EndRow",$B153))</f>
        <v/>
      </c>
      <c r="D153" s="218" t="str">
        <f>IF(LEFT(_xll.BDS(Ticker,"PG_DEPR_AMORTIZATION","PG_HIERARCHY_LEVEL=1","NUMBER_OF_PERIODS=-11","REVERSE_PERIOD_ORDER=N","PRODUCT_GEO_OVERRIDE=G","FUND_PER",RIGHT($B$11,1),"ACCOUNTING_STANDARD_OVERRIDE",$H$7,"EQY_CONSOLIDATED",$H$9,"EQY_FUND_CRNCY",$L$7,"StartCol",D$12,"EndCol",D$12,"StartRow",$B153,"EndRow",$B153),1)="#","",_xll.BDS(Ticker,"PG_DEPR_AMORTIZATION","PG_HIERARCHY_LEVEL=1","NUMBER_OF_PERIODS=-11","REVERSE_PERIOD_ORDER=N","PRODUCT_GEO_OVERRIDE=G","FUND_PER",RIGHT($B$11,1),"ACCOUNTING_STANDARD_OVERRIDE",$H$7,"EQY_CONSOLIDATED",$H$9,"EQY_FUND_CRNCY",$L$7,"StartCol",D$12,"EndCol",D$12,"StartRow",$B153,"EndRow",$B153))</f>
        <v/>
      </c>
      <c r="E153" s="218" t="str">
        <f>IF(LEFT(_xll.BDS(Ticker,"PG_DEPR_AMORTIZATION","PG_HIERARCHY_LEVEL=1","NUMBER_OF_PERIODS=-11","REVERSE_PERIOD_ORDER=N","PRODUCT_GEO_OVERRIDE=G","FUND_PER",RIGHT($B$11,1),"ACCOUNTING_STANDARD_OVERRIDE",$H$7,"EQY_CONSOLIDATED",$H$9,"EQY_FUND_CRNCY",$L$7,"StartCol",E$12,"EndCol",E$12,"StartRow",$B153,"EndRow",$B153),1)="#","",_xll.BDS(Ticker,"PG_DEPR_AMORTIZATION","PG_HIERARCHY_LEVEL=1","NUMBER_OF_PERIODS=-11","REVERSE_PERIOD_ORDER=N","PRODUCT_GEO_OVERRIDE=G","FUND_PER",RIGHT($B$11,1),"ACCOUNTING_STANDARD_OVERRIDE",$H$7,"EQY_CONSOLIDATED",$H$9,"EQY_FUND_CRNCY",$L$7,"StartCol",E$12,"EndCol",E$12,"StartRow",$B153,"EndRow",$B153))</f>
        <v/>
      </c>
      <c r="F153" s="218" t="str">
        <f>IF(LEFT(_xll.BDS(Ticker,"PG_DEPR_AMORTIZATION","PG_HIERARCHY_LEVEL=1","NUMBER_OF_PERIODS=-11","REVERSE_PERIOD_ORDER=N","PRODUCT_GEO_OVERRIDE=G","FUND_PER",RIGHT($B$11,1),"ACCOUNTING_STANDARD_OVERRIDE",$H$7,"EQY_CONSOLIDATED",$H$9,"EQY_FUND_CRNCY",$L$7,"StartCol",F$12,"EndCol",F$12,"StartRow",$B153,"EndRow",$B153),1)="#","",_xll.BDS(Ticker,"PG_DEPR_AMORTIZATION","PG_HIERARCHY_LEVEL=1","NUMBER_OF_PERIODS=-11","REVERSE_PERIOD_ORDER=N","PRODUCT_GEO_OVERRIDE=G","FUND_PER",RIGHT($B$11,1),"ACCOUNTING_STANDARD_OVERRIDE",$H$7,"EQY_CONSOLIDATED",$H$9,"EQY_FUND_CRNCY",$L$7,"StartCol",F$12,"EndCol",F$12,"StartRow",$B153,"EndRow",$B153))</f>
        <v/>
      </c>
      <c r="G153" s="218" t="str">
        <f>IF(LEFT(_xll.BDS(Ticker,"PG_DEPR_AMORTIZATION","PG_HIERARCHY_LEVEL=1","NUMBER_OF_PERIODS=-11","REVERSE_PERIOD_ORDER=N","PRODUCT_GEO_OVERRIDE=G","FUND_PER",RIGHT($B$11,1),"ACCOUNTING_STANDARD_OVERRIDE",$H$7,"EQY_CONSOLIDATED",$H$9,"EQY_FUND_CRNCY",$L$7,"StartCol",G$12,"EndCol",G$12,"StartRow",$B153,"EndRow",$B153),1)="#","",_xll.BDS(Ticker,"PG_DEPR_AMORTIZATION","PG_HIERARCHY_LEVEL=1","NUMBER_OF_PERIODS=-11","REVERSE_PERIOD_ORDER=N","PRODUCT_GEO_OVERRIDE=G","FUND_PER",RIGHT($B$11,1),"ACCOUNTING_STANDARD_OVERRIDE",$H$7,"EQY_CONSOLIDATED",$H$9,"EQY_FUND_CRNCY",$L$7,"StartCol",G$12,"EndCol",G$12,"StartRow",$B153,"EndRow",$B153))</f>
        <v/>
      </c>
      <c r="H153" s="218" t="str">
        <f>IF(LEFT(_xll.BDS(Ticker,"PG_DEPR_AMORTIZATION","PG_HIERARCHY_LEVEL=1","NUMBER_OF_PERIODS=-11","REVERSE_PERIOD_ORDER=N","PRODUCT_GEO_OVERRIDE=G","FUND_PER",RIGHT($B$11,1),"ACCOUNTING_STANDARD_OVERRIDE",$H$7,"EQY_CONSOLIDATED",$H$9,"EQY_FUND_CRNCY",$L$7,"StartCol",H$12,"EndCol",H$12,"StartRow",$B153,"EndRow",$B153),1)="#","",_xll.BDS(Ticker,"PG_DEPR_AMORTIZATION","PG_HIERARCHY_LEVEL=1","NUMBER_OF_PERIODS=-11","REVERSE_PERIOD_ORDER=N","PRODUCT_GEO_OVERRIDE=G","FUND_PER",RIGHT($B$11,1),"ACCOUNTING_STANDARD_OVERRIDE",$H$7,"EQY_CONSOLIDATED",$H$9,"EQY_FUND_CRNCY",$L$7,"StartCol",H$12,"EndCol",H$12,"StartRow",$B153,"EndRow",$B153))</f>
        <v/>
      </c>
      <c r="I153" s="218" t="str">
        <f>IF(LEFT(_xll.BDS(Ticker,"PG_DEPR_AMORTIZATION","PG_HIERARCHY_LEVEL=1","NUMBER_OF_PERIODS=-11","REVERSE_PERIOD_ORDER=N","PRODUCT_GEO_OVERRIDE=G","FUND_PER",RIGHT($B$11,1),"ACCOUNTING_STANDARD_OVERRIDE",$H$7,"EQY_CONSOLIDATED",$H$9,"EQY_FUND_CRNCY",$L$7,"StartCol",I$12,"EndCol",I$12,"StartRow",$B153,"EndRow",$B153),1)="#","",_xll.BDS(Ticker,"PG_DEPR_AMORTIZATION","PG_HIERARCHY_LEVEL=1","NUMBER_OF_PERIODS=-11","REVERSE_PERIOD_ORDER=N","PRODUCT_GEO_OVERRIDE=G","FUND_PER",RIGHT($B$11,1),"ACCOUNTING_STANDARD_OVERRIDE",$H$7,"EQY_CONSOLIDATED",$H$9,"EQY_FUND_CRNCY",$L$7,"StartCol",I$12,"EndCol",I$12,"StartRow",$B153,"EndRow",$B153))</f>
        <v/>
      </c>
      <c r="J153" s="218" t="str">
        <f>IF(LEFT(_xll.BDS(Ticker,"PG_DEPR_AMORTIZATION","PG_HIERARCHY_LEVEL=1","NUMBER_OF_PERIODS=-11","REVERSE_PERIOD_ORDER=N","PRODUCT_GEO_OVERRIDE=G","FUND_PER",RIGHT($B$11,1),"ACCOUNTING_STANDARD_OVERRIDE",$H$7,"EQY_CONSOLIDATED",$H$9,"EQY_FUND_CRNCY",$L$7,"StartCol",J$12,"EndCol",J$12,"StartRow",$B153,"EndRow",$B153),1)="#","",_xll.BDS(Ticker,"PG_DEPR_AMORTIZATION","PG_HIERARCHY_LEVEL=1","NUMBER_OF_PERIODS=-11","REVERSE_PERIOD_ORDER=N","PRODUCT_GEO_OVERRIDE=G","FUND_PER",RIGHT($B$11,1),"ACCOUNTING_STANDARD_OVERRIDE",$H$7,"EQY_CONSOLIDATED",$H$9,"EQY_FUND_CRNCY",$L$7,"StartCol",J$12,"EndCol",J$12,"StartRow",$B153,"EndRow",$B153))</f>
        <v/>
      </c>
      <c r="K153" s="218" t="str">
        <f>IF(LEFT(_xll.BDS(Ticker,"PG_DEPR_AMORTIZATION","PG_HIERARCHY_LEVEL=1","NUMBER_OF_PERIODS=-11","REVERSE_PERIOD_ORDER=N","PRODUCT_GEO_OVERRIDE=G","FUND_PER",RIGHT($B$11,1),"ACCOUNTING_STANDARD_OVERRIDE",$H$7,"EQY_CONSOLIDATED",$H$9,"EQY_FUND_CRNCY",$L$7,"StartCol",K$12,"EndCol",K$12,"StartRow",$B153,"EndRow",$B153),1)="#","",_xll.BDS(Ticker,"PG_DEPR_AMORTIZATION","PG_HIERARCHY_LEVEL=1","NUMBER_OF_PERIODS=-11","REVERSE_PERIOD_ORDER=N","PRODUCT_GEO_OVERRIDE=G","FUND_PER",RIGHT($B$11,1),"ACCOUNTING_STANDARD_OVERRIDE",$H$7,"EQY_CONSOLIDATED",$H$9,"EQY_FUND_CRNCY",$L$7,"StartCol",K$12,"EndCol",K$12,"StartRow",$B153,"EndRow",$B153))</f>
        <v/>
      </c>
      <c r="L153" s="218" t="str">
        <f>IF(LEFT(_xll.BDS(Ticker,"PG_DEPR_AMORTIZATION","PG_HIERARCHY_LEVEL=1","NUMBER_OF_PERIODS=-11","REVERSE_PERIOD_ORDER=N","PRODUCT_GEO_OVERRIDE=G","FUND_PER",RIGHT($B$11,1),"ACCOUNTING_STANDARD_OVERRIDE",$H$7,"EQY_CONSOLIDATED",$H$9,"EQY_FUND_CRNCY",$L$7,"StartCol",L$12,"EndCol",L$12,"StartRow",$B153,"EndRow",$B153),1)="#","",_xll.BDS(Ticker,"PG_DEPR_AMORTIZATION","PG_HIERARCHY_LEVEL=1","NUMBER_OF_PERIODS=-11","REVERSE_PERIOD_ORDER=N","PRODUCT_GEO_OVERRIDE=G","FUND_PER",RIGHT($B$11,1),"ACCOUNTING_STANDARD_OVERRIDE",$H$7,"EQY_CONSOLIDATED",$H$9,"EQY_FUND_CRNCY",$L$7,"StartCol",L$12,"EndCol",L$12,"StartRow",$B153,"EndRow",$B153))</f>
        <v/>
      </c>
      <c r="M153" s="218" t="str">
        <f>IF(LEFT(_xll.BDS(Ticker,"PG_DEPR_AMORTIZATION","PG_HIERARCHY_LEVEL=1","NUMBER_OF_PERIODS=-11","REVERSE_PERIOD_ORDER=N","PRODUCT_GEO_OVERRIDE=G","FUND_PER",RIGHT($B$11,1),"ACCOUNTING_STANDARD_OVERRIDE",$H$7,"EQY_CONSOLIDATED",$H$9,"EQY_FUND_CRNCY",$L$7,"StartCol",M$12,"EndCol",M$12,"StartRow",$B153,"EndRow",$B153),1)="#","",_xll.BDS(Ticker,"PG_DEPR_AMORTIZATION","PG_HIERARCHY_LEVEL=1","NUMBER_OF_PERIODS=-11","REVERSE_PERIOD_ORDER=N","PRODUCT_GEO_OVERRIDE=G","FUND_PER",RIGHT($B$11,1),"ACCOUNTING_STANDARD_OVERRIDE",$H$7,"EQY_CONSOLIDATED",$H$9,"EQY_FUND_CRNCY",$L$7,"StartCol",M$12,"EndCol",M$12,"StartRow",$B153,"EndRow",$B153))</f>
        <v/>
      </c>
      <c r="N153" s="218" t="str">
        <f>IF(LEFT(_xll.BDS(Ticker,"PG_DEPR_AMORTIZATION","PG_HIERARCHY_LEVEL=1","NUMBER_OF_PERIODS=-11","REVERSE_PERIOD_ORDER=N","PRODUCT_GEO_OVERRIDE=G","FUND_PER",RIGHT($B$11,1),"ACCOUNTING_STANDARD_OVERRIDE",$H$7,"EQY_CONSOLIDATED",$H$9,"EQY_FUND_CRNCY",$L$7,"StartCol",N$12,"EndCol",N$12,"StartRow",$B153,"EndRow",$B153),1)="#","",_xll.BDS(Ticker,"PG_DEPR_AMORTIZATION","PG_HIERARCHY_LEVEL=1","NUMBER_OF_PERIODS=-11","REVERSE_PERIOD_ORDER=N","PRODUCT_GEO_OVERRIDE=G","FUND_PER",RIGHT($B$11,1),"ACCOUNTING_STANDARD_OVERRIDE",$H$7,"EQY_CONSOLIDATED",$H$9,"EQY_FUND_CRNCY",$L$7,"StartCol",N$12,"EndCol",N$12,"StartRow",$B153,"EndRow",$B153))</f>
        <v/>
      </c>
    </row>
    <row r="154" spans="2:14" hidden="1" outlineLevel="1">
      <c r="B154" s="214">
        <v>8</v>
      </c>
      <c r="C154" s="216" t="str">
        <f>IF(LEFT(_xll.BDS(Ticker,"PG_DEPR_AMORTIZATION","PG_HIERARCHY_LEVEL=1","NUMBER_OF_PERIODS=-11","REVERSE_PERIOD_ORDER=N","PRODUCT_GEO_OVERRIDE=G","FUND_PER",RIGHT($B$11,1),"ACCOUNTING_STANDARD_OVERRIDE",$H$7,"EQY_CONSOLIDATED",$H$9,"EQY_FUND_CRNCY",$L$7,"StartCol",C$12,"EndCol",C$12,"StartRow",$B154,"EndRow",$B154),1)="#","",_xll.BDS(Ticker,"PG_DEPR_AMORTIZATION","PG_HIERARCHY_LEVEL=1","NUMBER_OF_PERIODS=-11","REVERSE_PERIOD_ORDER=N","PRODUCT_GEO_OVERRIDE=G","FUND_PER",RIGHT($B$11,1),"ACCOUNTING_STANDARD_OVERRIDE",$H$7,"EQY_CONSOLIDATED",$H$9,"EQY_FUND_CRNCY",$L$7,"StartCol",C$12,"EndCol",C$12,"StartRow",$B154,"EndRow",$B154))</f>
        <v/>
      </c>
      <c r="D154" s="218" t="str">
        <f>IF(LEFT(_xll.BDS(Ticker,"PG_DEPR_AMORTIZATION","PG_HIERARCHY_LEVEL=1","NUMBER_OF_PERIODS=-11","REVERSE_PERIOD_ORDER=N","PRODUCT_GEO_OVERRIDE=G","FUND_PER",RIGHT($B$11,1),"ACCOUNTING_STANDARD_OVERRIDE",$H$7,"EQY_CONSOLIDATED",$H$9,"EQY_FUND_CRNCY",$L$7,"StartCol",D$12,"EndCol",D$12,"StartRow",$B154,"EndRow",$B154),1)="#","",_xll.BDS(Ticker,"PG_DEPR_AMORTIZATION","PG_HIERARCHY_LEVEL=1","NUMBER_OF_PERIODS=-11","REVERSE_PERIOD_ORDER=N","PRODUCT_GEO_OVERRIDE=G","FUND_PER",RIGHT($B$11,1),"ACCOUNTING_STANDARD_OVERRIDE",$H$7,"EQY_CONSOLIDATED",$H$9,"EQY_FUND_CRNCY",$L$7,"StartCol",D$12,"EndCol",D$12,"StartRow",$B154,"EndRow",$B154))</f>
        <v/>
      </c>
      <c r="E154" s="218" t="str">
        <f>IF(LEFT(_xll.BDS(Ticker,"PG_DEPR_AMORTIZATION","PG_HIERARCHY_LEVEL=1","NUMBER_OF_PERIODS=-11","REVERSE_PERIOD_ORDER=N","PRODUCT_GEO_OVERRIDE=G","FUND_PER",RIGHT($B$11,1),"ACCOUNTING_STANDARD_OVERRIDE",$H$7,"EQY_CONSOLIDATED",$H$9,"EQY_FUND_CRNCY",$L$7,"StartCol",E$12,"EndCol",E$12,"StartRow",$B154,"EndRow",$B154),1)="#","",_xll.BDS(Ticker,"PG_DEPR_AMORTIZATION","PG_HIERARCHY_LEVEL=1","NUMBER_OF_PERIODS=-11","REVERSE_PERIOD_ORDER=N","PRODUCT_GEO_OVERRIDE=G","FUND_PER",RIGHT($B$11,1),"ACCOUNTING_STANDARD_OVERRIDE",$H$7,"EQY_CONSOLIDATED",$H$9,"EQY_FUND_CRNCY",$L$7,"StartCol",E$12,"EndCol",E$12,"StartRow",$B154,"EndRow",$B154))</f>
        <v/>
      </c>
      <c r="F154" s="218" t="str">
        <f>IF(LEFT(_xll.BDS(Ticker,"PG_DEPR_AMORTIZATION","PG_HIERARCHY_LEVEL=1","NUMBER_OF_PERIODS=-11","REVERSE_PERIOD_ORDER=N","PRODUCT_GEO_OVERRIDE=G","FUND_PER",RIGHT($B$11,1),"ACCOUNTING_STANDARD_OVERRIDE",$H$7,"EQY_CONSOLIDATED",$H$9,"EQY_FUND_CRNCY",$L$7,"StartCol",F$12,"EndCol",F$12,"StartRow",$B154,"EndRow",$B154),1)="#","",_xll.BDS(Ticker,"PG_DEPR_AMORTIZATION","PG_HIERARCHY_LEVEL=1","NUMBER_OF_PERIODS=-11","REVERSE_PERIOD_ORDER=N","PRODUCT_GEO_OVERRIDE=G","FUND_PER",RIGHT($B$11,1),"ACCOUNTING_STANDARD_OVERRIDE",$H$7,"EQY_CONSOLIDATED",$H$9,"EQY_FUND_CRNCY",$L$7,"StartCol",F$12,"EndCol",F$12,"StartRow",$B154,"EndRow",$B154))</f>
        <v/>
      </c>
      <c r="G154" s="218" t="str">
        <f>IF(LEFT(_xll.BDS(Ticker,"PG_DEPR_AMORTIZATION","PG_HIERARCHY_LEVEL=1","NUMBER_OF_PERIODS=-11","REVERSE_PERIOD_ORDER=N","PRODUCT_GEO_OVERRIDE=G","FUND_PER",RIGHT($B$11,1),"ACCOUNTING_STANDARD_OVERRIDE",$H$7,"EQY_CONSOLIDATED",$H$9,"EQY_FUND_CRNCY",$L$7,"StartCol",G$12,"EndCol",G$12,"StartRow",$B154,"EndRow",$B154),1)="#","",_xll.BDS(Ticker,"PG_DEPR_AMORTIZATION","PG_HIERARCHY_LEVEL=1","NUMBER_OF_PERIODS=-11","REVERSE_PERIOD_ORDER=N","PRODUCT_GEO_OVERRIDE=G","FUND_PER",RIGHT($B$11,1),"ACCOUNTING_STANDARD_OVERRIDE",$H$7,"EQY_CONSOLIDATED",$H$9,"EQY_FUND_CRNCY",$L$7,"StartCol",G$12,"EndCol",G$12,"StartRow",$B154,"EndRow",$B154))</f>
        <v/>
      </c>
      <c r="H154" s="218" t="str">
        <f>IF(LEFT(_xll.BDS(Ticker,"PG_DEPR_AMORTIZATION","PG_HIERARCHY_LEVEL=1","NUMBER_OF_PERIODS=-11","REVERSE_PERIOD_ORDER=N","PRODUCT_GEO_OVERRIDE=G","FUND_PER",RIGHT($B$11,1),"ACCOUNTING_STANDARD_OVERRIDE",$H$7,"EQY_CONSOLIDATED",$H$9,"EQY_FUND_CRNCY",$L$7,"StartCol",H$12,"EndCol",H$12,"StartRow",$B154,"EndRow",$B154),1)="#","",_xll.BDS(Ticker,"PG_DEPR_AMORTIZATION","PG_HIERARCHY_LEVEL=1","NUMBER_OF_PERIODS=-11","REVERSE_PERIOD_ORDER=N","PRODUCT_GEO_OVERRIDE=G","FUND_PER",RIGHT($B$11,1),"ACCOUNTING_STANDARD_OVERRIDE",$H$7,"EQY_CONSOLIDATED",$H$9,"EQY_FUND_CRNCY",$L$7,"StartCol",H$12,"EndCol",H$12,"StartRow",$B154,"EndRow",$B154))</f>
        <v/>
      </c>
      <c r="I154" s="218" t="str">
        <f>IF(LEFT(_xll.BDS(Ticker,"PG_DEPR_AMORTIZATION","PG_HIERARCHY_LEVEL=1","NUMBER_OF_PERIODS=-11","REVERSE_PERIOD_ORDER=N","PRODUCT_GEO_OVERRIDE=G","FUND_PER",RIGHT($B$11,1),"ACCOUNTING_STANDARD_OVERRIDE",$H$7,"EQY_CONSOLIDATED",$H$9,"EQY_FUND_CRNCY",$L$7,"StartCol",I$12,"EndCol",I$12,"StartRow",$B154,"EndRow",$B154),1)="#","",_xll.BDS(Ticker,"PG_DEPR_AMORTIZATION","PG_HIERARCHY_LEVEL=1","NUMBER_OF_PERIODS=-11","REVERSE_PERIOD_ORDER=N","PRODUCT_GEO_OVERRIDE=G","FUND_PER",RIGHT($B$11,1),"ACCOUNTING_STANDARD_OVERRIDE",$H$7,"EQY_CONSOLIDATED",$H$9,"EQY_FUND_CRNCY",$L$7,"StartCol",I$12,"EndCol",I$12,"StartRow",$B154,"EndRow",$B154))</f>
        <v/>
      </c>
      <c r="J154" s="218" t="str">
        <f>IF(LEFT(_xll.BDS(Ticker,"PG_DEPR_AMORTIZATION","PG_HIERARCHY_LEVEL=1","NUMBER_OF_PERIODS=-11","REVERSE_PERIOD_ORDER=N","PRODUCT_GEO_OVERRIDE=G","FUND_PER",RIGHT($B$11,1),"ACCOUNTING_STANDARD_OVERRIDE",$H$7,"EQY_CONSOLIDATED",$H$9,"EQY_FUND_CRNCY",$L$7,"StartCol",J$12,"EndCol",J$12,"StartRow",$B154,"EndRow",$B154),1)="#","",_xll.BDS(Ticker,"PG_DEPR_AMORTIZATION","PG_HIERARCHY_LEVEL=1","NUMBER_OF_PERIODS=-11","REVERSE_PERIOD_ORDER=N","PRODUCT_GEO_OVERRIDE=G","FUND_PER",RIGHT($B$11,1),"ACCOUNTING_STANDARD_OVERRIDE",$H$7,"EQY_CONSOLIDATED",$H$9,"EQY_FUND_CRNCY",$L$7,"StartCol",J$12,"EndCol",J$12,"StartRow",$B154,"EndRow",$B154))</f>
        <v/>
      </c>
      <c r="K154" s="218" t="str">
        <f>IF(LEFT(_xll.BDS(Ticker,"PG_DEPR_AMORTIZATION","PG_HIERARCHY_LEVEL=1","NUMBER_OF_PERIODS=-11","REVERSE_PERIOD_ORDER=N","PRODUCT_GEO_OVERRIDE=G","FUND_PER",RIGHT($B$11,1),"ACCOUNTING_STANDARD_OVERRIDE",$H$7,"EQY_CONSOLIDATED",$H$9,"EQY_FUND_CRNCY",$L$7,"StartCol",K$12,"EndCol",K$12,"StartRow",$B154,"EndRow",$B154),1)="#","",_xll.BDS(Ticker,"PG_DEPR_AMORTIZATION","PG_HIERARCHY_LEVEL=1","NUMBER_OF_PERIODS=-11","REVERSE_PERIOD_ORDER=N","PRODUCT_GEO_OVERRIDE=G","FUND_PER",RIGHT($B$11,1),"ACCOUNTING_STANDARD_OVERRIDE",$H$7,"EQY_CONSOLIDATED",$H$9,"EQY_FUND_CRNCY",$L$7,"StartCol",K$12,"EndCol",K$12,"StartRow",$B154,"EndRow",$B154))</f>
        <v/>
      </c>
      <c r="L154" s="218" t="str">
        <f>IF(LEFT(_xll.BDS(Ticker,"PG_DEPR_AMORTIZATION","PG_HIERARCHY_LEVEL=1","NUMBER_OF_PERIODS=-11","REVERSE_PERIOD_ORDER=N","PRODUCT_GEO_OVERRIDE=G","FUND_PER",RIGHT($B$11,1),"ACCOUNTING_STANDARD_OVERRIDE",$H$7,"EQY_CONSOLIDATED",$H$9,"EQY_FUND_CRNCY",$L$7,"StartCol",L$12,"EndCol",L$12,"StartRow",$B154,"EndRow",$B154),1)="#","",_xll.BDS(Ticker,"PG_DEPR_AMORTIZATION","PG_HIERARCHY_LEVEL=1","NUMBER_OF_PERIODS=-11","REVERSE_PERIOD_ORDER=N","PRODUCT_GEO_OVERRIDE=G","FUND_PER",RIGHT($B$11,1),"ACCOUNTING_STANDARD_OVERRIDE",$H$7,"EQY_CONSOLIDATED",$H$9,"EQY_FUND_CRNCY",$L$7,"StartCol",L$12,"EndCol",L$12,"StartRow",$B154,"EndRow",$B154))</f>
        <v/>
      </c>
      <c r="M154" s="218" t="str">
        <f>IF(LEFT(_xll.BDS(Ticker,"PG_DEPR_AMORTIZATION","PG_HIERARCHY_LEVEL=1","NUMBER_OF_PERIODS=-11","REVERSE_PERIOD_ORDER=N","PRODUCT_GEO_OVERRIDE=G","FUND_PER",RIGHT($B$11,1),"ACCOUNTING_STANDARD_OVERRIDE",$H$7,"EQY_CONSOLIDATED",$H$9,"EQY_FUND_CRNCY",$L$7,"StartCol",M$12,"EndCol",M$12,"StartRow",$B154,"EndRow",$B154),1)="#","",_xll.BDS(Ticker,"PG_DEPR_AMORTIZATION","PG_HIERARCHY_LEVEL=1","NUMBER_OF_PERIODS=-11","REVERSE_PERIOD_ORDER=N","PRODUCT_GEO_OVERRIDE=G","FUND_PER",RIGHT($B$11,1),"ACCOUNTING_STANDARD_OVERRIDE",$H$7,"EQY_CONSOLIDATED",$H$9,"EQY_FUND_CRNCY",$L$7,"StartCol",M$12,"EndCol",M$12,"StartRow",$B154,"EndRow",$B154))</f>
        <v/>
      </c>
      <c r="N154" s="218" t="str">
        <f>IF(LEFT(_xll.BDS(Ticker,"PG_DEPR_AMORTIZATION","PG_HIERARCHY_LEVEL=1","NUMBER_OF_PERIODS=-11","REVERSE_PERIOD_ORDER=N","PRODUCT_GEO_OVERRIDE=G","FUND_PER",RIGHT($B$11,1),"ACCOUNTING_STANDARD_OVERRIDE",$H$7,"EQY_CONSOLIDATED",$H$9,"EQY_FUND_CRNCY",$L$7,"StartCol",N$12,"EndCol",N$12,"StartRow",$B154,"EndRow",$B154),1)="#","",_xll.BDS(Ticker,"PG_DEPR_AMORTIZATION","PG_HIERARCHY_LEVEL=1","NUMBER_OF_PERIODS=-11","REVERSE_PERIOD_ORDER=N","PRODUCT_GEO_OVERRIDE=G","FUND_PER",RIGHT($B$11,1),"ACCOUNTING_STANDARD_OVERRIDE",$H$7,"EQY_CONSOLIDATED",$H$9,"EQY_FUND_CRNCY",$L$7,"StartCol",N$12,"EndCol",N$12,"StartRow",$B154,"EndRow",$B154))</f>
        <v/>
      </c>
    </row>
    <row r="155" spans="2:14" hidden="1" outlineLevel="1">
      <c r="B155" s="214">
        <v>9</v>
      </c>
      <c r="C155" s="216" t="str">
        <f>IF(LEFT(_xll.BDS(Ticker,"PG_DEPR_AMORTIZATION","PG_HIERARCHY_LEVEL=1","NUMBER_OF_PERIODS=-11","REVERSE_PERIOD_ORDER=N","PRODUCT_GEO_OVERRIDE=G","FUND_PER",RIGHT($B$11,1),"ACCOUNTING_STANDARD_OVERRIDE",$H$7,"EQY_CONSOLIDATED",$H$9,"EQY_FUND_CRNCY",$L$7,"StartCol",C$12,"EndCol",C$12,"StartRow",$B155,"EndRow",$B155),1)="#","",_xll.BDS(Ticker,"PG_DEPR_AMORTIZATION","PG_HIERARCHY_LEVEL=1","NUMBER_OF_PERIODS=-11","REVERSE_PERIOD_ORDER=N","PRODUCT_GEO_OVERRIDE=G","FUND_PER",RIGHT($B$11,1),"ACCOUNTING_STANDARD_OVERRIDE",$H$7,"EQY_CONSOLIDATED",$H$9,"EQY_FUND_CRNCY",$L$7,"StartCol",C$12,"EndCol",C$12,"StartRow",$B155,"EndRow",$B155))</f>
        <v/>
      </c>
      <c r="D155" s="218" t="str">
        <f>IF(LEFT(_xll.BDS(Ticker,"PG_DEPR_AMORTIZATION","PG_HIERARCHY_LEVEL=1","NUMBER_OF_PERIODS=-11","REVERSE_PERIOD_ORDER=N","PRODUCT_GEO_OVERRIDE=G","FUND_PER",RIGHT($B$11,1),"ACCOUNTING_STANDARD_OVERRIDE",$H$7,"EQY_CONSOLIDATED",$H$9,"EQY_FUND_CRNCY",$L$7,"StartCol",D$12,"EndCol",D$12,"StartRow",$B155,"EndRow",$B155),1)="#","",_xll.BDS(Ticker,"PG_DEPR_AMORTIZATION","PG_HIERARCHY_LEVEL=1","NUMBER_OF_PERIODS=-11","REVERSE_PERIOD_ORDER=N","PRODUCT_GEO_OVERRIDE=G","FUND_PER",RIGHT($B$11,1),"ACCOUNTING_STANDARD_OVERRIDE",$H$7,"EQY_CONSOLIDATED",$H$9,"EQY_FUND_CRNCY",$L$7,"StartCol",D$12,"EndCol",D$12,"StartRow",$B155,"EndRow",$B155))</f>
        <v/>
      </c>
      <c r="E155" s="218" t="str">
        <f>IF(LEFT(_xll.BDS(Ticker,"PG_DEPR_AMORTIZATION","PG_HIERARCHY_LEVEL=1","NUMBER_OF_PERIODS=-11","REVERSE_PERIOD_ORDER=N","PRODUCT_GEO_OVERRIDE=G","FUND_PER",RIGHT($B$11,1),"ACCOUNTING_STANDARD_OVERRIDE",$H$7,"EQY_CONSOLIDATED",$H$9,"EQY_FUND_CRNCY",$L$7,"StartCol",E$12,"EndCol",E$12,"StartRow",$B155,"EndRow",$B155),1)="#","",_xll.BDS(Ticker,"PG_DEPR_AMORTIZATION","PG_HIERARCHY_LEVEL=1","NUMBER_OF_PERIODS=-11","REVERSE_PERIOD_ORDER=N","PRODUCT_GEO_OVERRIDE=G","FUND_PER",RIGHT($B$11,1),"ACCOUNTING_STANDARD_OVERRIDE",$H$7,"EQY_CONSOLIDATED",$H$9,"EQY_FUND_CRNCY",$L$7,"StartCol",E$12,"EndCol",E$12,"StartRow",$B155,"EndRow",$B155))</f>
        <v/>
      </c>
      <c r="F155" s="218" t="str">
        <f>IF(LEFT(_xll.BDS(Ticker,"PG_DEPR_AMORTIZATION","PG_HIERARCHY_LEVEL=1","NUMBER_OF_PERIODS=-11","REVERSE_PERIOD_ORDER=N","PRODUCT_GEO_OVERRIDE=G","FUND_PER",RIGHT($B$11,1),"ACCOUNTING_STANDARD_OVERRIDE",$H$7,"EQY_CONSOLIDATED",$H$9,"EQY_FUND_CRNCY",$L$7,"StartCol",F$12,"EndCol",F$12,"StartRow",$B155,"EndRow",$B155),1)="#","",_xll.BDS(Ticker,"PG_DEPR_AMORTIZATION","PG_HIERARCHY_LEVEL=1","NUMBER_OF_PERIODS=-11","REVERSE_PERIOD_ORDER=N","PRODUCT_GEO_OVERRIDE=G","FUND_PER",RIGHT($B$11,1),"ACCOUNTING_STANDARD_OVERRIDE",$H$7,"EQY_CONSOLIDATED",$H$9,"EQY_FUND_CRNCY",$L$7,"StartCol",F$12,"EndCol",F$12,"StartRow",$B155,"EndRow",$B155))</f>
        <v/>
      </c>
      <c r="G155" s="218" t="str">
        <f>IF(LEFT(_xll.BDS(Ticker,"PG_DEPR_AMORTIZATION","PG_HIERARCHY_LEVEL=1","NUMBER_OF_PERIODS=-11","REVERSE_PERIOD_ORDER=N","PRODUCT_GEO_OVERRIDE=G","FUND_PER",RIGHT($B$11,1),"ACCOUNTING_STANDARD_OVERRIDE",$H$7,"EQY_CONSOLIDATED",$H$9,"EQY_FUND_CRNCY",$L$7,"StartCol",G$12,"EndCol",G$12,"StartRow",$B155,"EndRow",$B155),1)="#","",_xll.BDS(Ticker,"PG_DEPR_AMORTIZATION","PG_HIERARCHY_LEVEL=1","NUMBER_OF_PERIODS=-11","REVERSE_PERIOD_ORDER=N","PRODUCT_GEO_OVERRIDE=G","FUND_PER",RIGHT($B$11,1),"ACCOUNTING_STANDARD_OVERRIDE",$H$7,"EQY_CONSOLIDATED",$H$9,"EQY_FUND_CRNCY",$L$7,"StartCol",G$12,"EndCol",G$12,"StartRow",$B155,"EndRow",$B155))</f>
        <v/>
      </c>
      <c r="H155" s="218" t="str">
        <f>IF(LEFT(_xll.BDS(Ticker,"PG_DEPR_AMORTIZATION","PG_HIERARCHY_LEVEL=1","NUMBER_OF_PERIODS=-11","REVERSE_PERIOD_ORDER=N","PRODUCT_GEO_OVERRIDE=G","FUND_PER",RIGHT($B$11,1),"ACCOUNTING_STANDARD_OVERRIDE",$H$7,"EQY_CONSOLIDATED",$H$9,"EQY_FUND_CRNCY",$L$7,"StartCol",H$12,"EndCol",H$12,"StartRow",$B155,"EndRow",$B155),1)="#","",_xll.BDS(Ticker,"PG_DEPR_AMORTIZATION","PG_HIERARCHY_LEVEL=1","NUMBER_OF_PERIODS=-11","REVERSE_PERIOD_ORDER=N","PRODUCT_GEO_OVERRIDE=G","FUND_PER",RIGHT($B$11,1),"ACCOUNTING_STANDARD_OVERRIDE",$H$7,"EQY_CONSOLIDATED",$H$9,"EQY_FUND_CRNCY",$L$7,"StartCol",H$12,"EndCol",H$12,"StartRow",$B155,"EndRow",$B155))</f>
        <v/>
      </c>
      <c r="I155" s="218" t="str">
        <f>IF(LEFT(_xll.BDS(Ticker,"PG_DEPR_AMORTIZATION","PG_HIERARCHY_LEVEL=1","NUMBER_OF_PERIODS=-11","REVERSE_PERIOD_ORDER=N","PRODUCT_GEO_OVERRIDE=G","FUND_PER",RIGHT($B$11,1),"ACCOUNTING_STANDARD_OVERRIDE",$H$7,"EQY_CONSOLIDATED",$H$9,"EQY_FUND_CRNCY",$L$7,"StartCol",I$12,"EndCol",I$12,"StartRow",$B155,"EndRow",$B155),1)="#","",_xll.BDS(Ticker,"PG_DEPR_AMORTIZATION","PG_HIERARCHY_LEVEL=1","NUMBER_OF_PERIODS=-11","REVERSE_PERIOD_ORDER=N","PRODUCT_GEO_OVERRIDE=G","FUND_PER",RIGHT($B$11,1),"ACCOUNTING_STANDARD_OVERRIDE",$H$7,"EQY_CONSOLIDATED",$H$9,"EQY_FUND_CRNCY",$L$7,"StartCol",I$12,"EndCol",I$12,"StartRow",$B155,"EndRow",$B155))</f>
        <v/>
      </c>
      <c r="J155" s="218" t="str">
        <f>IF(LEFT(_xll.BDS(Ticker,"PG_DEPR_AMORTIZATION","PG_HIERARCHY_LEVEL=1","NUMBER_OF_PERIODS=-11","REVERSE_PERIOD_ORDER=N","PRODUCT_GEO_OVERRIDE=G","FUND_PER",RIGHT($B$11,1),"ACCOUNTING_STANDARD_OVERRIDE",$H$7,"EQY_CONSOLIDATED",$H$9,"EQY_FUND_CRNCY",$L$7,"StartCol",J$12,"EndCol",J$12,"StartRow",$B155,"EndRow",$B155),1)="#","",_xll.BDS(Ticker,"PG_DEPR_AMORTIZATION","PG_HIERARCHY_LEVEL=1","NUMBER_OF_PERIODS=-11","REVERSE_PERIOD_ORDER=N","PRODUCT_GEO_OVERRIDE=G","FUND_PER",RIGHT($B$11,1),"ACCOUNTING_STANDARD_OVERRIDE",$H$7,"EQY_CONSOLIDATED",$H$9,"EQY_FUND_CRNCY",$L$7,"StartCol",J$12,"EndCol",J$12,"StartRow",$B155,"EndRow",$B155))</f>
        <v/>
      </c>
      <c r="K155" s="218" t="str">
        <f>IF(LEFT(_xll.BDS(Ticker,"PG_DEPR_AMORTIZATION","PG_HIERARCHY_LEVEL=1","NUMBER_OF_PERIODS=-11","REVERSE_PERIOD_ORDER=N","PRODUCT_GEO_OVERRIDE=G","FUND_PER",RIGHT($B$11,1),"ACCOUNTING_STANDARD_OVERRIDE",$H$7,"EQY_CONSOLIDATED",$H$9,"EQY_FUND_CRNCY",$L$7,"StartCol",K$12,"EndCol",K$12,"StartRow",$B155,"EndRow",$B155),1)="#","",_xll.BDS(Ticker,"PG_DEPR_AMORTIZATION","PG_HIERARCHY_LEVEL=1","NUMBER_OF_PERIODS=-11","REVERSE_PERIOD_ORDER=N","PRODUCT_GEO_OVERRIDE=G","FUND_PER",RIGHT($B$11,1),"ACCOUNTING_STANDARD_OVERRIDE",$H$7,"EQY_CONSOLIDATED",$H$9,"EQY_FUND_CRNCY",$L$7,"StartCol",K$12,"EndCol",K$12,"StartRow",$B155,"EndRow",$B155))</f>
        <v/>
      </c>
      <c r="L155" s="218" t="str">
        <f>IF(LEFT(_xll.BDS(Ticker,"PG_DEPR_AMORTIZATION","PG_HIERARCHY_LEVEL=1","NUMBER_OF_PERIODS=-11","REVERSE_PERIOD_ORDER=N","PRODUCT_GEO_OVERRIDE=G","FUND_PER",RIGHT($B$11,1),"ACCOUNTING_STANDARD_OVERRIDE",$H$7,"EQY_CONSOLIDATED",$H$9,"EQY_FUND_CRNCY",$L$7,"StartCol",L$12,"EndCol",L$12,"StartRow",$B155,"EndRow",$B155),1)="#","",_xll.BDS(Ticker,"PG_DEPR_AMORTIZATION","PG_HIERARCHY_LEVEL=1","NUMBER_OF_PERIODS=-11","REVERSE_PERIOD_ORDER=N","PRODUCT_GEO_OVERRIDE=G","FUND_PER",RIGHT($B$11,1),"ACCOUNTING_STANDARD_OVERRIDE",$H$7,"EQY_CONSOLIDATED",$H$9,"EQY_FUND_CRNCY",$L$7,"StartCol",L$12,"EndCol",L$12,"StartRow",$B155,"EndRow",$B155))</f>
        <v/>
      </c>
      <c r="M155" s="218" t="str">
        <f>IF(LEFT(_xll.BDS(Ticker,"PG_DEPR_AMORTIZATION","PG_HIERARCHY_LEVEL=1","NUMBER_OF_PERIODS=-11","REVERSE_PERIOD_ORDER=N","PRODUCT_GEO_OVERRIDE=G","FUND_PER",RIGHT($B$11,1),"ACCOUNTING_STANDARD_OVERRIDE",$H$7,"EQY_CONSOLIDATED",$H$9,"EQY_FUND_CRNCY",$L$7,"StartCol",M$12,"EndCol",M$12,"StartRow",$B155,"EndRow",$B155),1)="#","",_xll.BDS(Ticker,"PG_DEPR_AMORTIZATION","PG_HIERARCHY_LEVEL=1","NUMBER_OF_PERIODS=-11","REVERSE_PERIOD_ORDER=N","PRODUCT_GEO_OVERRIDE=G","FUND_PER",RIGHT($B$11,1),"ACCOUNTING_STANDARD_OVERRIDE",$H$7,"EQY_CONSOLIDATED",$H$9,"EQY_FUND_CRNCY",$L$7,"StartCol",M$12,"EndCol",M$12,"StartRow",$B155,"EndRow",$B155))</f>
        <v/>
      </c>
      <c r="N155" s="218" t="str">
        <f>IF(LEFT(_xll.BDS(Ticker,"PG_DEPR_AMORTIZATION","PG_HIERARCHY_LEVEL=1","NUMBER_OF_PERIODS=-11","REVERSE_PERIOD_ORDER=N","PRODUCT_GEO_OVERRIDE=G","FUND_PER",RIGHT($B$11,1),"ACCOUNTING_STANDARD_OVERRIDE",$H$7,"EQY_CONSOLIDATED",$H$9,"EQY_FUND_CRNCY",$L$7,"StartCol",N$12,"EndCol",N$12,"StartRow",$B155,"EndRow",$B155),1)="#","",_xll.BDS(Ticker,"PG_DEPR_AMORTIZATION","PG_HIERARCHY_LEVEL=1","NUMBER_OF_PERIODS=-11","REVERSE_PERIOD_ORDER=N","PRODUCT_GEO_OVERRIDE=G","FUND_PER",RIGHT($B$11,1),"ACCOUNTING_STANDARD_OVERRIDE",$H$7,"EQY_CONSOLIDATED",$H$9,"EQY_FUND_CRNCY",$L$7,"StartCol",N$12,"EndCol",N$12,"StartRow",$B155,"EndRow",$B155))</f>
        <v/>
      </c>
    </row>
    <row r="156" spans="2:14" hidden="1" outlineLevel="1">
      <c r="B156" s="214">
        <v>10</v>
      </c>
      <c r="C156" s="216" t="str">
        <f>IF(LEFT(_xll.BDS(Ticker,"PG_DEPR_AMORTIZATION","PG_HIERARCHY_LEVEL=1","NUMBER_OF_PERIODS=-11","REVERSE_PERIOD_ORDER=N","PRODUCT_GEO_OVERRIDE=G","FUND_PER",RIGHT($B$11,1),"ACCOUNTING_STANDARD_OVERRIDE",$H$7,"EQY_CONSOLIDATED",$H$9,"EQY_FUND_CRNCY",$L$7,"StartCol",C$12,"EndCol",C$12,"StartRow",$B156,"EndRow",$B156),1)="#","",_xll.BDS(Ticker,"PG_DEPR_AMORTIZATION","PG_HIERARCHY_LEVEL=1","NUMBER_OF_PERIODS=-11","REVERSE_PERIOD_ORDER=N","PRODUCT_GEO_OVERRIDE=G","FUND_PER",RIGHT($B$11,1),"ACCOUNTING_STANDARD_OVERRIDE",$H$7,"EQY_CONSOLIDATED",$H$9,"EQY_FUND_CRNCY",$L$7,"StartCol",C$12,"EndCol",C$12,"StartRow",$B156,"EndRow",$B156))</f>
        <v/>
      </c>
      <c r="D156" s="218" t="str">
        <f>IF(LEFT(_xll.BDS(Ticker,"PG_DEPR_AMORTIZATION","PG_HIERARCHY_LEVEL=1","NUMBER_OF_PERIODS=-11","REVERSE_PERIOD_ORDER=N","PRODUCT_GEO_OVERRIDE=G","FUND_PER",RIGHT($B$11,1),"ACCOUNTING_STANDARD_OVERRIDE",$H$7,"EQY_CONSOLIDATED",$H$9,"EQY_FUND_CRNCY",$L$7,"StartCol",D$12,"EndCol",D$12,"StartRow",$B156,"EndRow",$B156),1)="#","",_xll.BDS(Ticker,"PG_DEPR_AMORTIZATION","PG_HIERARCHY_LEVEL=1","NUMBER_OF_PERIODS=-11","REVERSE_PERIOD_ORDER=N","PRODUCT_GEO_OVERRIDE=G","FUND_PER",RIGHT($B$11,1),"ACCOUNTING_STANDARD_OVERRIDE",$H$7,"EQY_CONSOLIDATED",$H$9,"EQY_FUND_CRNCY",$L$7,"StartCol",D$12,"EndCol",D$12,"StartRow",$B156,"EndRow",$B156))</f>
        <v/>
      </c>
      <c r="E156" s="218" t="str">
        <f>IF(LEFT(_xll.BDS(Ticker,"PG_DEPR_AMORTIZATION","PG_HIERARCHY_LEVEL=1","NUMBER_OF_PERIODS=-11","REVERSE_PERIOD_ORDER=N","PRODUCT_GEO_OVERRIDE=G","FUND_PER",RIGHT($B$11,1),"ACCOUNTING_STANDARD_OVERRIDE",$H$7,"EQY_CONSOLIDATED",$H$9,"EQY_FUND_CRNCY",$L$7,"StartCol",E$12,"EndCol",E$12,"StartRow",$B156,"EndRow",$B156),1)="#","",_xll.BDS(Ticker,"PG_DEPR_AMORTIZATION","PG_HIERARCHY_LEVEL=1","NUMBER_OF_PERIODS=-11","REVERSE_PERIOD_ORDER=N","PRODUCT_GEO_OVERRIDE=G","FUND_PER",RIGHT($B$11,1),"ACCOUNTING_STANDARD_OVERRIDE",$H$7,"EQY_CONSOLIDATED",$H$9,"EQY_FUND_CRNCY",$L$7,"StartCol",E$12,"EndCol",E$12,"StartRow",$B156,"EndRow",$B156))</f>
        <v/>
      </c>
      <c r="F156" s="218" t="str">
        <f>IF(LEFT(_xll.BDS(Ticker,"PG_DEPR_AMORTIZATION","PG_HIERARCHY_LEVEL=1","NUMBER_OF_PERIODS=-11","REVERSE_PERIOD_ORDER=N","PRODUCT_GEO_OVERRIDE=G","FUND_PER",RIGHT($B$11,1),"ACCOUNTING_STANDARD_OVERRIDE",$H$7,"EQY_CONSOLIDATED",$H$9,"EQY_FUND_CRNCY",$L$7,"StartCol",F$12,"EndCol",F$12,"StartRow",$B156,"EndRow",$B156),1)="#","",_xll.BDS(Ticker,"PG_DEPR_AMORTIZATION","PG_HIERARCHY_LEVEL=1","NUMBER_OF_PERIODS=-11","REVERSE_PERIOD_ORDER=N","PRODUCT_GEO_OVERRIDE=G","FUND_PER",RIGHT($B$11,1),"ACCOUNTING_STANDARD_OVERRIDE",$H$7,"EQY_CONSOLIDATED",$H$9,"EQY_FUND_CRNCY",$L$7,"StartCol",F$12,"EndCol",F$12,"StartRow",$B156,"EndRow",$B156))</f>
        <v/>
      </c>
      <c r="G156" s="218" t="str">
        <f>IF(LEFT(_xll.BDS(Ticker,"PG_DEPR_AMORTIZATION","PG_HIERARCHY_LEVEL=1","NUMBER_OF_PERIODS=-11","REVERSE_PERIOD_ORDER=N","PRODUCT_GEO_OVERRIDE=G","FUND_PER",RIGHT($B$11,1),"ACCOUNTING_STANDARD_OVERRIDE",$H$7,"EQY_CONSOLIDATED",$H$9,"EQY_FUND_CRNCY",$L$7,"StartCol",G$12,"EndCol",G$12,"StartRow",$B156,"EndRow",$B156),1)="#","",_xll.BDS(Ticker,"PG_DEPR_AMORTIZATION","PG_HIERARCHY_LEVEL=1","NUMBER_OF_PERIODS=-11","REVERSE_PERIOD_ORDER=N","PRODUCT_GEO_OVERRIDE=G","FUND_PER",RIGHT($B$11,1),"ACCOUNTING_STANDARD_OVERRIDE",$H$7,"EQY_CONSOLIDATED",$H$9,"EQY_FUND_CRNCY",$L$7,"StartCol",G$12,"EndCol",G$12,"StartRow",$B156,"EndRow",$B156))</f>
        <v/>
      </c>
      <c r="H156" s="218" t="str">
        <f>IF(LEFT(_xll.BDS(Ticker,"PG_DEPR_AMORTIZATION","PG_HIERARCHY_LEVEL=1","NUMBER_OF_PERIODS=-11","REVERSE_PERIOD_ORDER=N","PRODUCT_GEO_OVERRIDE=G","FUND_PER",RIGHT($B$11,1),"ACCOUNTING_STANDARD_OVERRIDE",$H$7,"EQY_CONSOLIDATED",$H$9,"EQY_FUND_CRNCY",$L$7,"StartCol",H$12,"EndCol",H$12,"StartRow",$B156,"EndRow",$B156),1)="#","",_xll.BDS(Ticker,"PG_DEPR_AMORTIZATION","PG_HIERARCHY_LEVEL=1","NUMBER_OF_PERIODS=-11","REVERSE_PERIOD_ORDER=N","PRODUCT_GEO_OVERRIDE=G","FUND_PER",RIGHT($B$11,1),"ACCOUNTING_STANDARD_OVERRIDE",$H$7,"EQY_CONSOLIDATED",$H$9,"EQY_FUND_CRNCY",$L$7,"StartCol",H$12,"EndCol",H$12,"StartRow",$B156,"EndRow",$B156))</f>
        <v/>
      </c>
      <c r="I156" s="218" t="str">
        <f>IF(LEFT(_xll.BDS(Ticker,"PG_DEPR_AMORTIZATION","PG_HIERARCHY_LEVEL=1","NUMBER_OF_PERIODS=-11","REVERSE_PERIOD_ORDER=N","PRODUCT_GEO_OVERRIDE=G","FUND_PER",RIGHT($B$11,1),"ACCOUNTING_STANDARD_OVERRIDE",$H$7,"EQY_CONSOLIDATED",$H$9,"EQY_FUND_CRNCY",$L$7,"StartCol",I$12,"EndCol",I$12,"StartRow",$B156,"EndRow",$B156),1)="#","",_xll.BDS(Ticker,"PG_DEPR_AMORTIZATION","PG_HIERARCHY_LEVEL=1","NUMBER_OF_PERIODS=-11","REVERSE_PERIOD_ORDER=N","PRODUCT_GEO_OVERRIDE=G","FUND_PER",RIGHT($B$11,1),"ACCOUNTING_STANDARD_OVERRIDE",$H$7,"EQY_CONSOLIDATED",$H$9,"EQY_FUND_CRNCY",$L$7,"StartCol",I$12,"EndCol",I$12,"StartRow",$B156,"EndRow",$B156))</f>
        <v/>
      </c>
      <c r="J156" s="218" t="str">
        <f>IF(LEFT(_xll.BDS(Ticker,"PG_DEPR_AMORTIZATION","PG_HIERARCHY_LEVEL=1","NUMBER_OF_PERIODS=-11","REVERSE_PERIOD_ORDER=N","PRODUCT_GEO_OVERRIDE=G","FUND_PER",RIGHT($B$11,1),"ACCOUNTING_STANDARD_OVERRIDE",$H$7,"EQY_CONSOLIDATED",$H$9,"EQY_FUND_CRNCY",$L$7,"StartCol",J$12,"EndCol",J$12,"StartRow",$B156,"EndRow",$B156),1)="#","",_xll.BDS(Ticker,"PG_DEPR_AMORTIZATION","PG_HIERARCHY_LEVEL=1","NUMBER_OF_PERIODS=-11","REVERSE_PERIOD_ORDER=N","PRODUCT_GEO_OVERRIDE=G","FUND_PER",RIGHT($B$11,1),"ACCOUNTING_STANDARD_OVERRIDE",$H$7,"EQY_CONSOLIDATED",$H$9,"EQY_FUND_CRNCY",$L$7,"StartCol",J$12,"EndCol",J$12,"StartRow",$B156,"EndRow",$B156))</f>
        <v/>
      </c>
      <c r="K156" s="218" t="str">
        <f>IF(LEFT(_xll.BDS(Ticker,"PG_DEPR_AMORTIZATION","PG_HIERARCHY_LEVEL=1","NUMBER_OF_PERIODS=-11","REVERSE_PERIOD_ORDER=N","PRODUCT_GEO_OVERRIDE=G","FUND_PER",RIGHT($B$11,1),"ACCOUNTING_STANDARD_OVERRIDE",$H$7,"EQY_CONSOLIDATED",$H$9,"EQY_FUND_CRNCY",$L$7,"StartCol",K$12,"EndCol",K$12,"StartRow",$B156,"EndRow",$B156),1)="#","",_xll.BDS(Ticker,"PG_DEPR_AMORTIZATION","PG_HIERARCHY_LEVEL=1","NUMBER_OF_PERIODS=-11","REVERSE_PERIOD_ORDER=N","PRODUCT_GEO_OVERRIDE=G","FUND_PER",RIGHT($B$11,1),"ACCOUNTING_STANDARD_OVERRIDE",$H$7,"EQY_CONSOLIDATED",$H$9,"EQY_FUND_CRNCY",$L$7,"StartCol",K$12,"EndCol",K$12,"StartRow",$B156,"EndRow",$B156))</f>
        <v/>
      </c>
      <c r="L156" s="218" t="str">
        <f>IF(LEFT(_xll.BDS(Ticker,"PG_DEPR_AMORTIZATION","PG_HIERARCHY_LEVEL=1","NUMBER_OF_PERIODS=-11","REVERSE_PERIOD_ORDER=N","PRODUCT_GEO_OVERRIDE=G","FUND_PER",RIGHT($B$11,1),"ACCOUNTING_STANDARD_OVERRIDE",$H$7,"EQY_CONSOLIDATED",$H$9,"EQY_FUND_CRNCY",$L$7,"StartCol",L$12,"EndCol",L$12,"StartRow",$B156,"EndRow",$B156),1)="#","",_xll.BDS(Ticker,"PG_DEPR_AMORTIZATION","PG_HIERARCHY_LEVEL=1","NUMBER_OF_PERIODS=-11","REVERSE_PERIOD_ORDER=N","PRODUCT_GEO_OVERRIDE=G","FUND_PER",RIGHT($B$11,1),"ACCOUNTING_STANDARD_OVERRIDE",$H$7,"EQY_CONSOLIDATED",$H$9,"EQY_FUND_CRNCY",$L$7,"StartCol",L$12,"EndCol",L$12,"StartRow",$B156,"EndRow",$B156))</f>
        <v/>
      </c>
      <c r="M156" s="218" t="str">
        <f>IF(LEFT(_xll.BDS(Ticker,"PG_DEPR_AMORTIZATION","PG_HIERARCHY_LEVEL=1","NUMBER_OF_PERIODS=-11","REVERSE_PERIOD_ORDER=N","PRODUCT_GEO_OVERRIDE=G","FUND_PER",RIGHT($B$11,1),"ACCOUNTING_STANDARD_OVERRIDE",$H$7,"EQY_CONSOLIDATED",$H$9,"EQY_FUND_CRNCY",$L$7,"StartCol",M$12,"EndCol",M$12,"StartRow",$B156,"EndRow",$B156),1)="#","",_xll.BDS(Ticker,"PG_DEPR_AMORTIZATION","PG_HIERARCHY_LEVEL=1","NUMBER_OF_PERIODS=-11","REVERSE_PERIOD_ORDER=N","PRODUCT_GEO_OVERRIDE=G","FUND_PER",RIGHT($B$11,1),"ACCOUNTING_STANDARD_OVERRIDE",$H$7,"EQY_CONSOLIDATED",$H$9,"EQY_FUND_CRNCY",$L$7,"StartCol",M$12,"EndCol",M$12,"StartRow",$B156,"EndRow",$B156))</f>
        <v/>
      </c>
      <c r="N156" s="218" t="str">
        <f>IF(LEFT(_xll.BDS(Ticker,"PG_DEPR_AMORTIZATION","PG_HIERARCHY_LEVEL=1","NUMBER_OF_PERIODS=-11","REVERSE_PERIOD_ORDER=N","PRODUCT_GEO_OVERRIDE=G","FUND_PER",RIGHT($B$11,1),"ACCOUNTING_STANDARD_OVERRIDE",$H$7,"EQY_CONSOLIDATED",$H$9,"EQY_FUND_CRNCY",$L$7,"StartCol",N$12,"EndCol",N$12,"StartRow",$B156,"EndRow",$B156),1)="#","",_xll.BDS(Ticker,"PG_DEPR_AMORTIZATION","PG_HIERARCHY_LEVEL=1","NUMBER_OF_PERIODS=-11","REVERSE_PERIOD_ORDER=N","PRODUCT_GEO_OVERRIDE=G","FUND_PER",RIGHT($B$11,1),"ACCOUNTING_STANDARD_OVERRIDE",$H$7,"EQY_CONSOLIDATED",$H$9,"EQY_FUND_CRNCY",$L$7,"StartCol",N$12,"EndCol",N$12,"StartRow",$B156,"EndRow",$B156))</f>
        <v/>
      </c>
    </row>
    <row r="157" spans="2:14" ht="15" customHeight="1" collapsed="1">
      <c r="B157" s="214"/>
      <c r="C157" s="204"/>
      <c r="D157" s="204"/>
      <c r="E157" s="204"/>
      <c r="F157" s="204"/>
      <c r="G157" s="204"/>
      <c r="H157" s="204"/>
      <c r="I157" s="204"/>
      <c r="J157" s="204"/>
      <c r="K157" s="204"/>
      <c r="L157" s="204"/>
      <c r="M157" s="204"/>
      <c r="N157" s="204"/>
    </row>
    <row r="158" spans="2:14">
      <c r="B158" s="224"/>
      <c r="C158" s="201" t="s">
        <v>189</v>
      </c>
      <c r="D158" s="209"/>
      <c r="E158" s="209"/>
      <c r="F158" s="209"/>
      <c r="G158" s="209"/>
      <c r="H158" s="209"/>
      <c r="I158" s="209"/>
      <c r="J158" s="209"/>
      <c r="K158" s="209"/>
      <c r="L158" s="209"/>
      <c r="M158" s="209"/>
      <c r="N158" s="210"/>
    </row>
    <row r="159" spans="2:14" hidden="1" outlineLevel="1">
      <c r="B159" s="220"/>
      <c r="C159" s="233" t="s">
        <v>360</v>
      </c>
      <c r="D159"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59"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59"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59"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59"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59"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59"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59"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59"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59"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59"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60" spans="2:14" hidden="1" outlineLevel="1">
      <c r="B160" s="222"/>
      <c r="C160" s="233" t="s">
        <v>356</v>
      </c>
      <c r="D160" s="231" t="str">
        <f>IF(LEFT(_xll.BDP(Ticker,"LATEST_PERIOD_END_DT_FULL_RECORD","EQY_FUND_RELATIVE_PERIOD",D$11,"EQY_CONSOLIDATED",$H$9),1)="#","--",_xll.BDP(Ticker,"LATEST_PERIOD_END_DT_FULL_RECORD","EQY_FUND_RELATIVE_PERIOD",D$11,"EQY_CONSOLIDATED",$H$9))</f>
        <v>12/31/2008</v>
      </c>
      <c r="E160" s="231" t="str">
        <f>IF(LEFT(_xll.BDP(Ticker,"LATEST_PERIOD_END_DT_FULL_RECORD","EQY_FUND_RELATIVE_PERIOD",E$11,"EQY_CONSOLIDATED",$H$9),1)="#","--",_xll.BDP(Ticker,"LATEST_PERIOD_END_DT_FULL_RECORD","EQY_FUND_RELATIVE_PERIOD",E$11,"EQY_CONSOLIDATED",$H$9))</f>
        <v>12/31/2009</v>
      </c>
      <c r="F160" s="231" t="str">
        <f>IF(LEFT(_xll.BDP(Ticker,"LATEST_PERIOD_END_DT_FULL_RECORD","EQY_FUND_RELATIVE_PERIOD",F$11,"EQY_CONSOLIDATED",$H$9),1)="#","--",_xll.BDP(Ticker,"LATEST_PERIOD_END_DT_FULL_RECORD","EQY_FUND_RELATIVE_PERIOD",F$11,"EQY_CONSOLIDATED",$H$9))</f>
        <v>12/31/2010</v>
      </c>
      <c r="G160" s="231" t="str">
        <f>IF(LEFT(_xll.BDP(Ticker,"LATEST_PERIOD_END_DT_FULL_RECORD","EQY_FUND_RELATIVE_PERIOD",G$11,"EQY_CONSOLIDATED",$H$9),1)="#","--",_xll.BDP(Ticker,"LATEST_PERIOD_END_DT_FULL_RECORD","EQY_FUND_RELATIVE_PERIOD",G$11,"EQY_CONSOLIDATED",$H$9))</f>
        <v>12/31/2011</v>
      </c>
      <c r="H160" s="231" t="str">
        <f>IF(LEFT(_xll.BDP(Ticker,"LATEST_PERIOD_END_DT_FULL_RECORD","EQY_FUND_RELATIVE_PERIOD",H$11,"EQY_CONSOLIDATED",$H$9),1)="#","--",_xll.BDP(Ticker,"LATEST_PERIOD_END_DT_FULL_RECORD","EQY_FUND_RELATIVE_PERIOD",H$11,"EQY_CONSOLIDATED",$H$9))</f>
        <v>12/31/2012</v>
      </c>
      <c r="I160" s="231" t="str">
        <f>IF(LEFT(_xll.BDP(Ticker,"LATEST_PERIOD_END_DT_FULL_RECORD","EQY_FUND_RELATIVE_PERIOD",I$11,"EQY_CONSOLIDATED",$H$9),1)="#","--",_xll.BDP(Ticker,"LATEST_PERIOD_END_DT_FULL_RECORD","EQY_FUND_RELATIVE_PERIOD",I$11,"EQY_CONSOLIDATED",$H$9))</f>
        <v>12/31/2013</v>
      </c>
      <c r="J160" s="231" t="str">
        <f>IF(LEFT(_xll.BDP(Ticker,"LATEST_PERIOD_END_DT_FULL_RECORD","EQY_FUND_RELATIVE_PERIOD",J$11,"EQY_CONSOLIDATED",$H$9),1)="#","--",_xll.BDP(Ticker,"LATEST_PERIOD_END_DT_FULL_RECORD","EQY_FUND_RELATIVE_PERIOD",J$11,"EQY_CONSOLIDATED",$H$9))</f>
        <v>12/31/2014</v>
      </c>
      <c r="K160" s="231" t="str">
        <f>IF(LEFT(_xll.BDP(Ticker,"LATEST_PERIOD_END_DT_FULL_RECORD","EQY_FUND_RELATIVE_PERIOD",K$11,"EQY_CONSOLIDATED",$H$9),1)="#","--",_xll.BDP(Ticker,"LATEST_PERIOD_END_DT_FULL_RECORD","EQY_FUND_RELATIVE_PERIOD",K$11,"EQY_CONSOLIDATED",$H$9))</f>
        <v>12/31/2015</v>
      </c>
      <c r="L160" s="231" t="str">
        <f>IF(LEFT(_xll.BDP(Ticker,"LATEST_PERIOD_END_DT_FULL_RECORD","EQY_FUND_RELATIVE_PERIOD",L$11,"EQY_CONSOLIDATED",$H$9),1)="#","--",_xll.BDP(Ticker,"LATEST_PERIOD_END_DT_FULL_RECORD","EQY_FUND_RELATIVE_PERIOD",L$11,"EQY_CONSOLIDATED",$H$9))</f>
        <v>12/31/2016</v>
      </c>
      <c r="M160" s="231" t="str">
        <f>IF(LEFT(_xll.BDP(Ticker,"LATEST_PERIOD_END_DT_FULL_RECORD","EQY_FUND_RELATIVE_PERIOD",M$11,"EQY_CONSOLIDATED",$H$9),1)="#","--",_xll.BDP(Ticker,"LATEST_PERIOD_END_DT_FULL_RECORD","EQY_FUND_RELATIVE_PERIOD",M$11,"EQY_CONSOLIDATED",$H$9))</f>
        <v>12/31/2017</v>
      </c>
      <c r="N160" s="231" t="str">
        <f>IF(LEFT(_xll.BDP(Ticker,"LATEST_PERIOD_END_DT_FULL_RECORD","EQY_FUND_RELATIVE_PERIOD",N$11,"EQY_CONSOLIDATED",$H$9),1)="#","--",_xll.BDP(Ticker,"LATEST_PERIOD_END_DT_FULL_RECORD","EQY_FUND_RELATIVE_PERIOD",N$11,"EQY_CONSOLIDATED",$H$9))</f>
        <v>12/31/2018</v>
      </c>
    </row>
    <row r="161" spans="1:14" hidden="1" outlineLevel="1">
      <c r="A161" s="77"/>
      <c r="B161" s="215"/>
      <c r="C161" s="207" t="s">
        <v>185</v>
      </c>
      <c r="D161" s="276" t="str">
        <f t="shared" ref="D161:I161" si="9">IF(LEN(D162),SUM(D162:D171),"")</f>
        <v/>
      </c>
      <c r="E161" s="276">
        <f t="shared" si="9"/>
        <v>-131</v>
      </c>
      <c r="F161" s="276">
        <f t="shared" si="9"/>
        <v>-182</v>
      </c>
      <c r="G161" s="276">
        <f t="shared" si="9"/>
        <v>-226</v>
      </c>
      <c r="H161" s="276">
        <f t="shared" si="9"/>
        <v>-210</v>
      </c>
      <c r="I161" s="276">
        <f t="shared" si="9"/>
        <v>-195</v>
      </c>
      <c r="J161" s="276">
        <f>IF(LEN(J162),SUM(J162:J171),"")</f>
        <v>-233</v>
      </c>
      <c r="K161" s="276">
        <f>IF(LEN(K162),SUM(K162:K171),"")</f>
        <v>-270</v>
      </c>
      <c r="L161" s="276">
        <f>IF(LEN(L162),SUM(L162:L171),"")</f>
        <v>-490</v>
      </c>
      <c r="M161" s="276">
        <f>IF(LEN(M162),SUM(M162:M171),"")</f>
        <v>-598</v>
      </c>
      <c r="N161" s="276">
        <f>IF(LEN(N162),SUM(N162:N171),"")</f>
        <v>-572</v>
      </c>
    </row>
    <row r="162" spans="1:14" hidden="1" outlineLevel="1">
      <c r="B162" s="214">
        <v>1</v>
      </c>
      <c r="C162" s="216" t="str">
        <f>IF(LEFT(_xll.BDS(Ticker,"PG_CAPITAL_EXPENDITURES","PG_HIERARCHY_LEVEL=1","NUMBER_OF_PERIODS=-11","REVERSE_PERIOD_ORDER=N","PRODUCT_GEO_OVERRIDE=P","FUND_PER",RIGHT($B$11,1),"ACCOUNTING_STANDARD_OVERRIDE",$H$7,"EQY_CONSOLIDATED",$H$9,"EQY_FUND_CRNCY",$L$7,"StartCol",C$12,"EndCol",C$12,"StartRow",$B162,"EndRow",$B162),1)="#","",_xll.BDS(Ticker,"PG_CAPITAL_EXPENDITURES","PG_HIERARCHY_LEVEL=1","NUMBER_OF_PERIODS=-11","REVERSE_PERIOD_ORDER=N","PRODUCT_GEO_OVERRIDE=P","FUND_PER",RIGHT($B$11,1),"ACCOUNTING_STANDARD_OVERRIDE",$H$7,"EQY_CONSOLIDATED",$H$9,"EQY_FUND_CRNCY",$L$7,"StartCol",C$12,"EndCol",C$12,"StartRow",$B162,"EndRow",$B162))</f>
        <v>Neurotech and Spine</v>
      </c>
      <c r="D162" s="218" t="str">
        <f>IF(LEFT(_xll.BDS(Ticker,"PG_CAPITAL_EXPENDITURES","PG_HIERARCHY_LEVEL=1","NUMBER_OF_PERIODS=-11","REVERSE_PERIOD_ORDER=N","PRODUCT_GEO_OVERRIDE=P","FUND_PER",RIGHT($B$11,1),"ACCOUNTING_STANDARD_OVERRIDE",$H$7,"EQY_CONSOLIDATED",$H$9,"EQY_FUND_CRNCY",$L$7,"StartCol",D$12,"EndCol",D$12,"StartRow",$B162,"EndRow",$B162),1)="#","",_xll.BDS(Ticker,"PG_CAPITAL_EXPENDITURES","PG_HIERARCHY_LEVEL=1","NUMBER_OF_PERIODS=-11","REVERSE_PERIOD_ORDER=N","PRODUCT_GEO_OVERRIDE=P","FUND_PER",RIGHT($B$11,1),"ACCOUNTING_STANDARD_OVERRIDE",$H$7,"EQY_CONSOLIDATED",$H$9,"EQY_FUND_CRNCY",$L$7,"StartCol",D$12,"EndCol",D$12,"StartRow",$B162,"EndRow",$B162))</f>
        <v/>
      </c>
      <c r="E162" s="218">
        <f>IF(LEFT(_xll.BDS(Ticker,"PG_CAPITAL_EXPENDITURES","PG_HIERARCHY_LEVEL=1","NUMBER_OF_PERIODS=-11","REVERSE_PERIOD_ORDER=N","PRODUCT_GEO_OVERRIDE=P","FUND_PER",RIGHT($B$11,1),"ACCOUNTING_STANDARD_OVERRIDE",$H$7,"EQY_CONSOLIDATED",$H$9,"EQY_FUND_CRNCY",$L$7,"StartCol",E$12,"EndCol",E$12,"StartRow",$B162,"EndRow",$B162),1)="#","",_xll.BDS(Ticker,"PG_CAPITAL_EXPENDITURES","PG_HIERARCHY_LEVEL=1","NUMBER_OF_PERIODS=-11","REVERSE_PERIOD_ORDER=N","PRODUCT_GEO_OVERRIDE=P","FUND_PER",RIGHT($B$11,1),"ACCOUNTING_STANDARD_OVERRIDE",$H$7,"EQY_CONSOLIDATED",$H$9,"EQY_FUND_CRNCY",$L$7,"StartCol",E$12,"EndCol",E$12,"StartRow",$B162,"EndRow",$B162))</f>
        <v>-13</v>
      </c>
      <c r="F162" s="218">
        <f>IF(LEFT(_xll.BDS(Ticker,"PG_CAPITAL_EXPENDITURES","PG_HIERARCHY_LEVEL=1","NUMBER_OF_PERIODS=-11","REVERSE_PERIOD_ORDER=N","PRODUCT_GEO_OVERRIDE=P","FUND_PER",RIGHT($B$11,1),"ACCOUNTING_STANDARD_OVERRIDE",$H$7,"EQY_CONSOLIDATED",$H$9,"EQY_FUND_CRNCY",$L$7,"StartCol",F$12,"EndCol",F$12,"StartRow",$B162,"EndRow",$B162),1)="#","",_xll.BDS(Ticker,"PG_CAPITAL_EXPENDITURES","PG_HIERARCHY_LEVEL=1","NUMBER_OF_PERIODS=-11","REVERSE_PERIOD_ORDER=N","PRODUCT_GEO_OVERRIDE=P","FUND_PER",RIGHT($B$11,1),"ACCOUNTING_STANDARD_OVERRIDE",$H$7,"EQY_CONSOLIDATED",$H$9,"EQY_FUND_CRNCY",$L$7,"StartCol",F$12,"EndCol",F$12,"StartRow",$B162,"EndRow",$B162))</f>
        <v>-13</v>
      </c>
      <c r="G162" s="218">
        <f>IF(LEFT(_xll.BDS(Ticker,"PG_CAPITAL_EXPENDITURES","PG_HIERARCHY_LEVEL=1","NUMBER_OF_PERIODS=-11","REVERSE_PERIOD_ORDER=N","PRODUCT_GEO_OVERRIDE=P","FUND_PER",RIGHT($B$11,1),"ACCOUNTING_STANDARD_OVERRIDE",$H$7,"EQY_CONSOLIDATED",$H$9,"EQY_FUND_CRNCY",$L$7,"StartCol",G$12,"EndCol",G$12,"StartRow",$B162,"EndRow",$B162),1)="#","",_xll.BDS(Ticker,"PG_CAPITAL_EXPENDITURES","PG_HIERARCHY_LEVEL=1","NUMBER_OF_PERIODS=-11","REVERSE_PERIOD_ORDER=N","PRODUCT_GEO_OVERRIDE=P","FUND_PER",RIGHT($B$11,1),"ACCOUNTING_STANDARD_OVERRIDE",$H$7,"EQY_CONSOLIDATED",$H$9,"EQY_FUND_CRNCY",$L$7,"StartCol",G$12,"EndCol",G$12,"StartRow",$B162,"EndRow",$B162))</f>
        <v>-27</v>
      </c>
      <c r="H162" s="218">
        <f>IF(LEFT(_xll.BDS(Ticker,"PG_CAPITAL_EXPENDITURES","PG_HIERARCHY_LEVEL=1","NUMBER_OF_PERIODS=-11","REVERSE_PERIOD_ORDER=N","PRODUCT_GEO_OVERRIDE=P","FUND_PER",RIGHT($B$11,1),"ACCOUNTING_STANDARD_OVERRIDE",$H$7,"EQY_CONSOLIDATED",$H$9,"EQY_FUND_CRNCY",$L$7,"StartCol",H$12,"EndCol",H$12,"StartRow",$B162,"EndRow",$B162),1)="#","",_xll.BDS(Ticker,"PG_CAPITAL_EXPENDITURES","PG_HIERARCHY_LEVEL=1","NUMBER_OF_PERIODS=-11","REVERSE_PERIOD_ORDER=N","PRODUCT_GEO_OVERRIDE=P","FUND_PER",RIGHT($B$11,1),"ACCOUNTING_STANDARD_OVERRIDE",$H$7,"EQY_CONSOLIDATED",$H$9,"EQY_FUND_CRNCY",$L$7,"StartCol",H$12,"EndCol",H$12,"StartRow",$B162,"EndRow",$B162))</f>
        <v>-53</v>
      </c>
      <c r="I162" s="218">
        <f>IF(LEFT(_xll.BDS(Ticker,"PG_CAPITAL_EXPENDITURES","PG_HIERARCHY_LEVEL=1","NUMBER_OF_PERIODS=-11","REVERSE_PERIOD_ORDER=N","PRODUCT_GEO_OVERRIDE=P","FUND_PER",RIGHT($B$11,1),"ACCOUNTING_STANDARD_OVERRIDE",$H$7,"EQY_CONSOLIDATED",$H$9,"EQY_FUND_CRNCY",$L$7,"StartCol",I$12,"EndCol",I$12,"StartRow",$B162,"EndRow",$B162),1)="#","",_xll.BDS(Ticker,"PG_CAPITAL_EXPENDITURES","PG_HIERARCHY_LEVEL=1","NUMBER_OF_PERIODS=-11","REVERSE_PERIOD_ORDER=N","PRODUCT_GEO_OVERRIDE=P","FUND_PER",RIGHT($B$11,1),"ACCOUNTING_STANDARD_OVERRIDE",$H$7,"EQY_CONSOLIDATED",$H$9,"EQY_FUND_CRNCY",$L$7,"StartCol",I$12,"EndCol",I$12,"StartRow",$B162,"EndRow",$B162))</f>
        <v>-16</v>
      </c>
      <c r="J162" s="218">
        <f>IF(LEFT(_xll.BDS(Ticker,"PG_CAPITAL_EXPENDITURES","PG_HIERARCHY_LEVEL=1","NUMBER_OF_PERIODS=-11","REVERSE_PERIOD_ORDER=N","PRODUCT_GEO_OVERRIDE=P","FUND_PER",RIGHT($B$11,1),"ACCOUNTING_STANDARD_OVERRIDE",$H$7,"EQY_CONSOLIDATED",$H$9,"EQY_FUND_CRNCY",$L$7,"StartCol",J$12,"EndCol",J$12,"StartRow",$B162,"EndRow",$B162),1)="#","",_xll.BDS(Ticker,"PG_CAPITAL_EXPENDITURES","PG_HIERARCHY_LEVEL=1","NUMBER_OF_PERIODS=-11","REVERSE_PERIOD_ORDER=N","PRODUCT_GEO_OVERRIDE=P","FUND_PER",RIGHT($B$11,1),"ACCOUNTING_STANDARD_OVERRIDE",$H$7,"EQY_CONSOLIDATED",$H$9,"EQY_FUND_CRNCY",$L$7,"StartCol",J$12,"EndCol",J$12,"StartRow",$B162,"EndRow",$B162))</f>
        <v>-20</v>
      </c>
      <c r="K162" s="218">
        <f>IF(LEFT(_xll.BDS(Ticker,"PG_CAPITAL_EXPENDITURES","PG_HIERARCHY_LEVEL=1","NUMBER_OF_PERIODS=-11","REVERSE_PERIOD_ORDER=N","PRODUCT_GEO_OVERRIDE=P","FUND_PER",RIGHT($B$11,1),"ACCOUNTING_STANDARD_OVERRIDE",$H$7,"EQY_CONSOLIDATED",$H$9,"EQY_FUND_CRNCY",$L$7,"StartCol",K$12,"EndCol",K$12,"StartRow",$B162,"EndRow",$B162),1)="#","",_xll.BDS(Ticker,"PG_CAPITAL_EXPENDITURES","PG_HIERARCHY_LEVEL=1","NUMBER_OF_PERIODS=-11","REVERSE_PERIOD_ORDER=N","PRODUCT_GEO_OVERRIDE=P","FUND_PER",RIGHT($B$11,1),"ACCOUNTING_STANDARD_OVERRIDE",$H$7,"EQY_CONSOLIDATED",$H$9,"EQY_FUND_CRNCY",$L$7,"StartCol",K$12,"EndCol",K$12,"StartRow",$B162,"EndRow",$B162))</f>
        <v>-28</v>
      </c>
      <c r="L162" s="218">
        <f>IF(LEFT(_xll.BDS(Ticker,"PG_CAPITAL_EXPENDITURES","PG_HIERARCHY_LEVEL=1","NUMBER_OF_PERIODS=-11","REVERSE_PERIOD_ORDER=N","PRODUCT_GEO_OVERRIDE=P","FUND_PER",RIGHT($B$11,1),"ACCOUNTING_STANDARD_OVERRIDE",$H$7,"EQY_CONSOLIDATED",$H$9,"EQY_FUND_CRNCY",$L$7,"StartCol",L$12,"EndCol",L$12,"StartRow",$B162,"EndRow",$B162),1)="#","",_xll.BDS(Ticker,"PG_CAPITAL_EXPENDITURES","PG_HIERARCHY_LEVEL=1","NUMBER_OF_PERIODS=-11","REVERSE_PERIOD_ORDER=N","PRODUCT_GEO_OVERRIDE=P","FUND_PER",RIGHT($B$11,1),"ACCOUNTING_STANDARD_OVERRIDE",$H$7,"EQY_CONSOLIDATED",$H$9,"EQY_FUND_CRNCY",$L$7,"StartCol",L$12,"EndCol",L$12,"StartRow",$B162,"EndRow",$B162))</f>
        <v>-25</v>
      </c>
      <c r="M162" s="218">
        <f>IF(LEFT(_xll.BDS(Ticker,"PG_CAPITAL_EXPENDITURES","PG_HIERARCHY_LEVEL=1","NUMBER_OF_PERIODS=-11","REVERSE_PERIOD_ORDER=N","PRODUCT_GEO_OVERRIDE=P","FUND_PER",RIGHT($B$11,1),"ACCOUNTING_STANDARD_OVERRIDE",$H$7,"EQY_CONSOLIDATED",$H$9,"EQY_FUND_CRNCY",$L$7,"StartCol",M$12,"EndCol",M$12,"StartRow",$B162,"EndRow",$B162),1)="#","",_xll.BDS(Ticker,"PG_CAPITAL_EXPENDITURES","PG_HIERARCHY_LEVEL=1","NUMBER_OF_PERIODS=-11","REVERSE_PERIOD_ORDER=N","PRODUCT_GEO_OVERRIDE=P","FUND_PER",RIGHT($B$11,1),"ACCOUNTING_STANDARD_OVERRIDE",$H$7,"EQY_CONSOLIDATED",$H$9,"EQY_FUND_CRNCY",$L$7,"StartCol",M$12,"EndCol",M$12,"StartRow",$B162,"EndRow",$B162))</f>
        <v>-50</v>
      </c>
      <c r="N162" s="218">
        <f>IF(LEFT(_xll.BDS(Ticker,"PG_CAPITAL_EXPENDITURES","PG_HIERARCHY_LEVEL=1","NUMBER_OF_PERIODS=-11","REVERSE_PERIOD_ORDER=N","PRODUCT_GEO_OVERRIDE=P","FUND_PER",RIGHT($B$11,1),"ACCOUNTING_STANDARD_OVERRIDE",$H$7,"EQY_CONSOLIDATED",$H$9,"EQY_FUND_CRNCY",$L$7,"StartCol",N$12,"EndCol",N$12,"StartRow",$B162,"EndRow",$B162),1)="#","",_xll.BDS(Ticker,"PG_CAPITAL_EXPENDITURES","PG_HIERARCHY_LEVEL=1","NUMBER_OF_PERIODS=-11","REVERSE_PERIOD_ORDER=N","PRODUCT_GEO_OVERRIDE=P","FUND_PER",RIGHT($B$11,1),"ACCOUNTING_STANDARD_OVERRIDE",$H$7,"EQY_CONSOLIDATED",$H$9,"EQY_FUND_CRNCY",$L$7,"StartCol",N$12,"EndCol",N$12,"StartRow",$B162,"EndRow",$B162))</f>
        <v>-31</v>
      </c>
    </row>
    <row r="163" spans="1:14" hidden="1" outlineLevel="1">
      <c r="B163" s="214">
        <v>2</v>
      </c>
      <c r="C163" s="216" t="str">
        <f>IF(LEFT(_xll.BDS(Ticker,"PG_CAPITAL_EXPENDITURES","PG_HIERARCHY_LEVEL=1","NUMBER_OF_PERIODS=-11","REVERSE_PERIOD_ORDER=N","PRODUCT_GEO_OVERRIDE=P","FUND_PER",RIGHT($B$11,1),"ACCOUNTING_STANDARD_OVERRIDE",$H$7,"EQY_CONSOLIDATED",$H$9,"EQY_FUND_CRNCY",$L$7,"StartCol",C$12,"EndCol",C$12,"StartRow",$B163,"EndRow",$B163),1)="#","",_xll.BDS(Ticker,"PG_CAPITAL_EXPENDITURES","PG_HIERARCHY_LEVEL=1","NUMBER_OF_PERIODS=-11","REVERSE_PERIOD_ORDER=N","PRODUCT_GEO_OVERRIDE=P","FUND_PER",RIGHT($B$11,1),"ACCOUNTING_STANDARD_OVERRIDE",$H$7,"EQY_CONSOLIDATED",$H$9,"EQY_FUND_CRNCY",$L$7,"StartCol",C$12,"EndCol",C$12,"StartRow",$B163,"EndRow",$B163))</f>
        <v>Orthopaedics</v>
      </c>
      <c r="D163" s="218" t="str">
        <f>IF(LEFT(_xll.BDS(Ticker,"PG_CAPITAL_EXPENDITURES","PG_HIERARCHY_LEVEL=1","NUMBER_OF_PERIODS=-11","REVERSE_PERIOD_ORDER=N","PRODUCT_GEO_OVERRIDE=P","FUND_PER",RIGHT($B$11,1),"ACCOUNTING_STANDARD_OVERRIDE",$H$7,"EQY_CONSOLIDATED",$H$9,"EQY_FUND_CRNCY",$L$7,"StartCol",D$12,"EndCol",D$12,"StartRow",$B163,"EndRow",$B163),1)="#","",_xll.BDS(Ticker,"PG_CAPITAL_EXPENDITURES","PG_HIERARCHY_LEVEL=1","NUMBER_OF_PERIODS=-11","REVERSE_PERIOD_ORDER=N","PRODUCT_GEO_OVERRIDE=P","FUND_PER",RIGHT($B$11,1),"ACCOUNTING_STANDARD_OVERRIDE",$H$7,"EQY_CONSOLIDATED",$H$9,"EQY_FUND_CRNCY",$L$7,"StartCol",D$12,"EndCol",D$12,"StartRow",$B163,"EndRow",$B163))</f>
        <v/>
      </c>
      <c r="E163" s="218" t="str">
        <f>IF(LEFT(_xll.BDS(Ticker,"PG_CAPITAL_EXPENDITURES","PG_HIERARCHY_LEVEL=1","NUMBER_OF_PERIODS=-11","REVERSE_PERIOD_ORDER=N","PRODUCT_GEO_OVERRIDE=P","FUND_PER",RIGHT($B$11,1),"ACCOUNTING_STANDARD_OVERRIDE",$H$7,"EQY_CONSOLIDATED",$H$9,"EQY_FUND_CRNCY",$L$7,"StartCol",E$12,"EndCol",E$12,"StartRow",$B163,"EndRow",$B163),1)="#","",_xll.BDS(Ticker,"PG_CAPITAL_EXPENDITURES","PG_HIERARCHY_LEVEL=1","NUMBER_OF_PERIODS=-11","REVERSE_PERIOD_ORDER=N","PRODUCT_GEO_OVERRIDE=P","FUND_PER",RIGHT($B$11,1),"ACCOUNTING_STANDARD_OVERRIDE",$H$7,"EQY_CONSOLIDATED",$H$9,"EQY_FUND_CRNCY",$L$7,"StartCol",E$12,"EndCol",E$12,"StartRow",$B163,"EndRow",$B163))</f>
        <v/>
      </c>
      <c r="F163" s="218">
        <f>IF(LEFT(_xll.BDS(Ticker,"PG_CAPITAL_EXPENDITURES","PG_HIERARCHY_LEVEL=1","NUMBER_OF_PERIODS=-11","REVERSE_PERIOD_ORDER=N","PRODUCT_GEO_OVERRIDE=P","FUND_PER",RIGHT($B$11,1),"ACCOUNTING_STANDARD_OVERRIDE",$H$7,"EQY_CONSOLIDATED",$H$9,"EQY_FUND_CRNCY",$L$7,"StartCol",F$12,"EndCol",F$12,"StartRow",$B163,"EndRow",$B163),1)="#","",_xll.BDS(Ticker,"PG_CAPITAL_EXPENDITURES","PG_HIERARCHY_LEVEL=1","NUMBER_OF_PERIODS=-11","REVERSE_PERIOD_ORDER=N","PRODUCT_GEO_OVERRIDE=P","FUND_PER",RIGHT($B$11,1),"ACCOUNTING_STANDARD_OVERRIDE",$H$7,"EQY_CONSOLIDATED",$H$9,"EQY_FUND_CRNCY",$L$7,"StartCol",F$12,"EndCol",F$12,"StartRow",$B163,"EndRow",$B163))</f>
        <v>-106</v>
      </c>
      <c r="G163" s="218">
        <f>IF(LEFT(_xll.BDS(Ticker,"PG_CAPITAL_EXPENDITURES","PG_HIERARCHY_LEVEL=1","NUMBER_OF_PERIODS=-11","REVERSE_PERIOD_ORDER=N","PRODUCT_GEO_OVERRIDE=P","FUND_PER",RIGHT($B$11,1),"ACCOUNTING_STANDARD_OVERRIDE",$H$7,"EQY_CONSOLIDATED",$H$9,"EQY_FUND_CRNCY",$L$7,"StartCol",G$12,"EndCol",G$12,"StartRow",$B163,"EndRow",$B163),1)="#","",_xll.BDS(Ticker,"PG_CAPITAL_EXPENDITURES","PG_HIERARCHY_LEVEL=1","NUMBER_OF_PERIODS=-11","REVERSE_PERIOD_ORDER=N","PRODUCT_GEO_OVERRIDE=P","FUND_PER",RIGHT($B$11,1),"ACCOUNTING_STANDARD_OVERRIDE",$H$7,"EQY_CONSOLIDATED",$H$9,"EQY_FUND_CRNCY",$L$7,"StartCol",G$12,"EndCol",G$12,"StartRow",$B163,"EndRow",$B163))</f>
        <v>-119</v>
      </c>
      <c r="H163" s="218">
        <f>IF(LEFT(_xll.BDS(Ticker,"PG_CAPITAL_EXPENDITURES","PG_HIERARCHY_LEVEL=1","NUMBER_OF_PERIODS=-11","REVERSE_PERIOD_ORDER=N","PRODUCT_GEO_OVERRIDE=P","FUND_PER",RIGHT($B$11,1),"ACCOUNTING_STANDARD_OVERRIDE",$H$7,"EQY_CONSOLIDATED",$H$9,"EQY_FUND_CRNCY",$L$7,"StartCol",H$12,"EndCol",H$12,"StartRow",$B163,"EndRow",$B163),1)="#","",_xll.BDS(Ticker,"PG_CAPITAL_EXPENDITURES","PG_HIERARCHY_LEVEL=1","NUMBER_OF_PERIODS=-11","REVERSE_PERIOD_ORDER=N","PRODUCT_GEO_OVERRIDE=P","FUND_PER",RIGHT($B$11,1),"ACCOUNTING_STANDARD_OVERRIDE",$H$7,"EQY_CONSOLIDATED",$H$9,"EQY_FUND_CRNCY",$L$7,"StartCol",H$12,"EndCol",H$12,"StartRow",$B163,"EndRow",$B163))</f>
        <v>-87</v>
      </c>
      <c r="I163" s="218">
        <f>IF(LEFT(_xll.BDS(Ticker,"PG_CAPITAL_EXPENDITURES","PG_HIERARCHY_LEVEL=1","NUMBER_OF_PERIODS=-11","REVERSE_PERIOD_ORDER=N","PRODUCT_GEO_OVERRIDE=P","FUND_PER",RIGHT($B$11,1),"ACCOUNTING_STANDARD_OVERRIDE",$H$7,"EQY_CONSOLIDATED",$H$9,"EQY_FUND_CRNCY",$L$7,"StartCol",I$12,"EndCol",I$12,"StartRow",$B163,"EndRow",$B163),1)="#","",_xll.BDS(Ticker,"PG_CAPITAL_EXPENDITURES","PG_HIERARCHY_LEVEL=1","NUMBER_OF_PERIODS=-11","REVERSE_PERIOD_ORDER=N","PRODUCT_GEO_OVERRIDE=P","FUND_PER",RIGHT($B$11,1),"ACCOUNTING_STANDARD_OVERRIDE",$H$7,"EQY_CONSOLIDATED",$H$9,"EQY_FUND_CRNCY",$L$7,"StartCol",I$12,"EndCol",I$12,"StartRow",$B163,"EndRow",$B163))</f>
        <v>-89</v>
      </c>
      <c r="J163" s="218">
        <f>IF(LEFT(_xll.BDS(Ticker,"PG_CAPITAL_EXPENDITURES","PG_HIERARCHY_LEVEL=1","NUMBER_OF_PERIODS=-11","REVERSE_PERIOD_ORDER=N","PRODUCT_GEO_OVERRIDE=P","FUND_PER",RIGHT($B$11,1),"ACCOUNTING_STANDARD_OVERRIDE",$H$7,"EQY_CONSOLIDATED",$H$9,"EQY_FUND_CRNCY",$L$7,"StartCol",J$12,"EndCol",J$12,"StartRow",$B163,"EndRow",$B163),1)="#","",_xll.BDS(Ticker,"PG_CAPITAL_EXPENDITURES","PG_HIERARCHY_LEVEL=1","NUMBER_OF_PERIODS=-11","REVERSE_PERIOD_ORDER=N","PRODUCT_GEO_OVERRIDE=P","FUND_PER",RIGHT($B$11,1),"ACCOUNTING_STANDARD_OVERRIDE",$H$7,"EQY_CONSOLIDATED",$H$9,"EQY_FUND_CRNCY",$L$7,"StartCol",J$12,"EndCol",J$12,"StartRow",$B163,"EndRow",$B163))</f>
        <v>-80</v>
      </c>
      <c r="K163" s="218">
        <f>IF(LEFT(_xll.BDS(Ticker,"PG_CAPITAL_EXPENDITURES","PG_HIERARCHY_LEVEL=1","NUMBER_OF_PERIODS=-11","REVERSE_PERIOD_ORDER=N","PRODUCT_GEO_OVERRIDE=P","FUND_PER",RIGHT($B$11,1),"ACCOUNTING_STANDARD_OVERRIDE",$H$7,"EQY_CONSOLIDATED",$H$9,"EQY_FUND_CRNCY",$L$7,"StartCol",K$12,"EndCol",K$12,"StartRow",$B163,"EndRow",$B163),1)="#","",_xll.BDS(Ticker,"PG_CAPITAL_EXPENDITURES","PG_HIERARCHY_LEVEL=1","NUMBER_OF_PERIODS=-11","REVERSE_PERIOD_ORDER=N","PRODUCT_GEO_OVERRIDE=P","FUND_PER",RIGHT($B$11,1),"ACCOUNTING_STANDARD_OVERRIDE",$H$7,"EQY_CONSOLIDATED",$H$9,"EQY_FUND_CRNCY",$L$7,"StartCol",K$12,"EndCol",K$12,"StartRow",$B163,"EndRow",$B163))</f>
        <v>-95</v>
      </c>
      <c r="L163" s="218">
        <f>IF(LEFT(_xll.BDS(Ticker,"PG_CAPITAL_EXPENDITURES","PG_HIERARCHY_LEVEL=1","NUMBER_OF_PERIODS=-11","REVERSE_PERIOD_ORDER=N","PRODUCT_GEO_OVERRIDE=P","FUND_PER",RIGHT($B$11,1),"ACCOUNTING_STANDARD_OVERRIDE",$H$7,"EQY_CONSOLIDATED",$H$9,"EQY_FUND_CRNCY",$L$7,"StartCol",L$12,"EndCol",L$12,"StartRow",$B163,"EndRow",$B163),1)="#","",_xll.BDS(Ticker,"PG_CAPITAL_EXPENDITURES","PG_HIERARCHY_LEVEL=1","NUMBER_OF_PERIODS=-11","REVERSE_PERIOD_ORDER=N","PRODUCT_GEO_OVERRIDE=P","FUND_PER",RIGHT($B$11,1),"ACCOUNTING_STANDARD_OVERRIDE",$H$7,"EQY_CONSOLIDATED",$H$9,"EQY_FUND_CRNCY",$L$7,"StartCol",L$12,"EndCol",L$12,"StartRow",$B163,"EndRow",$B163))</f>
        <v>-153</v>
      </c>
      <c r="M163" s="218">
        <f>IF(LEFT(_xll.BDS(Ticker,"PG_CAPITAL_EXPENDITURES","PG_HIERARCHY_LEVEL=1","NUMBER_OF_PERIODS=-11","REVERSE_PERIOD_ORDER=N","PRODUCT_GEO_OVERRIDE=P","FUND_PER",RIGHT($B$11,1),"ACCOUNTING_STANDARD_OVERRIDE",$H$7,"EQY_CONSOLIDATED",$H$9,"EQY_FUND_CRNCY",$L$7,"StartCol",M$12,"EndCol",M$12,"StartRow",$B163,"EndRow",$B163),1)="#","",_xll.BDS(Ticker,"PG_CAPITAL_EXPENDITURES","PG_HIERARCHY_LEVEL=1","NUMBER_OF_PERIODS=-11","REVERSE_PERIOD_ORDER=N","PRODUCT_GEO_OVERRIDE=P","FUND_PER",RIGHT($B$11,1),"ACCOUNTING_STANDARD_OVERRIDE",$H$7,"EQY_CONSOLIDATED",$H$9,"EQY_FUND_CRNCY",$L$7,"StartCol",M$12,"EndCol",M$12,"StartRow",$B163,"EndRow",$B163))</f>
        <v>-138</v>
      </c>
      <c r="N163" s="218">
        <f>IF(LEFT(_xll.BDS(Ticker,"PG_CAPITAL_EXPENDITURES","PG_HIERARCHY_LEVEL=1","NUMBER_OF_PERIODS=-11","REVERSE_PERIOD_ORDER=N","PRODUCT_GEO_OVERRIDE=P","FUND_PER",RIGHT($B$11,1),"ACCOUNTING_STANDARD_OVERRIDE",$H$7,"EQY_CONSOLIDATED",$H$9,"EQY_FUND_CRNCY",$L$7,"StartCol",N$12,"EndCol",N$12,"StartRow",$B163,"EndRow",$B163),1)="#","",_xll.BDS(Ticker,"PG_CAPITAL_EXPENDITURES","PG_HIERARCHY_LEVEL=1","NUMBER_OF_PERIODS=-11","REVERSE_PERIOD_ORDER=N","PRODUCT_GEO_OVERRIDE=P","FUND_PER",RIGHT($B$11,1),"ACCOUNTING_STANDARD_OVERRIDE",$H$7,"EQY_CONSOLIDATED",$H$9,"EQY_FUND_CRNCY",$L$7,"StartCol",N$12,"EndCol",N$12,"StartRow",$B163,"EndRow",$B163))</f>
        <v>-134</v>
      </c>
    </row>
    <row r="164" spans="1:14" hidden="1" outlineLevel="1">
      <c r="B164" s="214">
        <v>3</v>
      </c>
      <c r="C164" s="216" t="str">
        <f>IF(LEFT(_xll.BDS(Ticker,"PG_CAPITAL_EXPENDITURES","PG_HIERARCHY_LEVEL=1","NUMBER_OF_PERIODS=-11","REVERSE_PERIOD_ORDER=N","PRODUCT_GEO_OVERRIDE=P","FUND_PER",RIGHT($B$11,1),"ACCOUNTING_STANDARD_OVERRIDE",$H$7,"EQY_CONSOLIDATED",$H$9,"EQY_FUND_CRNCY",$L$7,"StartCol",C$12,"EndCol",C$12,"StartRow",$B164,"EndRow",$B164),1)="#","",_xll.BDS(Ticker,"PG_CAPITAL_EXPENDITURES","PG_HIERARCHY_LEVEL=1","NUMBER_OF_PERIODS=-11","REVERSE_PERIOD_ORDER=N","PRODUCT_GEO_OVERRIDE=P","FUND_PER",RIGHT($B$11,1),"ACCOUNTING_STANDARD_OVERRIDE",$H$7,"EQY_CONSOLIDATED",$H$9,"EQY_FUND_CRNCY",$L$7,"StartCol",C$12,"EndCol",C$12,"StartRow",$B164,"EndRow",$B164))</f>
        <v>Others</v>
      </c>
      <c r="D164" s="218" t="str">
        <f>IF(LEFT(_xll.BDS(Ticker,"PG_CAPITAL_EXPENDITURES","PG_HIERARCHY_LEVEL=1","NUMBER_OF_PERIODS=-11","REVERSE_PERIOD_ORDER=N","PRODUCT_GEO_OVERRIDE=P","FUND_PER",RIGHT($B$11,1),"ACCOUNTING_STANDARD_OVERRIDE",$H$7,"EQY_CONSOLIDATED",$H$9,"EQY_FUND_CRNCY",$L$7,"StartCol",D$12,"EndCol",D$12,"StartRow",$B164,"EndRow",$B164),1)="#","",_xll.BDS(Ticker,"PG_CAPITAL_EXPENDITURES","PG_HIERARCHY_LEVEL=1","NUMBER_OF_PERIODS=-11","REVERSE_PERIOD_ORDER=N","PRODUCT_GEO_OVERRIDE=P","FUND_PER",RIGHT($B$11,1),"ACCOUNTING_STANDARD_OVERRIDE",$H$7,"EQY_CONSOLIDATED",$H$9,"EQY_FUND_CRNCY",$L$7,"StartCol",D$12,"EndCol",D$12,"StartRow",$B164,"EndRow",$B164))</f>
        <v/>
      </c>
      <c r="E164" s="218" t="str">
        <f>IF(LEFT(_xll.BDS(Ticker,"PG_CAPITAL_EXPENDITURES","PG_HIERARCHY_LEVEL=1","NUMBER_OF_PERIODS=-11","REVERSE_PERIOD_ORDER=N","PRODUCT_GEO_OVERRIDE=P","FUND_PER",RIGHT($B$11,1),"ACCOUNTING_STANDARD_OVERRIDE",$H$7,"EQY_CONSOLIDATED",$H$9,"EQY_FUND_CRNCY",$L$7,"StartCol",E$12,"EndCol",E$12,"StartRow",$B164,"EndRow",$B164),1)="#","",_xll.BDS(Ticker,"PG_CAPITAL_EXPENDITURES","PG_HIERARCHY_LEVEL=1","NUMBER_OF_PERIODS=-11","REVERSE_PERIOD_ORDER=N","PRODUCT_GEO_OVERRIDE=P","FUND_PER",RIGHT($B$11,1),"ACCOUNTING_STANDARD_OVERRIDE",$H$7,"EQY_CONSOLIDATED",$H$9,"EQY_FUND_CRNCY",$L$7,"StartCol",E$12,"EndCol",E$12,"StartRow",$B164,"EndRow",$B164))</f>
        <v/>
      </c>
      <c r="F164" s="218">
        <f>IF(LEFT(_xll.BDS(Ticker,"PG_CAPITAL_EXPENDITURES","PG_HIERARCHY_LEVEL=1","NUMBER_OF_PERIODS=-11","REVERSE_PERIOD_ORDER=N","PRODUCT_GEO_OVERRIDE=P","FUND_PER",RIGHT($B$11,1),"ACCOUNTING_STANDARD_OVERRIDE",$H$7,"EQY_CONSOLIDATED",$H$9,"EQY_FUND_CRNCY",$L$7,"StartCol",F$12,"EndCol",F$12,"StartRow",$B164,"EndRow",$B164),1)="#","",_xll.BDS(Ticker,"PG_CAPITAL_EXPENDITURES","PG_HIERARCHY_LEVEL=1","NUMBER_OF_PERIODS=-11","REVERSE_PERIOD_ORDER=N","PRODUCT_GEO_OVERRIDE=P","FUND_PER",RIGHT($B$11,1),"ACCOUNTING_STANDARD_OVERRIDE",$H$7,"EQY_CONSOLIDATED",$H$9,"EQY_FUND_CRNCY",$L$7,"StartCol",F$12,"EndCol",F$12,"StartRow",$B164,"EndRow",$B164))</f>
        <v>-16</v>
      </c>
      <c r="G164" s="218">
        <f>IF(LEFT(_xll.BDS(Ticker,"PG_CAPITAL_EXPENDITURES","PG_HIERARCHY_LEVEL=1","NUMBER_OF_PERIODS=-11","REVERSE_PERIOD_ORDER=N","PRODUCT_GEO_OVERRIDE=P","FUND_PER",RIGHT($B$11,1),"ACCOUNTING_STANDARD_OVERRIDE",$H$7,"EQY_CONSOLIDATED",$H$9,"EQY_FUND_CRNCY",$L$7,"StartCol",G$12,"EndCol",G$12,"StartRow",$B164,"EndRow",$B164),1)="#","",_xll.BDS(Ticker,"PG_CAPITAL_EXPENDITURES","PG_HIERARCHY_LEVEL=1","NUMBER_OF_PERIODS=-11","REVERSE_PERIOD_ORDER=N","PRODUCT_GEO_OVERRIDE=P","FUND_PER",RIGHT($B$11,1),"ACCOUNTING_STANDARD_OVERRIDE",$H$7,"EQY_CONSOLIDATED",$H$9,"EQY_FUND_CRNCY",$L$7,"StartCol",G$12,"EndCol",G$12,"StartRow",$B164,"EndRow",$B164))</f>
        <v>-24</v>
      </c>
      <c r="H164" s="218">
        <f>IF(LEFT(_xll.BDS(Ticker,"PG_CAPITAL_EXPENDITURES","PG_HIERARCHY_LEVEL=1","NUMBER_OF_PERIODS=-11","REVERSE_PERIOD_ORDER=N","PRODUCT_GEO_OVERRIDE=P","FUND_PER",RIGHT($B$11,1),"ACCOUNTING_STANDARD_OVERRIDE",$H$7,"EQY_CONSOLIDATED",$H$9,"EQY_FUND_CRNCY",$L$7,"StartCol",H$12,"EndCol",H$12,"StartRow",$B164,"EndRow",$B164),1)="#","",_xll.BDS(Ticker,"PG_CAPITAL_EXPENDITURES","PG_HIERARCHY_LEVEL=1","NUMBER_OF_PERIODS=-11","REVERSE_PERIOD_ORDER=N","PRODUCT_GEO_OVERRIDE=P","FUND_PER",RIGHT($B$11,1),"ACCOUNTING_STANDARD_OVERRIDE",$H$7,"EQY_CONSOLIDATED",$H$9,"EQY_FUND_CRNCY",$L$7,"StartCol",H$12,"EndCol",H$12,"StartRow",$B164,"EndRow",$B164))</f>
        <v>-19</v>
      </c>
      <c r="I164" s="218">
        <f>IF(LEFT(_xll.BDS(Ticker,"PG_CAPITAL_EXPENDITURES","PG_HIERARCHY_LEVEL=1","NUMBER_OF_PERIODS=-11","REVERSE_PERIOD_ORDER=N","PRODUCT_GEO_OVERRIDE=P","FUND_PER",RIGHT($B$11,1),"ACCOUNTING_STANDARD_OVERRIDE",$H$7,"EQY_CONSOLIDATED",$H$9,"EQY_FUND_CRNCY",$L$7,"StartCol",I$12,"EndCol",I$12,"StartRow",$B164,"EndRow",$B164),1)="#","",_xll.BDS(Ticker,"PG_CAPITAL_EXPENDITURES","PG_HIERARCHY_LEVEL=1","NUMBER_OF_PERIODS=-11","REVERSE_PERIOD_ORDER=N","PRODUCT_GEO_OVERRIDE=P","FUND_PER",RIGHT($B$11,1),"ACCOUNTING_STANDARD_OVERRIDE",$H$7,"EQY_CONSOLIDATED",$H$9,"EQY_FUND_CRNCY",$L$7,"StartCol",I$12,"EndCol",I$12,"StartRow",$B164,"EndRow",$B164))</f>
        <v>-31</v>
      </c>
      <c r="J164" s="218">
        <f>IF(LEFT(_xll.BDS(Ticker,"PG_CAPITAL_EXPENDITURES","PG_HIERARCHY_LEVEL=1","NUMBER_OF_PERIODS=-11","REVERSE_PERIOD_ORDER=N","PRODUCT_GEO_OVERRIDE=P","FUND_PER",RIGHT($B$11,1),"ACCOUNTING_STANDARD_OVERRIDE",$H$7,"EQY_CONSOLIDATED",$H$9,"EQY_FUND_CRNCY",$L$7,"StartCol",J$12,"EndCol",J$12,"StartRow",$B164,"EndRow",$B164),1)="#","",_xll.BDS(Ticker,"PG_CAPITAL_EXPENDITURES","PG_HIERARCHY_LEVEL=1","NUMBER_OF_PERIODS=-11","REVERSE_PERIOD_ORDER=N","PRODUCT_GEO_OVERRIDE=P","FUND_PER",RIGHT($B$11,1),"ACCOUNTING_STANDARD_OVERRIDE",$H$7,"EQY_CONSOLIDATED",$H$9,"EQY_FUND_CRNCY",$L$7,"StartCol",J$12,"EndCol",J$12,"StartRow",$B164,"EndRow",$B164))</f>
        <v>-56</v>
      </c>
      <c r="K164" s="218">
        <f>IF(LEFT(_xll.BDS(Ticker,"PG_CAPITAL_EXPENDITURES","PG_HIERARCHY_LEVEL=1","NUMBER_OF_PERIODS=-11","REVERSE_PERIOD_ORDER=N","PRODUCT_GEO_OVERRIDE=P","FUND_PER",RIGHT($B$11,1),"ACCOUNTING_STANDARD_OVERRIDE",$H$7,"EQY_CONSOLIDATED",$H$9,"EQY_FUND_CRNCY",$L$7,"StartCol",K$12,"EndCol",K$12,"StartRow",$B164,"EndRow",$B164),1)="#","",_xll.BDS(Ticker,"PG_CAPITAL_EXPENDITURES","PG_HIERARCHY_LEVEL=1","NUMBER_OF_PERIODS=-11","REVERSE_PERIOD_ORDER=N","PRODUCT_GEO_OVERRIDE=P","FUND_PER",RIGHT($B$11,1),"ACCOUNTING_STANDARD_OVERRIDE",$H$7,"EQY_CONSOLIDATED",$H$9,"EQY_FUND_CRNCY",$L$7,"StartCol",K$12,"EndCol",K$12,"StartRow",$B164,"EndRow",$B164))</f>
        <v>-58</v>
      </c>
      <c r="L164" s="218">
        <f>IF(LEFT(_xll.BDS(Ticker,"PG_CAPITAL_EXPENDITURES","PG_HIERARCHY_LEVEL=1","NUMBER_OF_PERIODS=-11","REVERSE_PERIOD_ORDER=N","PRODUCT_GEO_OVERRIDE=P","FUND_PER",RIGHT($B$11,1),"ACCOUNTING_STANDARD_OVERRIDE",$H$7,"EQY_CONSOLIDATED",$H$9,"EQY_FUND_CRNCY",$L$7,"StartCol",L$12,"EndCol",L$12,"StartRow",$B164,"EndRow",$B164),1)="#","",_xll.BDS(Ticker,"PG_CAPITAL_EXPENDITURES","PG_HIERARCHY_LEVEL=1","NUMBER_OF_PERIODS=-11","REVERSE_PERIOD_ORDER=N","PRODUCT_GEO_OVERRIDE=P","FUND_PER",RIGHT($B$11,1),"ACCOUNTING_STANDARD_OVERRIDE",$H$7,"EQY_CONSOLIDATED",$H$9,"EQY_FUND_CRNCY",$L$7,"StartCol",L$12,"EndCol",L$12,"StartRow",$B164,"EndRow",$B164))</f>
        <v>-183</v>
      </c>
      <c r="M164" s="218">
        <f>IF(LEFT(_xll.BDS(Ticker,"PG_CAPITAL_EXPENDITURES","PG_HIERARCHY_LEVEL=1","NUMBER_OF_PERIODS=-11","REVERSE_PERIOD_ORDER=N","PRODUCT_GEO_OVERRIDE=P","FUND_PER",RIGHT($B$11,1),"ACCOUNTING_STANDARD_OVERRIDE",$H$7,"EQY_CONSOLIDATED",$H$9,"EQY_FUND_CRNCY",$L$7,"StartCol",M$12,"EndCol",M$12,"StartRow",$B164,"EndRow",$B164),1)="#","",_xll.BDS(Ticker,"PG_CAPITAL_EXPENDITURES","PG_HIERARCHY_LEVEL=1","NUMBER_OF_PERIODS=-11","REVERSE_PERIOD_ORDER=N","PRODUCT_GEO_OVERRIDE=P","FUND_PER",RIGHT($B$11,1),"ACCOUNTING_STANDARD_OVERRIDE",$H$7,"EQY_CONSOLIDATED",$H$9,"EQY_FUND_CRNCY",$L$7,"StartCol",M$12,"EndCol",M$12,"StartRow",$B164,"EndRow",$B164))</f>
        <v>-216</v>
      </c>
      <c r="N164" s="218">
        <f>IF(LEFT(_xll.BDS(Ticker,"PG_CAPITAL_EXPENDITURES","PG_HIERARCHY_LEVEL=1","NUMBER_OF_PERIODS=-11","REVERSE_PERIOD_ORDER=N","PRODUCT_GEO_OVERRIDE=P","FUND_PER",RIGHT($B$11,1),"ACCOUNTING_STANDARD_OVERRIDE",$H$7,"EQY_CONSOLIDATED",$H$9,"EQY_FUND_CRNCY",$L$7,"StartCol",N$12,"EndCol",N$12,"StartRow",$B164,"EndRow",$B164),1)="#","",_xll.BDS(Ticker,"PG_CAPITAL_EXPENDITURES","PG_HIERARCHY_LEVEL=1","NUMBER_OF_PERIODS=-11","REVERSE_PERIOD_ORDER=N","PRODUCT_GEO_OVERRIDE=P","FUND_PER",RIGHT($B$11,1),"ACCOUNTING_STANDARD_OVERRIDE",$H$7,"EQY_CONSOLIDATED",$H$9,"EQY_FUND_CRNCY",$L$7,"StartCol",N$12,"EndCol",N$12,"StartRow",$B164,"EndRow",$B164))</f>
        <v>-190</v>
      </c>
    </row>
    <row r="165" spans="1:14" hidden="1" outlineLevel="1">
      <c r="B165" s="214">
        <v>4</v>
      </c>
      <c r="C165" s="216" t="str">
        <f>IF(LEFT(_xll.BDS(Ticker,"PG_CAPITAL_EXPENDITURES","PG_HIERARCHY_LEVEL=1","NUMBER_OF_PERIODS=-11","REVERSE_PERIOD_ORDER=N","PRODUCT_GEO_OVERRIDE=P","FUND_PER",RIGHT($B$11,1),"ACCOUNTING_STANDARD_OVERRIDE",$H$7,"EQY_CONSOLIDATED",$H$9,"EQY_FUND_CRNCY",$L$7,"StartCol",C$12,"EndCol",C$12,"StartRow",$B165,"EndRow",$B165),1)="#","",_xll.BDS(Ticker,"PG_CAPITAL_EXPENDITURES","PG_HIERARCHY_LEVEL=1","NUMBER_OF_PERIODS=-11","REVERSE_PERIOD_ORDER=N","PRODUCT_GEO_OVERRIDE=P","FUND_PER",RIGHT($B$11,1),"ACCOUNTING_STANDARD_OVERRIDE",$H$7,"EQY_CONSOLIDATED",$H$9,"EQY_FUND_CRNCY",$L$7,"StartCol",C$12,"EndCol",C$12,"StartRow",$B165,"EndRow",$B165))</f>
        <v>MedSurg Equipment</v>
      </c>
      <c r="D165" s="218">
        <f>IF(LEFT(_xll.BDS(Ticker,"PG_CAPITAL_EXPENDITURES","PG_HIERARCHY_LEVEL=1","NUMBER_OF_PERIODS=-11","REVERSE_PERIOD_ORDER=N","PRODUCT_GEO_OVERRIDE=P","FUND_PER",RIGHT($B$11,1),"ACCOUNTING_STANDARD_OVERRIDE",$H$7,"EQY_CONSOLIDATED",$H$9,"EQY_FUND_CRNCY",$L$7,"StartCol",D$12,"EndCol",D$12,"StartRow",$B165,"EndRow",$B165),1)="#","",_xll.BDS(Ticker,"PG_CAPITAL_EXPENDITURES","PG_HIERARCHY_LEVEL=1","NUMBER_OF_PERIODS=-11","REVERSE_PERIOD_ORDER=N","PRODUCT_GEO_OVERRIDE=P","FUND_PER",RIGHT($B$11,1),"ACCOUNTING_STANDARD_OVERRIDE",$H$7,"EQY_CONSOLIDATED",$H$9,"EQY_FUND_CRNCY",$L$7,"StartCol",D$12,"EndCol",D$12,"StartRow",$B165,"EndRow",$B165))</f>
        <v>-52.1</v>
      </c>
      <c r="E165" s="218">
        <f>IF(LEFT(_xll.BDS(Ticker,"PG_CAPITAL_EXPENDITURES","PG_HIERARCHY_LEVEL=1","NUMBER_OF_PERIODS=-11","REVERSE_PERIOD_ORDER=N","PRODUCT_GEO_OVERRIDE=P","FUND_PER",RIGHT($B$11,1),"ACCOUNTING_STANDARD_OVERRIDE",$H$7,"EQY_CONSOLIDATED",$H$9,"EQY_FUND_CRNCY",$L$7,"StartCol",E$12,"EndCol",E$12,"StartRow",$B165,"EndRow",$B165),1)="#","",_xll.BDS(Ticker,"PG_CAPITAL_EXPENDITURES","PG_HIERARCHY_LEVEL=1","NUMBER_OF_PERIODS=-11","REVERSE_PERIOD_ORDER=N","PRODUCT_GEO_OVERRIDE=P","FUND_PER",RIGHT($B$11,1),"ACCOUNTING_STANDARD_OVERRIDE",$H$7,"EQY_CONSOLIDATED",$H$9,"EQY_FUND_CRNCY",$L$7,"StartCol",E$12,"EndCol",E$12,"StartRow",$B165,"EndRow",$B165))</f>
        <v>-42</v>
      </c>
      <c r="F165" s="218">
        <f>IF(LEFT(_xll.BDS(Ticker,"PG_CAPITAL_EXPENDITURES","PG_HIERARCHY_LEVEL=1","NUMBER_OF_PERIODS=-11","REVERSE_PERIOD_ORDER=N","PRODUCT_GEO_OVERRIDE=P","FUND_PER",RIGHT($B$11,1),"ACCOUNTING_STANDARD_OVERRIDE",$H$7,"EQY_CONSOLIDATED",$H$9,"EQY_FUND_CRNCY",$L$7,"StartCol",F$12,"EndCol",F$12,"StartRow",$B165,"EndRow",$B165),1)="#","",_xll.BDS(Ticker,"PG_CAPITAL_EXPENDITURES","PG_HIERARCHY_LEVEL=1","NUMBER_OF_PERIODS=-11","REVERSE_PERIOD_ORDER=N","PRODUCT_GEO_OVERRIDE=P","FUND_PER",RIGHT($B$11,1),"ACCOUNTING_STANDARD_OVERRIDE",$H$7,"EQY_CONSOLIDATED",$H$9,"EQY_FUND_CRNCY",$L$7,"StartCol",F$12,"EndCol",F$12,"StartRow",$B165,"EndRow",$B165))</f>
        <v>-47</v>
      </c>
      <c r="G165" s="218">
        <f>IF(LEFT(_xll.BDS(Ticker,"PG_CAPITAL_EXPENDITURES","PG_HIERARCHY_LEVEL=1","NUMBER_OF_PERIODS=-11","REVERSE_PERIOD_ORDER=N","PRODUCT_GEO_OVERRIDE=P","FUND_PER",RIGHT($B$11,1),"ACCOUNTING_STANDARD_OVERRIDE",$H$7,"EQY_CONSOLIDATED",$H$9,"EQY_FUND_CRNCY",$L$7,"StartCol",G$12,"EndCol",G$12,"StartRow",$B165,"EndRow",$B165),1)="#","",_xll.BDS(Ticker,"PG_CAPITAL_EXPENDITURES","PG_HIERARCHY_LEVEL=1","NUMBER_OF_PERIODS=-11","REVERSE_PERIOD_ORDER=N","PRODUCT_GEO_OVERRIDE=P","FUND_PER",RIGHT($B$11,1),"ACCOUNTING_STANDARD_OVERRIDE",$H$7,"EQY_CONSOLIDATED",$H$9,"EQY_FUND_CRNCY",$L$7,"StartCol",G$12,"EndCol",G$12,"StartRow",$B165,"EndRow",$B165))</f>
        <v>-56</v>
      </c>
      <c r="H165" s="218">
        <f>IF(LEFT(_xll.BDS(Ticker,"PG_CAPITAL_EXPENDITURES","PG_HIERARCHY_LEVEL=1","NUMBER_OF_PERIODS=-11","REVERSE_PERIOD_ORDER=N","PRODUCT_GEO_OVERRIDE=P","FUND_PER",RIGHT($B$11,1),"ACCOUNTING_STANDARD_OVERRIDE",$H$7,"EQY_CONSOLIDATED",$H$9,"EQY_FUND_CRNCY",$L$7,"StartCol",H$12,"EndCol",H$12,"StartRow",$B165,"EndRow",$B165),1)="#","",_xll.BDS(Ticker,"PG_CAPITAL_EXPENDITURES","PG_HIERARCHY_LEVEL=1","NUMBER_OF_PERIODS=-11","REVERSE_PERIOD_ORDER=N","PRODUCT_GEO_OVERRIDE=P","FUND_PER",RIGHT($B$11,1),"ACCOUNTING_STANDARD_OVERRIDE",$H$7,"EQY_CONSOLIDATED",$H$9,"EQY_FUND_CRNCY",$L$7,"StartCol",H$12,"EndCol",H$12,"StartRow",$B165,"EndRow",$B165))</f>
        <v>-51</v>
      </c>
      <c r="I165" s="218">
        <f>IF(LEFT(_xll.BDS(Ticker,"PG_CAPITAL_EXPENDITURES","PG_HIERARCHY_LEVEL=1","NUMBER_OF_PERIODS=-11","REVERSE_PERIOD_ORDER=N","PRODUCT_GEO_OVERRIDE=P","FUND_PER",RIGHT($B$11,1),"ACCOUNTING_STANDARD_OVERRIDE",$H$7,"EQY_CONSOLIDATED",$H$9,"EQY_FUND_CRNCY",$L$7,"StartCol",I$12,"EndCol",I$12,"StartRow",$B165,"EndRow",$B165),1)="#","",_xll.BDS(Ticker,"PG_CAPITAL_EXPENDITURES","PG_HIERARCHY_LEVEL=1","NUMBER_OF_PERIODS=-11","REVERSE_PERIOD_ORDER=N","PRODUCT_GEO_OVERRIDE=P","FUND_PER",RIGHT($B$11,1),"ACCOUNTING_STANDARD_OVERRIDE",$H$7,"EQY_CONSOLIDATED",$H$9,"EQY_FUND_CRNCY",$L$7,"StartCol",I$12,"EndCol",I$12,"StartRow",$B165,"EndRow",$B165))</f>
        <v>-59</v>
      </c>
      <c r="J165" s="218">
        <f>IF(LEFT(_xll.BDS(Ticker,"PG_CAPITAL_EXPENDITURES","PG_HIERARCHY_LEVEL=1","NUMBER_OF_PERIODS=-11","REVERSE_PERIOD_ORDER=N","PRODUCT_GEO_OVERRIDE=P","FUND_PER",RIGHT($B$11,1),"ACCOUNTING_STANDARD_OVERRIDE",$H$7,"EQY_CONSOLIDATED",$H$9,"EQY_FUND_CRNCY",$L$7,"StartCol",J$12,"EndCol",J$12,"StartRow",$B165,"EndRow",$B165),1)="#","",_xll.BDS(Ticker,"PG_CAPITAL_EXPENDITURES","PG_HIERARCHY_LEVEL=1","NUMBER_OF_PERIODS=-11","REVERSE_PERIOD_ORDER=N","PRODUCT_GEO_OVERRIDE=P","FUND_PER",RIGHT($B$11,1),"ACCOUNTING_STANDARD_OVERRIDE",$H$7,"EQY_CONSOLIDATED",$H$9,"EQY_FUND_CRNCY",$L$7,"StartCol",J$12,"EndCol",J$12,"StartRow",$B165,"EndRow",$B165))</f>
        <v>-77</v>
      </c>
      <c r="K165" s="218">
        <f>IF(LEFT(_xll.BDS(Ticker,"PG_CAPITAL_EXPENDITURES","PG_HIERARCHY_LEVEL=1","NUMBER_OF_PERIODS=-11","REVERSE_PERIOD_ORDER=N","PRODUCT_GEO_OVERRIDE=P","FUND_PER",RIGHT($B$11,1),"ACCOUNTING_STANDARD_OVERRIDE",$H$7,"EQY_CONSOLIDATED",$H$9,"EQY_FUND_CRNCY",$L$7,"StartCol",K$12,"EndCol",K$12,"StartRow",$B165,"EndRow",$B165),1)="#","",_xll.BDS(Ticker,"PG_CAPITAL_EXPENDITURES","PG_HIERARCHY_LEVEL=1","NUMBER_OF_PERIODS=-11","REVERSE_PERIOD_ORDER=N","PRODUCT_GEO_OVERRIDE=P","FUND_PER",RIGHT($B$11,1),"ACCOUNTING_STANDARD_OVERRIDE",$H$7,"EQY_CONSOLIDATED",$H$9,"EQY_FUND_CRNCY",$L$7,"StartCol",K$12,"EndCol",K$12,"StartRow",$B165,"EndRow",$B165))</f>
        <v>-89</v>
      </c>
      <c r="L165" s="218">
        <f>IF(LEFT(_xll.BDS(Ticker,"PG_CAPITAL_EXPENDITURES","PG_HIERARCHY_LEVEL=1","NUMBER_OF_PERIODS=-11","REVERSE_PERIOD_ORDER=N","PRODUCT_GEO_OVERRIDE=P","FUND_PER",RIGHT($B$11,1),"ACCOUNTING_STANDARD_OVERRIDE",$H$7,"EQY_CONSOLIDATED",$H$9,"EQY_FUND_CRNCY",$L$7,"StartCol",L$12,"EndCol",L$12,"StartRow",$B165,"EndRow",$B165),1)="#","",_xll.BDS(Ticker,"PG_CAPITAL_EXPENDITURES","PG_HIERARCHY_LEVEL=1","NUMBER_OF_PERIODS=-11","REVERSE_PERIOD_ORDER=N","PRODUCT_GEO_OVERRIDE=P","FUND_PER",RIGHT($B$11,1),"ACCOUNTING_STANDARD_OVERRIDE",$H$7,"EQY_CONSOLIDATED",$H$9,"EQY_FUND_CRNCY",$L$7,"StartCol",L$12,"EndCol",L$12,"StartRow",$B165,"EndRow",$B165))</f>
        <v>-129</v>
      </c>
      <c r="M165" s="218">
        <f>IF(LEFT(_xll.BDS(Ticker,"PG_CAPITAL_EXPENDITURES","PG_HIERARCHY_LEVEL=1","NUMBER_OF_PERIODS=-11","REVERSE_PERIOD_ORDER=N","PRODUCT_GEO_OVERRIDE=P","FUND_PER",RIGHT($B$11,1),"ACCOUNTING_STANDARD_OVERRIDE",$H$7,"EQY_CONSOLIDATED",$H$9,"EQY_FUND_CRNCY",$L$7,"StartCol",M$12,"EndCol",M$12,"StartRow",$B165,"EndRow",$B165),1)="#","",_xll.BDS(Ticker,"PG_CAPITAL_EXPENDITURES","PG_HIERARCHY_LEVEL=1","NUMBER_OF_PERIODS=-11","REVERSE_PERIOD_ORDER=N","PRODUCT_GEO_OVERRIDE=P","FUND_PER",RIGHT($B$11,1),"ACCOUNTING_STANDARD_OVERRIDE",$H$7,"EQY_CONSOLIDATED",$H$9,"EQY_FUND_CRNCY",$L$7,"StartCol",M$12,"EndCol",M$12,"StartRow",$B165,"EndRow",$B165))</f>
        <v>-194</v>
      </c>
      <c r="N165" s="218">
        <f>IF(LEFT(_xll.BDS(Ticker,"PG_CAPITAL_EXPENDITURES","PG_HIERARCHY_LEVEL=1","NUMBER_OF_PERIODS=-11","REVERSE_PERIOD_ORDER=N","PRODUCT_GEO_OVERRIDE=P","FUND_PER",RIGHT($B$11,1),"ACCOUNTING_STANDARD_OVERRIDE",$H$7,"EQY_CONSOLIDATED",$H$9,"EQY_FUND_CRNCY",$L$7,"StartCol",N$12,"EndCol",N$12,"StartRow",$B165,"EndRow",$B165),1)="#","",_xll.BDS(Ticker,"PG_CAPITAL_EXPENDITURES","PG_HIERARCHY_LEVEL=1","NUMBER_OF_PERIODS=-11","REVERSE_PERIOD_ORDER=N","PRODUCT_GEO_OVERRIDE=P","FUND_PER",RIGHT($B$11,1),"ACCOUNTING_STANDARD_OVERRIDE",$H$7,"EQY_CONSOLIDATED",$H$9,"EQY_FUND_CRNCY",$L$7,"StartCol",N$12,"EndCol",N$12,"StartRow",$B165,"EndRow",$B165))</f>
        <v>-217</v>
      </c>
    </row>
    <row r="166" spans="1:14" hidden="1" outlineLevel="1">
      <c r="B166" s="214">
        <v>5</v>
      </c>
      <c r="C166" s="216" t="str">
        <f>IF(LEFT(_xll.BDS(Ticker,"PG_CAPITAL_EXPENDITURES","PG_HIERARCHY_LEVEL=1","NUMBER_OF_PERIODS=-11","REVERSE_PERIOD_ORDER=N","PRODUCT_GEO_OVERRIDE=P","FUND_PER",RIGHT($B$11,1),"ACCOUNTING_STANDARD_OVERRIDE",$H$7,"EQY_CONSOLIDATED",$H$9,"EQY_FUND_CRNCY",$L$7,"StartCol",C$12,"EndCol",C$12,"StartRow",$B166,"EndRow",$B166),1)="#","",_xll.BDS(Ticker,"PG_CAPITAL_EXPENDITURES","PG_HIERARCHY_LEVEL=1","NUMBER_OF_PERIODS=-11","REVERSE_PERIOD_ORDER=N","PRODUCT_GEO_OVERRIDE=P","FUND_PER",RIGHT($B$11,1),"ACCOUNTING_STANDARD_OVERRIDE",$H$7,"EQY_CONSOLIDATED",$H$9,"EQY_FUND_CRNCY",$L$7,"StartCol",C$12,"EndCol",C$12,"StartRow",$B166,"EndRow",$B166))</f>
        <v>Others</v>
      </c>
      <c r="D166" s="218">
        <f>IF(LEFT(_xll.BDS(Ticker,"PG_CAPITAL_EXPENDITURES","PG_HIERARCHY_LEVEL=1","NUMBER_OF_PERIODS=-11","REVERSE_PERIOD_ORDER=N","PRODUCT_GEO_OVERRIDE=P","FUND_PER",RIGHT($B$11,1),"ACCOUNTING_STANDARD_OVERRIDE",$H$7,"EQY_CONSOLIDATED",$H$9,"EQY_FUND_CRNCY",$L$7,"StartCol",D$12,"EndCol",D$12,"StartRow",$B166,"EndRow",$B166),1)="#","",_xll.BDS(Ticker,"PG_CAPITAL_EXPENDITURES","PG_HIERARCHY_LEVEL=1","NUMBER_OF_PERIODS=-11","REVERSE_PERIOD_ORDER=N","PRODUCT_GEO_OVERRIDE=P","FUND_PER",RIGHT($B$11,1),"ACCOUNTING_STANDARD_OVERRIDE",$H$7,"EQY_CONSOLIDATED",$H$9,"EQY_FUND_CRNCY",$L$7,"StartCol",D$12,"EndCol",D$12,"StartRow",$B166,"EndRow",$B166))</f>
        <v>-7.8</v>
      </c>
      <c r="E166" s="218">
        <f>IF(LEFT(_xll.BDS(Ticker,"PG_CAPITAL_EXPENDITURES","PG_HIERARCHY_LEVEL=1","NUMBER_OF_PERIODS=-11","REVERSE_PERIOD_ORDER=N","PRODUCT_GEO_OVERRIDE=P","FUND_PER",RIGHT($B$11,1),"ACCOUNTING_STANDARD_OVERRIDE",$H$7,"EQY_CONSOLIDATED",$H$9,"EQY_FUND_CRNCY",$L$7,"StartCol",E$12,"EndCol",E$12,"StartRow",$B166,"EndRow",$B166),1)="#","",_xll.BDS(Ticker,"PG_CAPITAL_EXPENDITURES","PG_HIERARCHY_LEVEL=1","NUMBER_OF_PERIODS=-11","REVERSE_PERIOD_ORDER=N","PRODUCT_GEO_OVERRIDE=P","FUND_PER",RIGHT($B$11,1),"ACCOUNTING_STANDARD_OVERRIDE",$H$7,"EQY_CONSOLIDATED",$H$9,"EQY_FUND_CRNCY",$L$7,"StartCol",E$12,"EndCol",E$12,"StartRow",$B166,"EndRow",$B166))</f>
        <v>-5</v>
      </c>
      <c r="F166" s="218" t="str">
        <f>IF(LEFT(_xll.BDS(Ticker,"PG_CAPITAL_EXPENDITURES","PG_HIERARCHY_LEVEL=1","NUMBER_OF_PERIODS=-11","REVERSE_PERIOD_ORDER=N","PRODUCT_GEO_OVERRIDE=P","FUND_PER",RIGHT($B$11,1),"ACCOUNTING_STANDARD_OVERRIDE",$H$7,"EQY_CONSOLIDATED",$H$9,"EQY_FUND_CRNCY",$L$7,"StartCol",F$12,"EndCol",F$12,"StartRow",$B166,"EndRow",$B166),1)="#","",_xll.BDS(Ticker,"PG_CAPITAL_EXPENDITURES","PG_HIERARCHY_LEVEL=1","NUMBER_OF_PERIODS=-11","REVERSE_PERIOD_ORDER=N","PRODUCT_GEO_OVERRIDE=P","FUND_PER",RIGHT($B$11,1),"ACCOUNTING_STANDARD_OVERRIDE",$H$7,"EQY_CONSOLIDATED",$H$9,"EQY_FUND_CRNCY",$L$7,"StartCol",F$12,"EndCol",F$12,"StartRow",$B166,"EndRow",$B166))</f>
        <v/>
      </c>
      <c r="G166" s="218" t="str">
        <f>IF(LEFT(_xll.BDS(Ticker,"PG_CAPITAL_EXPENDITURES","PG_HIERARCHY_LEVEL=1","NUMBER_OF_PERIODS=-11","REVERSE_PERIOD_ORDER=N","PRODUCT_GEO_OVERRIDE=P","FUND_PER",RIGHT($B$11,1),"ACCOUNTING_STANDARD_OVERRIDE",$H$7,"EQY_CONSOLIDATED",$H$9,"EQY_FUND_CRNCY",$L$7,"StartCol",G$12,"EndCol",G$12,"StartRow",$B166,"EndRow",$B166),1)="#","",_xll.BDS(Ticker,"PG_CAPITAL_EXPENDITURES","PG_HIERARCHY_LEVEL=1","NUMBER_OF_PERIODS=-11","REVERSE_PERIOD_ORDER=N","PRODUCT_GEO_OVERRIDE=P","FUND_PER",RIGHT($B$11,1),"ACCOUNTING_STANDARD_OVERRIDE",$H$7,"EQY_CONSOLIDATED",$H$9,"EQY_FUND_CRNCY",$L$7,"StartCol",G$12,"EndCol",G$12,"StartRow",$B166,"EndRow",$B166))</f>
        <v/>
      </c>
      <c r="H166" s="218" t="str">
        <f>IF(LEFT(_xll.BDS(Ticker,"PG_CAPITAL_EXPENDITURES","PG_HIERARCHY_LEVEL=1","NUMBER_OF_PERIODS=-11","REVERSE_PERIOD_ORDER=N","PRODUCT_GEO_OVERRIDE=P","FUND_PER",RIGHT($B$11,1),"ACCOUNTING_STANDARD_OVERRIDE",$H$7,"EQY_CONSOLIDATED",$H$9,"EQY_FUND_CRNCY",$L$7,"StartCol",H$12,"EndCol",H$12,"StartRow",$B166,"EndRow",$B166),1)="#","",_xll.BDS(Ticker,"PG_CAPITAL_EXPENDITURES","PG_HIERARCHY_LEVEL=1","NUMBER_OF_PERIODS=-11","REVERSE_PERIOD_ORDER=N","PRODUCT_GEO_OVERRIDE=P","FUND_PER",RIGHT($B$11,1),"ACCOUNTING_STANDARD_OVERRIDE",$H$7,"EQY_CONSOLIDATED",$H$9,"EQY_FUND_CRNCY",$L$7,"StartCol",H$12,"EndCol",H$12,"StartRow",$B166,"EndRow",$B166))</f>
        <v/>
      </c>
      <c r="I166" s="218" t="str">
        <f>IF(LEFT(_xll.BDS(Ticker,"PG_CAPITAL_EXPENDITURES","PG_HIERARCHY_LEVEL=1","NUMBER_OF_PERIODS=-11","REVERSE_PERIOD_ORDER=N","PRODUCT_GEO_OVERRIDE=P","FUND_PER",RIGHT($B$11,1),"ACCOUNTING_STANDARD_OVERRIDE",$H$7,"EQY_CONSOLIDATED",$H$9,"EQY_FUND_CRNCY",$L$7,"StartCol",I$12,"EndCol",I$12,"StartRow",$B166,"EndRow",$B166),1)="#","",_xll.BDS(Ticker,"PG_CAPITAL_EXPENDITURES","PG_HIERARCHY_LEVEL=1","NUMBER_OF_PERIODS=-11","REVERSE_PERIOD_ORDER=N","PRODUCT_GEO_OVERRIDE=P","FUND_PER",RIGHT($B$11,1),"ACCOUNTING_STANDARD_OVERRIDE",$H$7,"EQY_CONSOLIDATED",$H$9,"EQY_FUND_CRNCY",$L$7,"StartCol",I$12,"EndCol",I$12,"StartRow",$B166,"EndRow",$B166))</f>
        <v/>
      </c>
      <c r="J166" s="218" t="str">
        <f>IF(LEFT(_xll.BDS(Ticker,"PG_CAPITAL_EXPENDITURES","PG_HIERARCHY_LEVEL=1","NUMBER_OF_PERIODS=-11","REVERSE_PERIOD_ORDER=N","PRODUCT_GEO_OVERRIDE=P","FUND_PER",RIGHT($B$11,1),"ACCOUNTING_STANDARD_OVERRIDE",$H$7,"EQY_CONSOLIDATED",$H$9,"EQY_FUND_CRNCY",$L$7,"StartCol",J$12,"EndCol",J$12,"StartRow",$B166,"EndRow",$B166),1)="#","",_xll.BDS(Ticker,"PG_CAPITAL_EXPENDITURES","PG_HIERARCHY_LEVEL=1","NUMBER_OF_PERIODS=-11","REVERSE_PERIOD_ORDER=N","PRODUCT_GEO_OVERRIDE=P","FUND_PER",RIGHT($B$11,1),"ACCOUNTING_STANDARD_OVERRIDE",$H$7,"EQY_CONSOLIDATED",$H$9,"EQY_FUND_CRNCY",$L$7,"StartCol",J$12,"EndCol",J$12,"StartRow",$B166,"EndRow",$B166))</f>
        <v/>
      </c>
      <c r="K166" s="218" t="str">
        <f>IF(LEFT(_xll.BDS(Ticker,"PG_CAPITAL_EXPENDITURES","PG_HIERARCHY_LEVEL=1","NUMBER_OF_PERIODS=-11","REVERSE_PERIOD_ORDER=N","PRODUCT_GEO_OVERRIDE=P","FUND_PER",RIGHT($B$11,1),"ACCOUNTING_STANDARD_OVERRIDE",$H$7,"EQY_CONSOLIDATED",$H$9,"EQY_FUND_CRNCY",$L$7,"StartCol",K$12,"EndCol",K$12,"StartRow",$B166,"EndRow",$B166),1)="#","",_xll.BDS(Ticker,"PG_CAPITAL_EXPENDITURES","PG_HIERARCHY_LEVEL=1","NUMBER_OF_PERIODS=-11","REVERSE_PERIOD_ORDER=N","PRODUCT_GEO_OVERRIDE=P","FUND_PER",RIGHT($B$11,1),"ACCOUNTING_STANDARD_OVERRIDE",$H$7,"EQY_CONSOLIDATED",$H$9,"EQY_FUND_CRNCY",$L$7,"StartCol",K$12,"EndCol",K$12,"StartRow",$B166,"EndRow",$B166))</f>
        <v/>
      </c>
      <c r="L166" s="218" t="str">
        <f>IF(LEFT(_xll.BDS(Ticker,"PG_CAPITAL_EXPENDITURES","PG_HIERARCHY_LEVEL=1","NUMBER_OF_PERIODS=-11","REVERSE_PERIOD_ORDER=N","PRODUCT_GEO_OVERRIDE=P","FUND_PER",RIGHT($B$11,1),"ACCOUNTING_STANDARD_OVERRIDE",$H$7,"EQY_CONSOLIDATED",$H$9,"EQY_FUND_CRNCY",$L$7,"StartCol",L$12,"EndCol",L$12,"StartRow",$B166,"EndRow",$B166),1)="#","",_xll.BDS(Ticker,"PG_CAPITAL_EXPENDITURES","PG_HIERARCHY_LEVEL=1","NUMBER_OF_PERIODS=-11","REVERSE_PERIOD_ORDER=N","PRODUCT_GEO_OVERRIDE=P","FUND_PER",RIGHT($B$11,1),"ACCOUNTING_STANDARD_OVERRIDE",$H$7,"EQY_CONSOLIDATED",$H$9,"EQY_FUND_CRNCY",$L$7,"StartCol",L$12,"EndCol",L$12,"StartRow",$B166,"EndRow",$B166))</f>
        <v/>
      </c>
      <c r="M166" s="218" t="str">
        <f>IF(LEFT(_xll.BDS(Ticker,"PG_CAPITAL_EXPENDITURES","PG_HIERARCHY_LEVEL=1","NUMBER_OF_PERIODS=-11","REVERSE_PERIOD_ORDER=N","PRODUCT_GEO_OVERRIDE=P","FUND_PER",RIGHT($B$11,1),"ACCOUNTING_STANDARD_OVERRIDE",$H$7,"EQY_CONSOLIDATED",$H$9,"EQY_FUND_CRNCY",$L$7,"StartCol",M$12,"EndCol",M$12,"StartRow",$B166,"EndRow",$B166),1)="#","",_xll.BDS(Ticker,"PG_CAPITAL_EXPENDITURES","PG_HIERARCHY_LEVEL=1","NUMBER_OF_PERIODS=-11","REVERSE_PERIOD_ORDER=N","PRODUCT_GEO_OVERRIDE=P","FUND_PER",RIGHT($B$11,1),"ACCOUNTING_STANDARD_OVERRIDE",$H$7,"EQY_CONSOLIDATED",$H$9,"EQY_FUND_CRNCY",$L$7,"StartCol",M$12,"EndCol",M$12,"StartRow",$B166,"EndRow",$B166))</f>
        <v/>
      </c>
      <c r="N166" s="218" t="str">
        <f>IF(LEFT(_xll.BDS(Ticker,"PG_CAPITAL_EXPENDITURES","PG_HIERARCHY_LEVEL=1","NUMBER_OF_PERIODS=-11","REVERSE_PERIOD_ORDER=N","PRODUCT_GEO_OVERRIDE=P","FUND_PER",RIGHT($B$11,1),"ACCOUNTING_STANDARD_OVERRIDE",$H$7,"EQY_CONSOLIDATED",$H$9,"EQY_FUND_CRNCY",$L$7,"StartCol",N$12,"EndCol",N$12,"StartRow",$B166,"EndRow",$B166),1)="#","",_xll.BDS(Ticker,"PG_CAPITAL_EXPENDITURES","PG_HIERARCHY_LEVEL=1","NUMBER_OF_PERIODS=-11","REVERSE_PERIOD_ORDER=N","PRODUCT_GEO_OVERRIDE=P","FUND_PER",RIGHT($B$11,1),"ACCOUNTING_STANDARD_OVERRIDE",$H$7,"EQY_CONSOLIDATED",$H$9,"EQY_FUND_CRNCY",$L$7,"StartCol",N$12,"EndCol",N$12,"StartRow",$B166,"EndRow",$B166))</f>
        <v/>
      </c>
    </row>
    <row r="167" spans="1:14" hidden="1" outlineLevel="1">
      <c r="B167" s="214">
        <v>6</v>
      </c>
      <c r="C167" s="216" t="str">
        <f>IF(LEFT(_xll.BDS(Ticker,"PG_CAPITAL_EXPENDITURES","PG_HIERARCHY_LEVEL=1","NUMBER_OF_PERIODS=-11","REVERSE_PERIOD_ORDER=N","PRODUCT_GEO_OVERRIDE=P","FUND_PER",RIGHT($B$11,1),"ACCOUNTING_STANDARD_OVERRIDE",$H$7,"EQY_CONSOLIDATED",$H$9,"EQY_FUND_CRNCY",$L$7,"StartCol",C$12,"EndCol",C$12,"StartRow",$B167,"EndRow",$B167),1)="#","",_xll.BDS(Ticker,"PG_CAPITAL_EXPENDITURES","PG_HIERARCHY_LEVEL=1","NUMBER_OF_PERIODS=-11","REVERSE_PERIOD_ORDER=N","PRODUCT_GEO_OVERRIDE=P","FUND_PER",RIGHT($B$11,1),"ACCOUNTING_STANDARD_OVERRIDE",$H$7,"EQY_CONSOLIDATED",$H$9,"EQY_FUND_CRNCY",$L$7,"StartCol",C$12,"EndCol",C$12,"StartRow",$B167,"EndRow",$B167))</f>
        <v>Orthopedic Implants</v>
      </c>
      <c r="D167" s="218">
        <f>IF(LEFT(_xll.BDS(Ticker,"PG_CAPITAL_EXPENDITURES","PG_HIERARCHY_LEVEL=1","NUMBER_OF_PERIODS=-11","REVERSE_PERIOD_ORDER=N","PRODUCT_GEO_OVERRIDE=P","FUND_PER",RIGHT($B$11,1),"ACCOUNTING_STANDARD_OVERRIDE",$H$7,"EQY_CONSOLIDATED",$H$9,"EQY_FUND_CRNCY",$L$7,"StartCol",D$12,"EndCol",D$12,"StartRow",$B167,"EndRow",$B167),1)="#","",_xll.BDS(Ticker,"PG_CAPITAL_EXPENDITURES","PG_HIERARCHY_LEVEL=1","NUMBER_OF_PERIODS=-11","REVERSE_PERIOD_ORDER=N","PRODUCT_GEO_OVERRIDE=P","FUND_PER",RIGHT($B$11,1),"ACCOUNTING_STANDARD_OVERRIDE",$H$7,"EQY_CONSOLIDATED",$H$9,"EQY_FUND_CRNCY",$L$7,"StartCol",D$12,"EndCol",D$12,"StartRow",$B167,"EndRow",$B167))</f>
        <v>-95.3</v>
      </c>
      <c r="E167" s="218" t="str">
        <f>IF(LEFT(_xll.BDS(Ticker,"PG_CAPITAL_EXPENDITURES","PG_HIERARCHY_LEVEL=1","NUMBER_OF_PERIODS=-11","REVERSE_PERIOD_ORDER=N","PRODUCT_GEO_OVERRIDE=P","FUND_PER",RIGHT($B$11,1),"ACCOUNTING_STANDARD_OVERRIDE",$H$7,"EQY_CONSOLIDATED",$H$9,"EQY_FUND_CRNCY",$L$7,"StartCol",E$12,"EndCol",E$12,"StartRow",$B167,"EndRow",$B167),1)="#","",_xll.BDS(Ticker,"PG_CAPITAL_EXPENDITURES","PG_HIERARCHY_LEVEL=1","NUMBER_OF_PERIODS=-11","REVERSE_PERIOD_ORDER=N","PRODUCT_GEO_OVERRIDE=P","FUND_PER",RIGHT($B$11,1),"ACCOUNTING_STANDARD_OVERRIDE",$H$7,"EQY_CONSOLIDATED",$H$9,"EQY_FUND_CRNCY",$L$7,"StartCol",E$12,"EndCol",E$12,"StartRow",$B167,"EndRow",$B167))</f>
        <v/>
      </c>
      <c r="F167" s="218" t="str">
        <f>IF(LEFT(_xll.BDS(Ticker,"PG_CAPITAL_EXPENDITURES","PG_HIERARCHY_LEVEL=1","NUMBER_OF_PERIODS=-11","REVERSE_PERIOD_ORDER=N","PRODUCT_GEO_OVERRIDE=P","FUND_PER",RIGHT($B$11,1),"ACCOUNTING_STANDARD_OVERRIDE",$H$7,"EQY_CONSOLIDATED",$H$9,"EQY_FUND_CRNCY",$L$7,"StartCol",F$12,"EndCol",F$12,"StartRow",$B167,"EndRow",$B167),1)="#","",_xll.BDS(Ticker,"PG_CAPITAL_EXPENDITURES","PG_HIERARCHY_LEVEL=1","NUMBER_OF_PERIODS=-11","REVERSE_PERIOD_ORDER=N","PRODUCT_GEO_OVERRIDE=P","FUND_PER",RIGHT($B$11,1),"ACCOUNTING_STANDARD_OVERRIDE",$H$7,"EQY_CONSOLIDATED",$H$9,"EQY_FUND_CRNCY",$L$7,"StartCol",F$12,"EndCol",F$12,"StartRow",$B167,"EndRow",$B167))</f>
        <v/>
      </c>
      <c r="G167" s="218" t="str">
        <f>IF(LEFT(_xll.BDS(Ticker,"PG_CAPITAL_EXPENDITURES","PG_HIERARCHY_LEVEL=1","NUMBER_OF_PERIODS=-11","REVERSE_PERIOD_ORDER=N","PRODUCT_GEO_OVERRIDE=P","FUND_PER",RIGHT($B$11,1),"ACCOUNTING_STANDARD_OVERRIDE",$H$7,"EQY_CONSOLIDATED",$H$9,"EQY_FUND_CRNCY",$L$7,"StartCol",G$12,"EndCol",G$12,"StartRow",$B167,"EndRow",$B167),1)="#","",_xll.BDS(Ticker,"PG_CAPITAL_EXPENDITURES","PG_HIERARCHY_LEVEL=1","NUMBER_OF_PERIODS=-11","REVERSE_PERIOD_ORDER=N","PRODUCT_GEO_OVERRIDE=P","FUND_PER",RIGHT($B$11,1),"ACCOUNTING_STANDARD_OVERRIDE",$H$7,"EQY_CONSOLIDATED",$H$9,"EQY_FUND_CRNCY",$L$7,"StartCol",G$12,"EndCol",G$12,"StartRow",$B167,"EndRow",$B167))</f>
        <v/>
      </c>
      <c r="H167" s="218" t="str">
        <f>IF(LEFT(_xll.BDS(Ticker,"PG_CAPITAL_EXPENDITURES","PG_HIERARCHY_LEVEL=1","NUMBER_OF_PERIODS=-11","REVERSE_PERIOD_ORDER=N","PRODUCT_GEO_OVERRIDE=P","FUND_PER",RIGHT($B$11,1),"ACCOUNTING_STANDARD_OVERRIDE",$H$7,"EQY_CONSOLIDATED",$H$9,"EQY_FUND_CRNCY",$L$7,"StartCol",H$12,"EndCol",H$12,"StartRow",$B167,"EndRow",$B167),1)="#","",_xll.BDS(Ticker,"PG_CAPITAL_EXPENDITURES","PG_HIERARCHY_LEVEL=1","NUMBER_OF_PERIODS=-11","REVERSE_PERIOD_ORDER=N","PRODUCT_GEO_OVERRIDE=P","FUND_PER",RIGHT($B$11,1),"ACCOUNTING_STANDARD_OVERRIDE",$H$7,"EQY_CONSOLIDATED",$H$9,"EQY_FUND_CRNCY",$L$7,"StartCol",H$12,"EndCol",H$12,"StartRow",$B167,"EndRow",$B167))</f>
        <v/>
      </c>
      <c r="I167" s="218" t="str">
        <f>IF(LEFT(_xll.BDS(Ticker,"PG_CAPITAL_EXPENDITURES","PG_HIERARCHY_LEVEL=1","NUMBER_OF_PERIODS=-11","REVERSE_PERIOD_ORDER=N","PRODUCT_GEO_OVERRIDE=P","FUND_PER",RIGHT($B$11,1),"ACCOUNTING_STANDARD_OVERRIDE",$H$7,"EQY_CONSOLIDATED",$H$9,"EQY_FUND_CRNCY",$L$7,"StartCol",I$12,"EndCol",I$12,"StartRow",$B167,"EndRow",$B167),1)="#","",_xll.BDS(Ticker,"PG_CAPITAL_EXPENDITURES","PG_HIERARCHY_LEVEL=1","NUMBER_OF_PERIODS=-11","REVERSE_PERIOD_ORDER=N","PRODUCT_GEO_OVERRIDE=P","FUND_PER",RIGHT($B$11,1),"ACCOUNTING_STANDARD_OVERRIDE",$H$7,"EQY_CONSOLIDATED",$H$9,"EQY_FUND_CRNCY",$L$7,"StartCol",I$12,"EndCol",I$12,"StartRow",$B167,"EndRow",$B167))</f>
        <v/>
      </c>
      <c r="J167" s="218" t="str">
        <f>IF(LEFT(_xll.BDS(Ticker,"PG_CAPITAL_EXPENDITURES","PG_HIERARCHY_LEVEL=1","NUMBER_OF_PERIODS=-11","REVERSE_PERIOD_ORDER=N","PRODUCT_GEO_OVERRIDE=P","FUND_PER",RIGHT($B$11,1),"ACCOUNTING_STANDARD_OVERRIDE",$H$7,"EQY_CONSOLIDATED",$H$9,"EQY_FUND_CRNCY",$L$7,"StartCol",J$12,"EndCol",J$12,"StartRow",$B167,"EndRow",$B167),1)="#","",_xll.BDS(Ticker,"PG_CAPITAL_EXPENDITURES","PG_HIERARCHY_LEVEL=1","NUMBER_OF_PERIODS=-11","REVERSE_PERIOD_ORDER=N","PRODUCT_GEO_OVERRIDE=P","FUND_PER",RIGHT($B$11,1),"ACCOUNTING_STANDARD_OVERRIDE",$H$7,"EQY_CONSOLIDATED",$H$9,"EQY_FUND_CRNCY",$L$7,"StartCol",J$12,"EndCol",J$12,"StartRow",$B167,"EndRow",$B167))</f>
        <v/>
      </c>
      <c r="K167" s="218" t="str">
        <f>IF(LEFT(_xll.BDS(Ticker,"PG_CAPITAL_EXPENDITURES","PG_HIERARCHY_LEVEL=1","NUMBER_OF_PERIODS=-11","REVERSE_PERIOD_ORDER=N","PRODUCT_GEO_OVERRIDE=P","FUND_PER",RIGHT($B$11,1),"ACCOUNTING_STANDARD_OVERRIDE",$H$7,"EQY_CONSOLIDATED",$H$9,"EQY_FUND_CRNCY",$L$7,"StartCol",K$12,"EndCol",K$12,"StartRow",$B167,"EndRow",$B167),1)="#","",_xll.BDS(Ticker,"PG_CAPITAL_EXPENDITURES","PG_HIERARCHY_LEVEL=1","NUMBER_OF_PERIODS=-11","REVERSE_PERIOD_ORDER=N","PRODUCT_GEO_OVERRIDE=P","FUND_PER",RIGHT($B$11,1),"ACCOUNTING_STANDARD_OVERRIDE",$H$7,"EQY_CONSOLIDATED",$H$9,"EQY_FUND_CRNCY",$L$7,"StartCol",K$12,"EndCol",K$12,"StartRow",$B167,"EndRow",$B167))</f>
        <v/>
      </c>
      <c r="L167" s="218" t="str">
        <f>IF(LEFT(_xll.BDS(Ticker,"PG_CAPITAL_EXPENDITURES","PG_HIERARCHY_LEVEL=1","NUMBER_OF_PERIODS=-11","REVERSE_PERIOD_ORDER=N","PRODUCT_GEO_OVERRIDE=P","FUND_PER",RIGHT($B$11,1),"ACCOUNTING_STANDARD_OVERRIDE",$H$7,"EQY_CONSOLIDATED",$H$9,"EQY_FUND_CRNCY",$L$7,"StartCol",L$12,"EndCol",L$12,"StartRow",$B167,"EndRow",$B167),1)="#","",_xll.BDS(Ticker,"PG_CAPITAL_EXPENDITURES","PG_HIERARCHY_LEVEL=1","NUMBER_OF_PERIODS=-11","REVERSE_PERIOD_ORDER=N","PRODUCT_GEO_OVERRIDE=P","FUND_PER",RIGHT($B$11,1),"ACCOUNTING_STANDARD_OVERRIDE",$H$7,"EQY_CONSOLIDATED",$H$9,"EQY_FUND_CRNCY",$L$7,"StartCol",L$12,"EndCol",L$12,"StartRow",$B167,"EndRow",$B167))</f>
        <v/>
      </c>
      <c r="M167" s="218" t="str">
        <f>IF(LEFT(_xll.BDS(Ticker,"PG_CAPITAL_EXPENDITURES","PG_HIERARCHY_LEVEL=1","NUMBER_OF_PERIODS=-11","REVERSE_PERIOD_ORDER=N","PRODUCT_GEO_OVERRIDE=P","FUND_PER",RIGHT($B$11,1),"ACCOUNTING_STANDARD_OVERRIDE",$H$7,"EQY_CONSOLIDATED",$H$9,"EQY_FUND_CRNCY",$L$7,"StartCol",M$12,"EndCol",M$12,"StartRow",$B167,"EndRow",$B167),1)="#","",_xll.BDS(Ticker,"PG_CAPITAL_EXPENDITURES","PG_HIERARCHY_LEVEL=1","NUMBER_OF_PERIODS=-11","REVERSE_PERIOD_ORDER=N","PRODUCT_GEO_OVERRIDE=P","FUND_PER",RIGHT($B$11,1),"ACCOUNTING_STANDARD_OVERRIDE",$H$7,"EQY_CONSOLIDATED",$H$9,"EQY_FUND_CRNCY",$L$7,"StartCol",M$12,"EndCol",M$12,"StartRow",$B167,"EndRow",$B167))</f>
        <v/>
      </c>
      <c r="N167" s="218" t="str">
        <f>IF(LEFT(_xll.BDS(Ticker,"PG_CAPITAL_EXPENDITURES","PG_HIERARCHY_LEVEL=1","NUMBER_OF_PERIODS=-11","REVERSE_PERIOD_ORDER=N","PRODUCT_GEO_OVERRIDE=P","FUND_PER",RIGHT($B$11,1),"ACCOUNTING_STANDARD_OVERRIDE",$H$7,"EQY_CONSOLIDATED",$H$9,"EQY_FUND_CRNCY",$L$7,"StartCol",N$12,"EndCol",N$12,"StartRow",$B167,"EndRow",$B167),1)="#","",_xll.BDS(Ticker,"PG_CAPITAL_EXPENDITURES","PG_HIERARCHY_LEVEL=1","NUMBER_OF_PERIODS=-11","REVERSE_PERIOD_ORDER=N","PRODUCT_GEO_OVERRIDE=P","FUND_PER",RIGHT($B$11,1),"ACCOUNTING_STANDARD_OVERRIDE",$H$7,"EQY_CONSOLIDATED",$H$9,"EQY_FUND_CRNCY",$L$7,"StartCol",N$12,"EndCol",N$12,"StartRow",$B167,"EndRow",$B167))</f>
        <v/>
      </c>
    </row>
    <row r="168" spans="1:14" hidden="1" outlineLevel="1">
      <c r="B168" s="214">
        <v>7</v>
      </c>
      <c r="C168" s="216" t="str">
        <f>IF(LEFT(_xll.BDS(Ticker,"PG_CAPITAL_EXPENDITURES","PG_HIERARCHY_LEVEL=1","NUMBER_OF_PERIODS=-11","REVERSE_PERIOD_ORDER=N","PRODUCT_GEO_OVERRIDE=P","FUND_PER",RIGHT($B$11,1),"ACCOUNTING_STANDARD_OVERRIDE",$H$7,"EQY_CONSOLIDATED",$H$9,"EQY_FUND_CRNCY",$L$7,"StartCol",C$12,"EndCol",C$12,"StartRow",$B168,"EndRow",$B168),1)="#","",_xll.BDS(Ticker,"PG_CAPITAL_EXPENDITURES","PG_HIERARCHY_LEVEL=1","NUMBER_OF_PERIODS=-11","REVERSE_PERIOD_ORDER=N","PRODUCT_GEO_OVERRIDE=P","FUND_PER",RIGHT($B$11,1),"ACCOUNTING_STANDARD_OVERRIDE",$H$7,"EQY_CONSOLIDATED",$H$9,"EQY_FUND_CRNCY",$L$7,"StartCol",C$12,"EndCol",C$12,"StartRow",$B168,"EndRow",$B168))</f>
        <v>Reconstructive_orthopaedics</v>
      </c>
      <c r="D168" s="218" t="str">
        <f>IF(LEFT(_xll.BDS(Ticker,"PG_CAPITAL_EXPENDITURES","PG_HIERARCHY_LEVEL=1","NUMBER_OF_PERIODS=-11","REVERSE_PERIOD_ORDER=N","PRODUCT_GEO_OVERRIDE=P","FUND_PER",RIGHT($B$11,1),"ACCOUNTING_STANDARD_OVERRIDE",$H$7,"EQY_CONSOLIDATED",$H$9,"EQY_FUND_CRNCY",$L$7,"StartCol",D$12,"EndCol",D$12,"StartRow",$B168,"EndRow",$B168),1)="#","",_xll.BDS(Ticker,"PG_CAPITAL_EXPENDITURES","PG_HIERARCHY_LEVEL=1","NUMBER_OF_PERIODS=-11","REVERSE_PERIOD_ORDER=N","PRODUCT_GEO_OVERRIDE=P","FUND_PER",RIGHT($B$11,1),"ACCOUNTING_STANDARD_OVERRIDE",$H$7,"EQY_CONSOLIDATED",$H$9,"EQY_FUND_CRNCY",$L$7,"StartCol",D$12,"EndCol",D$12,"StartRow",$B168,"EndRow",$B168))</f>
        <v/>
      </c>
      <c r="E168" s="218">
        <f>IF(LEFT(_xll.BDS(Ticker,"PG_CAPITAL_EXPENDITURES","PG_HIERARCHY_LEVEL=1","NUMBER_OF_PERIODS=-11","REVERSE_PERIOD_ORDER=N","PRODUCT_GEO_OVERRIDE=P","FUND_PER",RIGHT($B$11,1),"ACCOUNTING_STANDARD_OVERRIDE",$H$7,"EQY_CONSOLIDATED",$H$9,"EQY_FUND_CRNCY",$L$7,"StartCol",E$12,"EndCol",E$12,"StartRow",$B168,"EndRow",$B168),1)="#","",_xll.BDS(Ticker,"PG_CAPITAL_EXPENDITURES","PG_HIERARCHY_LEVEL=1","NUMBER_OF_PERIODS=-11","REVERSE_PERIOD_ORDER=N","PRODUCT_GEO_OVERRIDE=P","FUND_PER",RIGHT($B$11,1),"ACCOUNTING_STANDARD_OVERRIDE",$H$7,"EQY_CONSOLIDATED",$H$9,"EQY_FUND_CRNCY",$L$7,"StartCol",E$12,"EndCol",E$12,"StartRow",$B168,"EndRow",$B168))</f>
        <v>-71</v>
      </c>
      <c r="F168" s="218" t="str">
        <f>IF(LEFT(_xll.BDS(Ticker,"PG_CAPITAL_EXPENDITURES","PG_HIERARCHY_LEVEL=1","NUMBER_OF_PERIODS=-11","REVERSE_PERIOD_ORDER=N","PRODUCT_GEO_OVERRIDE=P","FUND_PER",RIGHT($B$11,1),"ACCOUNTING_STANDARD_OVERRIDE",$H$7,"EQY_CONSOLIDATED",$H$9,"EQY_FUND_CRNCY",$L$7,"StartCol",F$12,"EndCol",F$12,"StartRow",$B168,"EndRow",$B168),1)="#","",_xll.BDS(Ticker,"PG_CAPITAL_EXPENDITURES","PG_HIERARCHY_LEVEL=1","NUMBER_OF_PERIODS=-11","REVERSE_PERIOD_ORDER=N","PRODUCT_GEO_OVERRIDE=P","FUND_PER",RIGHT($B$11,1),"ACCOUNTING_STANDARD_OVERRIDE",$H$7,"EQY_CONSOLIDATED",$H$9,"EQY_FUND_CRNCY",$L$7,"StartCol",F$12,"EndCol",F$12,"StartRow",$B168,"EndRow",$B168))</f>
        <v/>
      </c>
      <c r="G168" s="218" t="str">
        <f>IF(LEFT(_xll.BDS(Ticker,"PG_CAPITAL_EXPENDITURES","PG_HIERARCHY_LEVEL=1","NUMBER_OF_PERIODS=-11","REVERSE_PERIOD_ORDER=N","PRODUCT_GEO_OVERRIDE=P","FUND_PER",RIGHT($B$11,1),"ACCOUNTING_STANDARD_OVERRIDE",$H$7,"EQY_CONSOLIDATED",$H$9,"EQY_FUND_CRNCY",$L$7,"StartCol",G$12,"EndCol",G$12,"StartRow",$B168,"EndRow",$B168),1)="#","",_xll.BDS(Ticker,"PG_CAPITAL_EXPENDITURES","PG_HIERARCHY_LEVEL=1","NUMBER_OF_PERIODS=-11","REVERSE_PERIOD_ORDER=N","PRODUCT_GEO_OVERRIDE=P","FUND_PER",RIGHT($B$11,1),"ACCOUNTING_STANDARD_OVERRIDE",$H$7,"EQY_CONSOLIDATED",$H$9,"EQY_FUND_CRNCY",$L$7,"StartCol",G$12,"EndCol",G$12,"StartRow",$B168,"EndRow",$B168))</f>
        <v/>
      </c>
      <c r="H168" s="218" t="str">
        <f>IF(LEFT(_xll.BDS(Ticker,"PG_CAPITAL_EXPENDITURES","PG_HIERARCHY_LEVEL=1","NUMBER_OF_PERIODS=-11","REVERSE_PERIOD_ORDER=N","PRODUCT_GEO_OVERRIDE=P","FUND_PER",RIGHT($B$11,1),"ACCOUNTING_STANDARD_OVERRIDE",$H$7,"EQY_CONSOLIDATED",$H$9,"EQY_FUND_CRNCY",$L$7,"StartCol",H$12,"EndCol",H$12,"StartRow",$B168,"EndRow",$B168),1)="#","",_xll.BDS(Ticker,"PG_CAPITAL_EXPENDITURES","PG_HIERARCHY_LEVEL=1","NUMBER_OF_PERIODS=-11","REVERSE_PERIOD_ORDER=N","PRODUCT_GEO_OVERRIDE=P","FUND_PER",RIGHT($B$11,1),"ACCOUNTING_STANDARD_OVERRIDE",$H$7,"EQY_CONSOLIDATED",$H$9,"EQY_FUND_CRNCY",$L$7,"StartCol",H$12,"EndCol",H$12,"StartRow",$B168,"EndRow",$B168))</f>
        <v/>
      </c>
      <c r="I168" s="218" t="str">
        <f>IF(LEFT(_xll.BDS(Ticker,"PG_CAPITAL_EXPENDITURES","PG_HIERARCHY_LEVEL=1","NUMBER_OF_PERIODS=-11","REVERSE_PERIOD_ORDER=N","PRODUCT_GEO_OVERRIDE=P","FUND_PER",RIGHT($B$11,1),"ACCOUNTING_STANDARD_OVERRIDE",$H$7,"EQY_CONSOLIDATED",$H$9,"EQY_FUND_CRNCY",$L$7,"StartCol",I$12,"EndCol",I$12,"StartRow",$B168,"EndRow",$B168),1)="#","",_xll.BDS(Ticker,"PG_CAPITAL_EXPENDITURES","PG_HIERARCHY_LEVEL=1","NUMBER_OF_PERIODS=-11","REVERSE_PERIOD_ORDER=N","PRODUCT_GEO_OVERRIDE=P","FUND_PER",RIGHT($B$11,1),"ACCOUNTING_STANDARD_OVERRIDE",$H$7,"EQY_CONSOLIDATED",$H$9,"EQY_FUND_CRNCY",$L$7,"StartCol",I$12,"EndCol",I$12,"StartRow",$B168,"EndRow",$B168))</f>
        <v/>
      </c>
      <c r="J168" s="218" t="str">
        <f>IF(LEFT(_xll.BDS(Ticker,"PG_CAPITAL_EXPENDITURES","PG_HIERARCHY_LEVEL=1","NUMBER_OF_PERIODS=-11","REVERSE_PERIOD_ORDER=N","PRODUCT_GEO_OVERRIDE=P","FUND_PER",RIGHT($B$11,1),"ACCOUNTING_STANDARD_OVERRIDE",$H$7,"EQY_CONSOLIDATED",$H$9,"EQY_FUND_CRNCY",$L$7,"StartCol",J$12,"EndCol",J$12,"StartRow",$B168,"EndRow",$B168),1)="#","",_xll.BDS(Ticker,"PG_CAPITAL_EXPENDITURES","PG_HIERARCHY_LEVEL=1","NUMBER_OF_PERIODS=-11","REVERSE_PERIOD_ORDER=N","PRODUCT_GEO_OVERRIDE=P","FUND_PER",RIGHT($B$11,1),"ACCOUNTING_STANDARD_OVERRIDE",$H$7,"EQY_CONSOLIDATED",$H$9,"EQY_FUND_CRNCY",$L$7,"StartCol",J$12,"EndCol",J$12,"StartRow",$B168,"EndRow",$B168))</f>
        <v/>
      </c>
      <c r="K168" s="218" t="str">
        <f>IF(LEFT(_xll.BDS(Ticker,"PG_CAPITAL_EXPENDITURES","PG_HIERARCHY_LEVEL=1","NUMBER_OF_PERIODS=-11","REVERSE_PERIOD_ORDER=N","PRODUCT_GEO_OVERRIDE=P","FUND_PER",RIGHT($B$11,1),"ACCOUNTING_STANDARD_OVERRIDE",$H$7,"EQY_CONSOLIDATED",$H$9,"EQY_FUND_CRNCY",$L$7,"StartCol",K$12,"EndCol",K$12,"StartRow",$B168,"EndRow",$B168),1)="#","",_xll.BDS(Ticker,"PG_CAPITAL_EXPENDITURES","PG_HIERARCHY_LEVEL=1","NUMBER_OF_PERIODS=-11","REVERSE_PERIOD_ORDER=N","PRODUCT_GEO_OVERRIDE=P","FUND_PER",RIGHT($B$11,1),"ACCOUNTING_STANDARD_OVERRIDE",$H$7,"EQY_CONSOLIDATED",$H$9,"EQY_FUND_CRNCY",$L$7,"StartCol",K$12,"EndCol",K$12,"StartRow",$B168,"EndRow",$B168))</f>
        <v/>
      </c>
      <c r="L168" s="218" t="str">
        <f>IF(LEFT(_xll.BDS(Ticker,"PG_CAPITAL_EXPENDITURES","PG_HIERARCHY_LEVEL=1","NUMBER_OF_PERIODS=-11","REVERSE_PERIOD_ORDER=N","PRODUCT_GEO_OVERRIDE=P","FUND_PER",RIGHT($B$11,1),"ACCOUNTING_STANDARD_OVERRIDE",$H$7,"EQY_CONSOLIDATED",$H$9,"EQY_FUND_CRNCY",$L$7,"StartCol",L$12,"EndCol",L$12,"StartRow",$B168,"EndRow",$B168),1)="#","",_xll.BDS(Ticker,"PG_CAPITAL_EXPENDITURES","PG_HIERARCHY_LEVEL=1","NUMBER_OF_PERIODS=-11","REVERSE_PERIOD_ORDER=N","PRODUCT_GEO_OVERRIDE=P","FUND_PER",RIGHT($B$11,1),"ACCOUNTING_STANDARD_OVERRIDE",$H$7,"EQY_CONSOLIDATED",$H$9,"EQY_FUND_CRNCY",$L$7,"StartCol",L$12,"EndCol",L$12,"StartRow",$B168,"EndRow",$B168))</f>
        <v/>
      </c>
      <c r="M168" s="218" t="str">
        <f>IF(LEFT(_xll.BDS(Ticker,"PG_CAPITAL_EXPENDITURES","PG_HIERARCHY_LEVEL=1","NUMBER_OF_PERIODS=-11","REVERSE_PERIOD_ORDER=N","PRODUCT_GEO_OVERRIDE=P","FUND_PER",RIGHT($B$11,1),"ACCOUNTING_STANDARD_OVERRIDE",$H$7,"EQY_CONSOLIDATED",$H$9,"EQY_FUND_CRNCY",$L$7,"StartCol",M$12,"EndCol",M$12,"StartRow",$B168,"EndRow",$B168),1)="#","",_xll.BDS(Ticker,"PG_CAPITAL_EXPENDITURES","PG_HIERARCHY_LEVEL=1","NUMBER_OF_PERIODS=-11","REVERSE_PERIOD_ORDER=N","PRODUCT_GEO_OVERRIDE=P","FUND_PER",RIGHT($B$11,1),"ACCOUNTING_STANDARD_OVERRIDE",$H$7,"EQY_CONSOLIDATED",$H$9,"EQY_FUND_CRNCY",$L$7,"StartCol",M$12,"EndCol",M$12,"StartRow",$B168,"EndRow",$B168))</f>
        <v/>
      </c>
      <c r="N168" s="218" t="str">
        <f>IF(LEFT(_xll.BDS(Ticker,"PG_CAPITAL_EXPENDITURES","PG_HIERARCHY_LEVEL=1","NUMBER_OF_PERIODS=-11","REVERSE_PERIOD_ORDER=N","PRODUCT_GEO_OVERRIDE=P","FUND_PER",RIGHT($B$11,1),"ACCOUNTING_STANDARD_OVERRIDE",$H$7,"EQY_CONSOLIDATED",$H$9,"EQY_FUND_CRNCY",$L$7,"StartCol",N$12,"EndCol",N$12,"StartRow",$B168,"EndRow",$B168),1)="#","",_xll.BDS(Ticker,"PG_CAPITAL_EXPENDITURES","PG_HIERARCHY_LEVEL=1","NUMBER_OF_PERIODS=-11","REVERSE_PERIOD_ORDER=N","PRODUCT_GEO_OVERRIDE=P","FUND_PER",RIGHT($B$11,1),"ACCOUNTING_STANDARD_OVERRIDE",$H$7,"EQY_CONSOLIDATED",$H$9,"EQY_FUND_CRNCY",$L$7,"StartCol",N$12,"EndCol",N$12,"StartRow",$B168,"EndRow",$B168))</f>
        <v/>
      </c>
    </row>
    <row r="169" spans="1:14" hidden="1" outlineLevel="1">
      <c r="B169" s="214">
        <v>8</v>
      </c>
      <c r="C169" s="216" t="str">
        <f>IF(LEFT(_xll.BDS(Ticker,"PG_CAPITAL_EXPENDITURES","PG_HIERARCHY_LEVEL=1","NUMBER_OF_PERIODS=-11","REVERSE_PERIOD_ORDER=N","PRODUCT_GEO_OVERRIDE=P","FUND_PER",RIGHT($B$11,1),"ACCOUNTING_STANDARD_OVERRIDE",$H$7,"EQY_CONSOLIDATED",$H$9,"EQY_FUND_CRNCY",$L$7,"StartCol",C$12,"EndCol",C$12,"StartRow",$B169,"EndRow",$B169),1)="#","",_xll.BDS(Ticker,"PG_CAPITAL_EXPENDITURES","PG_HIERARCHY_LEVEL=1","NUMBER_OF_PERIODS=-11","REVERSE_PERIOD_ORDER=N","PRODUCT_GEO_OVERRIDE=P","FUND_PER",RIGHT($B$11,1),"ACCOUNTING_STANDARD_OVERRIDE",$H$7,"EQY_CONSOLIDATED",$H$9,"EQY_FUND_CRNCY",$L$7,"StartCol",C$12,"EndCol",C$12,"StartRow",$B169,"EndRow",$B169))</f>
        <v/>
      </c>
      <c r="D169" s="218" t="str">
        <f>IF(LEFT(_xll.BDS(Ticker,"PG_CAPITAL_EXPENDITURES","PG_HIERARCHY_LEVEL=1","NUMBER_OF_PERIODS=-11","REVERSE_PERIOD_ORDER=N","PRODUCT_GEO_OVERRIDE=P","FUND_PER",RIGHT($B$11,1),"ACCOUNTING_STANDARD_OVERRIDE",$H$7,"EQY_CONSOLIDATED",$H$9,"EQY_FUND_CRNCY",$L$7,"StartCol",D$12,"EndCol",D$12,"StartRow",$B169,"EndRow",$B169),1)="#","",_xll.BDS(Ticker,"PG_CAPITAL_EXPENDITURES","PG_HIERARCHY_LEVEL=1","NUMBER_OF_PERIODS=-11","REVERSE_PERIOD_ORDER=N","PRODUCT_GEO_OVERRIDE=P","FUND_PER",RIGHT($B$11,1),"ACCOUNTING_STANDARD_OVERRIDE",$H$7,"EQY_CONSOLIDATED",$H$9,"EQY_FUND_CRNCY",$L$7,"StartCol",D$12,"EndCol",D$12,"StartRow",$B169,"EndRow",$B169))</f>
        <v/>
      </c>
      <c r="E169" s="218" t="str">
        <f>IF(LEFT(_xll.BDS(Ticker,"PG_CAPITAL_EXPENDITURES","PG_HIERARCHY_LEVEL=1","NUMBER_OF_PERIODS=-11","REVERSE_PERIOD_ORDER=N","PRODUCT_GEO_OVERRIDE=P","FUND_PER",RIGHT($B$11,1),"ACCOUNTING_STANDARD_OVERRIDE",$H$7,"EQY_CONSOLIDATED",$H$9,"EQY_FUND_CRNCY",$L$7,"StartCol",E$12,"EndCol",E$12,"StartRow",$B169,"EndRow",$B169),1)="#","",_xll.BDS(Ticker,"PG_CAPITAL_EXPENDITURES","PG_HIERARCHY_LEVEL=1","NUMBER_OF_PERIODS=-11","REVERSE_PERIOD_ORDER=N","PRODUCT_GEO_OVERRIDE=P","FUND_PER",RIGHT($B$11,1),"ACCOUNTING_STANDARD_OVERRIDE",$H$7,"EQY_CONSOLIDATED",$H$9,"EQY_FUND_CRNCY",$L$7,"StartCol",E$12,"EndCol",E$12,"StartRow",$B169,"EndRow",$B169))</f>
        <v/>
      </c>
      <c r="F169" s="218" t="str">
        <f>IF(LEFT(_xll.BDS(Ticker,"PG_CAPITAL_EXPENDITURES","PG_HIERARCHY_LEVEL=1","NUMBER_OF_PERIODS=-11","REVERSE_PERIOD_ORDER=N","PRODUCT_GEO_OVERRIDE=P","FUND_PER",RIGHT($B$11,1),"ACCOUNTING_STANDARD_OVERRIDE",$H$7,"EQY_CONSOLIDATED",$H$9,"EQY_FUND_CRNCY",$L$7,"StartCol",F$12,"EndCol",F$12,"StartRow",$B169,"EndRow",$B169),1)="#","",_xll.BDS(Ticker,"PG_CAPITAL_EXPENDITURES","PG_HIERARCHY_LEVEL=1","NUMBER_OF_PERIODS=-11","REVERSE_PERIOD_ORDER=N","PRODUCT_GEO_OVERRIDE=P","FUND_PER",RIGHT($B$11,1),"ACCOUNTING_STANDARD_OVERRIDE",$H$7,"EQY_CONSOLIDATED",$H$9,"EQY_FUND_CRNCY",$L$7,"StartCol",F$12,"EndCol",F$12,"StartRow",$B169,"EndRow",$B169))</f>
        <v/>
      </c>
      <c r="G169" s="218" t="str">
        <f>IF(LEFT(_xll.BDS(Ticker,"PG_CAPITAL_EXPENDITURES","PG_HIERARCHY_LEVEL=1","NUMBER_OF_PERIODS=-11","REVERSE_PERIOD_ORDER=N","PRODUCT_GEO_OVERRIDE=P","FUND_PER",RIGHT($B$11,1),"ACCOUNTING_STANDARD_OVERRIDE",$H$7,"EQY_CONSOLIDATED",$H$9,"EQY_FUND_CRNCY",$L$7,"StartCol",G$12,"EndCol",G$12,"StartRow",$B169,"EndRow",$B169),1)="#","",_xll.BDS(Ticker,"PG_CAPITAL_EXPENDITURES","PG_HIERARCHY_LEVEL=1","NUMBER_OF_PERIODS=-11","REVERSE_PERIOD_ORDER=N","PRODUCT_GEO_OVERRIDE=P","FUND_PER",RIGHT($B$11,1),"ACCOUNTING_STANDARD_OVERRIDE",$H$7,"EQY_CONSOLIDATED",$H$9,"EQY_FUND_CRNCY",$L$7,"StartCol",G$12,"EndCol",G$12,"StartRow",$B169,"EndRow",$B169))</f>
        <v/>
      </c>
      <c r="H169" s="218" t="str">
        <f>IF(LEFT(_xll.BDS(Ticker,"PG_CAPITAL_EXPENDITURES","PG_HIERARCHY_LEVEL=1","NUMBER_OF_PERIODS=-11","REVERSE_PERIOD_ORDER=N","PRODUCT_GEO_OVERRIDE=P","FUND_PER",RIGHT($B$11,1),"ACCOUNTING_STANDARD_OVERRIDE",$H$7,"EQY_CONSOLIDATED",$H$9,"EQY_FUND_CRNCY",$L$7,"StartCol",H$12,"EndCol",H$12,"StartRow",$B169,"EndRow",$B169),1)="#","",_xll.BDS(Ticker,"PG_CAPITAL_EXPENDITURES","PG_HIERARCHY_LEVEL=1","NUMBER_OF_PERIODS=-11","REVERSE_PERIOD_ORDER=N","PRODUCT_GEO_OVERRIDE=P","FUND_PER",RIGHT($B$11,1),"ACCOUNTING_STANDARD_OVERRIDE",$H$7,"EQY_CONSOLIDATED",$H$9,"EQY_FUND_CRNCY",$L$7,"StartCol",H$12,"EndCol",H$12,"StartRow",$B169,"EndRow",$B169))</f>
        <v/>
      </c>
      <c r="I169" s="218" t="str">
        <f>IF(LEFT(_xll.BDS(Ticker,"PG_CAPITAL_EXPENDITURES","PG_HIERARCHY_LEVEL=1","NUMBER_OF_PERIODS=-11","REVERSE_PERIOD_ORDER=N","PRODUCT_GEO_OVERRIDE=P","FUND_PER",RIGHT($B$11,1),"ACCOUNTING_STANDARD_OVERRIDE",$H$7,"EQY_CONSOLIDATED",$H$9,"EQY_FUND_CRNCY",$L$7,"StartCol",I$12,"EndCol",I$12,"StartRow",$B169,"EndRow",$B169),1)="#","",_xll.BDS(Ticker,"PG_CAPITAL_EXPENDITURES","PG_HIERARCHY_LEVEL=1","NUMBER_OF_PERIODS=-11","REVERSE_PERIOD_ORDER=N","PRODUCT_GEO_OVERRIDE=P","FUND_PER",RIGHT($B$11,1),"ACCOUNTING_STANDARD_OVERRIDE",$H$7,"EQY_CONSOLIDATED",$H$9,"EQY_FUND_CRNCY",$L$7,"StartCol",I$12,"EndCol",I$12,"StartRow",$B169,"EndRow",$B169))</f>
        <v/>
      </c>
      <c r="J169" s="218" t="str">
        <f>IF(LEFT(_xll.BDS(Ticker,"PG_CAPITAL_EXPENDITURES","PG_HIERARCHY_LEVEL=1","NUMBER_OF_PERIODS=-11","REVERSE_PERIOD_ORDER=N","PRODUCT_GEO_OVERRIDE=P","FUND_PER",RIGHT($B$11,1),"ACCOUNTING_STANDARD_OVERRIDE",$H$7,"EQY_CONSOLIDATED",$H$9,"EQY_FUND_CRNCY",$L$7,"StartCol",J$12,"EndCol",J$12,"StartRow",$B169,"EndRow",$B169),1)="#","",_xll.BDS(Ticker,"PG_CAPITAL_EXPENDITURES","PG_HIERARCHY_LEVEL=1","NUMBER_OF_PERIODS=-11","REVERSE_PERIOD_ORDER=N","PRODUCT_GEO_OVERRIDE=P","FUND_PER",RIGHT($B$11,1),"ACCOUNTING_STANDARD_OVERRIDE",$H$7,"EQY_CONSOLIDATED",$H$9,"EQY_FUND_CRNCY",$L$7,"StartCol",J$12,"EndCol",J$12,"StartRow",$B169,"EndRow",$B169))</f>
        <v/>
      </c>
      <c r="K169" s="218" t="str">
        <f>IF(LEFT(_xll.BDS(Ticker,"PG_CAPITAL_EXPENDITURES","PG_HIERARCHY_LEVEL=1","NUMBER_OF_PERIODS=-11","REVERSE_PERIOD_ORDER=N","PRODUCT_GEO_OVERRIDE=P","FUND_PER",RIGHT($B$11,1),"ACCOUNTING_STANDARD_OVERRIDE",$H$7,"EQY_CONSOLIDATED",$H$9,"EQY_FUND_CRNCY",$L$7,"StartCol",K$12,"EndCol",K$12,"StartRow",$B169,"EndRow",$B169),1)="#","",_xll.BDS(Ticker,"PG_CAPITAL_EXPENDITURES","PG_HIERARCHY_LEVEL=1","NUMBER_OF_PERIODS=-11","REVERSE_PERIOD_ORDER=N","PRODUCT_GEO_OVERRIDE=P","FUND_PER",RIGHT($B$11,1),"ACCOUNTING_STANDARD_OVERRIDE",$H$7,"EQY_CONSOLIDATED",$H$9,"EQY_FUND_CRNCY",$L$7,"StartCol",K$12,"EndCol",K$12,"StartRow",$B169,"EndRow",$B169))</f>
        <v/>
      </c>
      <c r="L169" s="218" t="str">
        <f>IF(LEFT(_xll.BDS(Ticker,"PG_CAPITAL_EXPENDITURES","PG_HIERARCHY_LEVEL=1","NUMBER_OF_PERIODS=-11","REVERSE_PERIOD_ORDER=N","PRODUCT_GEO_OVERRIDE=P","FUND_PER",RIGHT($B$11,1),"ACCOUNTING_STANDARD_OVERRIDE",$H$7,"EQY_CONSOLIDATED",$H$9,"EQY_FUND_CRNCY",$L$7,"StartCol",L$12,"EndCol",L$12,"StartRow",$B169,"EndRow",$B169),1)="#","",_xll.BDS(Ticker,"PG_CAPITAL_EXPENDITURES","PG_HIERARCHY_LEVEL=1","NUMBER_OF_PERIODS=-11","REVERSE_PERIOD_ORDER=N","PRODUCT_GEO_OVERRIDE=P","FUND_PER",RIGHT($B$11,1),"ACCOUNTING_STANDARD_OVERRIDE",$H$7,"EQY_CONSOLIDATED",$H$9,"EQY_FUND_CRNCY",$L$7,"StartCol",L$12,"EndCol",L$12,"StartRow",$B169,"EndRow",$B169))</f>
        <v/>
      </c>
      <c r="M169" s="218" t="str">
        <f>IF(LEFT(_xll.BDS(Ticker,"PG_CAPITAL_EXPENDITURES","PG_HIERARCHY_LEVEL=1","NUMBER_OF_PERIODS=-11","REVERSE_PERIOD_ORDER=N","PRODUCT_GEO_OVERRIDE=P","FUND_PER",RIGHT($B$11,1),"ACCOUNTING_STANDARD_OVERRIDE",$H$7,"EQY_CONSOLIDATED",$H$9,"EQY_FUND_CRNCY",$L$7,"StartCol",M$12,"EndCol",M$12,"StartRow",$B169,"EndRow",$B169),1)="#","",_xll.BDS(Ticker,"PG_CAPITAL_EXPENDITURES","PG_HIERARCHY_LEVEL=1","NUMBER_OF_PERIODS=-11","REVERSE_PERIOD_ORDER=N","PRODUCT_GEO_OVERRIDE=P","FUND_PER",RIGHT($B$11,1),"ACCOUNTING_STANDARD_OVERRIDE",$H$7,"EQY_CONSOLIDATED",$H$9,"EQY_FUND_CRNCY",$L$7,"StartCol",M$12,"EndCol",M$12,"StartRow",$B169,"EndRow",$B169))</f>
        <v/>
      </c>
      <c r="N169" s="218" t="str">
        <f>IF(LEFT(_xll.BDS(Ticker,"PG_CAPITAL_EXPENDITURES","PG_HIERARCHY_LEVEL=1","NUMBER_OF_PERIODS=-11","REVERSE_PERIOD_ORDER=N","PRODUCT_GEO_OVERRIDE=P","FUND_PER",RIGHT($B$11,1),"ACCOUNTING_STANDARD_OVERRIDE",$H$7,"EQY_CONSOLIDATED",$H$9,"EQY_FUND_CRNCY",$L$7,"StartCol",N$12,"EndCol",N$12,"StartRow",$B169,"EndRow",$B169),1)="#","",_xll.BDS(Ticker,"PG_CAPITAL_EXPENDITURES","PG_HIERARCHY_LEVEL=1","NUMBER_OF_PERIODS=-11","REVERSE_PERIOD_ORDER=N","PRODUCT_GEO_OVERRIDE=P","FUND_PER",RIGHT($B$11,1),"ACCOUNTING_STANDARD_OVERRIDE",$H$7,"EQY_CONSOLIDATED",$H$9,"EQY_FUND_CRNCY",$L$7,"StartCol",N$12,"EndCol",N$12,"StartRow",$B169,"EndRow",$B169))</f>
        <v/>
      </c>
    </row>
    <row r="170" spans="1:14" hidden="1" outlineLevel="1">
      <c r="B170" s="214">
        <v>9</v>
      </c>
      <c r="C170" s="216" t="str">
        <f>IF(LEFT(_xll.BDS(Ticker,"PG_CAPITAL_EXPENDITURES","PG_HIERARCHY_LEVEL=1","NUMBER_OF_PERIODS=-11","REVERSE_PERIOD_ORDER=N","PRODUCT_GEO_OVERRIDE=P","FUND_PER",RIGHT($B$11,1),"ACCOUNTING_STANDARD_OVERRIDE",$H$7,"EQY_CONSOLIDATED",$H$9,"EQY_FUND_CRNCY",$L$7,"StartCol",C$12,"EndCol",C$12,"StartRow",$B170,"EndRow",$B170),1)="#","",_xll.BDS(Ticker,"PG_CAPITAL_EXPENDITURES","PG_HIERARCHY_LEVEL=1","NUMBER_OF_PERIODS=-11","REVERSE_PERIOD_ORDER=N","PRODUCT_GEO_OVERRIDE=P","FUND_PER",RIGHT($B$11,1),"ACCOUNTING_STANDARD_OVERRIDE",$H$7,"EQY_CONSOLIDATED",$H$9,"EQY_FUND_CRNCY",$L$7,"StartCol",C$12,"EndCol",C$12,"StartRow",$B170,"EndRow",$B170))</f>
        <v/>
      </c>
      <c r="D170" s="218" t="str">
        <f>IF(LEFT(_xll.BDS(Ticker,"PG_CAPITAL_EXPENDITURES","PG_HIERARCHY_LEVEL=1","NUMBER_OF_PERIODS=-11","REVERSE_PERIOD_ORDER=N","PRODUCT_GEO_OVERRIDE=P","FUND_PER",RIGHT($B$11,1),"ACCOUNTING_STANDARD_OVERRIDE",$H$7,"EQY_CONSOLIDATED",$H$9,"EQY_FUND_CRNCY",$L$7,"StartCol",D$12,"EndCol",D$12,"StartRow",$B170,"EndRow",$B170),1)="#","",_xll.BDS(Ticker,"PG_CAPITAL_EXPENDITURES","PG_HIERARCHY_LEVEL=1","NUMBER_OF_PERIODS=-11","REVERSE_PERIOD_ORDER=N","PRODUCT_GEO_OVERRIDE=P","FUND_PER",RIGHT($B$11,1),"ACCOUNTING_STANDARD_OVERRIDE",$H$7,"EQY_CONSOLIDATED",$H$9,"EQY_FUND_CRNCY",$L$7,"StartCol",D$12,"EndCol",D$12,"StartRow",$B170,"EndRow",$B170))</f>
        <v/>
      </c>
      <c r="E170" s="218" t="str">
        <f>IF(LEFT(_xll.BDS(Ticker,"PG_CAPITAL_EXPENDITURES","PG_HIERARCHY_LEVEL=1","NUMBER_OF_PERIODS=-11","REVERSE_PERIOD_ORDER=N","PRODUCT_GEO_OVERRIDE=P","FUND_PER",RIGHT($B$11,1),"ACCOUNTING_STANDARD_OVERRIDE",$H$7,"EQY_CONSOLIDATED",$H$9,"EQY_FUND_CRNCY",$L$7,"StartCol",E$12,"EndCol",E$12,"StartRow",$B170,"EndRow",$B170),1)="#","",_xll.BDS(Ticker,"PG_CAPITAL_EXPENDITURES","PG_HIERARCHY_LEVEL=1","NUMBER_OF_PERIODS=-11","REVERSE_PERIOD_ORDER=N","PRODUCT_GEO_OVERRIDE=P","FUND_PER",RIGHT($B$11,1),"ACCOUNTING_STANDARD_OVERRIDE",$H$7,"EQY_CONSOLIDATED",$H$9,"EQY_FUND_CRNCY",$L$7,"StartCol",E$12,"EndCol",E$12,"StartRow",$B170,"EndRow",$B170))</f>
        <v/>
      </c>
      <c r="F170" s="218" t="str">
        <f>IF(LEFT(_xll.BDS(Ticker,"PG_CAPITAL_EXPENDITURES","PG_HIERARCHY_LEVEL=1","NUMBER_OF_PERIODS=-11","REVERSE_PERIOD_ORDER=N","PRODUCT_GEO_OVERRIDE=P","FUND_PER",RIGHT($B$11,1),"ACCOUNTING_STANDARD_OVERRIDE",$H$7,"EQY_CONSOLIDATED",$H$9,"EQY_FUND_CRNCY",$L$7,"StartCol",F$12,"EndCol",F$12,"StartRow",$B170,"EndRow",$B170),1)="#","",_xll.BDS(Ticker,"PG_CAPITAL_EXPENDITURES","PG_HIERARCHY_LEVEL=1","NUMBER_OF_PERIODS=-11","REVERSE_PERIOD_ORDER=N","PRODUCT_GEO_OVERRIDE=P","FUND_PER",RIGHT($B$11,1),"ACCOUNTING_STANDARD_OVERRIDE",$H$7,"EQY_CONSOLIDATED",$H$9,"EQY_FUND_CRNCY",$L$7,"StartCol",F$12,"EndCol",F$12,"StartRow",$B170,"EndRow",$B170))</f>
        <v/>
      </c>
      <c r="G170" s="218" t="str">
        <f>IF(LEFT(_xll.BDS(Ticker,"PG_CAPITAL_EXPENDITURES","PG_HIERARCHY_LEVEL=1","NUMBER_OF_PERIODS=-11","REVERSE_PERIOD_ORDER=N","PRODUCT_GEO_OVERRIDE=P","FUND_PER",RIGHT($B$11,1),"ACCOUNTING_STANDARD_OVERRIDE",$H$7,"EQY_CONSOLIDATED",$H$9,"EQY_FUND_CRNCY",$L$7,"StartCol",G$12,"EndCol",G$12,"StartRow",$B170,"EndRow",$B170),1)="#","",_xll.BDS(Ticker,"PG_CAPITAL_EXPENDITURES","PG_HIERARCHY_LEVEL=1","NUMBER_OF_PERIODS=-11","REVERSE_PERIOD_ORDER=N","PRODUCT_GEO_OVERRIDE=P","FUND_PER",RIGHT($B$11,1),"ACCOUNTING_STANDARD_OVERRIDE",$H$7,"EQY_CONSOLIDATED",$H$9,"EQY_FUND_CRNCY",$L$7,"StartCol",G$12,"EndCol",G$12,"StartRow",$B170,"EndRow",$B170))</f>
        <v/>
      </c>
      <c r="H170" s="218" t="str">
        <f>IF(LEFT(_xll.BDS(Ticker,"PG_CAPITAL_EXPENDITURES","PG_HIERARCHY_LEVEL=1","NUMBER_OF_PERIODS=-11","REVERSE_PERIOD_ORDER=N","PRODUCT_GEO_OVERRIDE=P","FUND_PER",RIGHT($B$11,1),"ACCOUNTING_STANDARD_OVERRIDE",$H$7,"EQY_CONSOLIDATED",$H$9,"EQY_FUND_CRNCY",$L$7,"StartCol",H$12,"EndCol",H$12,"StartRow",$B170,"EndRow",$B170),1)="#","",_xll.BDS(Ticker,"PG_CAPITAL_EXPENDITURES","PG_HIERARCHY_LEVEL=1","NUMBER_OF_PERIODS=-11","REVERSE_PERIOD_ORDER=N","PRODUCT_GEO_OVERRIDE=P","FUND_PER",RIGHT($B$11,1),"ACCOUNTING_STANDARD_OVERRIDE",$H$7,"EQY_CONSOLIDATED",$H$9,"EQY_FUND_CRNCY",$L$7,"StartCol",H$12,"EndCol",H$12,"StartRow",$B170,"EndRow",$B170))</f>
        <v/>
      </c>
      <c r="I170" s="218" t="str">
        <f>IF(LEFT(_xll.BDS(Ticker,"PG_CAPITAL_EXPENDITURES","PG_HIERARCHY_LEVEL=1","NUMBER_OF_PERIODS=-11","REVERSE_PERIOD_ORDER=N","PRODUCT_GEO_OVERRIDE=P","FUND_PER",RIGHT($B$11,1),"ACCOUNTING_STANDARD_OVERRIDE",$H$7,"EQY_CONSOLIDATED",$H$9,"EQY_FUND_CRNCY",$L$7,"StartCol",I$12,"EndCol",I$12,"StartRow",$B170,"EndRow",$B170),1)="#","",_xll.BDS(Ticker,"PG_CAPITAL_EXPENDITURES","PG_HIERARCHY_LEVEL=1","NUMBER_OF_PERIODS=-11","REVERSE_PERIOD_ORDER=N","PRODUCT_GEO_OVERRIDE=P","FUND_PER",RIGHT($B$11,1),"ACCOUNTING_STANDARD_OVERRIDE",$H$7,"EQY_CONSOLIDATED",$H$9,"EQY_FUND_CRNCY",$L$7,"StartCol",I$12,"EndCol",I$12,"StartRow",$B170,"EndRow",$B170))</f>
        <v/>
      </c>
      <c r="J170" s="218" t="str">
        <f>IF(LEFT(_xll.BDS(Ticker,"PG_CAPITAL_EXPENDITURES","PG_HIERARCHY_LEVEL=1","NUMBER_OF_PERIODS=-11","REVERSE_PERIOD_ORDER=N","PRODUCT_GEO_OVERRIDE=P","FUND_PER",RIGHT($B$11,1),"ACCOUNTING_STANDARD_OVERRIDE",$H$7,"EQY_CONSOLIDATED",$H$9,"EQY_FUND_CRNCY",$L$7,"StartCol",J$12,"EndCol",J$12,"StartRow",$B170,"EndRow",$B170),1)="#","",_xll.BDS(Ticker,"PG_CAPITAL_EXPENDITURES","PG_HIERARCHY_LEVEL=1","NUMBER_OF_PERIODS=-11","REVERSE_PERIOD_ORDER=N","PRODUCT_GEO_OVERRIDE=P","FUND_PER",RIGHT($B$11,1),"ACCOUNTING_STANDARD_OVERRIDE",$H$7,"EQY_CONSOLIDATED",$H$9,"EQY_FUND_CRNCY",$L$7,"StartCol",J$12,"EndCol",J$12,"StartRow",$B170,"EndRow",$B170))</f>
        <v/>
      </c>
      <c r="K170" s="218" t="str">
        <f>IF(LEFT(_xll.BDS(Ticker,"PG_CAPITAL_EXPENDITURES","PG_HIERARCHY_LEVEL=1","NUMBER_OF_PERIODS=-11","REVERSE_PERIOD_ORDER=N","PRODUCT_GEO_OVERRIDE=P","FUND_PER",RIGHT($B$11,1),"ACCOUNTING_STANDARD_OVERRIDE",$H$7,"EQY_CONSOLIDATED",$H$9,"EQY_FUND_CRNCY",$L$7,"StartCol",K$12,"EndCol",K$12,"StartRow",$B170,"EndRow",$B170),1)="#","",_xll.BDS(Ticker,"PG_CAPITAL_EXPENDITURES","PG_HIERARCHY_LEVEL=1","NUMBER_OF_PERIODS=-11","REVERSE_PERIOD_ORDER=N","PRODUCT_GEO_OVERRIDE=P","FUND_PER",RIGHT($B$11,1),"ACCOUNTING_STANDARD_OVERRIDE",$H$7,"EQY_CONSOLIDATED",$H$9,"EQY_FUND_CRNCY",$L$7,"StartCol",K$12,"EndCol",K$12,"StartRow",$B170,"EndRow",$B170))</f>
        <v/>
      </c>
      <c r="L170" s="218" t="str">
        <f>IF(LEFT(_xll.BDS(Ticker,"PG_CAPITAL_EXPENDITURES","PG_HIERARCHY_LEVEL=1","NUMBER_OF_PERIODS=-11","REVERSE_PERIOD_ORDER=N","PRODUCT_GEO_OVERRIDE=P","FUND_PER",RIGHT($B$11,1),"ACCOUNTING_STANDARD_OVERRIDE",$H$7,"EQY_CONSOLIDATED",$H$9,"EQY_FUND_CRNCY",$L$7,"StartCol",L$12,"EndCol",L$12,"StartRow",$B170,"EndRow",$B170),1)="#","",_xll.BDS(Ticker,"PG_CAPITAL_EXPENDITURES","PG_HIERARCHY_LEVEL=1","NUMBER_OF_PERIODS=-11","REVERSE_PERIOD_ORDER=N","PRODUCT_GEO_OVERRIDE=P","FUND_PER",RIGHT($B$11,1),"ACCOUNTING_STANDARD_OVERRIDE",$H$7,"EQY_CONSOLIDATED",$H$9,"EQY_FUND_CRNCY",$L$7,"StartCol",L$12,"EndCol",L$12,"StartRow",$B170,"EndRow",$B170))</f>
        <v/>
      </c>
      <c r="M170" s="218" t="str">
        <f>IF(LEFT(_xll.BDS(Ticker,"PG_CAPITAL_EXPENDITURES","PG_HIERARCHY_LEVEL=1","NUMBER_OF_PERIODS=-11","REVERSE_PERIOD_ORDER=N","PRODUCT_GEO_OVERRIDE=P","FUND_PER",RIGHT($B$11,1),"ACCOUNTING_STANDARD_OVERRIDE",$H$7,"EQY_CONSOLIDATED",$H$9,"EQY_FUND_CRNCY",$L$7,"StartCol",M$12,"EndCol",M$12,"StartRow",$B170,"EndRow",$B170),1)="#","",_xll.BDS(Ticker,"PG_CAPITAL_EXPENDITURES","PG_HIERARCHY_LEVEL=1","NUMBER_OF_PERIODS=-11","REVERSE_PERIOD_ORDER=N","PRODUCT_GEO_OVERRIDE=P","FUND_PER",RIGHT($B$11,1),"ACCOUNTING_STANDARD_OVERRIDE",$H$7,"EQY_CONSOLIDATED",$H$9,"EQY_FUND_CRNCY",$L$7,"StartCol",M$12,"EndCol",M$12,"StartRow",$B170,"EndRow",$B170))</f>
        <v/>
      </c>
      <c r="N170" s="218" t="str">
        <f>IF(LEFT(_xll.BDS(Ticker,"PG_CAPITAL_EXPENDITURES","PG_HIERARCHY_LEVEL=1","NUMBER_OF_PERIODS=-11","REVERSE_PERIOD_ORDER=N","PRODUCT_GEO_OVERRIDE=P","FUND_PER",RIGHT($B$11,1),"ACCOUNTING_STANDARD_OVERRIDE",$H$7,"EQY_CONSOLIDATED",$H$9,"EQY_FUND_CRNCY",$L$7,"StartCol",N$12,"EndCol",N$12,"StartRow",$B170,"EndRow",$B170),1)="#","",_xll.BDS(Ticker,"PG_CAPITAL_EXPENDITURES","PG_HIERARCHY_LEVEL=1","NUMBER_OF_PERIODS=-11","REVERSE_PERIOD_ORDER=N","PRODUCT_GEO_OVERRIDE=P","FUND_PER",RIGHT($B$11,1),"ACCOUNTING_STANDARD_OVERRIDE",$H$7,"EQY_CONSOLIDATED",$H$9,"EQY_FUND_CRNCY",$L$7,"StartCol",N$12,"EndCol",N$12,"StartRow",$B170,"EndRow",$B170))</f>
        <v/>
      </c>
    </row>
    <row r="171" spans="1:14" hidden="1" outlineLevel="1">
      <c r="B171" s="214">
        <v>10</v>
      </c>
      <c r="C171" s="216" t="str">
        <f>IF(LEFT(_xll.BDS(Ticker,"PG_CAPITAL_EXPENDITURES","PG_HIERARCHY_LEVEL=1","NUMBER_OF_PERIODS=-11","REVERSE_PERIOD_ORDER=N","PRODUCT_GEO_OVERRIDE=P","FUND_PER",RIGHT($B$11,1),"ACCOUNTING_STANDARD_OVERRIDE",$H$7,"EQY_CONSOLIDATED",$H$9,"EQY_FUND_CRNCY",$L$7,"StartCol",C$12,"EndCol",C$12,"StartRow",$B171,"EndRow",$B171),1)="#","",_xll.BDS(Ticker,"PG_CAPITAL_EXPENDITURES","PG_HIERARCHY_LEVEL=1","NUMBER_OF_PERIODS=-11","REVERSE_PERIOD_ORDER=N","PRODUCT_GEO_OVERRIDE=P","FUND_PER",RIGHT($B$11,1),"ACCOUNTING_STANDARD_OVERRIDE",$H$7,"EQY_CONSOLIDATED",$H$9,"EQY_FUND_CRNCY",$L$7,"StartCol",C$12,"EndCol",C$12,"StartRow",$B171,"EndRow",$B171))</f>
        <v/>
      </c>
      <c r="D171" s="218" t="str">
        <f>IF(LEFT(_xll.BDS(Ticker,"PG_CAPITAL_EXPENDITURES","PG_HIERARCHY_LEVEL=1","NUMBER_OF_PERIODS=-11","REVERSE_PERIOD_ORDER=N","PRODUCT_GEO_OVERRIDE=P","FUND_PER",RIGHT($B$11,1),"ACCOUNTING_STANDARD_OVERRIDE",$H$7,"EQY_CONSOLIDATED",$H$9,"EQY_FUND_CRNCY",$L$7,"StartCol",D$12,"EndCol",D$12,"StartRow",$B171,"EndRow",$B171),1)="#","",_xll.BDS(Ticker,"PG_CAPITAL_EXPENDITURES","PG_HIERARCHY_LEVEL=1","NUMBER_OF_PERIODS=-11","REVERSE_PERIOD_ORDER=N","PRODUCT_GEO_OVERRIDE=P","FUND_PER",RIGHT($B$11,1),"ACCOUNTING_STANDARD_OVERRIDE",$H$7,"EQY_CONSOLIDATED",$H$9,"EQY_FUND_CRNCY",$L$7,"StartCol",D$12,"EndCol",D$12,"StartRow",$B171,"EndRow",$B171))</f>
        <v/>
      </c>
      <c r="E171" s="218" t="str">
        <f>IF(LEFT(_xll.BDS(Ticker,"PG_CAPITAL_EXPENDITURES","PG_HIERARCHY_LEVEL=1","NUMBER_OF_PERIODS=-11","REVERSE_PERIOD_ORDER=N","PRODUCT_GEO_OVERRIDE=P","FUND_PER",RIGHT($B$11,1),"ACCOUNTING_STANDARD_OVERRIDE",$H$7,"EQY_CONSOLIDATED",$H$9,"EQY_FUND_CRNCY",$L$7,"StartCol",E$12,"EndCol",E$12,"StartRow",$B171,"EndRow",$B171),1)="#","",_xll.BDS(Ticker,"PG_CAPITAL_EXPENDITURES","PG_HIERARCHY_LEVEL=1","NUMBER_OF_PERIODS=-11","REVERSE_PERIOD_ORDER=N","PRODUCT_GEO_OVERRIDE=P","FUND_PER",RIGHT($B$11,1),"ACCOUNTING_STANDARD_OVERRIDE",$H$7,"EQY_CONSOLIDATED",$H$9,"EQY_FUND_CRNCY",$L$7,"StartCol",E$12,"EndCol",E$12,"StartRow",$B171,"EndRow",$B171))</f>
        <v/>
      </c>
      <c r="F171" s="218" t="str">
        <f>IF(LEFT(_xll.BDS(Ticker,"PG_CAPITAL_EXPENDITURES","PG_HIERARCHY_LEVEL=1","NUMBER_OF_PERIODS=-11","REVERSE_PERIOD_ORDER=N","PRODUCT_GEO_OVERRIDE=P","FUND_PER",RIGHT($B$11,1),"ACCOUNTING_STANDARD_OVERRIDE",$H$7,"EQY_CONSOLIDATED",$H$9,"EQY_FUND_CRNCY",$L$7,"StartCol",F$12,"EndCol",F$12,"StartRow",$B171,"EndRow",$B171),1)="#","",_xll.BDS(Ticker,"PG_CAPITAL_EXPENDITURES","PG_HIERARCHY_LEVEL=1","NUMBER_OF_PERIODS=-11","REVERSE_PERIOD_ORDER=N","PRODUCT_GEO_OVERRIDE=P","FUND_PER",RIGHT($B$11,1),"ACCOUNTING_STANDARD_OVERRIDE",$H$7,"EQY_CONSOLIDATED",$H$9,"EQY_FUND_CRNCY",$L$7,"StartCol",F$12,"EndCol",F$12,"StartRow",$B171,"EndRow",$B171))</f>
        <v/>
      </c>
      <c r="G171" s="218" t="str">
        <f>IF(LEFT(_xll.BDS(Ticker,"PG_CAPITAL_EXPENDITURES","PG_HIERARCHY_LEVEL=1","NUMBER_OF_PERIODS=-11","REVERSE_PERIOD_ORDER=N","PRODUCT_GEO_OVERRIDE=P","FUND_PER",RIGHT($B$11,1),"ACCOUNTING_STANDARD_OVERRIDE",$H$7,"EQY_CONSOLIDATED",$H$9,"EQY_FUND_CRNCY",$L$7,"StartCol",G$12,"EndCol",G$12,"StartRow",$B171,"EndRow",$B171),1)="#","",_xll.BDS(Ticker,"PG_CAPITAL_EXPENDITURES","PG_HIERARCHY_LEVEL=1","NUMBER_OF_PERIODS=-11","REVERSE_PERIOD_ORDER=N","PRODUCT_GEO_OVERRIDE=P","FUND_PER",RIGHT($B$11,1),"ACCOUNTING_STANDARD_OVERRIDE",$H$7,"EQY_CONSOLIDATED",$H$9,"EQY_FUND_CRNCY",$L$7,"StartCol",G$12,"EndCol",G$12,"StartRow",$B171,"EndRow",$B171))</f>
        <v/>
      </c>
      <c r="H171" s="218" t="str">
        <f>IF(LEFT(_xll.BDS(Ticker,"PG_CAPITAL_EXPENDITURES","PG_HIERARCHY_LEVEL=1","NUMBER_OF_PERIODS=-11","REVERSE_PERIOD_ORDER=N","PRODUCT_GEO_OVERRIDE=P","FUND_PER",RIGHT($B$11,1),"ACCOUNTING_STANDARD_OVERRIDE",$H$7,"EQY_CONSOLIDATED",$H$9,"EQY_FUND_CRNCY",$L$7,"StartCol",H$12,"EndCol",H$12,"StartRow",$B171,"EndRow",$B171),1)="#","",_xll.BDS(Ticker,"PG_CAPITAL_EXPENDITURES","PG_HIERARCHY_LEVEL=1","NUMBER_OF_PERIODS=-11","REVERSE_PERIOD_ORDER=N","PRODUCT_GEO_OVERRIDE=P","FUND_PER",RIGHT($B$11,1),"ACCOUNTING_STANDARD_OVERRIDE",$H$7,"EQY_CONSOLIDATED",$H$9,"EQY_FUND_CRNCY",$L$7,"StartCol",H$12,"EndCol",H$12,"StartRow",$B171,"EndRow",$B171))</f>
        <v/>
      </c>
      <c r="I171" s="218" t="str">
        <f>IF(LEFT(_xll.BDS(Ticker,"PG_CAPITAL_EXPENDITURES","PG_HIERARCHY_LEVEL=1","NUMBER_OF_PERIODS=-11","REVERSE_PERIOD_ORDER=N","PRODUCT_GEO_OVERRIDE=P","FUND_PER",RIGHT($B$11,1),"ACCOUNTING_STANDARD_OVERRIDE",$H$7,"EQY_CONSOLIDATED",$H$9,"EQY_FUND_CRNCY",$L$7,"StartCol",I$12,"EndCol",I$12,"StartRow",$B171,"EndRow",$B171),1)="#","",_xll.BDS(Ticker,"PG_CAPITAL_EXPENDITURES","PG_HIERARCHY_LEVEL=1","NUMBER_OF_PERIODS=-11","REVERSE_PERIOD_ORDER=N","PRODUCT_GEO_OVERRIDE=P","FUND_PER",RIGHT($B$11,1),"ACCOUNTING_STANDARD_OVERRIDE",$H$7,"EQY_CONSOLIDATED",$H$9,"EQY_FUND_CRNCY",$L$7,"StartCol",I$12,"EndCol",I$12,"StartRow",$B171,"EndRow",$B171))</f>
        <v/>
      </c>
      <c r="J171" s="218" t="str">
        <f>IF(LEFT(_xll.BDS(Ticker,"PG_CAPITAL_EXPENDITURES","PG_HIERARCHY_LEVEL=1","NUMBER_OF_PERIODS=-11","REVERSE_PERIOD_ORDER=N","PRODUCT_GEO_OVERRIDE=P","FUND_PER",RIGHT($B$11,1),"ACCOUNTING_STANDARD_OVERRIDE",$H$7,"EQY_CONSOLIDATED",$H$9,"EQY_FUND_CRNCY",$L$7,"StartCol",J$12,"EndCol",J$12,"StartRow",$B171,"EndRow",$B171),1)="#","",_xll.BDS(Ticker,"PG_CAPITAL_EXPENDITURES","PG_HIERARCHY_LEVEL=1","NUMBER_OF_PERIODS=-11","REVERSE_PERIOD_ORDER=N","PRODUCT_GEO_OVERRIDE=P","FUND_PER",RIGHT($B$11,1),"ACCOUNTING_STANDARD_OVERRIDE",$H$7,"EQY_CONSOLIDATED",$H$9,"EQY_FUND_CRNCY",$L$7,"StartCol",J$12,"EndCol",J$12,"StartRow",$B171,"EndRow",$B171))</f>
        <v/>
      </c>
      <c r="K171" s="218" t="str">
        <f>IF(LEFT(_xll.BDS(Ticker,"PG_CAPITAL_EXPENDITURES","PG_HIERARCHY_LEVEL=1","NUMBER_OF_PERIODS=-11","REVERSE_PERIOD_ORDER=N","PRODUCT_GEO_OVERRIDE=P","FUND_PER",RIGHT($B$11,1),"ACCOUNTING_STANDARD_OVERRIDE",$H$7,"EQY_CONSOLIDATED",$H$9,"EQY_FUND_CRNCY",$L$7,"StartCol",K$12,"EndCol",K$12,"StartRow",$B171,"EndRow",$B171),1)="#","",_xll.BDS(Ticker,"PG_CAPITAL_EXPENDITURES","PG_HIERARCHY_LEVEL=1","NUMBER_OF_PERIODS=-11","REVERSE_PERIOD_ORDER=N","PRODUCT_GEO_OVERRIDE=P","FUND_PER",RIGHT($B$11,1),"ACCOUNTING_STANDARD_OVERRIDE",$H$7,"EQY_CONSOLIDATED",$H$9,"EQY_FUND_CRNCY",$L$7,"StartCol",K$12,"EndCol",K$12,"StartRow",$B171,"EndRow",$B171))</f>
        <v/>
      </c>
      <c r="L171" s="218" t="str">
        <f>IF(LEFT(_xll.BDS(Ticker,"PG_CAPITAL_EXPENDITURES","PG_HIERARCHY_LEVEL=1","NUMBER_OF_PERIODS=-11","REVERSE_PERIOD_ORDER=N","PRODUCT_GEO_OVERRIDE=P","FUND_PER",RIGHT($B$11,1),"ACCOUNTING_STANDARD_OVERRIDE",$H$7,"EQY_CONSOLIDATED",$H$9,"EQY_FUND_CRNCY",$L$7,"StartCol",L$12,"EndCol",L$12,"StartRow",$B171,"EndRow",$B171),1)="#","",_xll.BDS(Ticker,"PG_CAPITAL_EXPENDITURES","PG_HIERARCHY_LEVEL=1","NUMBER_OF_PERIODS=-11","REVERSE_PERIOD_ORDER=N","PRODUCT_GEO_OVERRIDE=P","FUND_PER",RIGHT($B$11,1),"ACCOUNTING_STANDARD_OVERRIDE",$H$7,"EQY_CONSOLIDATED",$H$9,"EQY_FUND_CRNCY",$L$7,"StartCol",L$12,"EndCol",L$12,"StartRow",$B171,"EndRow",$B171))</f>
        <v/>
      </c>
      <c r="M171" s="218" t="str">
        <f>IF(LEFT(_xll.BDS(Ticker,"PG_CAPITAL_EXPENDITURES","PG_HIERARCHY_LEVEL=1","NUMBER_OF_PERIODS=-11","REVERSE_PERIOD_ORDER=N","PRODUCT_GEO_OVERRIDE=P","FUND_PER",RIGHT($B$11,1),"ACCOUNTING_STANDARD_OVERRIDE",$H$7,"EQY_CONSOLIDATED",$H$9,"EQY_FUND_CRNCY",$L$7,"StartCol",M$12,"EndCol",M$12,"StartRow",$B171,"EndRow",$B171),1)="#","",_xll.BDS(Ticker,"PG_CAPITAL_EXPENDITURES","PG_HIERARCHY_LEVEL=1","NUMBER_OF_PERIODS=-11","REVERSE_PERIOD_ORDER=N","PRODUCT_GEO_OVERRIDE=P","FUND_PER",RIGHT($B$11,1),"ACCOUNTING_STANDARD_OVERRIDE",$H$7,"EQY_CONSOLIDATED",$H$9,"EQY_FUND_CRNCY",$L$7,"StartCol",M$12,"EndCol",M$12,"StartRow",$B171,"EndRow",$B171))</f>
        <v/>
      </c>
      <c r="N171" s="218" t="str">
        <f>IF(LEFT(_xll.BDS(Ticker,"PG_CAPITAL_EXPENDITURES","PG_HIERARCHY_LEVEL=1","NUMBER_OF_PERIODS=-11","REVERSE_PERIOD_ORDER=N","PRODUCT_GEO_OVERRIDE=P","FUND_PER",RIGHT($B$11,1),"ACCOUNTING_STANDARD_OVERRIDE",$H$7,"EQY_CONSOLIDATED",$H$9,"EQY_FUND_CRNCY",$L$7,"StartCol",N$12,"EndCol",N$12,"StartRow",$B171,"EndRow",$B171),1)="#","",_xll.BDS(Ticker,"PG_CAPITAL_EXPENDITURES","PG_HIERARCHY_LEVEL=1","NUMBER_OF_PERIODS=-11","REVERSE_PERIOD_ORDER=N","PRODUCT_GEO_OVERRIDE=P","FUND_PER",RIGHT($B$11,1),"ACCOUNTING_STANDARD_OVERRIDE",$H$7,"EQY_CONSOLIDATED",$H$9,"EQY_FUND_CRNCY",$L$7,"StartCol",N$12,"EndCol",N$12,"StartRow",$B171,"EndRow",$B171))</f>
        <v/>
      </c>
    </row>
    <row r="172" spans="1:14" hidden="1" outlineLevel="1">
      <c r="B172" s="214"/>
      <c r="C172" s="208"/>
      <c r="D172" s="208"/>
      <c r="E172" s="208"/>
      <c r="F172" s="208"/>
      <c r="G172" s="208"/>
      <c r="H172" s="208"/>
      <c r="I172" s="208"/>
      <c r="J172" s="208"/>
      <c r="K172" s="208"/>
      <c r="L172" s="208"/>
      <c r="M172" s="208"/>
      <c r="N172" s="208"/>
    </row>
    <row r="173" spans="1:14" hidden="1" outlineLevel="1">
      <c r="B173" s="220"/>
      <c r="C173" s="233" t="s">
        <v>360</v>
      </c>
      <c r="D173" s="232"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2008</v>
      </c>
      <c r="E173" s="232"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2009</v>
      </c>
      <c r="F173" s="232"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2010</v>
      </c>
      <c r="G173" s="232"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2011</v>
      </c>
      <c r="H173" s="232"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2012</v>
      </c>
      <c r="I173" s="232"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2013</v>
      </c>
      <c r="J173" s="232"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2014</v>
      </c>
      <c r="K173" s="232"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2015</v>
      </c>
      <c r="L173" s="232"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2016</v>
      </c>
      <c r="M173" s="232"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2017</v>
      </c>
      <c r="N173" s="232" t="str">
        <f>IF($B$11="FY","FY "&amp;LEFT(_xll.BDP(Ticker,"FISCAL_YEAR_PERIOD","EQY_FUND_RELATIVE_PERIOD",N$11),4),IF($B$11="FS","FS"&amp;RIGHT(_xll.BDP(Ticker,"FISCAL_YEAR_PERIOD","EQY_FUND_RELATIVE_PERIOD",N$11),1)&amp;" "&amp;LEFT(_xll.BDP(Ticker,"FISCAL_YEAR_PERIOD","EQY_FUND_RELATIVE_PERIOD",N$11),4),IF($B$11="FQ","FQ"&amp;RIGHT(_xll.BDP(Ticker,"FISCAL_YEAR_PERIOD","EQY_FUND_RELATIVE_PERIOD",N$11),1)&amp;" "&amp;LEFT(_xll.BDP(Ticker,"FISCAL_YEAR_PERIOD","EQY_FUND_RELATIVE_PERIOD",N$11),4))))</f>
        <v>FY 2018</v>
      </c>
    </row>
    <row r="174" spans="1:14" hidden="1" outlineLevel="1">
      <c r="B174" s="222"/>
      <c r="C174" s="233" t="s">
        <v>357</v>
      </c>
      <c r="D174" s="231" t="str">
        <f>IF(LEFT(_xll.BDP(Ticker,"LATEST_PERIOD_END_DT_FULL_RECORD","EQY_FUND_RELATIVE_PERIOD",D$11,"EQY_CONSOLIDATED",$H$9),1)="#","--",_xll.BDP(Ticker,"LATEST_PERIOD_END_DT_FULL_RECORD","EQY_FUND_RELATIVE_PERIOD",D$11,"EQY_CONSOLIDATED",$H$9))</f>
        <v>12/31/2008</v>
      </c>
      <c r="E174" s="231" t="str">
        <f>IF(LEFT(_xll.BDP(Ticker,"LATEST_PERIOD_END_DT_FULL_RECORD","EQY_FUND_RELATIVE_PERIOD",E$11,"EQY_CONSOLIDATED",$H$9),1)="#","--",_xll.BDP(Ticker,"LATEST_PERIOD_END_DT_FULL_RECORD","EQY_FUND_RELATIVE_PERIOD",E$11,"EQY_CONSOLIDATED",$H$9))</f>
        <v>12/31/2009</v>
      </c>
      <c r="F174" s="231" t="str">
        <f>IF(LEFT(_xll.BDP(Ticker,"LATEST_PERIOD_END_DT_FULL_RECORD","EQY_FUND_RELATIVE_PERIOD",F$11,"EQY_CONSOLIDATED",$H$9),1)="#","--",_xll.BDP(Ticker,"LATEST_PERIOD_END_DT_FULL_RECORD","EQY_FUND_RELATIVE_PERIOD",F$11,"EQY_CONSOLIDATED",$H$9))</f>
        <v>12/31/2010</v>
      </c>
      <c r="G174" s="231" t="str">
        <f>IF(LEFT(_xll.BDP(Ticker,"LATEST_PERIOD_END_DT_FULL_RECORD","EQY_FUND_RELATIVE_PERIOD",G$11,"EQY_CONSOLIDATED",$H$9),1)="#","--",_xll.BDP(Ticker,"LATEST_PERIOD_END_DT_FULL_RECORD","EQY_FUND_RELATIVE_PERIOD",G$11,"EQY_CONSOLIDATED",$H$9))</f>
        <v>12/31/2011</v>
      </c>
      <c r="H174" s="231" t="str">
        <f>IF(LEFT(_xll.BDP(Ticker,"LATEST_PERIOD_END_DT_FULL_RECORD","EQY_FUND_RELATIVE_PERIOD",H$11,"EQY_CONSOLIDATED",$H$9),1)="#","--",_xll.BDP(Ticker,"LATEST_PERIOD_END_DT_FULL_RECORD","EQY_FUND_RELATIVE_PERIOD",H$11,"EQY_CONSOLIDATED",$H$9))</f>
        <v>12/31/2012</v>
      </c>
      <c r="I174" s="231" t="str">
        <f>IF(LEFT(_xll.BDP(Ticker,"LATEST_PERIOD_END_DT_FULL_RECORD","EQY_FUND_RELATIVE_PERIOD",I$11,"EQY_CONSOLIDATED",$H$9),1)="#","--",_xll.BDP(Ticker,"LATEST_PERIOD_END_DT_FULL_RECORD","EQY_FUND_RELATIVE_PERIOD",I$11,"EQY_CONSOLIDATED",$H$9))</f>
        <v>12/31/2013</v>
      </c>
      <c r="J174" s="231" t="str">
        <f>IF(LEFT(_xll.BDP(Ticker,"LATEST_PERIOD_END_DT_FULL_RECORD","EQY_FUND_RELATIVE_PERIOD",J$11,"EQY_CONSOLIDATED",$H$9),1)="#","--",_xll.BDP(Ticker,"LATEST_PERIOD_END_DT_FULL_RECORD","EQY_FUND_RELATIVE_PERIOD",J$11,"EQY_CONSOLIDATED",$H$9))</f>
        <v>12/31/2014</v>
      </c>
      <c r="K174" s="231" t="str">
        <f>IF(LEFT(_xll.BDP(Ticker,"LATEST_PERIOD_END_DT_FULL_RECORD","EQY_FUND_RELATIVE_PERIOD",K$11,"EQY_CONSOLIDATED",$H$9),1)="#","--",_xll.BDP(Ticker,"LATEST_PERIOD_END_DT_FULL_RECORD","EQY_FUND_RELATIVE_PERIOD",K$11,"EQY_CONSOLIDATED",$H$9))</f>
        <v>12/31/2015</v>
      </c>
      <c r="L174" s="231" t="str">
        <f>IF(LEFT(_xll.BDP(Ticker,"LATEST_PERIOD_END_DT_FULL_RECORD","EQY_FUND_RELATIVE_PERIOD",L$11,"EQY_CONSOLIDATED",$H$9),1)="#","--",_xll.BDP(Ticker,"LATEST_PERIOD_END_DT_FULL_RECORD","EQY_FUND_RELATIVE_PERIOD",L$11,"EQY_CONSOLIDATED",$H$9))</f>
        <v>12/31/2016</v>
      </c>
      <c r="M174" s="231" t="str">
        <f>IF(LEFT(_xll.BDP(Ticker,"LATEST_PERIOD_END_DT_FULL_RECORD","EQY_FUND_RELATIVE_PERIOD",M$11,"EQY_CONSOLIDATED",$H$9),1)="#","--",_xll.BDP(Ticker,"LATEST_PERIOD_END_DT_FULL_RECORD","EQY_FUND_RELATIVE_PERIOD",M$11,"EQY_CONSOLIDATED",$H$9))</f>
        <v>12/31/2017</v>
      </c>
      <c r="N174" s="231" t="str">
        <f>IF(LEFT(_xll.BDP(Ticker,"LATEST_PERIOD_END_DT_FULL_RECORD","EQY_FUND_RELATIVE_PERIOD",N$11,"EQY_CONSOLIDATED",$H$9),1)="#","--",_xll.BDP(Ticker,"LATEST_PERIOD_END_DT_FULL_RECORD","EQY_FUND_RELATIVE_PERIOD",N$11,"EQY_CONSOLIDATED",$H$9))</f>
        <v>12/31/2018</v>
      </c>
    </row>
    <row r="175" spans="1:14" hidden="1" outlineLevel="1">
      <c r="B175" s="215"/>
      <c r="C175" s="207" t="s">
        <v>185</v>
      </c>
      <c r="D175" s="275" t="str">
        <f t="shared" ref="D175:I175" si="10">IF(LEN(D176),SUM(D176:D185),"")</f>
        <v/>
      </c>
      <c r="E175" s="275" t="str">
        <f t="shared" si="10"/>
        <v/>
      </c>
      <c r="F175" s="275" t="str">
        <f t="shared" si="10"/>
        <v/>
      </c>
      <c r="G175" s="275" t="str">
        <f t="shared" si="10"/>
        <v/>
      </c>
      <c r="H175" s="275" t="str">
        <f t="shared" si="10"/>
        <v/>
      </c>
      <c r="I175" s="275" t="str">
        <f t="shared" si="10"/>
        <v/>
      </c>
      <c r="J175" s="275" t="str">
        <f>IF(LEN(J176),SUM(J176:J185),"")</f>
        <v/>
      </c>
      <c r="K175" s="275" t="str">
        <f>IF(LEN(K176),SUM(K176:K185),"")</f>
        <v/>
      </c>
      <c r="L175" s="275" t="str">
        <f>IF(LEN(L176),SUM(L176:L185),"")</f>
        <v/>
      </c>
      <c r="M175" s="275" t="str">
        <f>IF(LEN(M176),SUM(M176:M185),"")</f>
        <v/>
      </c>
      <c r="N175" s="275" t="str">
        <f>IF(LEN(N176),SUM(N176:N185),"")</f>
        <v/>
      </c>
    </row>
    <row r="176" spans="1:14" hidden="1" outlineLevel="1">
      <c r="B176" s="214">
        <v>1</v>
      </c>
      <c r="C176" s="216" t="str">
        <f>IF(LEFT(_xll.BDS(Ticker,"PG_CAPITAL_EXPENDITURES","PG_HIERARCHY_LEVEL=1","NUMBER_OF_PERIODS=-11","REVERSE_PERIOD_ORDER=N","PRODUCT_GEO_OVERRIDE=G","FUND_PER",RIGHT($B$11,1),"ACCOUNTING_STANDARD_OVERRIDE",$H$7,"EQY_CONSOLIDATED",$H$9,"EQY_FUND_CRNCY",$L$7,"StartCol",C$12,"EndCol",C$12,"StartRow",$B176,"EndRow",$B176),1)="#","",_xll.BDS(Ticker,"PG_CAPITAL_EXPENDITURES","PG_HIERARCHY_LEVEL=1","NUMBER_OF_PERIODS=-11","REVERSE_PERIOD_ORDER=N","PRODUCT_GEO_OVERRIDE=G","FUND_PER",RIGHT($B$11,1),"ACCOUNTING_STANDARD_OVERRIDE",$H$7,"EQY_CONSOLIDATED",$H$9,"EQY_FUND_CRNCY",$L$7,"StartCol",C$12,"EndCol",C$12,"StartRow",$B176,"EndRow",$B176))</f>
        <v/>
      </c>
      <c r="D176" s="218" t="str">
        <f>IF(LEFT(_xll.BDS(Ticker,"PG_CAPITAL_EXPENDITURES","PG_HIERARCHY_LEVEL=1","NUMBER_OF_PERIODS=-11","REVERSE_PERIOD_ORDER=N","PRODUCT_GEO_OVERRIDE=G","FUND_PER",RIGHT($B$11,1),"ACCOUNTING_STANDARD_OVERRIDE",$H$7,"EQY_CONSOLIDATED",$H$9,"EQY_FUND_CRNCY",$L$7,"StartCol",D$12,"EndCol",D$12,"StartRow",$B176,"EndRow",$B176),1)="#","",_xll.BDS(Ticker,"PG_CAPITAL_EXPENDITURES","PG_HIERARCHY_LEVEL=1","NUMBER_OF_PERIODS=-11","REVERSE_PERIOD_ORDER=N","PRODUCT_GEO_OVERRIDE=G","FUND_PER",RIGHT($B$11,1),"ACCOUNTING_STANDARD_OVERRIDE",$H$7,"EQY_CONSOLIDATED",$H$9,"EQY_FUND_CRNCY",$L$7,"StartCol",D$12,"EndCol",D$12,"StartRow",$B176,"EndRow",$B176))</f>
        <v/>
      </c>
      <c r="E176" s="218" t="str">
        <f>IF(LEFT(_xll.BDS(Ticker,"PG_CAPITAL_EXPENDITURES","PG_HIERARCHY_LEVEL=1","NUMBER_OF_PERIODS=-11","REVERSE_PERIOD_ORDER=N","PRODUCT_GEO_OVERRIDE=G","FUND_PER",RIGHT($B$11,1),"ACCOUNTING_STANDARD_OVERRIDE",$H$7,"EQY_CONSOLIDATED",$H$9,"EQY_FUND_CRNCY",$L$7,"StartCol",E$12,"EndCol",E$12,"StartRow",$B176,"EndRow",$B176),1)="#","",_xll.BDS(Ticker,"PG_CAPITAL_EXPENDITURES","PG_HIERARCHY_LEVEL=1","NUMBER_OF_PERIODS=-11","REVERSE_PERIOD_ORDER=N","PRODUCT_GEO_OVERRIDE=G","FUND_PER",RIGHT($B$11,1),"ACCOUNTING_STANDARD_OVERRIDE",$H$7,"EQY_CONSOLIDATED",$H$9,"EQY_FUND_CRNCY",$L$7,"StartCol",E$12,"EndCol",E$12,"StartRow",$B176,"EndRow",$B176))</f>
        <v/>
      </c>
      <c r="F176" s="218" t="str">
        <f>IF(LEFT(_xll.BDS(Ticker,"PG_CAPITAL_EXPENDITURES","PG_HIERARCHY_LEVEL=1","NUMBER_OF_PERIODS=-11","REVERSE_PERIOD_ORDER=N","PRODUCT_GEO_OVERRIDE=G","FUND_PER",RIGHT($B$11,1),"ACCOUNTING_STANDARD_OVERRIDE",$H$7,"EQY_CONSOLIDATED",$H$9,"EQY_FUND_CRNCY",$L$7,"StartCol",F$12,"EndCol",F$12,"StartRow",$B176,"EndRow",$B176),1)="#","",_xll.BDS(Ticker,"PG_CAPITAL_EXPENDITURES","PG_HIERARCHY_LEVEL=1","NUMBER_OF_PERIODS=-11","REVERSE_PERIOD_ORDER=N","PRODUCT_GEO_OVERRIDE=G","FUND_PER",RIGHT($B$11,1),"ACCOUNTING_STANDARD_OVERRIDE",$H$7,"EQY_CONSOLIDATED",$H$9,"EQY_FUND_CRNCY",$L$7,"StartCol",F$12,"EndCol",F$12,"StartRow",$B176,"EndRow",$B176))</f>
        <v/>
      </c>
      <c r="G176" s="218" t="str">
        <f>IF(LEFT(_xll.BDS(Ticker,"PG_CAPITAL_EXPENDITURES","PG_HIERARCHY_LEVEL=1","NUMBER_OF_PERIODS=-11","REVERSE_PERIOD_ORDER=N","PRODUCT_GEO_OVERRIDE=G","FUND_PER",RIGHT($B$11,1),"ACCOUNTING_STANDARD_OVERRIDE",$H$7,"EQY_CONSOLIDATED",$H$9,"EQY_FUND_CRNCY",$L$7,"StartCol",G$12,"EndCol",G$12,"StartRow",$B176,"EndRow",$B176),1)="#","",_xll.BDS(Ticker,"PG_CAPITAL_EXPENDITURES","PG_HIERARCHY_LEVEL=1","NUMBER_OF_PERIODS=-11","REVERSE_PERIOD_ORDER=N","PRODUCT_GEO_OVERRIDE=G","FUND_PER",RIGHT($B$11,1),"ACCOUNTING_STANDARD_OVERRIDE",$H$7,"EQY_CONSOLIDATED",$H$9,"EQY_FUND_CRNCY",$L$7,"StartCol",G$12,"EndCol",G$12,"StartRow",$B176,"EndRow",$B176))</f>
        <v/>
      </c>
      <c r="H176" s="218" t="str">
        <f>IF(LEFT(_xll.BDS(Ticker,"PG_CAPITAL_EXPENDITURES","PG_HIERARCHY_LEVEL=1","NUMBER_OF_PERIODS=-11","REVERSE_PERIOD_ORDER=N","PRODUCT_GEO_OVERRIDE=G","FUND_PER",RIGHT($B$11,1),"ACCOUNTING_STANDARD_OVERRIDE",$H$7,"EQY_CONSOLIDATED",$H$9,"EQY_FUND_CRNCY",$L$7,"StartCol",H$12,"EndCol",H$12,"StartRow",$B176,"EndRow",$B176),1)="#","",_xll.BDS(Ticker,"PG_CAPITAL_EXPENDITURES","PG_HIERARCHY_LEVEL=1","NUMBER_OF_PERIODS=-11","REVERSE_PERIOD_ORDER=N","PRODUCT_GEO_OVERRIDE=G","FUND_PER",RIGHT($B$11,1),"ACCOUNTING_STANDARD_OVERRIDE",$H$7,"EQY_CONSOLIDATED",$H$9,"EQY_FUND_CRNCY",$L$7,"StartCol",H$12,"EndCol",H$12,"StartRow",$B176,"EndRow",$B176))</f>
        <v/>
      </c>
      <c r="I176" s="218" t="str">
        <f>IF(LEFT(_xll.BDS(Ticker,"PG_CAPITAL_EXPENDITURES","PG_HIERARCHY_LEVEL=1","NUMBER_OF_PERIODS=-11","REVERSE_PERIOD_ORDER=N","PRODUCT_GEO_OVERRIDE=G","FUND_PER",RIGHT($B$11,1),"ACCOUNTING_STANDARD_OVERRIDE",$H$7,"EQY_CONSOLIDATED",$H$9,"EQY_FUND_CRNCY",$L$7,"StartCol",I$12,"EndCol",I$12,"StartRow",$B176,"EndRow",$B176),1)="#","",_xll.BDS(Ticker,"PG_CAPITAL_EXPENDITURES","PG_HIERARCHY_LEVEL=1","NUMBER_OF_PERIODS=-11","REVERSE_PERIOD_ORDER=N","PRODUCT_GEO_OVERRIDE=G","FUND_PER",RIGHT($B$11,1),"ACCOUNTING_STANDARD_OVERRIDE",$H$7,"EQY_CONSOLIDATED",$H$9,"EQY_FUND_CRNCY",$L$7,"StartCol",I$12,"EndCol",I$12,"StartRow",$B176,"EndRow",$B176))</f>
        <v/>
      </c>
      <c r="J176" s="218" t="str">
        <f>IF(LEFT(_xll.BDS(Ticker,"PG_CAPITAL_EXPENDITURES","PG_HIERARCHY_LEVEL=1","NUMBER_OF_PERIODS=-11","REVERSE_PERIOD_ORDER=N","PRODUCT_GEO_OVERRIDE=G","FUND_PER",RIGHT($B$11,1),"ACCOUNTING_STANDARD_OVERRIDE",$H$7,"EQY_CONSOLIDATED",$H$9,"EQY_FUND_CRNCY",$L$7,"StartCol",J$12,"EndCol",J$12,"StartRow",$B176,"EndRow",$B176),1)="#","",_xll.BDS(Ticker,"PG_CAPITAL_EXPENDITURES","PG_HIERARCHY_LEVEL=1","NUMBER_OF_PERIODS=-11","REVERSE_PERIOD_ORDER=N","PRODUCT_GEO_OVERRIDE=G","FUND_PER",RIGHT($B$11,1),"ACCOUNTING_STANDARD_OVERRIDE",$H$7,"EQY_CONSOLIDATED",$H$9,"EQY_FUND_CRNCY",$L$7,"StartCol",J$12,"EndCol",J$12,"StartRow",$B176,"EndRow",$B176))</f>
        <v/>
      </c>
      <c r="K176" s="218" t="str">
        <f>IF(LEFT(_xll.BDS(Ticker,"PG_CAPITAL_EXPENDITURES","PG_HIERARCHY_LEVEL=1","NUMBER_OF_PERIODS=-11","REVERSE_PERIOD_ORDER=N","PRODUCT_GEO_OVERRIDE=G","FUND_PER",RIGHT($B$11,1),"ACCOUNTING_STANDARD_OVERRIDE",$H$7,"EQY_CONSOLIDATED",$H$9,"EQY_FUND_CRNCY",$L$7,"StartCol",K$12,"EndCol",K$12,"StartRow",$B176,"EndRow",$B176),1)="#","",_xll.BDS(Ticker,"PG_CAPITAL_EXPENDITURES","PG_HIERARCHY_LEVEL=1","NUMBER_OF_PERIODS=-11","REVERSE_PERIOD_ORDER=N","PRODUCT_GEO_OVERRIDE=G","FUND_PER",RIGHT($B$11,1),"ACCOUNTING_STANDARD_OVERRIDE",$H$7,"EQY_CONSOLIDATED",$H$9,"EQY_FUND_CRNCY",$L$7,"StartCol",K$12,"EndCol",K$12,"StartRow",$B176,"EndRow",$B176))</f>
        <v/>
      </c>
      <c r="L176" s="218" t="str">
        <f>IF(LEFT(_xll.BDS(Ticker,"PG_CAPITAL_EXPENDITURES","PG_HIERARCHY_LEVEL=1","NUMBER_OF_PERIODS=-11","REVERSE_PERIOD_ORDER=N","PRODUCT_GEO_OVERRIDE=G","FUND_PER",RIGHT($B$11,1),"ACCOUNTING_STANDARD_OVERRIDE",$H$7,"EQY_CONSOLIDATED",$H$9,"EQY_FUND_CRNCY",$L$7,"StartCol",L$12,"EndCol",L$12,"StartRow",$B176,"EndRow",$B176),1)="#","",_xll.BDS(Ticker,"PG_CAPITAL_EXPENDITURES","PG_HIERARCHY_LEVEL=1","NUMBER_OF_PERIODS=-11","REVERSE_PERIOD_ORDER=N","PRODUCT_GEO_OVERRIDE=G","FUND_PER",RIGHT($B$11,1),"ACCOUNTING_STANDARD_OVERRIDE",$H$7,"EQY_CONSOLIDATED",$H$9,"EQY_FUND_CRNCY",$L$7,"StartCol",L$12,"EndCol",L$12,"StartRow",$B176,"EndRow",$B176))</f>
        <v/>
      </c>
      <c r="M176" s="218" t="str">
        <f>IF(LEFT(_xll.BDS(Ticker,"PG_CAPITAL_EXPENDITURES","PG_HIERARCHY_LEVEL=1","NUMBER_OF_PERIODS=-11","REVERSE_PERIOD_ORDER=N","PRODUCT_GEO_OVERRIDE=G","FUND_PER",RIGHT($B$11,1),"ACCOUNTING_STANDARD_OVERRIDE",$H$7,"EQY_CONSOLIDATED",$H$9,"EQY_FUND_CRNCY",$L$7,"StartCol",M$12,"EndCol",M$12,"StartRow",$B176,"EndRow",$B176),1)="#","",_xll.BDS(Ticker,"PG_CAPITAL_EXPENDITURES","PG_HIERARCHY_LEVEL=1","NUMBER_OF_PERIODS=-11","REVERSE_PERIOD_ORDER=N","PRODUCT_GEO_OVERRIDE=G","FUND_PER",RIGHT($B$11,1),"ACCOUNTING_STANDARD_OVERRIDE",$H$7,"EQY_CONSOLIDATED",$H$9,"EQY_FUND_CRNCY",$L$7,"StartCol",M$12,"EndCol",M$12,"StartRow",$B176,"EndRow",$B176))</f>
        <v/>
      </c>
      <c r="N176" s="218" t="str">
        <f>IF(LEFT(_xll.BDS(Ticker,"PG_CAPITAL_EXPENDITURES","PG_HIERARCHY_LEVEL=1","NUMBER_OF_PERIODS=-11","REVERSE_PERIOD_ORDER=N","PRODUCT_GEO_OVERRIDE=G","FUND_PER",RIGHT($B$11,1),"ACCOUNTING_STANDARD_OVERRIDE",$H$7,"EQY_CONSOLIDATED",$H$9,"EQY_FUND_CRNCY",$L$7,"StartCol",N$12,"EndCol",N$12,"StartRow",$B176,"EndRow",$B176),1)="#","",_xll.BDS(Ticker,"PG_CAPITAL_EXPENDITURES","PG_HIERARCHY_LEVEL=1","NUMBER_OF_PERIODS=-11","REVERSE_PERIOD_ORDER=N","PRODUCT_GEO_OVERRIDE=G","FUND_PER",RIGHT($B$11,1),"ACCOUNTING_STANDARD_OVERRIDE",$H$7,"EQY_CONSOLIDATED",$H$9,"EQY_FUND_CRNCY",$L$7,"StartCol",N$12,"EndCol",N$12,"StartRow",$B176,"EndRow",$B176))</f>
        <v/>
      </c>
    </row>
    <row r="177" spans="2:14" hidden="1" outlineLevel="1">
      <c r="B177" s="214">
        <v>2</v>
      </c>
      <c r="C177" s="216" t="str">
        <f>IF(LEFT(_xll.BDS(Ticker,"PG_CAPITAL_EXPENDITURES","PG_HIERARCHY_LEVEL=1","NUMBER_OF_PERIODS=-11","REVERSE_PERIOD_ORDER=N","PRODUCT_GEO_OVERRIDE=G","FUND_PER",RIGHT($B$11,1),"ACCOUNTING_STANDARD_OVERRIDE",$H$7,"EQY_CONSOLIDATED",$H$9,"EQY_FUND_CRNCY",$L$7,"StartCol",C$12,"EndCol",C$12,"StartRow",$B177,"EndRow",$B177),1)="#","",_xll.BDS(Ticker,"PG_CAPITAL_EXPENDITURES","PG_HIERARCHY_LEVEL=1","NUMBER_OF_PERIODS=-11","REVERSE_PERIOD_ORDER=N","PRODUCT_GEO_OVERRIDE=G","FUND_PER",RIGHT($B$11,1),"ACCOUNTING_STANDARD_OVERRIDE",$H$7,"EQY_CONSOLIDATED",$H$9,"EQY_FUND_CRNCY",$L$7,"StartCol",C$12,"EndCol",C$12,"StartRow",$B177,"EndRow",$B177))</f>
        <v/>
      </c>
      <c r="D177" s="218" t="str">
        <f>IF(LEFT(_xll.BDS(Ticker,"PG_CAPITAL_EXPENDITURES","PG_HIERARCHY_LEVEL=1","NUMBER_OF_PERIODS=-11","REVERSE_PERIOD_ORDER=N","PRODUCT_GEO_OVERRIDE=G","FUND_PER",RIGHT($B$11,1),"ACCOUNTING_STANDARD_OVERRIDE",$H$7,"EQY_CONSOLIDATED",$H$9,"EQY_FUND_CRNCY",$L$7,"StartCol",D$12,"EndCol",D$12,"StartRow",$B177,"EndRow",$B177),1)="#","",_xll.BDS(Ticker,"PG_CAPITAL_EXPENDITURES","PG_HIERARCHY_LEVEL=1","NUMBER_OF_PERIODS=-11","REVERSE_PERIOD_ORDER=N","PRODUCT_GEO_OVERRIDE=G","FUND_PER",RIGHT($B$11,1),"ACCOUNTING_STANDARD_OVERRIDE",$H$7,"EQY_CONSOLIDATED",$H$9,"EQY_FUND_CRNCY",$L$7,"StartCol",D$12,"EndCol",D$12,"StartRow",$B177,"EndRow",$B177))</f>
        <v/>
      </c>
      <c r="E177" s="218" t="str">
        <f>IF(LEFT(_xll.BDS(Ticker,"PG_CAPITAL_EXPENDITURES","PG_HIERARCHY_LEVEL=1","NUMBER_OF_PERIODS=-11","REVERSE_PERIOD_ORDER=N","PRODUCT_GEO_OVERRIDE=G","FUND_PER",RIGHT($B$11,1),"ACCOUNTING_STANDARD_OVERRIDE",$H$7,"EQY_CONSOLIDATED",$H$9,"EQY_FUND_CRNCY",$L$7,"StartCol",E$12,"EndCol",E$12,"StartRow",$B177,"EndRow",$B177),1)="#","",_xll.BDS(Ticker,"PG_CAPITAL_EXPENDITURES","PG_HIERARCHY_LEVEL=1","NUMBER_OF_PERIODS=-11","REVERSE_PERIOD_ORDER=N","PRODUCT_GEO_OVERRIDE=G","FUND_PER",RIGHT($B$11,1),"ACCOUNTING_STANDARD_OVERRIDE",$H$7,"EQY_CONSOLIDATED",$H$9,"EQY_FUND_CRNCY",$L$7,"StartCol",E$12,"EndCol",E$12,"StartRow",$B177,"EndRow",$B177))</f>
        <v/>
      </c>
      <c r="F177" s="218" t="str">
        <f>IF(LEFT(_xll.BDS(Ticker,"PG_CAPITAL_EXPENDITURES","PG_HIERARCHY_LEVEL=1","NUMBER_OF_PERIODS=-11","REVERSE_PERIOD_ORDER=N","PRODUCT_GEO_OVERRIDE=G","FUND_PER",RIGHT($B$11,1),"ACCOUNTING_STANDARD_OVERRIDE",$H$7,"EQY_CONSOLIDATED",$H$9,"EQY_FUND_CRNCY",$L$7,"StartCol",F$12,"EndCol",F$12,"StartRow",$B177,"EndRow",$B177),1)="#","",_xll.BDS(Ticker,"PG_CAPITAL_EXPENDITURES","PG_HIERARCHY_LEVEL=1","NUMBER_OF_PERIODS=-11","REVERSE_PERIOD_ORDER=N","PRODUCT_GEO_OVERRIDE=G","FUND_PER",RIGHT($B$11,1),"ACCOUNTING_STANDARD_OVERRIDE",$H$7,"EQY_CONSOLIDATED",$H$9,"EQY_FUND_CRNCY",$L$7,"StartCol",F$12,"EndCol",F$12,"StartRow",$B177,"EndRow",$B177))</f>
        <v/>
      </c>
      <c r="G177" s="218" t="str">
        <f>IF(LEFT(_xll.BDS(Ticker,"PG_CAPITAL_EXPENDITURES","PG_HIERARCHY_LEVEL=1","NUMBER_OF_PERIODS=-11","REVERSE_PERIOD_ORDER=N","PRODUCT_GEO_OVERRIDE=G","FUND_PER",RIGHT($B$11,1),"ACCOUNTING_STANDARD_OVERRIDE",$H$7,"EQY_CONSOLIDATED",$H$9,"EQY_FUND_CRNCY",$L$7,"StartCol",G$12,"EndCol",G$12,"StartRow",$B177,"EndRow",$B177),1)="#","",_xll.BDS(Ticker,"PG_CAPITAL_EXPENDITURES","PG_HIERARCHY_LEVEL=1","NUMBER_OF_PERIODS=-11","REVERSE_PERIOD_ORDER=N","PRODUCT_GEO_OVERRIDE=G","FUND_PER",RIGHT($B$11,1),"ACCOUNTING_STANDARD_OVERRIDE",$H$7,"EQY_CONSOLIDATED",$H$9,"EQY_FUND_CRNCY",$L$7,"StartCol",G$12,"EndCol",G$12,"StartRow",$B177,"EndRow",$B177))</f>
        <v/>
      </c>
      <c r="H177" s="218" t="str">
        <f>IF(LEFT(_xll.BDS(Ticker,"PG_CAPITAL_EXPENDITURES","PG_HIERARCHY_LEVEL=1","NUMBER_OF_PERIODS=-11","REVERSE_PERIOD_ORDER=N","PRODUCT_GEO_OVERRIDE=G","FUND_PER",RIGHT($B$11,1),"ACCOUNTING_STANDARD_OVERRIDE",$H$7,"EQY_CONSOLIDATED",$H$9,"EQY_FUND_CRNCY",$L$7,"StartCol",H$12,"EndCol",H$12,"StartRow",$B177,"EndRow",$B177),1)="#","",_xll.BDS(Ticker,"PG_CAPITAL_EXPENDITURES","PG_HIERARCHY_LEVEL=1","NUMBER_OF_PERIODS=-11","REVERSE_PERIOD_ORDER=N","PRODUCT_GEO_OVERRIDE=G","FUND_PER",RIGHT($B$11,1),"ACCOUNTING_STANDARD_OVERRIDE",$H$7,"EQY_CONSOLIDATED",$H$9,"EQY_FUND_CRNCY",$L$7,"StartCol",H$12,"EndCol",H$12,"StartRow",$B177,"EndRow",$B177))</f>
        <v/>
      </c>
      <c r="I177" s="218" t="str">
        <f>IF(LEFT(_xll.BDS(Ticker,"PG_CAPITAL_EXPENDITURES","PG_HIERARCHY_LEVEL=1","NUMBER_OF_PERIODS=-11","REVERSE_PERIOD_ORDER=N","PRODUCT_GEO_OVERRIDE=G","FUND_PER",RIGHT($B$11,1),"ACCOUNTING_STANDARD_OVERRIDE",$H$7,"EQY_CONSOLIDATED",$H$9,"EQY_FUND_CRNCY",$L$7,"StartCol",I$12,"EndCol",I$12,"StartRow",$B177,"EndRow",$B177),1)="#","",_xll.BDS(Ticker,"PG_CAPITAL_EXPENDITURES","PG_HIERARCHY_LEVEL=1","NUMBER_OF_PERIODS=-11","REVERSE_PERIOD_ORDER=N","PRODUCT_GEO_OVERRIDE=G","FUND_PER",RIGHT($B$11,1),"ACCOUNTING_STANDARD_OVERRIDE",$H$7,"EQY_CONSOLIDATED",$H$9,"EQY_FUND_CRNCY",$L$7,"StartCol",I$12,"EndCol",I$12,"StartRow",$B177,"EndRow",$B177))</f>
        <v/>
      </c>
      <c r="J177" s="218" t="str">
        <f>IF(LEFT(_xll.BDS(Ticker,"PG_CAPITAL_EXPENDITURES","PG_HIERARCHY_LEVEL=1","NUMBER_OF_PERIODS=-11","REVERSE_PERIOD_ORDER=N","PRODUCT_GEO_OVERRIDE=G","FUND_PER",RIGHT($B$11,1),"ACCOUNTING_STANDARD_OVERRIDE",$H$7,"EQY_CONSOLIDATED",$H$9,"EQY_FUND_CRNCY",$L$7,"StartCol",J$12,"EndCol",J$12,"StartRow",$B177,"EndRow",$B177),1)="#","",_xll.BDS(Ticker,"PG_CAPITAL_EXPENDITURES","PG_HIERARCHY_LEVEL=1","NUMBER_OF_PERIODS=-11","REVERSE_PERIOD_ORDER=N","PRODUCT_GEO_OVERRIDE=G","FUND_PER",RIGHT($B$11,1),"ACCOUNTING_STANDARD_OVERRIDE",$H$7,"EQY_CONSOLIDATED",$H$9,"EQY_FUND_CRNCY",$L$7,"StartCol",J$12,"EndCol",J$12,"StartRow",$B177,"EndRow",$B177))</f>
        <v/>
      </c>
      <c r="K177" s="218" t="str">
        <f>IF(LEFT(_xll.BDS(Ticker,"PG_CAPITAL_EXPENDITURES","PG_HIERARCHY_LEVEL=1","NUMBER_OF_PERIODS=-11","REVERSE_PERIOD_ORDER=N","PRODUCT_GEO_OVERRIDE=G","FUND_PER",RIGHT($B$11,1),"ACCOUNTING_STANDARD_OVERRIDE",$H$7,"EQY_CONSOLIDATED",$H$9,"EQY_FUND_CRNCY",$L$7,"StartCol",K$12,"EndCol",K$12,"StartRow",$B177,"EndRow",$B177),1)="#","",_xll.BDS(Ticker,"PG_CAPITAL_EXPENDITURES","PG_HIERARCHY_LEVEL=1","NUMBER_OF_PERIODS=-11","REVERSE_PERIOD_ORDER=N","PRODUCT_GEO_OVERRIDE=G","FUND_PER",RIGHT($B$11,1),"ACCOUNTING_STANDARD_OVERRIDE",$H$7,"EQY_CONSOLIDATED",$H$9,"EQY_FUND_CRNCY",$L$7,"StartCol",K$12,"EndCol",K$12,"StartRow",$B177,"EndRow",$B177))</f>
        <v/>
      </c>
      <c r="L177" s="218" t="str">
        <f>IF(LEFT(_xll.BDS(Ticker,"PG_CAPITAL_EXPENDITURES","PG_HIERARCHY_LEVEL=1","NUMBER_OF_PERIODS=-11","REVERSE_PERIOD_ORDER=N","PRODUCT_GEO_OVERRIDE=G","FUND_PER",RIGHT($B$11,1),"ACCOUNTING_STANDARD_OVERRIDE",$H$7,"EQY_CONSOLIDATED",$H$9,"EQY_FUND_CRNCY",$L$7,"StartCol",L$12,"EndCol",L$12,"StartRow",$B177,"EndRow",$B177),1)="#","",_xll.BDS(Ticker,"PG_CAPITAL_EXPENDITURES","PG_HIERARCHY_LEVEL=1","NUMBER_OF_PERIODS=-11","REVERSE_PERIOD_ORDER=N","PRODUCT_GEO_OVERRIDE=G","FUND_PER",RIGHT($B$11,1),"ACCOUNTING_STANDARD_OVERRIDE",$H$7,"EQY_CONSOLIDATED",$H$9,"EQY_FUND_CRNCY",$L$7,"StartCol",L$12,"EndCol",L$12,"StartRow",$B177,"EndRow",$B177))</f>
        <v/>
      </c>
      <c r="M177" s="218" t="str">
        <f>IF(LEFT(_xll.BDS(Ticker,"PG_CAPITAL_EXPENDITURES","PG_HIERARCHY_LEVEL=1","NUMBER_OF_PERIODS=-11","REVERSE_PERIOD_ORDER=N","PRODUCT_GEO_OVERRIDE=G","FUND_PER",RIGHT($B$11,1),"ACCOUNTING_STANDARD_OVERRIDE",$H$7,"EQY_CONSOLIDATED",$H$9,"EQY_FUND_CRNCY",$L$7,"StartCol",M$12,"EndCol",M$12,"StartRow",$B177,"EndRow",$B177),1)="#","",_xll.BDS(Ticker,"PG_CAPITAL_EXPENDITURES","PG_HIERARCHY_LEVEL=1","NUMBER_OF_PERIODS=-11","REVERSE_PERIOD_ORDER=N","PRODUCT_GEO_OVERRIDE=G","FUND_PER",RIGHT($B$11,1),"ACCOUNTING_STANDARD_OVERRIDE",$H$7,"EQY_CONSOLIDATED",$H$9,"EQY_FUND_CRNCY",$L$7,"StartCol",M$12,"EndCol",M$12,"StartRow",$B177,"EndRow",$B177))</f>
        <v/>
      </c>
      <c r="N177" s="218" t="str">
        <f>IF(LEFT(_xll.BDS(Ticker,"PG_CAPITAL_EXPENDITURES","PG_HIERARCHY_LEVEL=1","NUMBER_OF_PERIODS=-11","REVERSE_PERIOD_ORDER=N","PRODUCT_GEO_OVERRIDE=G","FUND_PER",RIGHT($B$11,1),"ACCOUNTING_STANDARD_OVERRIDE",$H$7,"EQY_CONSOLIDATED",$H$9,"EQY_FUND_CRNCY",$L$7,"StartCol",N$12,"EndCol",N$12,"StartRow",$B177,"EndRow",$B177),1)="#","",_xll.BDS(Ticker,"PG_CAPITAL_EXPENDITURES","PG_HIERARCHY_LEVEL=1","NUMBER_OF_PERIODS=-11","REVERSE_PERIOD_ORDER=N","PRODUCT_GEO_OVERRIDE=G","FUND_PER",RIGHT($B$11,1),"ACCOUNTING_STANDARD_OVERRIDE",$H$7,"EQY_CONSOLIDATED",$H$9,"EQY_FUND_CRNCY",$L$7,"StartCol",N$12,"EndCol",N$12,"StartRow",$B177,"EndRow",$B177))</f>
        <v/>
      </c>
    </row>
    <row r="178" spans="2:14" hidden="1" outlineLevel="1">
      <c r="B178" s="214">
        <v>3</v>
      </c>
      <c r="C178" s="216" t="str">
        <f>IF(LEFT(_xll.BDS(Ticker,"PG_CAPITAL_EXPENDITURES","PG_HIERARCHY_LEVEL=1","NUMBER_OF_PERIODS=-11","REVERSE_PERIOD_ORDER=N","PRODUCT_GEO_OVERRIDE=G","FUND_PER",RIGHT($B$11,1),"ACCOUNTING_STANDARD_OVERRIDE",$H$7,"EQY_CONSOLIDATED",$H$9,"EQY_FUND_CRNCY",$L$7,"StartCol",C$12,"EndCol",C$12,"StartRow",$B178,"EndRow",$B178),1)="#","",_xll.BDS(Ticker,"PG_CAPITAL_EXPENDITURES","PG_HIERARCHY_LEVEL=1","NUMBER_OF_PERIODS=-11","REVERSE_PERIOD_ORDER=N","PRODUCT_GEO_OVERRIDE=G","FUND_PER",RIGHT($B$11,1),"ACCOUNTING_STANDARD_OVERRIDE",$H$7,"EQY_CONSOLIDATED",$H$9,"EQY_FUND_CRNCY",$L$7,"StartCol",C$12,"EndCol",C$12,"StartRow",$B178,"EndRow",$B178))</f>
        <v/>
      </c>
      <c r="D178" s="218" t="str">
        <f>IF(LEFT(_xll.BDS(Ticker,"PG_CAPITAL_EXPENDITURES","PG_HIERARCHY_LEVEL=1","NUMBER_OF_PERIODS=-11","REVERSE_PERIOD_ORDER=N","PRODUCT_GEO_OVERRIDE=G","FUND_PER",RIGHT($B$11,1),"ACCOUNTING_STANDARD_OVERRIDE",$H$7,"EQY_CONSOLIDATED",$H$9,"EQY_FUND_CRNCY",$L$7,"StartCol",D$12,"EndCol",D$12,"StartRow",$B178,"EndRow",$B178),1)="#","",_xll.BDS(Ticker,"PG_CAPITAL_EXPENDITURES","PG_HIERARCHY_LEVEL=1","NUMBER_OF_PERIODS=-11","REVERSE_PERIOD_ORDER=N","PRODUCT_GEO_OVERRIDE=G","FUND_PER",RIGHT($B$11,1),"ACCOUNTING_STANDARD_OVERRIDE",$H$7,"EQY_CONSOLIDATED",$H$9,"EQY_FUND_CRNCY",$L$7,"StartCol",D$12,"EndCol",D$12,"StartRow",$B178,"EndRow",$B178))</f>
        <v/>
      </c>
      <c r="E178" s="218" t="str">
        <f>IF(LEFT(_xll.BDS(Ticker,"PG_CAPITAL_EXPENDITURES","PG_HIERARCHY_LEVEL=1","NUMBER_OF_PERIODS=-11","REVERSE_PERIOD_ORDER=N","PRODUCT_GEO_OVERRIDE=G","FUND_PER",RIGHT($B$11,1),"ACCOUNTING_STANDARD_OVERRIDE",$H$7,"EQY_CONSOLIDATED",$H$9,"EQY_FUND_CRNCY",$L$7,"StartCol",E$12,"EndCol",E$12,"StartRow",$B178,"EndRow",$B178),1)="#","",_xll.BDS(Ticker,"PG_CAPITAL_EXPENDITURES","PG_HIERARCHY_LEVEL=1","NUMBER_OF_PERIODS=-11","REVERSE_PERIOD_ORDER=N","PRODUCT_GEO_OVERRIDE=G","FUND_PER",RIGHT($B$11,1),"ACCOUNTING_STANDARD_OVERRIDE",$H$7,"EQY_CONSOLIDATED",$H$9,"EQY_FUND_CRNCY",$L$7,"StartCol",E$12,"EndCol",E$12,"StartRow",$B178,"EndRow",$B178))</f>
        <v/>
      </c>
      <c r="F178" s="218" t="str">
        <f>IF(LEFT(_xll.BDS(Ticker,"PG_CAPITAL_EXPENDITURES","PG_HIERARCHY_LEVEL=1","NUMBER_OF_PERIODS=-11","REVERSE_PERIOD_ORDER=N","PRODUCT_GEO_OVERRIDE=G","FUND_PER",RIGHT($B$11,1),"ACCOUNTING_STANDARD_OVERRIDE",$H$7,"EQY_CONSOLIDATED",$H$9,"EQY_FUND_CRNCY",$L$7,"StartCol",F$12,"EndCol",F$12,"StartRow",$B178,"EndRow",$B178),1)="#","",_xll.BDS(Ticker,"PG_CAPITAL_EXPENDITURES","PG_HIERARCHY_LEVEL=1","NUMBER_OF_PERIODS=-11","REVERSE_PERIOD_ORDER=N","PRODUCT_GEO_OVERRIDE=G","FUND_PER",RIGHT($B$11,1),"ACCOUNTING_STANDARD_OVERRIDE",$H$7,"EQY_CONSOLIDATED",$H$9,"EQY_FUND_CRNCY",$L$7,"StartCol",F$12,"EndCol",F$12,"StartRow",$B178,"EndRow",$B178))</f>
        <v/>
      </c>
      <c r="G178" s="218" t="str">
        <f>IF(LEFT(_xll.BDS(Ticker,"PG_CAPITAL_EXPENDITURES","PG_HIERARCHY_LEVEL=1","NUMBER_OF_PERIODS=-11","REVERSE_PERIOD_ORDER=N","PRODUCT_GEO_OVERRIDE=G","FUND_PER",RIGHT($B$11,1),"ACCOUNTING_STANDARD_OVERRIDE",$H$7,"EQY_CONSOLIDATED",$H$9,"EQY_FUND_CRNCY",$L$7,"StartCol",G$12,"EndCol",G$12,"StartRow",$B178,"EndRow",$B178),1)="#","",_xll.BDS(Ticker,"PG_CAPITAL_EXPENDITURES","PG_HIERARCHY_LEVEL=1","NUMBER_OF_PERIODS=-11","REVERSE_PERIOD_ORDER=N","PRODUCT_GEO_OVERRIDE=G","FUND_PER",RIGHT($B$11,1),"ACCOUNTING_STANDARD_OVERRIDE",$H$7,"EQY_CONSOLIDATED",$H$9,"EQY_FUND_CRNCY",$L$7,"StartCol",G$12,"EndCol",G$12,"StartRow",$B178,"EndRow",$B178))</f>
        <v/>
      </c>
      <c r="H178" s="218" t="str">
        <f>IF(LEFT(_xll.BDS(Ticker,"PG_CAPITAL_EXPENDITURES","PG_HIERARCHY_LEVEL=1","NUMBER_OF_PERIODS=-11","REVERSE_PERIOD_ORDER=N","PRODUCT_GEO_OVERRIDE=G","FUND_PER",RIGHT($B$11,1),"ACCOUNTING_STANDARD_OVERRIDE",$H$7,"EQY_CONSOLIDATED",$H$9,"EQY_FUND_CRNCY",$L$7,"StartCol",H$12,"EndCol",H$12,"StartRow",$B178,"EndRow",$B178),1)="#","",_xll.BDS(Ticker,"PG_CAPITAL_EXPENDITURES","PG_HIERARCHY_LEVEL=1","NUMBER_OF_PERIODS=-11","REVERSE_PERIOD_ORDER=N","PRODUCT_GEO_OVERRIDE=G","FUND_PER",RIGHT($B$11,1),"ACCOUNTING_STANDARD_OVERRIDE",$H$7,"EQY_CONSOLIDATED",$H$9,"EQY_FUND_CRNCY",$L$7,"StartCol",H$12,"EndCol",H$12,"StartRow",$B178,"EndRow",$B178))</f>
        <v/>
      </c>
      <c r="I178" s="218" t="str">
        <f>IF(LEFT(_xll.BDS(Ticker,"PG_CAPITAL_EXPENDITURES","PG_HIERARCHY_LEVEL=1","NUMBER_OF_PERIODS=-11","REVERSE_PERIOD_ORDER=N","PRODUCT_GEO_OVERRIDE=G","FUND_PER",RIGHT($B$11,1),"ACCOUNTING_STANDARD_OVERRIDE",$H$7,"EQY_CONSOLIDATED",$H$9,"EQY_FUND_CRNCY",$L$7,"StartCol",I$12,"EndCol",I$12,"StartRow",$B178,"EndRow",$B178),1)="#","",_xll.BDS(Ticker,"PG_CAPITAL_EXPENDITURES","PG_HIERARCHY_LEVEL=1","NUMBER_OF_PERIODS=-11","REVERSE_PERIOD_ORDER=N","PRODUCT_GEO_OVERRIDE=G","FUND_PER",RIGHT($B$11,1),"ACCOUNTING_STANDARD_OVERRIDE",$H$7,"EQY_CONSOLIDATED",$H$9,"EQY_FUND_CRNCY",$L$7,"StartCol",I$12,"EndCol",I$12,"StartRow",$B178,"EndRow",$B178))</f>
        <v/>
      </c>
      <c r="J178" s="218" t="str">
        <f>IF(LEFT(_xll.BDS(Ticker,"PG_CAPITAL_EXPENDITURES","PG_HIERARCHY_LEVEL=1","NUMBER_OF_PERIODS=-11","REVERSE_PERIOD_ORDER=N","PRODUCT_GEO_OVERRIDE=G","FUND_PER",RIGHT($B$11,1),"ACCOUNTING_STANDARD_OVERRIDE",$H$7,"EQY_CONSOLIDATED",$H$9,"EQY_FUND_CRNCY",$L$7,"StartCol",J$12,"EndCol",J$12,"StartRow",$B178,"EndRow",$B178),1)="#","",_xll.BDS(Ticker,"PG_CAPITAL_EXPENDITURES","PG_HIERARCHY_LEVEL=1","NUMBER_OF_PERIODS=-11","REVERSE_PERIOD_ORDER=N","PRODUCT_GEO_OVERRIDE=G","FUND_PER",RIGHT($B$11,1),"ACCOUNTING_STANDARD_OVERRIDE",$H$7,"EQY_CONSOLIDATED",$H$9,"EQY_FUND_CRNCY",$L$7,"StartCol",J$12,"EndCol",J$12,"StartRow",$B178,"EndRow",$B178))</f>
        <v/>
      </c>
      <c r="K178" s="218" t="str">
        <f>IF(LEFT(_xll.BDS(Ticker,"PG_CAPITAL_EXPENDITURES","PG_HIERARCHY_LEVEL=1","NUMBER_OF_PERIODS=-11","REVERSE_PERIOD_ORDER=N","PRODUCT_GEO_OVERRIDE=G","FUND_PER",RIGHT($B$11,1),"ACCOUNTING_STANDARD_OVERRIDE",$H$7,"EQY_CONSOLIDATED",$H$9,"EQY_FUND_CRNCY",$L$7,"StartCol",K$12,"EndCol",K$12,"StartRow",$B178,"EndRow",$B178),1)="#","",_xll.BDS(Ticker,"PG_CAPITAL_EXPENDITURES","PG_HIERARCHY_LEVEL=1","NUMBER_OF_PERIODS=-11","REVERSE_PERIOD_ORDER=N","PRODUCT_GEO_OVERRIDE=G","FUND_PER",RIGHT($B$11,1),"ACCOUNTING_STANDARD_OVERRIDE",$H$7,"EQY_CONSOLIDATED",$H$9,"EQY_FUND_CRNCY",$L$7,"StartCol",K$12,"EndCol",K$12,"StartRow",$B178,"EndRow",$B178))</f>
        <v/>
      </c>
      <c r="L178" s="218" t="str">
        <f>IF(LEFT(_xll.BDS(Ticker,"PG_CAPITAL_EXPENDITURES","PG_HIERARCHY_LEVEL=1","NUMBER_OF_PERIODS=-11","REVERSE_PERIOD_ORDER=N","PRODUCT_GEO_OVERRIDE=G","FUND_PER",RIGHT($B$11,1),"ACCOUNTING_STANDARD_OVERRIDE",$H$7,"EQY_CONSOLIDATED",$H$9,"EQY_FUND_CRNCY",$L$7,"StartCol",L$12,"EndCol",L$12,"StartRow",$B178,"EndRow",$B178),1)="#","",_xll.BDS(Ticker,"PG_CAPITAL_EXPENDITURES","PG_HIERARCHY_LEVEL=1","NUMBER_OF_PERIODS=-11","REVERSE_PERIOD_ORDER=N","PRODUCT_GEO_OVERRIDE=G","FUND_PER",RIGHT($B$11,1),"ACCOUNTING_STANDARD_OVERRIDE",$H$7,"EQY_CONSOLIDATED",$H$9,"EQY_FUND_CRNCY",$L$7,"StartCol",L$12,"EndCol",L$12,"StartRow",$B178,"EndRow",$B178))</f>
        <v/>
      </c>
      <c r="M178" s="218" t="str">
        <f>IF(LEFT(_xll.BDS(Ticker,"PG_CAPITAL_EXPENDITURES","PG_HIERARCHY_LEVEL=1","NUMBER_OF_PERIODS=-11","REVERSE_PERIOD_ORDER=N","PRODUCT_GEO_OVERRIDE=G","FUND_PER",RIGHT($B$11,1),"ACCOUNTING_STANDARD_OVERRIDE",$H$7,"EQY_CONSOLIDATED",$H$9,"EQY_FUND_CRNCY",$L$7,"StartCol",M$12,"EndCol",M$12,"StartRow",$B178,"EndRow",$B178),1)="#","",_xll.BDS(Ticker,"PG_CAPITAL_EXPENDITURES","PG_HIERARCHY_LEVEL=1","NUMBER_OF_PERIODS=-11","REVERSE_PERIOD_ORDER=N","PRODUCT_GEO_OVERRIDE=G","FUND_PER",RIGHT($B$11,1),"ACCOUNTING_STANDARD_OVERRIDE",$H$7,"EQY_CONSOLIDATED",$H$9,"EQY_FUND_CRNCY",$L$7,"StartCol",M$12,"EndCol",M$12,"StartRow",$B178,"EndRow",$B178))</f>
        <v/>
      </c>
      <c r="N178" s="218" t="str">
        <f>IF(LEFT(_xll.BDS(Ticker,"PG_CAPITAL_EXPENDITURES","PG_HIERARCHY_LEVEL=1","NUMBER_OF_PERIODS=-11","REVERSE_PERIOD_ORDER=N","PRODUCT_GEO_OVERRIDE=G","FUND_PER",RIGHT($B$11,1),"ACCOUNTING_STANDARD_OVERRIDE",$H$7,"EQY_CONSOLIDATED",$H$9,"EQY_FUND_CRNCY",$L$7,"StartCol",N$12,"EndCol",N$12,"StartRow",$B178,"EndRow",$B178),1)="#","",_xll.BDS(Ticker,"PG_CAPITAL_EXPENDITURES","PG_HIERARCHY_LEVEL=1","NUMBER_OF_PERIODS=-11","REVERSE_PERIOD_ORDER=N","PRODUCT_GEO_OVERRIDE=G","FUND_PER",RIGHT($B$11,1),"ACCOUNTING_STANDARD_OVERRIDE",$H$7,"EQY_CONSOLIDATED",$H$9,"EQY_FUND_CRNCY",$L$7,"StartCol",N$12,"EndCol",N$12,"StartRow",$B178,"EndRow",$B178))</f>
        <v/>
      </c>
    </row>
    <row r="179" spans="2:14" hidden="1" outlineLevel="1">
      <c r="B179" s="214">
        <v>4</v>
      </c>
      <c r="C179" s="216" t="str">
        <f>IF(LEFT(_xll.BDS(Ticker,"PG_CAPITAL_EXPENDITURES","PG_HIERARCHY_LEVEL=1","NUMBER_OF_PERIODS=-11","REVERSE_PERIOD_ORDER=N","PRODUCT_GEO_OVERRIDE=G","FUND_PER",RIGHT($B$11,1),"ACCOUNTING_STANDARD_OVERRIDE",$H$7,"EQY_CONSOLIDATED",$H$9,"EQY_FUND_CRNCY",$L$7,"StartCol",C$12,"EndCol",C$12,"StartRow",$B179,"EndRow",$B179),1)="#","",_xll.BDS(Ticker,"PG_CAPITAL_EXPENDITURES","PG_HIERARCHY_LEVEL=1","NUMBER_OF_PERIODS=-11","REVERSE_PERIOD_ORDER=N","PRODUCT_GEO_OVERRIDE=G","FUND_PER",RIGHT($B$11,1),"ACCOUNTING_STANDARD_OVERRIDE",$H$7,"EQY_CONSOLIDATED",$H$9,"EQY_FUND_CRNCY",$L$7,"StartCol",C$12,"EndCol",C$12,"StartRow",$B179,"EndRow",$B179))</f>
        <v/>
      </c>
      <c r="D179" s="218" t="str">
        <f>IF(LEFT(_xll.BDS(Ticker,"PG_CAPITAL_EXPENDITURES","PG_HIERARCHY_LEVEL=1","NUMBER_OF_PERIODS=-11","REVERSE_PERIOD_ORDER=N","PRODUCT_GEO_OVERRIDE=G","FUND_PER",RIGHT($B$11,1),"ACCOUNTING_STANDARD_OVERRIDE",$H$7,"EQY_CONSOLIDATED",$H$9,"EQY_FUND_CRNCY",$L$7,"StartCol",D$12,"EndCol",D$12,"StartRow",$B179,"EndRow",$B179),1)="#","",_xll.BDS(Ticker,"PG_CAPITAL_EXPENDITURES","PG_HIERARCHY_LEVEL=1","NUMBER_OF_PERIODS=-11","REVERSE_PERIOD_ORDER=N","PRODUCT_GEO_OVERRIDE=G","FUND_PER",RIGHT($B$11,1),"ACCOUNTING_STANDARD_OVERRIDE",$H$7,"EQY_CONSOLIDATED",$H$9,"EQY_FUND_CRNCY",$L$7,"StartCol",D$12,"EndCol",D$12,"StartRow",$B179,"EndRow",$B179))</f>
        <v/>
      </c>
      <c r="E179" s="218" t="str">
        <f>IF(LEFT(_xll.BDS(Ticker,"PG_CAPITAL_EXPENDITURES","PG_HIERARCHY_LEVEL=1","NUMBER_OF_PERIODS=-11","REVERSE_PERIOD_ORDER=N","PRODUCT_GEO_OVERRIDE=G","FUND_PER",RIGHT($B$11,1),"ACCOUNTING_STANDARD_OVERRIDE",$H$7,"EQY_CONSOLIDATED",$H$9,"EQY_FUND_CRNCY",$L$7,"StartCol",E$12,"EndCol",E$12,"StartRow",$B179,"EndRow",$B179),1)="#","",_xll.BDS(Ticker,"PG_CAPITAL_EXPENDITURES","PG_HIERARCHY_LEVEL=1","NUMBER_OF_PERIODS=-11","REVERSE_PERIOD_ORDER=N","PRODUCT_GEO_OVERRIDE=G","FUND_PER",RIGHT($B$11,1),"ACCOUNTING_STANDARD_OVERRIDE",$H$7,"EQY_CONSOLIDATED",$H$9,"EQY_FUND_CRNCY",$L$7,"StartCol",E$12,"EndCol",E$12,"StartRow",$B179,"EndRow",$B179))</f>
        <v/>
      </c>
      <c r="F179" s="218" t="str">
        <f>IF(LEFT(_xll.BDS(Ticker,"PG_CAPITAL_EXPENDITURES","PG_HIERARCHY_LEVEL=1","NUMBER_OF_PERIODS=-11","REVERSE_PERIOD_ORDER=N","PRODUCT_GEO_OVERRIDE=G","FUND_PER",RIGHT($B$11,1),"ACCOUNTING_STANDARD_OVERRIDE",$H$7,"EQY_CONSOLIDATED",$H$9,"EQY_FUND_CRNCY",$L$7,"StartCol",F$12,"EndCol",F$12,"StartRow",$B179,"EndRow",$B179),1)="#","",_xll.BDS(Ticker,"PG_CAPITAL_EXPENDITURES","PG_HIERARCHY_LEVEL=1","NUMBER_OF_PERIODS=-11","REVERSE_PERIOD_ORDER=N","PRODUCT_GEO_OVERRIDE=G","FUND_PER",RIGHT($B$11,1),"ACCOUNTING_STANDARD_OVERRIDE",$H$7,"EQY_CONSOLIDATED",$H$9,"EQY_FUND_CRNCY",$L$7,"StartCol",F$12,"EndCol",F$12,"StartRow",$B179,"EndRow",$B179))</f>
        <v/>
      </c>
      <c r="G179" s="218" t="str">
        <f>IF(LEFT(_xll.BDS(Ticker,"PG_CAPITAL_EXPENDITURES","PG_HIERARCHY_LEVEL=1","NUMBER_OF_PERIODS=-11","REVERSE_PERIOD_ORDER=N","PRODUCT_GEO_OVERRIDE=G","FUND_PER",RIGHT($B$11,1),"ACCOUNTING_STANDARD_OVERRIDE",$H$7,"EQY_CONSOLIDATED",$H$9,"EQY_FUND_CRNCY",$L$7,"StartCol",G$12,"EndCol",G$12,"StartRow",$B179,"EndRow",$B179),1)="#","",_xll.BDS(Ticker,"PG_CAPITAL_EXPENDITURES","PG_HIERARCHY_LEVEL=1","NUMBER_OF_PERIODS=-11","REVERSE_PERIOD_ORDER=N","PRODUCT_GEO_OVERRIDE=G","FUND_PER",RIGHT($B$11,1),"ACCOUNTING_STANDARD_OVERRIDE",$H$7,"EQY_CONSOLIDATED",$H$9,"EQY_FUND_CRNCY",$L$7,"StartCol",G$12,"EndCol",G$12,"StartRow",$B179,"EndRow",$B179))</f>
        <v/>
      </c>
      <c r="H179" s="218" t="str">
        <f>IF(LEFT(_xll.BDS(Ticker,"PG_CAPITAL_EXPENDITURES","PG_HIERARCHY_LEVEL=1","NUMBER_OF_PERIODS=-11","REVERSE_PERIOD_ORDER=N","PRODUCT_GEO_OVERRIDE=G","FUND_PER",RIGHT($B$11,1),"ACCOUNTING_STANDARD_OVERRIDE",$H$7,"EQY_CONSOLIDATED",$H$9,"EQY_FUND_CRNCY",$L$7,"StartCol",H$12,"EndCol",H$12,"StartRow",$B179,"EndRow",$B179),1)="#","",_xll.BDS(Ticker,"PG_CAPITAL_EXPENDITURES","PG_HIERARCHY_LEVEL=1","NUMBER_OF_PERIODS=-11","REVERSE_PERIOD_ORDER=N","PRODUCT_GEO_OVERRIDE=G","FUND_PER",RIGHT($B$11,1),"ACCOUNTING_STANDARD_OVERRIDE",$H$7,"EQY_CONSOLIDATED",$H$9,"EQY_FUND_CRNCY",$L$7,"StartCol",H$12,"EndCol",H$12,"StartRow",$B179,"EndRow",$B179))</f>
        <v/>
      </c>
      <c r="I179" s="218" t="str">
        <f>IF(LEFT(_xll.BDS(Ticker,"PG_CAPITAL_EXPENDITURES","PG_HIERARCHY_LEVEL=1","NUMBER_OF_PERIODS=-11","REVERSE_PERIOD_ORDER=N","PRODUCT_GEO_OVERRIDE=G","FUND_PER",RIGHT($B$11,1),"ACCOUNTING_STANDARD_OVERRIDE",$H$7,"EQY_CONSOLIDATED",$H$9,"EQY_FUND_CRNCY",$L$7,"StartCol",I$12,"EndCol",I$12,"StartRow",$B179,"EndRow",$B179),1)="#","",_xll.BDS(Ticker,"PG_CAPITAL_EXPENDITURES","PG_HIERARCHY_LEVEL=1","NUMBER_OF_PERIODS=-11","REVERSE_PERIOD_ORDER=N","PRODUCT_GEO_OVERRIDE=G","FUND_PER",RIGHT($B$11,1),"ACCOUNTING_STANDARD_OVERRIDE",$H$7,"EQY_CONSOLIDATED",$H$9,"EQY_FUND_CRNCY",$L$7,"StartCol",I$12,"EndCol",I$12,"StartRow",$B179,"EndRow",$B179))</f>
        <v/>
      </c>
      <c r="J179" s="218" t="str">
        <f>IF(LEFT(_xll.BDS(Ticker,"PG_CAPITAL_EXPENDITURES","PG_HIERARCHY_LEVEL=1","NUMBER_OF_PERIODS=-11","REVERSE_PERIOD_ORDER=N","PRODUCT_GEO_OVERRIDE=G","FUND_PER",RIGHT($B$11,1),"ACCOUNTING_STANDARD_OVERRIDE",$H$7,"EQY_CONSOLIDATED",$H$9,"EQY_FUND_CRNCY",$L$7,"StartCol",J$12,"EndCol",J$12,"StartRow",$B179,"EndRow",$B179),1)="#","",_xll.BDS(Ticker,"PG_CAPITAL_EXPENDITURES","PG_HIERARCHY_LEVEL=1","NUMBER_OF_PERIODS=-11","REVERSE_PERIOD_ORDER=N","PRODUCT_GEO_OVERRIDE=G","FUND_PER",RIGHT($B$11,1),"ACCOUNTING_STANDARD_OVERRIDE",$H$7,"EQY_CONSOLIDATED",$H$9,"EQY_FUND_CRNCY",$L$7,"StartCol",J$12,"EndCol",J$12,"StartRow",$B179,"EndRow",$B179))</f>
        <v/>
      </c>
      <c r="K179" s="218" t="str">
        <f>IF(LEFT(_xll.BDS(Ticker,"PG_CAPITAL_EXPENDITURES","PG_HIERARCHY_LEVEL=1","NUMBER_OF_PERIODS=-11","REVERSE_PERIOD_ORDER=N","PRODUCT_GEO_OVERRIDE=G","FUND_PER",RIGHT($B$11,1),"ACCOUNTING_STANDARD_OVERRIDE",$H$7,"EQY_CONSOLIDATED",$H$9,"EQY_FUND_CRNCY",$L$7,"StartCol",K$12,"EndCol",K$12,"StartRow",$B179,"EndRow",$B179),1)="#","",_xll.BDS(Ticker,"PG_CAPITAL_EXPENDITURES","PG_HIERARCHY_LEVEL=1","NUMBER_OF_PERIODS=-11","REVERSE_PERIOD_ORDER=N","PRODUCT_GEO_OVERRIDE=G","FUND_PER",RIGHT($B$11,1),"ACCOUNTING_STANDARD_OVERRIDE",$H$7,"EQY_CONSOLIDATED",$H$9,"EQY_FUND_CRNCY",$L$7,"StartCol",K$12,"EndCol",K$12,"StartRow",$B179,"EndRow",$B179))</f>
        <v/>
      </c>
      <c r="L179" s="218" t="str">
        <f>IF(LEFT(_xll.BDS(Ticker,"PG_CAPITAL_EXPENDITURES","PG_HIERARCHY_LEVEL=1","NUMBER_OF_PERIODS=-11","REVERSE_PERIOD_ORDER=N","PRODUCT_GEO_OVERRIDE=G","FUND_PER",RIGHT($B$11,1),"ACCOUNTING_STANDARD_OVERRIDE",$H$7,"EQY_CONSOLIDATED",$H$9,"EQY_FUND_CRNCY",$L$7,"StartCol",L$12,"EndCol",L$12,"StartRow",$B179,"EndRow",$B179),1)="#","",_xll.BDS(Ticker,"PG_CAPITAL_EXPENDITURES","PG_HIERARCHY_LEVEL=1","NUMBER_OF_PERIODS=-11","REVERSE_PERIOD_ORDER=N","PRODUCT_GEO_OVERRIDE=G","FUND_PER",RIGHT($B$11,1),"ACCOUNTING_STANDARD_OVERRIDE",$H$7,"EQY_CONSOLIDATED",$H$9,"EQY_FUND_CRNCY",$L$7,"StartCol",L$12,"EndCol",L$12,"StartRow",$B179,"EndRow",$B179))</f>
        <v/>
      </c>
      <c r="M179" s="218" t="str">
        <f>IF(LEFT(_xll.BDS(Ticker,"PG_CAPITAL_EXPENDITURES","PG_HIERARCHY_LEVEL=1","NUMBER_OF_PERIODS=-11","REVERSE_PERIOD_ORDER=N","PRODUCT_GEO_OVERRIDE=G","FUND_PER",RIGHT($B$11,1),"ACCOUNTING_STANDARD_OVERRIDE",$H$7,"EQY_CONSOLIDATED",$H$9,"EQY_FUND_CRNCY",$L$7,"StartCol",M$12,"EndCol",M$12,"StartRow",$B179,"EndRow",$B179),1)="#","",_xll.BDS(Ticker,"PG_CAPITAL_EXPENDITURES","PG_HIERARCHY_LEVEL=1","NUMBER_OF_PERIODS=-11","REVERSE_PERIOD_ORDER=N","PRODUCT_GEO_OVERRIDE=G","FUND_PER",RIGHT($B$11,1),"ACCOUNTING_STANDARD_OVERRIDE",$H$7,"EQY_CONSOLIDATED",$H$9,"EQY_FUND_CRNCY",$L$7,"StartCol",M$12,"EndCol",M$12,"StartRow",$B179,"EndRow",$B179))</f>
        <v/>
      </c>
      <c r="N179" s="218" t="str">
        <f>IF(LEFT(_xll.BDS(Ticker,"PG_CAPITAL_EXPENDITURES","PG_HIERARCHY_LEVEL=1","NUMBER_OF_PERIODS=-11","REVERSE_PERIOD_ORDER=N","PRODUCT_GEO_OVERRIDE=G","FUND_PER",RIGHT($B$11,1),"ACCOUNTING_STANDARD_OVERRIDE",$H$7,"EQY_CONSOLIDATED",$H$9,"EQY_FUND_CRNCY",$L$7,"StartCol",N$12,"EndCol",N$12,"StartRow",$B179,"EndRow",$B179),1)="#","",_xll.BDS(Ticker,"PG_CAPITAL_EXPENDITURES","PG_HIERARCHY_LEVEL=1","NUMBER_OF_PERIODS=-11","REVERSE_PERIOD_ORDER=N","PRODUCT_GEO_OVERRIDE=G","FUND_PER",RIGHT($B$11,1),"ACCOUNTING_STANDARD_OVERRIDE",$H$7,"EQY_CONSOLIDATED",$H$9,"EQY_FUND_CRNCY",$L$7,"StartCol",N$12,"EndCol",N$12,"StartRow",$B179,"EndRow",$B179))</f>
        <v/>
      </c>
    </row>
    <row r="180" spans="2:14" hidden="1" outlineLevel="1">
      <c r="B180" s="214">
        <v>5</v>
      </c>
      <c r="C180" s="216" t="str">
        <f>IF(LEFT(_xll.BDS(Ticker,"PG_CAPITAL_EXPENDITURES","PG_HIERARCHY_LEVEL=1","NUMBER_OF_PERIODS=-11","REVERSE_PERIOD_ORDER=N","PRODUCT_GEO_OVERRIDE=G","FUND_PER",RIGHT($B$11,1),"ACCOUNTING_STANDARD_OVERRIDE",$H$7,"EQY_CONSOLIDATED",$H$9,"EQY_FUND_CRNCY",$L$7,"StartCol",C$12,"EndCol",C$12,"StartRow",$B180,"EndRow",$B180),1)="#","",_xll.BDS(Ticker,"PG_CAPITAL_EXPENDITURES","PG_HIERARCHY_LEVEL=1","NUMBER_OF_PERIODS=-11","REVERSE_PERIOD_ORDER=N","PRODUCT_GEO_OVERRIDE=G","FUND_PER",RIGHT($B$11,1),"ACCOUNTING_STANDARD_OVERRIDE",$H$7,"EQY_CONSOLIDATED",$H$9,"EQY_FUND_CRNCY",$L$7,"StartCol",C$12,"EndCol",C$12,"StartRow",$B180,"EndRow",$B180))</f>
        <v/>
      </c>
      <c r="D180" s="218" t="str">
        <f>IF(LEFT(_xll.BDS(Ticker,"PG_CAPITAL_EXPENDITURES","PG_HIERARCHY_LEVEL=1","NUMBER_OF_PERIODS=-11","REVERSE_PERIOD_ORDER=N","PRODUCT_GEO_OVERRIDE=G","FUND_PER",RIGHT($B$11,1),"ACCOUNTING_STANDARD_OVERRIDE",$H$7,"EQY_CONSOLIDATED",$H$9,"EQY_FUND_CRNCY",$L$7,"StartCol",D$12,"EndCol",D$12,"StartRow",$B180,"EndRow",$B180),1)="#","",_xll.BDS(Ticker,"PG_CAPITAL_EXPENDITURES","PG_HIERARCHY_LEVEL=1","NUMBER_OF_PERIODS=-11","REVERSE_PERIOD_ORDER=N","PRODUCT_GEO_OVERRIDE=G","FUND_PER",RIGHT($B$11,1),"ACCOUNTING_STANDARD_OVERRIDE",$H$7,"EQY_CONSOLIDATED",$H$9,"EQY_FUND_CRNCY",$L$7,"StartCol",D$12,"EndCol",D$12,"StartRow",$B180,"EndRow",$B180))</f>
        <v/>
      </c>
      <c r="E180" s="218" t="str">
        <f>IF(LEFT(_xll.BDS(Ticker,"PG_CAPITAL_EXPENDITURES","PG_HIERARCHY_LEVEL=1","NUMBER_OF_PERIODS=-11","REVERSE_PERIOD_ORDER=N","PRODUCT_GEO_OVERRIDE=G","FUND_PER",RIGHT($B$11,1),"ACCOUNTING_STANDARD_OVERRIDE",$H$7,"EQY_CONSOLIDATED",$H$9,"EQY_FUND_CRNCY",$L$7,"StartCol",E$12,"EndCol",E$12,"StartRow",$B180,"EndRow",$B180),1)="#","",_xll.BDS(Ticker,"PG_CAPITAL_EXPENDITURES","PG_HIERARCHY_LEVEL=1","NUMBER_OF_PERIODS=-11","REVERSE_PERIOD_ORDER=N","PRODUCT_GEO_OVERRIDE=G","FUND_PER",RIGHT($B$11,1),"ACCOUNTING_STANDARD_OVERRIDE",$H$7,"EQY_CONSOLIDATED",$H$9,"EQY_FUND_CRNCY",$L$7,"StartCol",E$12,"EndCol",E$12,"StartRow",$B180,"EndRow",$B180))</f>
        <v/>
      </c>
      <c r="F180" s="218" t="str">
        <f>IF(LEFT(_xll.BDS(Ticker,"PG_CAPITAL_EXPENDITURES","PG_HIERARCHY_LEVEL=1","NUMBER_OF_PERIODS=-11","REVERSE_PERIOD_ORDER=N","PRODUCT_GEO_OVERRIDE=G","FUND_PER",RIGHT($B$11,1),"ACCOUNTING_STANDARD_OVERRIDE",$H$7,"EQY_CONSOLIDATED",$H$9,"EQY_FUND_CRNCY",$L$7,"StartCol",F$12,"EndCol",F$12,"StartRow",$B180,"EndRow",$B180),1)="#","",_xll.BDS(Ticker,"PG_CAPITAL_EXPENDITURES","PG_HIERARCHY_LEVEL=1","NUMBER_OF_PERIODS=-11","REVERSE_PERIOD_ORDER=N","PRODUCT_GEO_OVERRIDE=G","FUND_PER",RIGHT($B$11,1),"ACCOUNTING_STANDARD_OVERRIDE",$H$7,"EQY_CONSOLIDATED",$H$9,"EQY_FUND_CRNCY",$L$7,"StartCol",F$12,"EndCol",F$12,"StartRow",$B180,"EndRow",$B180))</f>
        <v/>
      </c>
      <c r="G180" s="218" t="str">
        <f>IF(LEFT(_xll.BDS(Ticker,"PG_CAPITAL_EXPENDITURES","PG_HIERARCHY_LEVEL=1","NUMBER_OF_PERIODS=-11","REVERSE_PERIOD_ORDER=N","PRODUCT_GEO_OVERRIDE=G","FUND_PER",RIGHT($B$11,1),"ACCOUNTING_STANDARD_OVERRIDE",$H$7,"EQY_CONSOLIDATED",$H$9,"EQY_FUND_CRNCY",$L$7,"StartCol",G$12,"EndCol",G$12,"StartRow",$B180,"EndRow",$B180),1)="#","",_xll.BDS(Ticker,"PG_CAPITAL_EXPENDITURES","PG_HIERARCHY_LEVEL=1","NUMBER_OF_PERIODS=-11","REVERSE_PERIOD_ORDER=N","PRODUCT_GEO_OVERRIDE=G","FUND_PER",RIGHT($B$11,1),"ACCOUNTING_STANDARD_OVERRIDE",$H$7,"EQY_CONSOLIDATED",$H$9,"EQY_FUND_CRNCY",$L$7,"StartCol",G$12,"EndCol",G$12,"StartRow",$B180,"EndRow",$B180))</f>
        <v/>
      </c>
      <c r="H180" s="218" t="str">
        <f>IF(LEFT(_xll.BDS(Ticker,"PG_CAPITAL_EXPENDITURES","PG_HIERARCHY_LEVEL=1","NUMBER_OF_PERIODS=-11","REVERSE_PERIOD_ORDER=N","PRODUCT_GEO_OVERRIDE=G","FUND_PER",RIGHT($B$11,1),"ACCOUNTING_STANDARD_OVERRIDE",$H$7,"EQY_CONSOLIDATED",$H$9,"EQY_FUND_CRNCY",$L$7,"StartCol",H$12,"EndCol",H$12,"StartRow",$B180,"EndRow",$B180),1)="#","",_xll.BDS(Ticker,"PG_CAPITAL_EXPENDITURES","PG_HIERARCHY_LEVEL=1","NUMBER_OF_PERIODS=-11","REVERSE_PERIOD_ORDER=N","PRODUCT_GEO_OVERRIDE=G","FUND_PER",RIGHT($B$11,1),"ACCOUNTING_STANDARD_OVERRIDE",$H$7,"EQY_CONSOLIDATED",$H$9,"EQY_FUND_CRNCY",$L$7,"StartCol",H$12,"EndCol",H$12,"StartRow",$B180,"EndRow",$B180))</f>
        <v/>
      </c>
      <c r="I180" s="218" t="str">
        <f>IF(LEFT(_xll.BDS(Ticker,"PG_CAPITAL_EXPENDITURES","PG_HIERARCHY_LEVEL=1","NUMBER_OF_PERIODS=-11","REVERSE_PERIOD_ORDER=N","PRODUCT_GEO_OVERRIDE=G","FUND_PER",RIGHT($B$11,1),"ACCOUNTING_STANDARD_OVERRIDE",$H$7,"EQY_CONSOLIDATED",$H$9,"EQY_FUND_CRNCY",$L$7,"StartCol",I$12,"EndCol",I$12,"StartRow",$B180,"EndRow",$B180),1)="#","",_xll.BDS(Ticker,"PG_CAPITAL_EXPENDITURES","PG_HIERARCHY_LEVEL=1","NUMBER_OF_PERIODS=-11","REVERSE_PERIOD_ORDER=N","PRODUCT_GEO_OVERRIDE=G","FUND_PER",RIGHT($B$11,1),"ACCOUNTING_STANDARD_OVERRIDE",$H$7,"EQY_CONSOLIDATED",$H$9,"EQY_FUND_CRNCY",$L$7,"StartCol",I$12,"EndCol",I$12,"StartRow",$B180,"EndRow",$B180))</f>
        <v/>
      </c>
      <c r="J180" s="218" t="str">
        <f>IF(LEFT(_xll.BDS(Ticker,"PG_CAPITAL_EXPENDITURES","PG_HIERARCHY_LEVEL=1","NUMBER_OF_PERIODS=-11","REVERSE_PERIOD_ORDER=N","PRODUCT_GEO_OVERRIDE=G","FUND_PER",RIGHT($B$11,1),"ACCOUNTING_STANDARD_OVERRIDE",$H$7,"EQY_CONSOLIDATED",$H$9,"EQY_FUND_CRNCY",$L$7,"StartCol",J$12,"EndCol",J$12,"StartRow",$B180,"EndRow",$B180),1)="#","",_xll.BDS(Ticker,"PG_CAPITAL_EXPENDITURES","PG_HIERARCHY_LEVEL=1","NUMBER_OF_PERIODS=-11","REVERSE_PERIOD_ORDER=N","PRODUCT_GEO_OVERRIDE=G","FUND_PER",RIGHT($B$11,1),"ACCOUNTING_STANDARD_OVERRIDE",$H$7,"EQY_CONSOLIDATED",$H$9,"EQY_FUND_CRNCY",$L$7,"StartCol",J$12,"EndCol",J$12,"StartRow",$B180,"EndRow",$B180))</f>
        <v/>
      </c>
      <c r="K180" s="218" t="str">
        <f>IF(LEFT(_xll.BDS(Ticker,"PG_CAPITAL_EXPENDITURES","PG_HIERARCHY_LEVEL=1","NUMBER_OF_PERIODS=-11","REVERSE_PERIOD_ORDER=N","PRODUCT_GEO_OVERRIDE=G","FUND_PER",RIGHT($B$11,1),"ACCOUNTING_STANDARD_OVERRIDE",$H$7,"EQY_CONSOLIDATED",$H$9,"EQY_FUND_CRNCY",$L$7,"StartCol",K$12,"EndCol",K$12,"StartRow",$B180,"EndRow",$B180),1)="#","",_xll.BDS(Ticker,"PG_CAPITAL_EXPENDITURES","PG_HIERARCHY_LEVEL=1","NUMBER_OF_PERIODS=-11","REVERSE_PERIOD_ORDER=N","PRODUCT_GEO_OVERRIDE=G","FUND_PER",RIGHT($B$11,1),"ACCOUNTING_STANDARD_OVERRIDE",$H$7,"EQY_CONSOLIDATED",$H$9,"EQY_FUND_CRNCY",$L$7,"StartCol",K$12,"EndCol",K$12,"StartRow",$B180,"EndRow",$B180))</f>
        <v/>
      </c>
      <c r="L180" s="218" t="str">
        <f>IF(LEFT(_xll.BDS(Ticker,"PG_CAPITAL_EXPENDITURES","PG_HIERARCHY_LEVEL=1","NUMBER_OF_PERIODS=-11","REVERSE_PERIOD_ORDER=N","PRODUCT_GEO_OVERRIDE=G","FUND_PER",RIGHT($B$11,1),"ACCOUNTING_STANDARD_OVERRIDE",$H$7,"EQY_CONSOLIDATED",$H$9,"EQY_FUND_CRNCY",$L$7,"StartCol",L$12,"EndCol",L$12,"StartRow",$B180,"EndRow",$B180),1)="#","",_xll.BDS(Ticker,"PG_CAPITAL_EXPENDITURES","PG_HIERARCHY_LEVEL=1","NUMBER_OF_PERIODS=-11","REVERSE_PERIOD_ORDER=N","PRODUCT_GEO_OVERRIDE=G","FUND_PER",RIGHT($B$11,1),"ACCOUNTING_STANDARD_OVERRIDE",$H$7,"EQY_CONSOLIDATED",$H$9,"EQY_FUND_CRNCY",$L$7,"StartCol",L$12,"EndCol",L$12,"StartRow",$B180,"EndRow",$B180))</f>
        <v/>
      </c>
      <c r="M180" s="218" t="str">
        <f>IF(LEFT(_xll.BDS(Ticker,"PG_CAPITAL_EXPENDITURES","PG_HIERARCHY_LEVEL=1","NUMBER_OF_PERIODS=-11","REVERSE_PERIOD_ORDER=N","PRODUCT_GEO_OVERRIDE=G","FUND_PER",RIGHT($B$11,1),"ACCOUNTING_STANDARD_OVERRIDE",$H$7,"EQY_CONSOLIDATED",$H$9,"EQY_FUND_CRNCY",$L$7,"StartCol",M$12,"EndCol",M$12,"StartRow",$B180,"EndRow",$B180),1)="#","",_xll.BDS(Ticker,"PG_CAPITAL_EXPENDITURES","PG_HIERARCHY_LEVEL=1","NUMBER_OF_PERIODS=-11","REVERSE_PERIOD_ORDER=N","PRODUCT_GEO_OVERRIDE=G","FUND_PER",RIGHT($B$11,1),"ACCOUNTING_STANDARD_OVERRIDE",$H$7,"EQY_CONSOLIDATED",$H$9,"EQY_FUND_CRNCY",$L$7,"StartCol",M$12,"EndCol",M$12,"StartRow",$B180,"EndRow",$B180))</f>
        <v/>
      </c>
      <c r="N180" s="218" t="str">
        <f>IF(LEFT(_xll.BDS(Ticker,"PG_CAPITAL_EXPENDITURES","PG_HIERARCHY_LEVEL=1","NUMBER_OF_PERIODS=-11","REVERSE_PERIOD_ORDER=N","PRODUCT_GEO_OVERRIDE=G","FUND_PER",RIGHT($B$11,1),"ACCOUNTING_STANDARD_OVERRIDE",$H$7,"EQY_CONSOLIDATED",$H$9,"EQY_FUND_CRNCY",$L$7,"StartCol",N$12,"EndCol",N$12,"StartRow",$B180,"EndRow",$B180),1)="#","",_xll.BDS(Ticker,"PG_CAPITAL_EXPENDITURES","PG_HIERARCHY_LEVEL=1","NUMBER_OF_PERIODS=-11","REVERSE_PERIOD_ORDER=N","PRODUCT_GEO_OVERRIDE=G","FUND_PER",RIGHT($B$11,1),"ACCOUNTING_STANDARD_OVERRIDE",$H$7,"EQY_CONSOLIDATED",$H$9,"EQY_FUND_CRNCY",$L$7,"StartCol",N$12,"EndCol",N$12,"StartRow",$B180,"EndRow",$B180))</f>
        <v/>
      </c>
    </row>
    <row r="181" spans="2:14" hidden="1" outlineLevel="1">
      <c r="B181" s="214">
        <v>6</v>
      </c>
      <c r="C181" s="216" t="str">
        <f>IF(LEFT(_xll.BDS(Ticker,"PG_CAPITAL_EXPENDITURES","PG_HIERARCHY_LEVEL=1","NUMBER_OF_PERIODS=-11","REVERSE_PERIOD_ORDER=N","PRODUCT_GEO_OVERRIDE=G","FUND_PER",RIGHT($B$11,1),"ACCOUNTING_STANDARD_OVERRIDE",$H$7,"EQY_CONSOLIDATED",$H$9,"EQY_FUND_CRNCY",$L$7,"StartCol",C$12,"EndCol",C$12,"StartRow",$B181,"EndRow",$B181),1)="#","",_xll.BDS(Ticker,"PG_CAPITAL_EXPENDITURES","PG_HIERARCHY_LEVEL=1","NUMBER_OF_PERIODS=-11","REVERSE_PERIOD_ORDER=N","PRODUCT_GEO_OVERRIDE=G","FUND_PER",RIGHT($B$11,1),"ACCOUNTING_STANDARD_OVERRIDE",$H$7,"EQY_CONSOLIDATED",$H$9,"EQY_FUND_CRNCY",$L$7,"StartCol",C$12,"EndCol",C$12,"StartRow",$B181,"EndRow",$B181))</f>
        <v/>
      </c>
      <c r="D181" s="218" t="str">
        <f>IF(LEFT(_xll.BDS(Ticker,"PG_CAPITAL_EXPENDITURES","PG_HIERARCHY_LEVEL=1","NUMBER_OF_PERIODS=-11","REVERSE_PERIOD_ORDER=N","PRODUCT_GEO_OVERRIDE=G","FUND_PER",RIGHT($B$11,1),"ACCOUNTING_STANDARD_OVERRIDE",$H$7,"EQY_CONSOLIDATED",$H$9,"EQY_FUND_CRNCY",$L$7,"StartCol",D$12,"EndCol",D$12,"StartRow",$B181,"EndRow",$B181),1)="#","",_xll.BDS(Ticker,"PG_CAPITAL_EXPENDITURES","PG_HIERARCHY_LEVEL=1","NUMBER_OF_PERIODS=-11","REVERSE_PERIOD_ORDER=N","PRODUCT_GEO_OVERRIDE=G","FUND_PER",RIGHT($B$11,1),"ACCOUNTING_STANDARD_OVERRIDE",$H$7,"EQY_CONSOLIDATED",$H$9,"EQY_FUND_CRNCY",$L$7,"StartCol",D$12,"EndCol",D$12,"StartRow",$B181,"EndRow",$B181))</f>
        <v/>
      </c>
      <c r="E181" s="218" t="str">
        <f>IF(LEFT(_xll.BDS(Ticker,"PG_CAPITAL_EXPENDITURES","PG_HIERARCHY_LEVEL=1","NUMBER_OF_PERIODS=-11","REVERSE_PERIOD_ORDER=N","PRODUCT_GEO_OVERRIDE=G","FUND_PER",RIGHT($B$11,1),"ACCOUNTING_STANDARD_OVERRIDE",$H$7,"EQY_CONSOLIDATED",$H$9,"EQY_FUND_CRNCY",$L$7,"StartCol",E$12,"EndCol",E$12,"StartRow",$B181,"EndRow",$B181),1)="#","",_xll.BDS(Ticker,"PG_CAPITAL_EXPENDITURES","PG_HIERARCHY_LEVEL=1","NUMBER_OF_PERIODS=-11","REVERSE_PERIOD_ORDER=N","PRODUCT_GEO_OVERRIDE=G","FUND_PER",RIGHT($B$11,1),"ACCOUNTING_STANDARD_OVERRIDE",$H$7,"EQY_CONSOLIDATED",$H$9,"EQY_FUND_CRNCY",$L$7,"StartCol",E$12,"EndCol",E$12,"StartRow",$B181,"EndRow",$B181))</f>
        <v/>
      </c>
      <c r="F181" s="218" t="str">
        <f>IF(LEFT(_xll.BDS(Ticker,"PG_CAPITAL_EXPENDITURES","PG_HIERARCHY_LEVEL=1","NUMBER_OF_PERIODS=-11","REVERSE_PERIOD_ORDER=N","PRODUCT_GEO_OVERRIDE=G","FUND_PER",RIGHT($B$11,1),"ACCOUNTING_STANDARD_OVERRIDE",$H$7,"EQY_CONSOLIDATED",$H$9,"EQY_FUND_CRNCY",$L$7,"StartCol",F$12,"EndCol",F$12,"StartRow",$B181,"EndRow",$B181),1)="#","",_xll.BDS(Ticker,"PG_CAPITAL_EXPENDITURES","PG_HIERARCHY_LEVEL=1","NUMBER_OF_PERIODS=-11","REVERSE_PERIOD_ORDER=N","PRODUCT_GEO_OVERRIDE=G","FUND_PER",RIGHT($B$11,1),"ACCOUNTING_STANDARD_OVERRIDE",$H$7,"EQY_CONSOLIDATED",$H$9,"EQY_FUND_CRNCY",$L$7,"StartCol",F$12,"EndCol",F$12,"StartRow",$B181,"EndRow",$B181))</f>
        <v/>
      </c>
      <c r="G181" s="218" t="str">
        <f>IF(LEFT(_xll.BDS(Ticker,"PG_CAPITAL_EXPENDITURES","PG_HIERARCHY_LEVEL=1","NUMBER_OF_PERIODS=-11","REVERSE_PERIOD_ORDER=N","PRODUCT_GEO_OVERRIDE=G","FUND_PER",RIGHT($B$11,1),"ACCOUNTING_STANDARD_OVERRIDE",$H$7,"EQY_CONSOLIDATED",$H$9,"EQY_FUND_CRNCY",$L$7,"StartCol",G$12,"EndCol",G$12,"StartRow",$B181,"EndRow",$B181),1)="#","",_xll.BDS(Ticker,"PG_CAPITAL_EXPENDITURES","PG_HIERARCHY_LEVEL=1","NUMBER_OF_PERIODS=-11","REVERSE_PERIOD_ORDER=N","PRODUCT_GEO_OVERRIDE=G","FUND_PER",RIGHT($B$11,1),"ACCOUNTING_STANDARD_OVERRIDE",$H$7,"EQY_CONSOLIDATED",$H$9,"EQY_FUND_CRNCY",$L$7,"StartCol",G$12,"EndCol",G$12,"StartRow",$B181,"EndRow",$B181))</f>
        <v/>
      </c>
      <c r="H181" s="218" t="str">
        <f>IF(LEFT(_xll.BDS(Ticker,"PG_CAPITAL_EXPENDITURES","PG_HIERARCHY_LEVEL=1","NUMBER_OF_PERIODS=-11","REVERSE_PERIOD_ORDER=N","PRODUCT_GEO_OVERRIDE=G","FUND_PER",RIGHT($B$11,1),"ACCOUNTING_STANDARD_OVERRIDE",$H$7,"EQY_CONSOLIDATED",$H$9,"EQY_FUND_CRNCY",$L$7,"StartCol",H$12,"EndCol",H$12,"StartRow",$B181,"EndRow",$B181),1)="#","",_xll.BDS(Ticker,"PG_CAPITAL_EXPENDITURES","PG_HIERARCHY_LEVEL=1","NUMBER_OF_PERIODS=-11","REVERSE_PERIOD_ORDER=N","PRODUCT_GEO_OVERRIDE=G","FUND_PER",RIGHT($B$11,1),"ACCOUNTING_STANDARD_OVERRIDE",$H$7,"EQY_CONSOLIDATED",$H$9,"EQY_FUND_CRNCY",$L$7,"StartCol",H$12,"EndCol",H$12,"StartRow",$B181,"EndRow",$B181))</f>
        <v/>
      </c>
      <c r="I181" s="218" t="str">
        <f>IF(LEFT(_xll.BDS(Ticker,"PG_CAPITAL_EXPENDITURES","PG_HIERARCHY_LEVEL=1","NUMBER_OF_PERIODS=-11","REVERSE_PERIOD_ORDER=N","PRODUCT_GEO_OVERRIDE=G","FUND_PER",RIGHT($B$11,1),"ACCOUNTING_STANDARD_OVERRIDE",$H$7,"EQY_CONSOLIDATED",$H$9,"EQY_FUND_CRNCY",$L$7,"StartCol",I$12,"EndCol",I$12,"StartRow",$B181,"EndRow",$B181),1)="#","",_xll.BDS(Ticker,"PG_CAPITAL_EXPENDITURES","PG_HIERARCHY_LEVEL=1","NUMBER_OF_PERIODS=-11","REVERSE_PERIOD_ORDER=N","PRODUCT_GEO_OVERRIDE=G","FUND_PER",RIGHT($B$11,1),"ACCOUNTING_STANDARD_OVERRIDE",$H$7,"EQY_CONSOLIDATED",$H$9,"EQY_FUND_CRNCY",$L$7,"StartCol",I$12,"EndCol",I$12,"StartRow",$B181,"EndRow",$B181))</f>
        <v/>
      </c>
      <c r="J181" s="218" t="str">
        <f>IF(LEFT(_xll.BDS(Ticker,"PG_CAPITAL_EXPENDITURES","PG_HIERARCHY_LEVEL=1","NUMBER_OF_PERIODS=-11","REVERSE_PERIOD_ORDER=N","PRODUCT_GEO_OVERRIDE=G","FUND_PER",RIGHT($B$11,1),"ACCOUNTING_STANDARD_OVERRIDE",$H$7,"EQY_CONSOLIDATED",$H$9,"EQY_FUND_CRNCY",$L$7,"StartCol",J$12,"EndCol",J$12,"StartRow",$B181,"EndRow",$B181),1)="#","",_xll.BDS(Ticker,"PG_CAPITAL_EXPENDITURES","PG_HIERARCHY_LEVEL=1","NUMBER_OF_PERIODS=-11","REVERSE_PERIOD_ORDER=N","PRODUCT_GEO_OVERRIDE=G","FUND_PER",RIGHT($B$11,1),"ACCOUNTING_STANDARD_OVERRIDE",$H$7,"EQY_CONSOLIDATED",$H$9,"EQY_FUND_CRNCY",$L$7,"StartCol",J$12,"EndCol",J$12,"StartRow",$B181,"EndRow",$B181))</f>
        <v/>
      </c>
      <c r="K181" s="218" t="str">
        <f>IF(LEFT(_xll.BDS(Ticker,"PG_CAPITAL_EXPENDITURES","PG_HIERARCHY_LEVEL=1","NUMBER_OF_PERIODS=-11","REVERSE_PERIOD_ORDER=N","PRODUCT_GEO_OVERRIDE=G","FUND_PER",RIGHT($B$11,1),"ACCOUNTING_STANDARD_OVERRIDE",$H$7,"EQY_CONSOLIDATED",$H$9,"EQY_FUND_CRNCY",$L$7,"StartCol",K$12,"EndCol",K$12,"StartRow",$B181,"EndRow",$B181),1)="#","",_xll.BDS(Ticker,"PG_CAPITAL_EXPENDITURES","PG_HIERARCHY_LEVEL=1","NUMBER_OF_PERIODS=-11","REVERSE_PERIOD_ORDER=N","PRODUCT_GEO_OVERRIDE=G","FUND_PER",RIGHT($B$11,1),"ACCOUNTING_STANDARD_OVERRIDE",$H$7,"EQY_CONSOLIDATED",$H$9,"EQY_FUND_CRNCY",$L$7,"StartCol",K$12,"EndCol",K$12,"StartRow",$B181,"EndRow",$B181))</f>
        <v/>
      </c>
      <c r="L181" s="218" t="str">
        <f>IF(LEFT(_xll.BDS(Ticker,"PG_CAPITAL_EXPENDITURES","PG_HIERARCHY_LEVEL=1","NUMBER_OF_PERIODS=-11","REVERSE_PERIOD_ORDER=N","PRODUCT_GEO_OVERRIDE=G","FUND_PER",RIGHT($B$11,1),"ACCOUNTING_STANDARD_OVERRIDE",$H$7,"EQY_CONSOLIDATED",$H$9,"EQY_FUND_CRNCY",$L$7,"StartCol",L$12,"EndCol",L$12,"StartRow",$B181,"EndRow",$B181),1)="#","",_xll.BDS(Ticker,"PG_CAPITAL_EXPENDITURES","PG_HIERARCHY_LEVEL=1","NUMBER_OF_PERIODS=-11","REVERSE_PERIOD_ORDER=N","PRODUCT_GEO_OVERRIDE=G","FUND_PER",RIGHT($B$11,1),"ACCOUNTING_STANDARD_OVERRIDE",$H$7,"EQY_CONSOLIDATED",$H$9,"EQY_FUND_CRNCY",$L$7,"StartCol",L$12,"EndCol",L$12,"StartRow",$B181,"EndRow",$B181))</f>
        <v/>
      </c>
      <c r="M181" s="218" t="str">
        <f>IF(LEFT(_xll.BDS(Ticker,"PG_CAPITAL_EXPENDITURES","PG_HIERARCHY_LEVEL=1","NUMBER_OF_PERIODS=-11","REVERSE_PERIOD_ORDER=N","PRODUCT_GEO_OVERRIDE=G","FUND_PER",RIGHT($B$11,1),"ACCOUNTING_STANDARD_OVERRIDE",$H$7,"EQY_CONSOLIDATED",$H$9,"EQY_FUND_CRNCY",$L$7,"StartCol",M$12,"EndCol",M$12,"StartRow",$B181,"EndRow",$B181),1)="#","",_xll.BDS(Ticker,"PG_CAPITAL_EXPENDITURES","PG_HIERARCHY_LEVEL=1","NUMBER_OF_PERIODS=-11","REVERSE_PERIOD_ORDER=N","PRODUCT_GEO_OVERRIDE=G","FUND_PER",RIGHT($B$11,1),"ACCOUNTING_STANDARD_OVERRIDE",$H$7,"EQY_CONSOLIDATED",$H$9,"EQY_FUND_CRNCY",$L$7,"StartCol",M$12,"EndCol",M$12,"StartRow",$B181,"EndRow",$B181))</f>
        <v/>
      </c>
      <c r="N181" s="218" t="str">
        <f>IF(LEFT(_xll.BDS(Ticker,"PG_CAPITAL_EXPENDITURES","PG_HIERARCHY_LEVEL=1","NUMBER_OF_PERIODS=-11","REVERSE_PERIOD_ORDER=N","PRODUCT_GEO_OVERRIDE=G","FUND_PER",RIGHT($B$11,1),"ACCOUNTING_STANDARD_OVERRIDE",$H$7,"EQY_CONSOLIDATED",$H$9,"EQY_FUND_CRNCY",$L$7,"StartCol",N$12,"EndCol",N$12,"StartRow",$B181,"EndRow",$B181),1)="#","",_xll.BDS(Ticker,"PG_CAPITAL_EXPENDITURES","PG_HIERARCHY_LEVEL=1","NUMBER_OF_PERIODS=-11","REVERSE_PERIOD_ORDER=N","PRODUCT_GEO_OVERRIDE=G","FUND_PER",RIGHT($B$11,1),"ACCOUNTING_STANDARD_OVERRIDE",$H$7,"EQY_CONSOLIDATED",$H$9,"EQY_FUND_CRNCY",$L$7,"StartCol",N$12,"EndCol",N$12,"StartRow",$B181,"EndRow",$B181))</f>
        <v/>
      </c>
    </row>
    <row r="182" spans="2:14" hidden="1" outlineLevel="1">
      <c r="B182" s="214">
        <v>7</v>
      </c>
      <c r="C182" s="216" t="str">
        <f>IF(LEFT(_xll.BDS(Ticker,"PG_CAPITAL_EXPENDITURES","PG_HIERARCHY_LEVEL=1","NUMBER_OF_PERIODS=-11","REVERSE_PERIOD_ORDER=N","PRODUCT_GEO_OVERRIDE=G","FUND_PER",RIGHT($B$11,1),"ACCOUNTING_STANDARD_OVERRIDE",$H$7,"EQY_CONSOLIDATED",$H$9,"EQY_FUND_CRNCY",$L$7,"StartCol",C$12,"EndCol",C$12,"StartRow",$B182,"EndRow",$B182),1)="#","",_xll.BDS(Ticker,"PG_CAPITAL_EXPENDITURES","PG_HIERARCHY_LEVEL=1","NUMBER_OF_PERIODS=-11","REVERSE_PERIOD_ORDER=N","PRODUCT_GEO_OVERRIDE=G","FUND_PER",RIGHT($B$11,1),"ACCOUNTING_STANDARD_OVERRIDE",$H$7,"EQY_CONSOLIDATED",$H$9,"EQY_FUND_CRNCY",$L$7,"StartCol",C$12,"EndCol",C$12,"StartRow",$B182,"EndRow",$B182))</f>
        <v/>
      </c>
      <c r="D182" s="218" t="str">
        <f>IF(LEFT(_xll.BDS(Ticker,"PG_CAPITAL_EXPENDITURES","PG_HIERARCHY_LEVEL=1","NUMBER_OF_PERIODS=-11","REVERSE_PERIOD_ORDER=N","PRODUCT_GEO_OVERRIDE=G","FUND_PER",RIGHT($B$11,1),"ACCOUNTING_STANDARD_OVERRIDE",$H$7,"EQY_CONSOLIDATED",$H$9,"EQY_FUND_CRNCY",$L$7,"StartCol",D$12,"EndCol",D$12,"StartRow",$B182,"EndRow",$B182),1)="#","",_xll.BDS(Ticker,"PG_CAPITAL_EXPENDITURES","PG_HIERARCHY_LEVEL=1","NUMBER_OF_PERIODS=-11","REVERSE_PERIOD_ORDER=N","PRODUCT_GEO_OVERRIDE=G","FUND_PER",RIGHT($B$11,1),"ACCOUNTING_STANDARD_OVERRIDE",$H$7,"EQY_CONSOLIDATED",$H$9,"EQY_FUND_CRNCY",$L$7,"StartCol",D$12,"EndCol",D$12,"StartRow",$B182,"EndRow",$B182))</f>
        <v/>
      </c>
      <c r="E182" s="218" t="str">
        <f>IF(LEFT(_xll.BDS(Ticker,"PG_CAPITAL_EXPENDITURES","PG_HIERARCHY_LEVEL=1","NUMBER_OF_PERIODS=-11","REVERSE_PERIOD_ORDER=N","PRODUCT_GEO_OVERRIDE=G","FUND_PER",RIGHT($B$11,1),"ACCOUNTING_STANDARD_OVERRIDE",$H$7,"EQY_CONSOLIDATED",$H$9,"EQY_FUND_CRNCY",$L$7,"StartCol",E$12,"EndCol",E$12,"StartRow",$B182,"EndRow",$B182),1)="#","",_xll.BDS(Ticker,"PG_CAPITAL_EXPENDITURES","PG_HIERARCHY_LEVEL=1","NUMBER_OF_PERIODS=-11","REVERSE_PERIOD_ORDER=N","PRODUCT_GEO_OVERRIDE=G","FUND_PER",RIGHT($B$11,1),"ACCOUNTING_STANDARD_OVERRIDE",$H$7,"EQY_CONSOLIDATED",$H$9,"EQY_FUND_CRNCY",$L$7,"StartCol",E$12,"EndCol",E$12,"StartRow",$B182,"EndRow",$B182))</f>
        <v/>
      </c>
      <c r="F182" s="218" t="str">
        <f>IF(LEFT(_xll.BDS(Ticker,"PG_CAPITAL_EXPENDITURES","PG_HIERARCHY_LEVEL=1","NUMBER_OF_PERIODS=-11","REVERSE_PERIOD_ORDER=N","PRODUCT_GEO_OVERRIDE=G","FUND_PER",RIGHT($B$11,1),"ACCOUNTING_STANDARD_OVERRIDE",$H$7,"EQY_CONSOLIDATED",$H$9,"EQY_FUND_CRNCY",$L$7,"StartCol",F$12,"EndCol",F$12,"StartRow",$B182,"EndRow",$B182),1)="#","",_xll.BDS(Ticker,"PG_CAPITAL_EXPENDITURES","PG_HIERARCHY_LEVEL=1","NUMBER_OF_PERIODS=-11","REVERSE_PERIOD_ORDER=N","PRODUCT_GEO_OVERRIDE=G","FUND_PER",RIGHT($B$11,1),"ACCOUNTING_STANDARD_OVERRIDE",$H$7,"EQY_CONSOLIDATED",$H$9,"EQY_FUND_CRNCY",$L$7,"StartCol",F$12,"EndCol",F$12,"StartRow",$B182,"EndRow",$B182))</f>
        <v/>
      </c>
      <c r="G182" s="218" t="str">
        <f>IF(LEFT(_xll.BDS(Ticker,"PG_CAPITAL_EXPENDITURES","PG_HIERARCHY_LEVEL=1","NUMBER_OF_PERIODS=-11","REVERSE_PERIOD_ORDER=N","PRODUCT_GEO_OVERRIDE=G","FUND_PER",RIGHT($B$11,1),"ACCOUNTING_STANDARD_OVERRIDE",$H$7,"EQY_CONSOLIDATED",$H$9,"EQY_FUND_CRNCY",$L$7,"StartCol",G$12,"EndCol",G$12,"StartRow",$B182,"EndRow",$B182),1)="#","",_xll.BDS(Ticker,"PG_CAPITAL_EXPENDITURES","PG_HIERARCHY_LEVEL=1","NUMBER_OF_PERIODS=-11","REVERSE_PERIOD_ORDER=N","PRODUCT_GEO_OVERRIDE=G","FUND_PER",RIGHT($B$11,1),"ACCOUNTING_STANDARD_OVERRIDE",$H$7,"EQY_CONSOLIDATED",$H$9,"EQY_FUND_CRNCY",$L$7,"StartCol",G$12,"EndCol",G$12,"StartRow",$B182,"EndRow",$B182))</f>
        <v/>
      </c>
      <c r="H182" s="218" t="str">
        <f>IF(LEFT(_xll.BDS(Ticker,"PG_CAPITAL_EXPENDITURES","PG_HIERARCHY_LEVEL=1","NUMBER_OF_PERIODS=-11","REVERSE_PERIOD_ORDER=N","PRODUCT_GEO_OVERRIDE=G","FUND_PER",RIGHT($B$11,1),"ACCOUNTING_STANDARD_OVERRIDE",$H$7,"EQY_CONSOLIDATED",$H$9,"EQY_FUND_CRNCY",$L$7,"StartCol",H$12,"EndCol",H$12,"StartRow",$B182,"EndRow",$B182),1)="#","",_xll.BDS(Ticker,"PG_CAPITAL_EXPENDITURES","PG_HIERARCHY_LEVEL=1","NUMBER_OF_PERIODS=-11","REVERSE_PERIOD_ORDER=N","PRODUCT_GEO_OVERRIDE=G","FUND_PER",RIGHT($B$11,1),"ACCOUNTING_STANDARD_OVERRIDE",$H$7,"EQY_CONSOLIDATED",$H$9,"EQY_FUND_CRNCY",$L$7,"StartCol",H$12,"EndCol",H$12,"StartRow",$B182,"EndRow",$B182))</f>
        <v/>
      </c>
      <c r="I182" s="218" t="str">
        <f>IF(LEFT(_xll.BDS(Ticker,"PG_CAPITAL_EXPENDITURES","PG_HIERARCHY_LEVEL=1","NUMBER_OF_PERIODS=-11","REVERSE_PERIOD_ORDER=N","PRODUCT_GEO_OVERRIDE=G","FUND_PER",RIGHT($B$11,1),"ACCOUNTING_STANDARD_OVERRIDE",$H$7,"EQY_CONSOLIDATED",$H$9,"EQY_FUND_CRNCY",$L$7,"StartCol",I$12,"EndCol",I$12,"StartRow",$B182,"EndRow",$B182),1)="#","",_xll.BDS(Ticker,"PG_CAPITAL_EXPENDITURES","PG_HIERARCHY_LEVEL=1","NUMBER_OF_PERIODS=-11","REVERSE_PERIOD_ORDER=N","PRODUCT_GEO_OVERRIDE=G","FUND_PER",RIGHT($B$11,1),"ACCOUNTING_STANDARD_OVERRIDE",$H$7,"EQY_CONSOLIDATED",$H$9,"EQY_FUND_CRNCY",$L$7,"StartCol",I$12,"EndCol",I$12,"StartRow",$B182,"EndRow",$B182))</f>
        <v/>
      </c>
      <c r="J182" s="218" t="str">
        <f>IF(LEFT(_xll.BDS(Ticker,"PG_CAPITAL_EXPENDITURES","PG_HIERARCHY_LEVEL=1","NUMBER_OF_PERIODS=-11","REVERSE_PERIOD_ORDER=N","PRODUCT_GEO_OVERRIDE=G","FUND_PER",RIGHT($B$11,1),"ACCOUNTING_STANDARD_OVERRIDE",$H$7,"EQY_CONSOLIDATED",$H$9,"EQY_FUND_CRNCY",$L$7,"StartCol",J$12,"EndCol",J$12,"StartRow",$B182,"EndRow",$B182),1)="#","",_xll.BDS(Ticker,"PG_CAPITAL_EXPENDITURES","PG_HIERARCHY_LEVEL=1","NUMBER_OF_PERIODS=-11","REVERSE_PERIOD_ORDER=N","PRODUCT_GEO_OVERRIDE=G","FUND_PER",RIGHT($B$11,1),"ACCOUNTING_STANDARD_OVERRIDE",$H$7,"EQY_CONSOLIDATED",$H$9,"EQY_FUND_CRNCY",$L$7,"StartCol",J$12,"EndCol",J$12,"StartRow",$B182,"EndRow",$B182))</f>
        <v/>
      </c>
      <c r="K182" s="218" t="str">
        <f>IF(LEFT(_xll.BDS(Ticker,"PG_CAPITAL_EXPENDITURES","PG_HIERARCHY_LEVEL=1","NUMBER_OF_PERIODS=-11","REVERSE_PERIOD_ORDER=N","PRODUCT_GEO_OVERRIDE=G","FUND_PER",RIGHT($B$11,1),"ACCOUNTING_STANDARD_OVERRIDE",$H$7,"EQY_CONSOLIDATED",$H$9,"EQY_FUND_CRNCY",$L$7,"StartCol",K$12,"EndCol",K$12,"StartRow",$B182,"EndRow",$B182),1)="#","",_xll.BDS(Ticker,"PG_CAPITAL_EXPENDITURES","PG_HIERARCHY_LEVEL=1","NUMBER_OF_PERIODS=-11","REVERSE_PERIOD_ORDER=N","PRODUCT_GEO_OVERRIDE=G","FUND_PER",RIGHT($B$11,1),"ACCOUNTING_STANDARD_OVERRIDE",$H$7,"EQY_CONSOLIDATED",$H$9,"EQY_FUND_CRNCY",$L$7,"StartCol",K$12,"EndCol",K$12,"StartRow",$B182,"EndRow",$B182))</f>
        <v/>
      </c>
      <c r="L182" s="218" t="str">
        <f>IF(LEFT(_xll.BDS(Ticker,"PG_CAPITAL_EXPENDITURES","PG_HIERARCHY_LEVEL=1","NUMBER_OF_PERIODS=-11","REVERSE_PERIOD_ORDER=N","PRODUCT_GEO_OVERRIDE=G","FUND_PER",RIGHT($B$11,1),"ACCOUNTING_STANDARD_OVERRIDE",$H$7,"EQY_CONSOLIDATED",$H$9,"EQY_FUND_CRNCY",$L$7,"StartCol",L$12,"EndCol",L$12,"StartRow",$B182,"EndRow",$B182),1)="#","",_xll.BDS(Ticker,"PG_CAPITAL_EXPENDITURES","PG_HIERARCHY_LEVEL=1","NUMBER_OF_PERIODS=-11","REVERSE_PERIOD_ORDER=N","PRODUCT_GEO_OVERRIDE=G","FUND_PER",RIGHT($B$11,1),"ACCOUNTING_STANDARD_OVERRIDE",$H$7,"EQY_CONSOLIDATED",$H$9,"EQY_FUND_CRNCY",$L$7,"StartCol",L$12,"EndCol",L$12,"StartRow",$B182,"EndRow",$B182))</f>
        <v/>
      </c>
      <c r="M182" s="218" t="str">
        <f>IF(LEFT(_xll.BDS(Ticker,"PG_CAPITAL_EXPENDITURES","PG_HIERARCHY_LEVEL=1","NUMBER_OF_PERIODS=-11","REVERSE_PERIOD_ORDER=N","PRODUCT_GEO_OVERRIDE=G","FUND_PER",RIGHT($B$11,1),"ACCOUNTING_STANDARD_OVERRIDE",$H$7,"EQY_CONSOLIDATED",$H$9,"EQY_FUND_CRNCY",$L$7,"StartCol",M$12,"EndCol",M$12,"StartRow",$B182,"EndRow",$B182),1)="#","",_xll.BDS(Ticker,"PG_CAPITAL_EXPENDITURES","PG_HIERARCHY_LEVEL=1","NUMBER_OF_PERIODS=-11","REVERSE_PERIOD_ORDER=N","PRODUCT_GEO_OVERRIDE=G","FUND_PER",RIGHT($B$11,1),"ACCOUNTING_STANDARD_OVERRIDE",$H$7,"EQY_CONSOLIDATED",$H$9,"EQY_FUND_CRNCY",$L$7,"StartCol",M$12,"EndCol",M$12,"StartRow",$B182,"EndRow",$B182))</f>
        <v/>
      </c>
      <c r="N182" s="218" t="str">
        <f>IF(LEFT(_xll.BDS(Ticker,"PG_CAPITAL_EXPENDITURES","PG_HIERARCHY_LEVEL=1","NUMBER_OF_PERIODS=-11","REVERSE_PERIOD_ORDER=N","PRODUCT_GEO_OVERRIDE=G","FUND_PER",RIGHT($B$11,1),"ACCOUNTING_STANDARD_OVERRIDE",$H$7,"EQY_CONSOLIDATED",$H$9,"EQY_FUND_CRNCY",$L$7,"StartCol",N$12,"EndCol",N$12,"StartRow",$B182,"EndRow",$B182),1)="#","",_xll.BDS(Ticker,"PG_CAPITAL_EXPENDITURES","PG_HIERARCHY_LEVEL=1","NUMBER_OF_PERIODS=-11","REVERSE_PERIOD_ORDER=N","PRODUCT_GEO_OVERRIDE=G","FUND_PER",RIGHT($B$11,1),"ACCOUNTING_STANDARD_OVERRIDE",$H$7,"EQY_CONSOLIDATED",$H$9,"EQY_FUND_CRNCY",$L$7,"StartCol",N$12,"EndCol",N$12,"StartRow",$B182,"EndRow",$B182))</f>
        <v/>
      </c>
    </row>
    <row r="183" spans="2:14" hidden="1" outlineLevel="1">
      <c r="B183" s="214">
        <v>8</v>
      </c>
      <c r="C183" s="216" t="str">
        <f>IF(LEFT(_xll.BDS(Ticker,"PG_CAPITAL_EXPENDITURES","PG_HIERARCHY_LEVEL=1","NUMBER_OF_PERIODS=-11","REVERSE_PERIOD_ORDER=N","PRODUCT_GEO_OVERRIDE=G","FUND_PER",RIGHT($B$11,1),"ACCOUNTING_STANDARD_OVERRIDE",$H$7,"EQY_CONSOLIDATED",$H$9,"EQY_FUND_CRNCY",$L$7,"StartCol",C$12,"EndCol",C$12,"StartRow",$B183,"EndRow",$B183),1)="#","",_xll.BDS(Ticker,"PG_CAPITAL_EXPENDITURES","PG_HIERARCHY_LEVEL=1","NUMBER_OF_PERIODS=-11","REVERSE_PERIOD_ORDER=N","PRODUCT_GEO_OVERRIDE=G","FUND_PER",RIGHT($B$11,1),"ACCOUNTING_STANDARD_OVERRIDE",$H$7,"EQY_CONSOLIDATED",$H$9,"EQY_FUND_CRNCY",$L$7,"StartCol",C$12,"EndCol",C$12,"StartRow",$B183,"EndRow",$B183))</f>
        <v/>
      </c>
      <c r="D183" s="218" t="str">
        <f>IF(LEFT(_xll.BDS(Ticker,"PG_CAPITAL_EXPENDITURES","PG_HIERARCHY_LEVEL=1","NUMBER_OF_PERIODS=-11","REVERSE_PERIOD_ORDER=N","PRODUCT_GEO_OVERRIDE=G","FUND_PER",RIGHT($B$11,1),"ACCOUNTING_STANDARD_OVERRIDE",$H$7,"EQY_CONSOLIDATED",$H$9,"EQY_FUND_CRNCY",$L$7,"StartCol",D$12,"EndCol",D$12,"StartRow",$B183,"EndRow",$B183),1)="#","",_xll.BDS(Ticker,"PG_CAPITAL_EXPENDITURES","PG_HIERARCHY_LEVEL=1","NUMBER_OF_PERIODS=-11","REVERSE_PERIOD_ORDER=N","PRODUCT_GEO_OVERRIDE=G","FUND_PER",RIGHT($B$11,1),"ACCOUNTING_STANDARD_OVERRIDE",$H$7,"EQY_CONSOLIDATED",$H$9,"EQY_FUND_CRNCY",$L$7,"StartCol",D$12,"EndCol",D$12,"StartRow",$B183,"EndRow",$B183))</f>
        <v/>
      </c>
      <c r="E183" s="218" t="str">
        <f>IF(LEFT(_xll.BDS(Ticker,"PG_CAPITAL_EXPENDITURES","PG_HIERARCHY_LEVEL=1","NUMBER_OF_PERIODS=-11","REVERSE_PERIOD_ORDER=N","PRODUCT_GEO_OVERRIDE=G","FUND_PER",RIGHT($B$11,1),"ACCOUNTING_STANDARD_OVERRIDE",$H$7,"EQY_CONSOLIDATED",$H$9,"EQY_FUND_CRNCY",$L$7,"StartCol",E$12,"EndCol",E$12,"StartRow",$B183,"EndRow",$B183),1)="#","",_xll.BDS(Ticker,"PG_CAPITAL_EXPENDITURES","PG_HIERARCHY_LEVEL=1","NUMBER_OF_PERIODS=-11","REVERSE_PERIOD_ORDER=N","PRODUCT_GEO_OVERRIDE=G","FUND_PER",RIGHT($B$11,1),"ACCOUNTING_STANDARD_OVERRIDE",$H$7,"EQY_CONSOLIDATED",$H$9,"EQY_FUND_CRNCY",$L$7,"StartCol",E$12,"EndCol",E$12,"StartRow",$B183,"EndRow",$B183))</f>
        <v/>
      </c>
      <c r="F183" s="218" t="str">
        <f>IF(LEFT(_xll.BDS(Ticker,"PG_CAPITAL_EXPENDITURES","PG_HIERARCHY_LEVEL=1","NUMBER_OF_PERIODS=-11","REVERSE_PERIOD_ORDER=N","PRODUCT_GEO_OVERRIDE=G","FUND_PER",RIGHT($B$11,1),"ACCOUNTING_STANDARD_OVERRIDE",$H$7,"EQY_CONSOLIDATED",$H$9,"EQY_FUND_CRNCY",$L$7,"StartCol",F$12,"EndCol",F$12,"StartRow",$B183,"EndRow",$B183),1)="#","",_xll.BDS(Ticker,"PG_CAPITAL_EXPENDITURES","PG_HIERARCHY_LEVEL=1","NUMBER_OF_PERIODS=-11","REVERSE_PERIOD_ORDER=N","PRODUCT_GEO_OVERRIDE=G","FUND_PER",RIGHT($B$11,1),"ACCOUNTING_STANDARD_OVERRIDE",$H$7,"EQY_CONSOLIDATED",$H$9,"EQY_FUND_CRNCY",$L$7,"StartCol",F$12,"EndCol",F$12,"StartRow",$B183,"EndRow",$B183))</f>
        <v/>
      </c>
      <c r="G183" s="218" t="str">
        <f>IF(LEFT(_xll.BDS(Ticker,"PG_CAPITAL_EXPENDITURES","PG_HIERARCHY_LEVEL=1","NUMBER_OF_PERIODS=-11","REVERSE_PERIOD_ORDER=N","PRODUCT_GEO_OVERRIDE=G","FUND_PER",RIGHT($B$11,1),"ACCOUNTING_STANDARD_OVERRIDE",$H$7,"EQY_CONSOLIDATED",$H$9,"EQY_FUND_CRNCY",$L$7,"StartCol",G$12,"EndCol",G$12,"StartRow",$B183,"EndRow",$B183),1)="#","",_xll.BDS(Ticker,"PG_CAPITAL_EXPENDITURES","PG_HIERARCHY_LEVEL=1","NUMBER_OF_PERIODS=-11","REVERSE_PERIOD_ORDER=N","PRODUCT_GEO_OVERRIDE=G","FUND_PER",RIGHT($B$11,1),"ACCOUNTING_STANDARD_OVERRIDE",$H$7,"EQY_CONSOLIDATED",$H$9,"EQY_FUND_CRNCY",$L$7,"StartCol",G$12,"EndCol",G$12,"StartRow",$B183,"EndRow",$B183))</f>
        <v/>
      </c>
      <c r="H183" s="218" t="str">
        <f>IF(LEFT(_xll.BDS(Ticker,"PG_CAPITAL_EXPENDITURES","PG_HIERARCHY_LEVEL=1","NUMBER_OF_PERIODS=-11","REVERSE_PERIOD_ORDER=N","PRODUCT_GEO_OVERRIDE=G","FUND_PER",RIGHT($B$11,1),"ACCOUNTING_STANDARD_OVERRIDE",$H$7,"EQY_CONSOLIDATED",$H$9,"EQY_FUND_CRNCY",$L$7,"StartCol",H$12,"EndCol",H$12,"StartRow",$B183,"EndRow",$B183),1)="#","",_xll.BDS(Ticker,"PG_CAPITAL_EXPENDITURES","PG_HIERARCHY_LEVEL=1","NUMBER_OF_PERIODS=-11","REVERSE_PERIOD_ORDER=N","PRODUCT_GEO_OVERRIDE=G","FUND_PER",RIGHT($B$11,1),"ACCOUNTING_STANDARD_OVERRIDE",$H$7,"EQY_CONSOLIDATED",$H$9,"EQY_FUND_CRNCY",$L$7,"StartCol",H$12,"EndCol",H$12,"StartRow",$B183,"EndRow",$B183))</f>
        <v/>
      </c>
      <c r="I183" s="218" t="str">
        <f>IF(LEFT(_xll.BDS(Ticker,"PG_CAPITAL_EXPENDITURES","PG_HIERARCHY_LEVEL=1","NUMBER_OF_PERIODS=-11","REVERSE_PERIOD_ORDER=N","PRODUCT_GEO_OVERRIDE=G","FUND_PER",RIGHT($B$11,1),"ACCOUNTING_STANDARD_OVERRIDE",$H$7,"EQY_CONSOLIDATED",$H$9,"EQY_FUND_CRNCY",$L$7,"StartCol",I$12,"EndCol",I$12,"StartRow",$B183,"EndRow",$B183),1)="#","",_xll.BDS(Ticker,"PG_CAPITAL_EXPENDITURES","PG_HIERARCHY_LEVEL=1","NUMBER_OF_PERIODS=-11","REVERSE_PERIOD_ORDER=N","PRODUCT_GEO_OVERRIDE=G","FUND_PER",RIGHT($B$11,1),"ACCOUNTING_STANDARD_OVERRIDE",$H$7,"EQY_CONSOLIDATED",$H$9,"EQY_FUND_CRNCY",$L$7,"StartCol",I$12,"EndCol",I$12,"StartRow",$B183,"EndRow",$B183))</f>
        <v/>
      </c>
      <c r="J183" s="218" t="str">
        <f>IF(LEFT(_xll.BDS(Ticker,"PG_CAPITAL_EXPENDITURES","PG_HIERARCHY_LEVEL=1","NUMBER_OF_PERIODS=-11","REVERSE_PERIOD_ORDER=N","PRODUCT_GEO_OVERRIDE=G","FUND_PER",RIGHT($B$11,1),"ACCOUNTING_STANDARD_OVERRIDE",$H$7,"EQY_CONSOLIDATED",$H$9,"EQY_FUND_CRNCY",$L$7,"StartCol",J$12,"EndCol",J$12,"StartRow",$B183,"EndRow",$B183),1)="#","",_xll.BDS(Ticker,"PG_CAPITAL_EXPENDITURES","PG_HIERARCHY_LEVEL=1","NUMBER_OF_PERIODS=-11","REVERSE_PERIOD_ORDER=N","PRODUCT_GEO_OVERRIDE=G","FUND_PER",RIGHT($B$11,1),"ACCOUNTING_STANDARD_OVERRIDE",$H$7,"EQY_CONSOLIDATED",$H$9,"EQY_FUND_CRNCY",$L$7,"StartCol",J$12,"EndCol",J$12,"StartRow",$B183,"EndRow",$B183))</f>
        <v/>
      </c>
      <c r="K183" s="218" t="str">
        <f>IF(LEFT(_xll.BDS(Ticker,"PG_CAPITAL_EXPENDITURES","PG_HIERARCHY_LEVEL=1","NUMBER_OF_PERIODS=-11","REVERSE_PERIOD_ORDER=N","PRODUCT_GEO_OVERRIDE=G","FUND_PER",RIGHT($B$11,1),"ACCOUNTING_STANDARD_OVERRIDE",$H$7,"EQY_CONSOLIDATED",$H$9,"EQY_FUND_CRNCY",$L$7,"StartCol",K$12,"EndCol",K$12,"StartRow",$B183,"EndRow",$B183),1)="#","",_xll.BDS(Ticker,"PG_CAPITAL_EXPENDITURES","PG_HIERARCHY_LEVEL=1","NUMBER_OF_PERIODS=-11","REVERSE_PERIOD_ORDER=N","PRODUCT_GEO_OVERRIDE=G","FUND_PER",RIGHT($B$11,1),"ACCOUNTING_STANDARD_OVERRIDE",$H$7,"EQY_CONSOLIDATED",$H$9,"EQY_FUND_CRNCY",$L$7,"StartCol",K$12,"EndCol",K$12,"StartRow",$B183,"EndRow",$B183))</f>
        <v/>
      </c>
      <c r="L183" s="218" t="str">
        <f>IF(LEFT(_xll.BDS(Ticker,"PG_CAPITAL_EXPENDITURES","PG_HIERARCHY_LEVEL=1","NUMBER_OF_PERIODS=-11","REVERSE_PERIOD_ORDER=N","PRODUCT_GEO_OVERRIDE=G","FUND_PER",RIGHT($B$11,1),"ACCOUNTING_STANDARD_OVERRIDE",$H$7,"EQY_CONSOLIDATED",$H$9,"EQY_FUND_CRNCY",$L$7,"StartCol",L$12,"EndCol",L$12,"StartRow",$B183,"EndRow",$B183),1)="#","",_xll.BDS(Ticker,"PG_CAPITAL_EXPENDITURES","PG_HIERARCHY_LEVEL=1","NUMBER_OF_PERIODS=-11","REVERSE_PERIOD_ORDER=N","PRODUCT_GEO_OVERRIDE=G","FUND_PER",RIGHT($B$11,1),"ACCOUNTING_STANDARD_OVERRIDE",$H$7,"EQY_CONSOLIDATED",$H$9,"EQY_FUND_CRNCY",$L$7,"StartCol",L$12,"EndCol",L$12,"StartRow",$B183,"EndRow",$B183))</f>
        <v/>
      </c>
      <c r="M183" s="218" t="str">
        <f>IF(LEFT(_xll.BDS(Ticker,"PG_CAPITAL_EXPENDITURES","PG_HIERARCHY_LEVEL=1","NUMBER_OF_PERIODS=-11","REVERSE_PERIOD_ORDER=N","PRODUCT_GEO_OVERRIDE=G","FUND_PER",RIGHT($B$11,1),"ACCOUNTING_STANDARD_OVERRIDE",$H$7,"EQY_CONSOLIDATED",$H$9,"EQY_FUND_CRNCY",$L$7,"StartCol",M$12,"EndCol",M$12,"StartRow",$B183,"EndRow",$B183),1)="#","",_xll.BDS(Ticker,"PG_CAPITAL_EXPENDITURES","PG_HIERARCHY_LEVEL=1","NUMBER_OF_PERIODS=-11","REVERSE_PERIOD_ORDER=N","PRODUCT_GEO_OVERRIDE=G","FUND_PER",RIGHT($B$11,1),"ACCOUNTING_STANDARD_OVERRIDE",$H$7,"EQY_CONSOLIDATED",$H$9,"EQY_FUND_CRNCY",$L$7,"StartCol",M$12,"EndCol",M$12,"StartRow",$B183,"EndRow",$B183))</f>
        <v/>
      </c>
      <c r="N183" s="218" t="str">
        <f>IF(LEFT(_xll.BDS(Ticker,"PG_CAPITAL_EXPENDITURES","PG_HIERARCHY_LEVEL=1","NUMBER_OF_PERIODS=-11","REVERSE_PERIOD_ORDER=N","PRODUCT_GEO_OVERRIDE=G","FUND_PER",RIGHT($B$11,1),"ACCOUNTING_STANDARD_OVERRIDE",$H$7,"EQY_CONSOLIDATED",$H$9,"EQY_FUND_CRNCY",$L$7,"StartCol",N$12,"EndCol",N$12,"StartRow",$B183,"EndRow",$B183),1)="#","",_xll.BDS(Ticker,"PG_CAPITAL_EXPENDITURES","PG_HIERARCHY_LEVEL=1","NUMBER_OF_PERIODS=-11","REVERSE_PERIOD_ORDER=N","PRODUCT_GEO_OVERRIDE=G","FUND_PER",RIGHT($B$11,1),"ACCOUNTING_STANDARD_OVERRIDE",$H$7,"EQY_CONSOLIDATED",$H$9,"EQY_FUND_CRNCY",$L$7,"StartCol",N$12,"EndCol",N$12,"StartRow",$B183,"EndRow",$B183))</f>
        <v/>
      </c>
    </row>
    <row r="184" spans="2:14" hidden="1" outlineLevel="1">
      <c r="B184" s="214">
        <v>9</v>
      </c>
      <c r="C184" s="216" t="str">
        <f>IF(LEFT(_xll.BDS(Ticker,"PG_CAPITAL_EXPENDITURES","PG_HIERARCHY_LEVEL=1","NUMBER_OF_PERIODS=-11","REVERSE_PERIOD_ORDER=N","PRODUCT_GEO_OVERRIDE=G","FUND_PER",RIGHT($B$11,1),"ACCOUNTING_STANDARD_OVERRIDE",$H$7,"EQY_CONSOLIDATED",$H$9,"EQY_FUND_CRNCY",$L$7,"StartCol",C$12,"EndCol",C$12,"StartRow",$B184,"EndRow",$B184),1)="#","",_xll.BDS(Ticker,"PG_CAPITAL_EXPENDITURES","PG_HIERARCHY_LEVEL=1","NUMBER_OF_PERIODS=-11","REVERSE_PERIOD_ORDER=N","PRODUCT_GEO_OVERRIDE=G","FUND_PER",RIGHT($B$11,1),"ACCOUNTING_STANDARD_OVERRIDE",$H$7,"EQY_CONSOLIDATED",$H$9,"EQY_FUND_CRNCY",$L$7,"StartCol",C$12,"EndCol",C$12,"StartRow",$B184,"EndRow",$B184))</f>
        <v/>
      </c>
      <c r="D184" s="218" t="str">
        <f>IF(LEFT(_xll.BDS(Ticker,"PG_CAPITAL_EXPENDITURES","PG_HIERARCHY_LEVEL=1","NUMBER_OF_PERIODS=-11","REVERSE_PERIOD_ORDER=N","PRODUCT_GEO_OVERRIDE=G","FUND_PER",RIGHT($B$11,1),"ACCOUNTING_STANDARD_OVERRIDE",$H$7,"EQY_CONSOLIDATED",$H$9,"EQY_FUND_CRNCY",$L$7,"StartCol",D$12,"EndCol",D$12,"StartRow",$B184,"EndRow",$B184),1)="#","",_xll.BDS(Ticker,"PG_CAPITAL_EXPENDITURES","PG_HIERARCHY_LEVEL=1","NUMBER_OF_PERIODS=-11","REVERSE_PERIOD_ORDER=N","PRODUCT_GEO_OVERRIDE=G","FUND_PER",RIGHT($B$11,1),"ACCOUNTING_STANDARD_OVERRIDE",$H$7,"EQY_CONSOLIDATED",$H$9,"EQY_FUND_CRNCY",$L$7,"StartCol",D$12,"EndCol",D$12,"StartRow",$B184,"EndRow",$B184))</f>
        <v/>
      </c>
      <c r="E184" s="218" t="str">
        <f>IF(LEFT(_xll.BDS(Ticker,"PG_CAPITAL_EXPENDITURES","PG_HIERARCHY_LEVEL=1","NUMBER_OF_PERIODS=-11","REVERSE_PERIOD_ORDER=N","PRODUCT_GEO_OVERRIDE=G","FUND_PER",RIGHT($B$11,1),"ACCOUNTING_STANDARD_OVERRIDE",$H$7,"EQY_CONSOLIDATED",$H$9,"EQY_FUND_CRNCY",$L$7,"StartCol",E$12,"EndCol",E$12,"StartRow",$B184,"EndRow",$B184),1)="#","",_xll.BDS(Ticker,"PG_CAPITAL_EXPENDITURES","PG_HIERARCHY_LEVEL=1","NUMBER_OF_PERIODS=-11","REVERSE_PERIOD_ORDER=N","PRODUCT_GEO_OVERRIDE=G","FUND_PER",RIGHT($B$11,1),"ACCOUNTING_STANDARD_OVERRIDE",$H$7,"EQY_CONSOLIDATED",$H$9,"EQY_FUND_CRNCY",$L$7,"StartCol",E$12,"EndCol",E$12,"StartRow",$B184,"EndRow",$B184))</f>
        <v/>
      </c>
      <c r="F184" s="218" t="str">
        <f>IF(LEFT(_xll.BDS(Ticker,"PG_CAPITAL_EXPENDITURES","PG_HIERARCHY_LEVEL=1","NUMBER_OF_PERIODS=-11","REVERSE_PERIOD_ORDER=N","PRODUCT_GEO_OVERRIDE=G","FUND_PER",RIGHT($B$11,1),"ACCOUNTING_STANDARD_OVERRIDE",$H$7,"EQY_CONSOLIDATED",$H$9,"EQY_FUND_CRNCY",$L$7,"StartCol",F$12,"EndCol",F$12,"StartRow",$B184,"EndRow",$B184),1)="#","",_xll.BDS(Ticker,"PG_CAPITAL_EXPENDITURES","PG_HIERARCHY_LEVEL=1","NUMBER_OF_PERIODS=-11","REVERSE_PERIOD_ORDER=N","PRODUCT_GEO_OVERRIDE=G","FUND_PER",RIGHT($B$11,1),"ACCOUNTING_STANDARD_OVERRIDE",$H$7,"EQY_CONSOLIDATED",$H$9,"EQY_FUND_CRNCY",$L$7,"StartCol",F$12,"EndCol",F$12,"StartRow",$B184,"EndRow",$B184))</f>
        <v/>
      </c>
      <c r="G184" s="218" t="str">
        <f>IF(LEFT(_xll.BDS(Ticker,"PG_CAPITAL_EXPENDITURES","PG_HIERARCHY_LEVEL=1","NUMBER_OF_PERIODS=-11","REVERSE_PERIOD_ORDER=N","PRODUCT_GEO_OVERRIDE=G","FUND_PER",RIGHT($B$11,1),"ACCOUNTING_STANDARD_OVERRIDE",$H$7,"EQY_CONSOLIDATED",$H$9,"EQY_FUND_CRNCY",$L$7,"StartCol",G$12,"EndCol",G$12,"StartRow",$B184,"EndRow",$B184),1)="#","",_xll.BDS(Ticker,"PG_CAPITAL_EXPENDITURES","PG_HIERARCHY_LEVEL=1","NUMBER_OF_PERIODS=-11","REVERSE_PERIOD_ORDER=N","PRODUCT_GEO_OVERRIDE=G","FUND_PER",RIGHT($B$11,1),"ACCOUNTING_STANDARD_OVERRIDE",$H$7,"EQY_CONSOLIDATED",$H$9,"EQY_FUND_CRNCY",$L$7,"StartCol",G$12,"EndCol",G$12,"StartRow",$B184,"EndRow",$B184))</f>
        <v/>
      </c>
      <c r="H184" s="218" t="str">
        <f>IF(LEFT(_xll.BDS(Ticker,"PG_CAPITAL_EXPENDITURES","PG_HIERARCHY_LEVEL=1","NUMBER_OF_PERIODS=-11","REVERSE_PERIOD_ORDER=N","PRODUCT_GEO_OVERRIDE=G","FUND_PER",RIGHT($B$11,1),"ACCOUNTING_STANDARD_OVERRIDE",$H$7,"EQY_CONSOLIDATED",$H$9,"EQY_FUND_CRNCY",$L$7,"StartCol",H$12,"EndCol",H$12,"StartRow",$B184,"EndRow",$B184),1)="#","",_xll.BDS(Ticker,"PG_CAPITAL_EXPENDITURES","PG_HIERARCHY_LEVEL=1","NUMBER_OF_PERIODS=-11","REVERSE_PERIOD_ORDER=N","PRODUCT_GEO_OVERRIDE=G","FUND_PER",RIGHT($B$11,1),"ACCOUNTING_STANDARD_OVERRIDE",$H$7,"EQY_CONSOLIDATED",$H$9,"EQY_FUND_CRNCY",$L$7,"StartCol",H$12,"EndCol",H$12,"StartRow",$B184,"EndRow",$B184))</f>
        <v/>
      </c>
      <c r="I184" s="218" t="str">
        <f>IF(LEFT(_xll.BDS(Ticker,"PG_CAPITAL_EXPENDITURES","PG_HIERARCHY_LEVEL=1","NUMBER_OF_PERIODS=-11","REVERSE_PERIOD_ORDER=N","PRODUCT_GEO_OVERRIDE=G","FUND_PER",RIGHT($B$11,1),"ACCOUNTING_STANDARD_OVERRIDE",$H$7,"EQY_CONSOLIDATED",$H$9,"EQY_FUND_CRNCY",$L$7,"StartCol",I$12,"EndCol",I$12,"StartRow",$B184,"EndRow",$B184),1)="#","",_xll.BDS(Ticker,"PG_CAPITAL_EXPENDITURES","PG_HIERARCHY_LEVEL=1","NUMBER_OF_PERIODS=-11","REVERSE_PERIOD_ORDER=N","PRODUCT_GEO_OVERRIDE=G","FUND_PER",RIGHT($B$11,1),"ACCOUNTING_STANDARD_OVERRIDE",$H$7,"EQY_CONSOLIDATED",$H$9,"EQY_FUND_CRNCY",$L$7,"StartCol",I$12,"EndCol",I$12,"StartRow",$B184,"EndRow",$B184))</f>
        <v/>
      </c>
      <c r="J184" s="218" t="str">
        <f>IF(LEFT(_xll.BDS(Ticker,"PG_CAPITAL_EXPENDITURES","PG_HIERARCHY_LEVEL=1","NUMBER_OF_PERIODS=-11","REVERSE_PERIOD_ORDER=N","PRODUCT_GEO_OVERRIDE=G","FUND_PER",RIGHT($B$11,1),"ACCOUNTING_STANDARD_OVERRIDE",$H$7,"EQY_CONSOLIDATED",$H$9,"EQY_FUND_CRNCY",$L$7,"StartCol",J$12,"EndCol",J$12,"StartRow",$B184,"EndRow",$B184),1)="#","",_xll.BDS(Ticker,"PG_CAPITAL_EXPENDITURES","PG_HIERARCHY_LEVEL=1","NUMBER_OF_PERIODS=-11","REVERSE_PERIOD_ORDER=N","PRODUCT_GEO_OVERRIDE=G","FUND_PER",RIGHT($B$11,1),"ACCOUNTING_STANDARD_OVERRIDE",$H$7,"EQY_CONSOLIDATED",$H$9,"EQY_FUND_CRNCY",$L$7,"StartCol",J$12,"EndCol",J$12,"StartRow",$B184,"EndRow",$B184))</f>
        <v/>
      </c>
      <c r="K184" s="218" t="str">
        <f>IF(LEFT(_xll.BDS(Ticker,"PG_CAPITAL_EXPENDITURES","PG_HIERARCHY_LEVEL=1","NUMBER_OF_PERIODS=-11","REVERSE_PERIOD_ORDER=N","PRODUCT_GEO_OVERRIDE=G","FUND_PER",RIGHT($B$11,1),"ACCOUNTING_STANDARD_OVERRIDE",$H$7,"EQY_CONSOLIDATED",$H$9,"EQY_FUND_CRNCY",$L$7,"StartCol",K$12,"EndCol",K$12,"StartRow",$B184,"EndRow",$B184),1)="#","",_xll.BDS(Ticker,"PG_CAPITAL_EXPENDITURES","PG_HIERARCHY_LEVEL=1","NUMBER_OF_PERIODS=-11","REVERSE_PERIOD_ORDER=N","PRODUCT_GEO_OVERRIDE=G","FUND_PER",RIGHT($B$11,1),"ACCOUNTING_STANDARD_OVERRIDE",$H$7,"EQY_CONSOLIDATED",$H$9,"EQY_FUND_CRNCY",$L$7,"StartCol",K$12,"EndCol",K$12,"StartRow",$B184,"EndRow",$B184))</f>
        <v/>
      </c>
      <c r="L184" s="218" t="str">
        <f>IF(LEFT(_xll.BDS(Ticker,"PG_CAPITAL_EXPENDITURES","PG_HIERARCHY_LEVEL=1","NUMBER_OF_PERIODS=-11","REVERSE_PERIOD_ORDER=N","PRODUCT_GEO_OVERRIDE=G","FUND_PER",RIGHT($B$11,1),"ACCOUNTING_STANDARD_OVERRIDE",$H$7,"EQY_CONSOLIDATED",$H$9,"EQY_FUND_CRNCY",$L$7,"StartCol",L$12,"EndCol",L$12,"StartRow",$B184,"EndRow",$B184),1)="#","",_xll.BDS(Ticker,"PG_CAPITAL_EXPENDITURES","PG_HIERARCHY_LEVEL=1","NUMBER_OF_PERIODS=-11","REVERSE_PERIOD_ORDER=N","PRODUCT_GEO_OVERRIDE=G","FUND_PER",RIGHT($B$11,1),"ACCOUNTING_STANDARD_OVERRIDE",$H$7,"EQY_CONSOLIDATED",$H$9,"EQY_FUND_CRNCY",$L$7,"StartCol",L$12,"EndCol",L$12,"StartRow",$B184,"EndRow",$B184))</f>
        <v/>
      </c>
      <c r="M184" s="218" t="str">
        <f>IF(LEFT(_xll.BDS(Ticker,"PG_CAPITAL_EXPENDITURES","PG_HIERARCHY_LEVEL=1","NUMBER_OF_PERIODS=-11","REVERSE_PERIOD_ORDER=N","PRODUCT_GEO_OVERRIDE=G","FUND_PER",RIGHT($B$11,1),"ACCOUNTING_STANDARD_OVERRIDE",$H$7,"EQY_CONSOLIDATED",$H$9,"EQY_FUND_CRNCY",$L$7,"StartCol",M$12,"EndCol",M$12,"StartRow",$B184,"EndRow",$B184),1)="#","",_xll.BDS(Ticker,"PG_CAPITAL_EXPENDITURES","PG_HIERARCHY_LEVEL=1","NUMBER_OF_PERIODS=-11","REVERSE_PERIOD_ORDER=N","PRODUCT_GEO_OVERRIDE=G","FUND_PER",RIGHT($B$11,1),"ACCOUNTING_STANDARD_OVERRIDE",$H$7,"EQY_CONSOLIDATED",$H$9,"EQY_FUND_CRNCY",$L$7,"StartCol",M$12,"EndCol",M$12,"StartRow",$B184,"EndRow",$B184))</f>
        <v/>
      </c>
      <c r="N184" s="218" t="str">
        <f>IF(LEFT(_xll.BDS(Ticker,"PG_CAPITAL_EXPENDITURES","PG_HIERARCHY_LEVEL=1","NUMBER_OF_PERIODS=-11","REVERSE_PERIOD_ORDER=N","PRODUCT_GEO_OVERRIDE=G","FUND_PER",RIGHT($B$11,1),"ACCOUNTING_STANDARD_OVERRIDE",$H$7,"EQY_CONSOLIDATED",$H$9,"EQY_FUND_CRNCY",$L$7,"StartCol",N$12,"EndCol",N$12,"StartRow",$B184,"EndRow",$B184),1)="#","",_xll.BDS(Ticker,"PG_CAPITAL_EXPENDITURES","PG_HIERARCHY_LEVEL=1","NUMBER_OF_PERIODS=-11","REVERSE_PERIOD_ORDER=N","PRODUCT_GEO_OVERRIDE=G","FUND_PER",RIGHT($B$11,1),"ACCOUNTING_STANDARD_OVERRIDE",$H$7,"EQY_CONSOLIDATED",$H$9,"EQY_FUND_CRNCY",$L$7,"StartCol",N$12,"EndCol",N$12,"StartRow",$B184,"EndRow",$B184))</f>
        <v/>
      </c>
    </row>
    <row r="185" spans="2:14" hidden="1" outlineLevel="1">
      <c r="B185" s="214">
        <v>10</v>
      </c>
      <c r="C185" s="216" t="str">
        <f>IF(LEFT(_xll.BDS(Ticker,"PG_CAPITAL_EXPENDITURES","PG_HIERARCHY_LEVEL=1","NUMBER_OF_PERIODS=-11","REVERSE_PERIOD_ORDER=N","PRODUCT_GEO_OVERRIDE=G","FUND_PER",RIGHT($B$11,1),"ACCOUNTING_STANDARD_OVERRIDE",$H$7,"EQY_CONSOLIDATED",$H$9,"EQY_FUND_CRNCY",$L$7,"StartCol",C$12,"EndCol",C$12,"StartRow",$B185,"EndRow",$B185),1)="#","",_xll.BDS(Ticker,"PG_CAPITAL_EXPENDITURES","PG_HIERARCHY_LEVEL=1","NUMBER_OF_PERIODS=-11","REVERSE_PERIOD_ORDER=N","PRODUCT_GEO_OVERRIDE=G","FUND_PER",RIGHT($B$11,1),"ACCOUNTING_STANDARD_OVERRIDE",$H$7,"EQY_CONSOLIDATED",$H$9,"EQY_FUND_CRNCY",$L$7,"StartCol",C$12,"EndCol",C$12,"StartRow",$B185,"EndRow",$B185))</f>
        <v/>
      </c>
      <c r="D185" s="218" t="str">
        <f>IF(LEFT(_xll.BDS(Ticker,"PG_CAPITAL_EXPENDITURES","PG_HIERARCHY_LEVEL=1","NUMBER_OF_PERIODS=-11","REVERSE_PERIOD_ORDER=N","PRODUCT_GEO_OVERRIDE=G","FUND_PER",RIGHT($B$11,1),"ACCOUNTING_STANDARD_OVERRIDE",$H$7,"EQY_CONSOLIDATED",$H$9,"EQY_FUND_CRNCY",$L$7,"StartCol",D$12,"EndCol",D$12,"StartRow",$B185,"EndRow",$B185),1)="#","",_xll.BDS(Ticker,"PG_CAPITAL_EXPENDITURES","PG_HIERARCHY_LEVEL=1","NUMBER_OF_PERIODS=-11","REVERSE_PERIOD_ORDER=N","PRODUCT_GEO_OVERRIDE=G","FUND_PER",RIGHT($B$11,1),"ACCOUNTING_STANDARD_OVERRIDE",$H$7,"EQY_CONSOLIDATED",$H$9,"EQY_FUND_CRNCY",$L$7,"StartCol",D$12,"EndCol",D$12,"StartRow",$B185,"EndRow",$B185))</f>
        <v/>
      </c>
      <c r="E185" s="218" t="str">
        <f>IF(LEFT(_xll.BDS(Ticker,"PG_CAPITAL_EXPENDITURES","PG_HIERARCHY_LEVEL=1","NUMBER_OF_PERIODS=-11","REVERSE_PERIOD_ORDER=N","PRODUCT_GEO_OVERRIDE=G","FUND_PER",RIGHT($B$11,1),"ACCOUNTING_STANDARD_OVERRIDE",$H$7,"EQY_CONSOLIDATED",$H$9,"EQY_FUND_CRNCY",$L$7,"StartCol",E$12,"EndCol",E$12,"StartRow",$B185,"EndRow",$B185),1)="#","",_xll.BDS(Ticker,"PG_CAPITAL_EXPENDITURES","PG_HIERARCHY_LEVEL=1","NUMBER_OF_PERIODS=-11","REVERSE_PERIOD_ORDER=N","PRODUCT_GEO_OVERRIDE=G","FUND_PER",RIGHT($B$11,1),"ACCOUNTING_STANDARD_OVERRIDE",$H$7,"EQY_CONSOLIDATED",$H$9,"EQY_FUND_CRNCY",$L$7,"StartCol",E$12,"EndCol",E$12,"StartRow",$B185,"EndRow",$B185))</f>
        <v/>
      </c>
      <c r="F185" s="218" t="str">
        <f>IF(LEFT(_xll.BDS(Ticker,"PG_CAPITAL_EXPENDITURES","PG_HIERARCHY_LEVEL=1","NUMBER_OF_PERIODS=-11","REVERSE_PERIOD_ORDER=N","PRODUCT_GEO_OVERRIDE=G","FUND_PER",RIGHT($B$11,1),"ACCOUNTING_STANDARD_OVERRIDE",$H$7,"EQY_CONSOLIDATED",$H$9,"EQY_FUND_CRNCY",$L$7,"StartCol",F$12,"EndCol",F$12,"StartRow",$B185,"EndRow",$B185),1)="#","",_xll.BDS(Ticker,"PG_CAPITAL_EXPENDITURES","PG_HIERARCHY_LEVEL=1","NUMBER_OF_PERIODS=-11","REVERSE_PERIOD_ORDER=N","PRODUCT_GEO_OVERRIDE=G","FUND_PER",RIGHT($B$11,1),"ACCOUNTING_STANDARD_OVERRIDE",$H$7,"EQY_CONSOLIDATED",$H$9,"EQY_FUND_CRNCY",$L$7,"StartCol",F$12,"EndCol",F$12,"StartRow",$B185,"EndRow",$B185))</f>
        <v/>
      </c>
      <c r="G185" s="218" t="str">
        <f>IF(LEFT(_xll.BDS(Ticker,"PG_CAPITAL_EXPENDITURES","PG_HIERARCHY_LEVEL=1","NUMBER_OF_PERIODS=-11","REVERSE_PERIOD_ORDER=N","PRODUCT_GEO_OVERRIDE=G","FUND_PER",RIGHT($B$11,1),"ACCOUNTING_STANDARD_OVERRIDE",$H$7,"EQY_CONSOLIDATED",$H$9,"EQY_FUND_CRNCY",$L$7,"StartCol",G$12,"EndCol",G$12,"StartRow",$B185,"EndRow",$B185),1)="#","",_xll.BDS(Ticker,"PG_CAPITAL_EXPENDITURES","PG_HIERARCHY_LEVEL=1","NUMBER_OF_PERIODS=-11","REVERSE_PERIOD_ORDER=N","PRODUCT_GEO_OVERRIDE=G","FUND_PER",RIGHT($B$11,1),"ACCOUNTING_STANDARD_OVERRIDE",$H$7,"EQY_CONSOLIDATED",$H$9,"EQY_FUND_CRNCY",$L$7,"StartCol",G$12,"EndCol",G$12,"StartRow",$B185,"EndRow",$B185))</f>
        <v/>
      </c>
      <c r="H185" s="218" t="str">
        <f>IF(LEFT(_xll.BDS(Ticker,"PG_CAPITAL_EXPENDITURES","PG_HIERARCHY_LEVEL=1","NUMBER_OF_PERIODS=-11","REVERSE_PERIOD_ORDER=N","PRODUCT_GEO_OVERRIDE=G","FUND_PER",RIGHT($B$11,1),"ACCOUNTING_STANDARD_OVERRIDE",$H$7,"EQY_CONSOLIDATED",$H$9,"EQY_FUND_CRNCY",$L$7,"StartCol",H$12,"EndCol",H$12,"StartRow",$B185,"EndRow",$B185),1)="#","",_xll.BDS(Ticker,"PG_CAPITAL_EXPENDITURES","PG_HIERARCHY_LEVEL=1","NUMBER_OF_PERIODS=-11","REVERSE_PERIOD_ORDER=N","PRODUCT_GEO_OVERRIDE=G","FUND_PER",RIGHT($B$11,1),"ACCOUNTING_STANDARD_OVERRIDE",$H$7,"EQY_CONSOLIDATED",$H$9,"EQY_FUND_CRNCY",$L$7,"StartCol",H$12,"EndCol",H$12,"StartRow",$B185,"EndRow",$B185))</f>
        <v/>
      </c>
      <c r="I185" s="218" t="str">
        <f>IF(LEFT(_xll.BDS(Ticker,"PG_CAPITAL_EXPENDITURES","PG_HIERARCHY_LEVEL=1","NUMBER_OF_PERIODS=-11","REVERSE_PERIOD_ORDER=N","PRODUCT_GEO_OVERRIDE=G","FUND_PER",RIGHT($B$11,1),"ACCOUNTING_STANDARD_OVERRIDE",$H$7,"EQY_CONSOLIDATED",$H$9,"EQY_FUND_CRNCY",$L$7,"StartCol",I$12,"EndCol",I$12,"StartRow",$B185,"EndRow",$B185),1)="#","",_xll.BDS(Ticker,"PG_CAPITAL_EXPENDITURES","PG_HIERARCHY_LEVEL=1","NUMBER_OF_PERIODS=-11","REVERSE_PERIOD_ORDER=N","PRODUCT_GEO_OVERRIDE=G","FUND_PER",RIGHT($B$11,1),"ACCOUNTING_STANDARD_OVERRIDE",$H$7,"EQY_CONSOLIDATED",$H$9,"EQY_FUND_CRNCY",$L$7,"StartCol",I$12,"EndCol",I$12,"StartRow",$B185,"EndRow",$B185))</f>
        <v/>
      </c>
      <c r="J185" s="218" t="str">
        <f>IF(LEFT(_xll.BDS(Ticker,"PG_CAPITAL_EXPENDITURES","PG_HIERARCHY_LEVEL=1","NUMBER_OF_PERIODS=-11","REVERSE_PERIOD_ORDER=N","PRODUCT_GEO_OVERRIDE=G","FUND_PER",RIGHT($B$11,1),"ACCOUNTING_STANDARD_OVERRIDE",$H$7,"EQY_CONSOLIDATED",$H$9,"EQY_FUND_CRNCY",$L$7,"StartCol",J$12,"EndCol",J$12,"StartRow",$B185,"EndRow",$B185),1)="#","",_xll.BDS(Ticker,"PG_CAPITAL_EXPENDITURES","PG_HIERARCHY_LEVEL=1","NUMBER_OF_PERIODS=-11","REVERSE_PERIOD_ORDER=N","PRODUCT_GEO_OVERRIDE=G","FUND_PER",RIGHT($B$11,1),"ACCOUNTING_STANDARD_OVERRIDE",$H$7,"EQY_CONSOLIDATED",$H$9,"EQY_FUND_CRNCY",$L$7,"StartCol",J$12,"EndCol",J$12,"StartRow",$B185,"EndRow",$B185))</f>
        <v/>
      </c>
      <c r="K185" s="218" t="str">
        <f>IF(LEFT(_xll.BDS(Ticker,"PG_CAPITAL_EXPENDITURES","PG_HIERARCHY_LEVEL=1","NUMBER_OF_PERIODS=-11","REVERSE_PERIOD_ORDER=N","PRODUCT_GEO_OVERRIDE=G","FUND_PER",RIGHT($B$11,1),"ACCOUNTING_STANDARD_OVERRIDE",$H$7,"EQY_CONSOLIDATED",$H$9,"EQY_FUND_CRNCY",$L$7,"StartCol",K$12,"EndCol",K$12,"StartRow",$B185,"EndRow",$B185),1)="#","",_xll.BDS(Ticker,"PG_CAPITAL_EXPENDITURES","PG_HIERARCHY_LEVEL=1","NUMBER_OF_PERIODS=-11","REVERSE_PERIOD_ORDER=N","PRODUCT_GEO_OVERRIDE=G","FUND_PER",RIGHT($B$11,1),"ACCOUNTING_STANDARD_OVERRIDE",$H$7,"EQY_CONSOLIDATED",$H$9,"EQY_FUND_CRNCY",$L$7,"StartCol",K$12,"EndCol",K$12,"StartRow",$B185,"EndRow",$B185))</f>
        <v/>
      </c>
      <c r="L185" s="218" t="str">
        <f>IF(LEFT(_xll.BDS(Ticker,"PG_CAPITAL_EXPENDITURES","PG_HIERARCHY_LEVEL=1","NUMBER_OF_PERIODS=-11","REVERSE_PERIOD_ORDER=N","PRODUCT_GEO_OVERRIDE=G","FUND_PER",RIGHT($B$11,1),"ACCOUNTING_STANDARD_OVERRIDE",$H$7,"EQY_CONSOLIDATED",$H$9,"EQY_FUND_CRNCY",$L$7,"StartCol",L$12,"EndCol",L$12,"StartRow",$B185,"EndRow",$B185),1)="#","",_xll.BDS(Ticker,"PG_CAPITAL_EXPENDITURES","PG_HIERARCHY_LEVEL=1","NUMBER_OF_PERIODS=-11","REVERSE_PERIOD_ORDER=N","PRODUCT_GEO_OVERRIDE=G","FUND_PER",RIGHT($B$11,1),"ACCOUNTING_STANDARD_OVERRIDE",$H$7,"EQY_CONSOLIDATED",$H$9,"EQY_FUND_CRNCY",$L$7,"StartCol",L$12,"EndCol",L$12,"StartRow",$B185,"EndRow",$B185))</f>
        <v/>
      </c>
      <c r="M185" s="218" t="str">
        <f>IF(LEFT(_xll.BDS(Ticker,"PG_CAPITAL_EXPENDITURES","PG_HIERARCHY_LEVEL=1","NUMBER_OF_PERIODS=-11","REVERSE_PERIOD_ORDER=N","PRODUCT_GEO_OVERRIDE=G","FUND_PER",RIGHT($B$11,1),"ACCOUNTING_STANDARD_OVERRIDE",$H$7,"EQY_CONSOLIDATED",$H$9,"EQY_FUND_CRNCY",$L$7,"StartCol",M$12,"EndCol",M$12,"StartRow",$B185,"EndRow",$B185),1)="#","",_xll.BDS(Ticker,"PG_CAPITAL_EXPENDITURES","PG_HIERARCHY_LEVEL=1","NUMBER_OF_PERIODS=-11","REVERSE_PERIOD_ORDER=N","PRODUCT_GEO_OVERRIDE=G","FUND_PER",RIGHT($B$11,1),"ACCOUNTING_STANDARD_OVERRIDE",$H$7,"EQY_CONSOLIDATED",$H$9,"EQY_FUND_CRNCY",$L$7,"StartCol",M$12,"EndCol",M$12,"StartRow",$B185,"EndRow",$B185))</f>
        <v/>
      </c>
      <c r="N185" s="218" t="str">
        <f>IF(LEFT(_xll.BDS(Ticker,"PG_CAPITAL_EXPENDITURES","PG_HIERARCHY_LEVEL=1","NUMBER_OF_PERIODS=-11","REVERSE_PERIOD_ORDER=N","PRODUCT_GEO_OVERRIDE=G","FUND_PER",RIGHT($B$11,1),"ACCOUNTING_STANDARD_OVERRIDE",$H$7,"EQY_CONSOLIDATED",$H$9,"EQY_FUND_CRNCY",$L$7,"StartCol",N$12,"EndCol",N$12,"StartRow",$B185,"EndRow",$B185),1)="#","",_xll.BDS(Ticker,"PG_CAPITAL_EXPENDITURES","PG_HIERARCHY_LEVEL=1","NUMBER_OF_PERIODS=-11","REVERSE_PERIOD_ORDER=N","PRODUCT_GEO_OVERRIDE=G","FUND_PER",RIGHT($B$11,1),"ACCOUNTING_STANDARD_OVERRIDE",$H$7,"EQY_CONSOLIDATED",$H$9,"EQY_FUND_CRNCY",$L$7,"StartCol",N$12,"EndCol",N$12,"StartRow",$B185,"EndRow",$B185))</f>
        <v/>
      </c>
    </row>
    <row r="186" spans="2:14" collapsed="1">
      <c r="B186" s="77"/>
      <c r="C186" s="211"/>
      <c r="D186" s="211"/>
      <c r="E186" s="211"/>
      <c r="F186" s="211"/>
      <c r="G186" s="211"/>
      <c r="H186" s="211"/>
      <c r="I186" s="211"/>
      <c r="J186" s="211"/>
      <c r="K186" s="211"/>
      <c r="L186" s="211"/>
      <c r="M186" s="211"/>
      <c r="N186" s="211"/>
    </row>
    <row r="187" spans="2:14">
      <c r="B187" s="77"/>
    </row>
  </sheetData>
  <mergeCells count="5">
    <mergeCell ref="F7:G7"/>
    <mergeCell ref="F9:G9"/>
    <mergeCell ref="J7:K7"/>
    <mergeCell ref="J9:K9"/>
    <mergeCell ref="N8:N9"/>
  </mergeCells>
  <phoneticPr fontId="0" type="noConversion"/>
  <dataValidations count="3">
    <dataValidation type="list" allowBlank="1" showInputMessage="1" showErrorMessage="1" sqref="D9">
      <formula1>"Annuals, Quarters, Semi-Annuals"</formula1>
    </dataValidation>
    <dataValidation type="list" allowBlank="1" showInputMessage="1" showErrorMessage="1" sqref="H7">
      <formula1>"Mixed, Local, IFRS, US"</formula1>
    </dataValidation>
    <dataValidation type="list" allowBlank="1" showInputMessage="1" showErrorMessage="1" sqref="H9">
      <formula1>"Yes, No"</formula1>
    </dataValidation>
  </dataValidations>
  <pageMargins left="0.7" right="0.7" top="0.75" bottom="0.75" header="0.3" footer="0.3"/>
  <pageSetup scale="5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upplemental"/>
  <dimension ref="A2:AK577"/>
  <sheetViews>
    <sheetView showGridLines="0" showRowColHeaders="0" zoomScale="87" zoomScaleNormal="87" workbookViewId="0">
      <pane xSplit="2" ySplit="13" topLeftCell="C14" activePane="bottomRight" state="frozen"/>
      <selection sqref="A1:XFD1"/>
      <selection pane="topRight" sqref="A1:XFD1"/>
      <selection pane="bottomLeft" sqref="A1:XFD1"/>
      <selection pane="bottomRight" activeCell="C14" sqref="C14"/>
    </sheetView>
  </sheetViews>
  <sheetFormatPr defaultColWidth="9.140625" defaultRowHeight="15" outlineLevelRow="1"/>
  <cols>
    <col min="1" max="1" width="1.7109375" style="105" customWidth="1"/>
    <col min="2" max="2" width="30.7109375" style="105" customWidth="1"/>
    <col min="3" max="13" width="11.7109375" style="105" customWidth="1"/>
    <col min="14" max="17" width="12.7109375" style="105" customWidth="1"/>
    <col min="18" max="21" width="9.140625" style="105"/>
    <col min="22" max="22" width="11.42578125" style="105" bestFit="1" customWidth="1"/>
    <col min="23" max="16384" width="9.140625" style="105"/>
  </cols>
  <sheetData>
    <row r="2" spans="1:28" ht="5.0999999999999996" customHeight="1"/>
    <row r="3" spans="1:28" ht="15" customHeight="1"/>
    <row r="4" spans="1:28" ht="15" customHeight="1"/>
    <row r="5" spans="1:28" ht="15" customHeight="1"/>
    <row r="6" spans="1:28" ht="15" customHeight="1"/>
    <row r="7" spans="1:28" ht="15" customHeight="1">
      <c r="B7" s="198" t="s">
        <v>353</v>
      </c>
      <c r="C7" s="23" t="str">
        <f>Tick</f>
        <v>SYK US</v>
      </c>
      <c r="D7" s="8"/>
      <c r="E7" s="714" t="s">
        <v>344</v>
      </c>
      <c r="F7" s="715"/>
      <c r="G7" s="26" t="s">
        <v>345</v>
      </c>
      <c r="H7" s="116"/>
      <c r="I7" s="714" t="s">
        <v>0</v>
      </c>
      <c r="J7" s="715"/>
      <c r="K7" s="27" t="str">
        <f>_xll.BDP(Ticker,"EQY FUND CRNCY")</f>
        <v>USD</v>
      </c>
      <c r="L7" s="117"/>
      <c r="M7" s="109"/>
      <c r="Z7" s="106"/>
      <c r="AA7" s="106"/>
      <c r="AB7" s="106"/>
    </row>
    <row r="8" spans="1:28" ht="5.0999999999999996" customHeight="1">
      <c r="C8" s="110"/>
      <c r="D8" s="8"/>
      <c r="E8" s="8"/>
      <c r="F8" s="8"/>
      <c r="G8" s="8"/>
      <c r="H8" s="118"/>
      <c r="I8" s="8"/>
      <c r="J8" s="8"/>
      <c r="K8" s="8"/>
      <c r="L8" s="8"/>
      <c r="M8" s="719"/>
    </row>
    <row r="9" spans="1:28" ht="15" customHeight="1">
      <c r="B9" s="198" t="s">
        <v>352</v>
      </c>
      <c r="C9" s="26" t="s">
        <v>339</v>
      </c>
      <c r="D9" s="108"/>
      <c r="E9" s="738" t="s">
        <v>342</v>
      </c>
      <c r="F9" s="739"/>
      <c r="G9" s="26" t="s">
        <v>343</v>
      </c>
      <c r="H9" s="108"/>
      <c r="I9" s="721"/>
      <c r="J9" s="721"/>
      <c r="K9" s="10"/>
      <c r="L9" s="10"/>
      <c r="M9" s="720"/>
    </row>
    <row r="10" spans="1:28" s="111" customFormat="1" ht="15" customHeight="1">
      <c r="B10" s="59"/>
      <c r="C10" s="12"/>
      <c r="D10" s="14"/>
      <c r="E10" s="14"/>
      <c r="F10" s="14"/>
      <c r="G10" s="14"/>
      <c r="H10" s="14"/>
      <c r="I10" s="14"/>
      <c r="J10" s="14"/>
      <c r="K10" s="14"/>
      <c r="L10" s="14"/>
      <c r="M10" s="14"/>
    </row>
    <row r="11" spans="1:28" s="106" customFormat="1" ht="15" hidden="1" customHeight="1" outlineLevel="1">
      <c r="B11" s="85" t="str">
        <f>IF($C$9="Annuals","FY",IF($C$9="Quarters","FQ",IF($C$9="Semi-Annuals","FS","")))</f>
        <v>FY</v>
      </c>
      <c r="C11" s="62" t="str">
        <f>"-10"&amp;$B$11</f>
        <v>-10FY</v>
      </c>
      <c r="D11" s="62" t="str">
        <f>"-9"&amp;$B$11</f>
        <v>-9FY</v>
      </c>
      <c r="E11" s="62" t="str">
        <f>"-8"&amp;$B$11</f>
        <v>-8FY</v>
      </c>
      <c r="F11" s="62" t="str">
        <f>"-7"&amp;$B$11</f>
        <v>-7FY</v>
      </c>
      <c r="G11" s="62" t="str">
        <f>"-6"&amp;$B$11</f>
        <v>-6FY</v>
      </c>
      <c r="H11" s="62" t="str">
        <f>"-5"&amp;$B$11</f>
        <v>-5FY</v>
      </c>
      <c r="I11" s="62" t="str">
        <f>"-4"&amp;$B$11</f>
        <v>-4FY</v>
      </c>
      <c r="J11" s="62" t="str">
        <f>"-3"&amp;$B$11</f>
        <v>-3FY</v>
      </c>
      <c r="K11" s="62" t="str">
        <f>"-2"&amp;$B$11</f>
        <v>-2FY</v>
      </c>
      <c r="L11" s="62" t="str">
        <f>"-1"&amp;$B$11</f>
        <v>-1FY</v>
      </c>
      <c r="M11" s="62" t="str">
        <f>"-0"&amp;$B$11</f>
        <v>-0FY</v>
      </c>
    </row>
    <row r="12" spans="1:28" ht="15" customHeight="1" collapsed="1">
      <c r="B12" s="717" t="s">
        <v>350</v>
      </c>
      <c r="C12" s="61" t="str">
        <f>IF($B$11="FY","FY "&amp;LEFT(_xll.BDP(Ticker,"FISCAL_YEAR_PERIOD","EQY_FUND_RELATIVE_PERIOD",C$11),4),IF($B$11="FS","FS"&amp;RIGHT(_xll.BDP(Ticker,"FISCAL_YEAR_PERIOD","EQY_FUND_RELATIVE_PERIOD",C$11),1)&amp;" "&amp;LEFT(_xll.BDP(Ticker,"FISCAL_YEAR_PERIOD","EQY_FUND_RELATIVE_PERIOD",C$11),4),IF($B$11="FQ","FQ"&amp;RIGHT(_xll.BDP(Ticker,"FISCAL_YEAR_PERIOD","EQY_FUND_RELATIVE_PERIOD",C$11),1)&amp;" "&amp;LEFT(_xll.BDP(Ticker,"FISCAL_YEAR_PERIOD","EQY_FUND_RELATIVE_PERIOD",C$11),4))))</f>
        <v>FY 2008</v>
      </c>
      <c r="D12" s="37" t="str">
        <f>IF($B$11="FY","FY "&amp;LEFT(_xll.BDP(Ticker,"FISCAL_YEAR_PERIOD","EQY_FUND_RELATIVE_PERIOD",D$11),4),IF($B$11="FS","FS"&amp;RIGHT(_xll.BDP(Ticker,"FISCAL_YEAR_PERIOD","EQY_FUND_RELATIVE_PERIOD",D$11),1)&amp;" "&amp;LEFT(_xll.BDP(Ticker,"FISCAL_YEAR_PERIOD","EQY_FUND_RELATIVE_PERIOD",D$11),4),IF($B$11="FQ","FQ"&amp;RIGHT(_xll.BDP(Ticker,"FISCAL_YEAR_PERIOD","EQY_FUND_RELATIVE_PERIOD",D$11),1)&amp;" "&amp;LEFT(_xll.BDP(Ticker,"FISCAL_YEAR_PERIOD","EQY_FUND_RELATIVE_PERIOD",D$11),4))))</f>
        <v>FY 2009</v>
      </c>
      <c r="E12" s="37" t="str">
        <f>IF($B$11="FY","FY "&amp;LEFT(_xll.BDP(Ticker,"FISCAL_YEAR_PERIOD","EQY_FUND_RELATIVE_PERIOD",E$11),4),IF($B$11="FS","FS"&amp;RIGHT(_xll.BDP(Ticker,"FISCAL_YEAR_PERIOD","EQY_FUND_RELATIVE_PERIOD",E$11),1)&amp;" "&amp;LEFT(_xll.BDP(Ticker,"FISCAL_YEAR_PERIOD","EQY_FUND_RELATIVE_PERIOD",E$11),4),IF($B$11="FQ","FQ"&amp;RIGHT(_xll.BDP(Ticker,"FISCAL_YEAR_PERIOD","EQY_FUND_RELATIVE_PERIOD",E$11),1)&amp;" "&amp;LEFT(_xll.BDP(Ticker,"FISCAL_YEAR_PERIOD","EQY_FUND_RELATIVE_PERIOD",E$11),4))))</f>
        <v>FY 2010</v>
      </c>
      <c r="F12" s="37" t="str">
        <f>IF($B$11="FY","FY "&amp;LEFT(_xll.BDP(Ticker,"FISCAL_YEAR_PERIOD","EQY_FUND_RELATIVE_PERIOD",F$11),4),IF($B$11="FS","FS"&amp;RIGHT(_xll.BDP(Ticker,"FISCAL_YEAR_PERIOD","EQY_FUND_RELATIVE_PERIOD",F$11),1)&amp;" "&amp;LEFT(_xll.BDP(Ticker,"FISCAL_YEAR_PERIOD","EQY_FUND_RELATIVE_PERIOD",F$11),4),IF($B$11="FQ","FQ"&amp;RIGHT(_xll.BDP(Ticker,"FISCAL_YEAR_PERIOD","EQY_FUND_RELATIVE_PERIOD",F$11),1)&amp;" "&amp;LEFT(_xll.BDP(Ticker,"FISCAL_YEAR_PERIOD","EQY_FUND_RELATIVE_PERIOD",F$11),4))))</f>
        <v>FY 2011</v>
      </c>
      <c r="G12" s="37" t="str">
        <f>IF($B$11="FY","FY "&amp;LEFT(_xll.BDP(Ticker,"FISCAL_YEAR_PERIOD","EQY_FUND_RELATIVE_PERIOD",G$11),4),IF($B$11="FS","FS"&amp;RIGHT(_xll.BDP(Ticker,"FISCAL_YEAR_PERIOD","EQY_FUND_RELATIVE_PERIOD",G$11),1)&amp;" "&amp;LEFT(_xll.BDP(Ticker,"FISCAL_YEAR_PERIOD","EQY_FUND_RELATIVE_PERIOD",G$11),4),IF($B$11="FQ","FQ"&amp;RIGHT(_xll.BDP(Ticker,"FISCAL_YEAR_PERIOD","EQY_FUND_RELATIVE_PERIOD",G$11),1)&amp;" "&amp;LEFT(_xll.BDP(Ticker,"FISCAL_YEAR_PERIOD","EQY_FUND_RELATIVE_PERIOD",G$11),4))))</f>
        <v>FY 2012</v>
      </c>
      <c r="H12" s="37" t="str">
        <f>IF($B$11="FY","FY "&amp;LEFT(_xll.BDP(Ticker,"FISCAL_YEAR_PERIOD","EQY_FUND_RELATIVE_PERIOD",H$11),4),IF($B$11="FS","FS"&amp;RIGHT(_xll.BDP(Ticker,"FISCAL_YEAR_PERIOD","EQY_FUND_RELATIVE_PERIOD",H$11),1)&amp;" "&amp;LEFT(_xll.BDP(Ticker,"FISCAL_YEAR_PERIOD","EQY_FUND_RELATIVE_PERIOD",H$11),4),IF($B$11="FQ","FQ"&amp;RIGHT(_xll.BDP(Ticker,"FISCAL_YEAR_PERIOD","EQY_FUND_RELATIVE_PERIOD",H$11),1)&amp;" "&amp;LEFT(_xll.BDP(Ticker,"FISCAL_YEAR_PERIOD","EQY_FUND_RELATIVE_PERIOD",H$11),4))))</f>
        <v>FY 2013</v>
      </c>
      <c r="I12" s="37" t="str">
        <f>IF($B$11="FY","FY "&amp;LEFT(_xll.BDP(Ticker,"FISCAL_YEAR_PERIOD","EQY_FUND_RELATIVE_PERIOD",I$11),4),IF($B$11="FS","FS"&amp;RIGHT(_xll.BDP(Ticker,"FISCAL_YEAR_PERIOD","EQY_FUND_RELATIVE_PERIOD",I$11),1)&amp;" "&amp;LEFT(_xll.BDP(Ticker,"FISCAL_YEAR_PERIOD","EQY_FUND_RELATIVE_PERIOD",I$11),4),IF($B$11="FQ","FQ"&amp;RIGHT(_xll.BDP(Ticker,"FISCAL_YEAR_PERIOD","EQY_FUND_RELATIVE_PERIOD",I$11),1)&amp;" "&amp;LEFT(_xll.BDP(Ticker,"FISCAL_YEAR_PERIOD","EQY_FUND_RELATIVE_PERIOD",I$11),4))))</f>
        <v>FY 2014</v>
      </c>
      <c r="J12" s="37" t="str">
        <f>IF($B$11="FY","FY "&amp;LEFT(_xll.BDP(Ticker,"FISCAL_YEAR_PERIOD","EQY_FUND_RELATIVE_PERIOD",J$11),4),IF($B$11="FS","FS"&amp;RIGHT(_xll.BDP(Ticker,"FISCAL_YEAR_PERIOD","EQY_FUND_RELATIVE_PERIOD",J$11),1)&amp;" "&amp;LEFT(_xll.BDP(Ticker,"FISCAL_YEAR_PERIOD","EQY_FUND_RELATIVE_PERIOD",J$11),4),IF($B$11="FQ","FQ"&amp;RIGHT(_xll.BDP(Ticker,"FISCAL_YEAR_PERIOD","EQY_FUND_RELATIVE_PERIOD",J$11),1)&amp;" "&amp;LEFT(_xll.BDP(Ticker,"FISCAL_YEAR_PERIOD","EQY_FUND_RELATIVE_PERIOD",J$11),4))))</f>
        <v>FY 2015</v>
      </c>
      <c r="K12" s="37" t="str">
        <f>IF($B$11="FY","FY "&amp;LEFT(_xll.BDP(Ticker,"FISCAL_YEAR_PERIOD","EQY_FUND_RELATIVE_PERIOD",K$11),4),IF($B$11="FS","FS"&amp;RIGHT(_xll.BDP(Ticker,"FISCAL_YEAR_PERIOD","EQY_FUND_RELATIVE_PERIOD",K$11),1)&amp;" "&amp;LEFT(_xll.BDP(Ticker,"FISCAL_YEAR_PERIOD","EQY_FUND_RELATIVE_PERIOD",K$11),4),IF($B$11="FQ","FQ"&amp;RIGHT(_xll.BDP(Ticker,"FISCAL_YEAR_PERIOD","EQY_FUND_RELATIVE_PERIOD",K$11),1)&amp;" "&amp;LEFT(_xll.BDP(Ticker,"FISCAL_YEAR_PERIOD","EQY_FUND_RELATIVE_PERIOD",K$11),4))))</f>
        <v>FY 2016</v>
      </c>
      <c r="L12" s="37" t="str">
        <f>IF($B$11="FY","FY "&amp;LEFT(_xll.BDP(Ticker,"FISCAL_YEAR_PERIOD","EQY_FUND_RELATIVE_PERIOD",L$11),4),IF($B$11="FS","FS"&amp;RIGHT(_xll.BDP(Ticker,"FISCAL_YEAR_PERIOD","EQY_FUND_RELATIVE_PERIOD",L$11),1)&amp;" "&amp;LEFT(_xll.BDP(Ticker,"FISCAL_YEAR_PERIOD","EQY_FUND_RELATIVE_PERIOD",L$11),4),IF($B$11="FQ","FQ"&amp;RIGHT(_xll.BDP(Ticker,"FISCAL_YEAR_PERIOD","EQY_FUND_RELATIVE_PERIOD",L$11),1)&amp;" "&amp;LEFT(_xll.BDP(Ticker,"FISCAL_YEAR_PERIOD","EQY_FUND_RELATIVE_PERIOD",L$11),4))))</f>
        <v>FY 2017</v>
      </c>
      <c r="M12" s="37" t="str">
        <f>IF($B$11="FY","FY "&amp;LEFT(_xll.BDP(Ticker,"FISCAL_YEAR_PERIOD","EQY_FUND_RELATIVE_PERIOD",M$11),4),IF($B$11="FS","FS"&amp;RIGHT(_xll.BDP(Ticker,"FISCAL_YEAR_PERIOD","EQY_FUND_RELATIVE_PERIOD",M$11),1)&amp;" "&amp;LEFT(_xll.BDP(Ticker,"FISCAL_YEAR_PERIOD","EQY_FUND_RELATIVE_PERIOD",M$11),4),IF($B$11="FQ","FQ"&amp;RIGHT(_xll.BDP(Ticker,"FISCAL_YEAR_PERIOD","EQY_FUND_RELATIVE_PERIOD",M$11),1)&amp;" "&amp;LEFT(_xll.BDP(Ticker,"FISCAL_YEAR_PERIOD","EQY_FUND_RELATIVE_PERIOD",M$11),4))))</f>
        <v>FY 2018</v>
      </c>
    </row>
    <row r="13" spans="1:28" ht="15" customHeight="1" thickBot="1">
      <c r="B13" s="718"/>
      <c r="C13" s="60" t="str">
        <f>IF(LEFT(_xll.BDP(Ticker,"LATEST_PERIOD_END_DT_FULL_RECORD","EQY_FUND_RELATIVE_PERIOD",C$11,"EQY_CONSOLIDATED",$G$9),1)="#","--",_xll.BDP(Ticker,"LATEST_PERIOD_END_DT_FULL_RECORD","EQY_FUND_RELATIVE_PERIOD",C$11,"EQY_CONSOLIDATED",$G$9))</f>
        <v>12/31/2008</v>
      </c>
      <c r="D13" s="57" t="str">
        <f>IF(LEFT(_xll.BDP(Ticker,"LATEST_PERIOD_END_DT_FULL_RECORD","EQY_FUND_RELATIVE_PERIOD",D$11,"EQY_CONSOLIDATED",$G$9),1)="#","--",_xll.BDP(Ticker,"LATEST_PERIOD_END_DT_FULL_RECORD","EQY_FUND_RELATIVE_PERIOD",D$11,"EQY_CONSOLIDATED",$G$9))</f>
        <v>12/31/2009</v>
      </c>
      <c r="E13" s="57" t="str">
        <f>IF(LEFT(_xll.BDP(Ticker,"LATEST_PERIOD_END_DT_FULL_RECORD","EQY_FUND_RELATIVE_PERIOD",E$11,"EQY_CONSOLIDATED",$G$9),1)="#","--",_xll.BDP(Ticker,"LATEST_PERIOD_END_DT_FULL_RECORD","EQY_FUND_RELATIVE_PERIOD",E$11,"EQY_CONSOLIDATED",$G$9))</f>
        <v>12/31/2010</v>
      </c>
      <c r="F13" s="57" t="str">
        <f>IF(LEFT(_xll.BDP(Ticker,"LATEST_PERIOD_END_DT_FULL_RECORD","EQY_FUND_RELATIVE_PERIOD",F$11,"EQY_CONSOLIDATED",$G$9),1)="#","--",_xll.BDP(Ticker,"LATEST_PERIOD_END_DT_FULL_RECORD","EQY_FUND_RELATIVE_PERIOD",F$11,"EQY_CONSOLIDATED",$G$9))</f>
        <v>12/31/2011</v>
      </c>
      <c r="G13" s="57" t="str">
        <f>IF(LEFT(_xll.BDP(Ticker,"LATEST_PERIOD_END_DT_FULL_RECORD","EQY_FUND_RELATIVE_PERIOD",G$11,"EQY_CONSOLIDATED",$G$9),1)="#","--",_xll.BDP(Ticker,"LATEST_PERIOD_END_DT_FULL_RECORD","EQY_FUND_RELATIVE_PERIOD",G$11,"EQY_CONSOLIDATED",$G$9))</f>
        <v>12/31/2012</v>
      </c>
      <c r="H13" s="57" t="str">
        <f>IF(LEFT(_xll.BDP(Ticker,"LATEST_PERIOD_END_DT_FULL_RECORD","EQY_FUND_RELATIVE_PERIOD",H$11,"EQY_CONSOLIDATED",$G$9),1)="#","--",_xll.BDP(Ticker,"LATEST_PERIOD_END_DT_FULL_RECORD","EQY_FUND_RELATIVE_PERIOD",H$11,"EQY_CONSOLIDATED",$G$9))</f>
        <v>12/31/2013</v>
      </c>
      <c r="I13" s="57" t="str">
        <f>IF(LEFT(_xll.BDP(Ticker,"LATEST_PERIOD_END_DT_FULL_RECORD","EQY_FUND_RELATIVE_PERIOD",I$11,"EQY_CONSOLIDATED",$G$9),1)="#","--",_xll.BDP(Ticker,"LATEST_PERIOD_END_DT_FULL_RECORD","EQY_FUND_RELATIVE_PERIOD",I$11,"EQY_CONSOLIDATED",$G$9))</f>
        <v>12/31/2014</v>
      </c>
      <c r="J13" s="57" t="str">
        <f>IF(LEFT(_xll.BDP(Ticker,"LATEST_PERIOD_END_DT_FULL_RECORD","EQY_FUND_RELATIVE_PERIOD",J$11,"EQY_CONSOLIDATED",$G$9),1)="#","--",_xll.BDP(Ticker,"LATEST_PERIOD_END_DT_FULL_RECORD","EQY_FUND_RELATIVE_PERIOD",J$11,"EQY_CONSOLIDATED",$G$9))</f>
        <v>12/31/2015</v>
      </c>
      <c r="K13" s="57" t="str">
        <f>IF(LEFT(_xll.BDP(Ticker,"LATEST_PERIOD_END_DT_FULL_RECORD","EQY_FUND_RELATIVE_PERIOD",K$11,"EQY_CONSOLIDATED",$G$9),1)="#","--",_xll.BDP(Ticker,"LATEST_PERIOD_END_DT_FULL_RECORD","EQY_FUND_RELATIVE_PERIOD",K$11,"EQY_CONSOLIDATED",$G$9))</f>
        <v>12/31/2016</v>
      </c>
      <c r="L13" s="57" t="str">
        <f>IF(LEFT(_xll.BDP(Ticker,"LATEST_PERIOD_END_DT_FULL_RECORD","EQY_FUND_RELATIVE_PERIOD",L$11,"EQY_CONSOLIDATED",$G$9),1)="#","--",_xll.BDP(Ticker,"LATEST_PERIOD_END_DT_FULL_RECORD","EQY_FUND_RELATIVE_PERIOD",L$11,"EQY_CONSOLIDATED",$G$9))</f>
        <v>12/31/2017</v>
      </c>
      <c r="M13" s="57" t="str">
        <f>IF(LEFT(_xll.BDP(Ticker,"LATEST_PERIOD_END_DT_FULL_RECORD","EQY_FUND_RELATIVE_PERIOD",M$11,"EQY_CONSOLIDATED",$G$9),1)="#","--",_xll.BDP(Ticker,"LATEST_PERIOD_END_DT_FULL_RECORD","EQY_FUND_RELATIVE_PERIOD",M$11,"EQY_CONSOLIDATED",$G$9))</f>
        <v>12/31/2018</v>
      </c>
    </row>
    <row r="14" spans="1:28" ht="15" customHeight="1">
      <c r="B14" s="119" t="s">
        <v>190</v>
      </c>
      <c r="C14" s="120"/>
      <c r="D14" s="120"/>
      <c r="E14" s="120"/>
      <c r="F14" s="120"/>
      <c r="G14" s="120"/>
      <c r="H14" s="120"/>
      <c r="I14" s="120"/>
      <c r="J14" s="120"/>
      <c r="K14" s="120"/>
      <c r="L14" s="120"/>
      <c r="M14" s="120"/>
      <c r="N14" s="112"/>
    </row>
    <row r="15" spans="1:28" ht="15" customHeight="1">
      <c r="A15" s="112"/>
      <c r="B15" s="121" t="s">
        <v>191</v>
      </c>
      <c r="C15" s="126">
        <f>_xll.BDP(Ticker,"BS_OPTIONS_GRANTED","EQY_FUND_RELATIVE_PERIOD",C$11,"EQY_FUND_CRNCY",$K$7,"EQY_CONSOLIDATED",$G$9,"ACCOUNTING_STANDARD_OVERRIDE",$G$7,"Fill=--")</f>
        <v>3.3</v>
      </c>
      <c r="D15" s="126">
        <f>_xll.BDP(Ticker,"BS_OPTIONS_GRANTED","EQY_FUND_RELATIVE_PERIOD",D$11,"EQY_FUND_CRNCY",$K$7,"EQY_CONSOLIDATED",$G$9,"ACCOUNTING_STANDARD_OVERRIDE",$G$7,"Fill=--")</f>
        <v>5.5</v>
      </c>
      <c r="E15" s="126">
        <f>_xll.BDP(Ticker,"BS_OPTIONS_GRANTED","EQY_FUND_RELATIVE_PERIOD",E$11,"EQY_FUND_CRNCY",$K$7,"EQY_CONSOLIDATED",$G$9,"ACCOUNTING_STANDARD_OVERRIDE",$G$7,"Fill=--")</f>
        <v>2.6</v>
      </c>
      <c r="F15" s="126" t="str">
        <f>_xll.BDP(Ticker,"BS_OPTIONS_GRANTED","EQY_FUND_RELATIVE_PERIOD",F$11,"EQY_FUND_CRNCY",$K$7,"EQY_CONSOLIDATED",$G$9,"ACCOUNTING_STANDARD_OVERRIDE",$G$7,"Fill=--")</f>
        <v>--</v>
      </c>
      <c r="G15" s="126">
        <f>_xll.BDP(Ticker,"BS_OPTIONS_GRANTED","EQY_FUND_RELATIVE_PERIOD",G$11,"EQY_FUND_CRNCY",$K$7,"EQY_CONSOLIDATED",$G$9,"ACCOUNTING_STANDARD_OVERRIDE",$G$7,"Fill=--")</f>
        <v>2.6</v>
      </c>
      <c r="H15" s="126">
        <f>_xll.BDP(Ticker,"BS_OPTIONS_GRANTED","EQY_FUND_RELATIVE_PERIOD",H$11,"EQY_FUND_CRNCY",$K$7,"EQY_CONSOLIDATED",$G$9,"ACCOUNTING_STANDARD_OVERRIDE",$G$7,"Fill=--")</f>
        <v>3.0999999999999996</v>
      </c>
      <c r="I15" s="126">
        <f>_xll.BDP(Ticker,"BS_OPTIONS_GRANTED","EQY_FUND_RELATIVE_PERIOD",I$11,"EQY_FUND_CRNCY",$K$7,"EQY_CONSOLIDATED",$G$9,"ACCOUNTING_STANDARD_OVERRIDE",$G$7,"Fill=--")</f>
        <v>2.5</v>
      </c>
      <c r="J15" s="126">
        <f>_xll.BDP(Ticker,"BS_OPTIONS_GRANTED","EQY_FUND_RELATIVE_PERIOD",J$11,"EQY_FUND_CRNCY",$K$7,"EQY_CONSOLIDATED",$G$9,"ACCOUNTING_STANDARD_OVERRIDE",$G$7,"Fill=--")</f>
        <v>2.4</v>
      </c>
      <c r="K15" s="126">
        <f>_xll.BDP(Ticker,"BS_OPTIONS_GRANTED","EQY_FUND_RELATIVE_PERIOD",K$11,"EQY_FUND_CRNCY",$K$7,"EQY_CONSOLIDATED",$G$9,"ACCOUNTING_STANDARD_OVERRIDE",$G$7,"Fill=--")</f>
        <v>3.0999999999999996</v>
      </c>
      <c r="L15" s="126">
        <f>_xll.BDP(Ticker,"BS_OPTIONS_GRANTED","EQY_FUND_RELATIVE_PERIOD",L$11,"EQY_FUND_CRNCY",$K$7,"EQY_CONSOLIDATED",$G$9,"ACCOUNTING_STANDARD_OVERRIDE",$G$7,"Fill=--")</f>
        <v>2.9</v>
      </c>
      <c r="M15" s="126">
        <f>_xll.BDP(Ticker,"BS_OPTIONS_GRANTED","EQY_FUND_RELATIVE_PERIOD",M$11,"EQY_FUND_CRNCY",$K$7,"EQY_CONSOLIDATED",$G$9,"ACCOUNTING_STANDARD_OVERRIDE",$G$7,"Fill=--")</f>
        <v>2.4</v>
      </c>
    </row>
    <row r="16" spans="1:28" ht="15" customHeight="1">
      <c r="A16" s="112"/>
      <c r="B16" s="121" t="s">
        <v>192</v>
      </c>
      <c r="C16" s="126">
        <f>_xll.BDP(Ticker,"BS_OPTIONS_OUTSTANDING","EQY_FUND_RELATIVE_PERIOD",C$11,"EQY_FUND_CRNCY",$K$7,"EQY_CONSOLIDATED",$G$9,"ACCOUNTING_STANDARD_OVERRIDE",$G$7,"Fill=--")</f>
        <v>23.799999999999997</v>
      </c>
      <c r="D16" s="126">
        <f>_xll.BDP(Ticker,"BS_OPTIONS_OUTSTANDING","EQY_FUND_RELATIVE_PERIOD",D$11,"EQY_FUND_CRNCY",$K$7,"EQY_CONSOLIDATED",$G$9,"ACCOUNTING_STANDARD_OVERRIDE",$G$7,"Fill=--")</f>
        <v>26.299999999999997</v>
      </c>
      <c r="E16" s="126">
        <f>_xll.BDP(Ticker,"BS_OPTIONS_OUTSTANDING","EQY_FUND_RELATIVE_PERIOD",E$11,"EQY_FUND_CRNCY",$K$7,"EQY_CONSOLIDATED",$G$9,"ACCOUNTING_STANDARD_OVERRIDE",$G$7,"Fill=--")</f>
        <v>24.799999999999997</v>
      </c>
      <c r="F16" s="126">
        <f>_xll.BDP(Ticker,"BS_OPTIONS_OUTSTANDING","EQY_FUND_RELATIVE_PERIOD",F$11,"EQY_FUND_CRNCY",$K$7,"EQY_CONSOLIDATED",$G$9,"ACCOUNTING_STANDARD_OVERRIDE",$G$7,"Fill=--")</f>
        <v>22.8</v>
      </c>
      <c r="G16" s="126">
        <f>_xll.BDP(Ticker,"BS_OPTIONS_OUTSTANDING","EQY_FUND_RELATIVE_PERIOD",G$11,"EQY_FUND_CRNCY",$K$7,"EQY_CONSOLIDATED",$G$9,"ACCOUNTING_STANDARD_OVERRIDE",$G$7,"Fill=--")</f>
        <v>19.7</v>
      </c>
      <c r="H16" s="126">
        <f>_xll.BDP(Ticker,"BS_OPTIONS_OUTSTANDING","EQY_FUND_RELATIVE_PERIOD",H$11,"EQY_FUND_CRNCY",$K$7,"EQY_CONSOLIDATED",$G$9,"ACCOUNTING_STANDARD_OVERRIDE",$G$7,"Fill=--")</f>
        <v>17</v>
      </c>
      <c r="I16" s="126">
        <f>_xll.BDP(Ticker,"BS_OPTIONS_OUTSTANDING","EQY_FUND_RELATIVE_PERIOD",I$11,"EQY_FUND_CRNCY",$K$7,"EQY_CONSOLIDATED",$G$9,"ACCOUNTING_STANDARD_OVERRIDE",$G$7,"Fill=--")</f>
        <v>15.2</v>
      </c>
      <c r="J16" s="126">
        <f>_xll.BDP(Ticker,"BS_OPTIONS_OUTSTANDING","EQY_FUND_RELATIVE_PERIOD",J$11,"EQY_FUND_CRNCY",$K$7,"EQY_CONSOLIDATED",$G$9,"ACCOUNTING_STANDARD_OVERRIDE",$G$7,"Fill=--")</f>
        <v>14.899999999999999</v>
      </c>
      <c r="K16" s="126">
        <f>_xll.BDP(Ticker,"BS_OPTIONS_OUTSTANDING","EQY_FUND_RELATIVE_PERIOD",K$11,"EQY_FUND_CRNCY",$K$7,"EQY_CONSOLIDATED",$G$9,"ACCOUNTING_STANDARD_OVERRIDE",$G$7,"Fill=--")</f>
        <v>14.899999999999999</v>
      </c>
      <c r="L16" s="126">
        <f>_xll.BDP(Ticker,"BS_OPTIONS_OUTSTANDING","EQY_FUND_RELATIVE_PERIOD",L$11,"EQY_FUND_CRNCY",$K$7,"EQY_CONSOLIDATED",$G$9,"ACCOUNTING_STANDARD_OVERRIDE",$G$7,"Fill=--")</f>
        <v>14.7</v>
      </c>
      <c r="M16" s="126">
        <f>_xll.BDP(Ticker,"BS_OPTIONS_OUTSTANDING","EQY_FUND_RELATIVE_PERIOD",M$11,"EQY_FUND_CRNCY",$K$7,"EQY_CONSOLIDATED",$G$9,"ACCOUNTING_STANDARD_OVERRIDE",$G$7,"Fill=--")</f>
        <v>14.1</v>
      </c>
    </row>
    <row r="17" spans="1:13" ht="15" customHeight="1">
      <c r="A17" s="112"/>
      <c r="B17" s="121" t="s">
        <v>193</v>
      </c>
      <c r="C17" s="126">
        <f>_xll.BDP(Ticker,"BS_OPTIONS_EXERCISABLE","EQY_FUND_RELATIVE_PERIOD",C$11,"EQY_FUND_CRNCY",$K$7,"EQY_CONSOLIDATED",$G$9,"ACCOUNTING_STANDARD_OVERRIDE",$G$7,"Fill=--")</f>
        <v>13.899999999999999</v>
      </c>
      <c r="D17" s="126">
        <f>_xll.BDP(Ticker,"BS_OPTIONS_EXERCISABLE","EQY_FUND_RELATIVE_PERIOD",D$11,"EQY_FUND_CRNCY",$K$7,"EQY_CONSOLIDATED",$G$9,"ACCOUNTING_STANDARD_OVERRIDE",$G$7,"Fill=--")</f>
        <v>14.6</v>
      </c>
      <c r="E17" s="126">
        <f>_xll.BDP(Ticker,"BS_OPTIONS_EXERCISABLE","EQY_FUND_RELATIVE_PERIOD",E$11,"EQY_FUND_CRNCY",$K$7,"EQY_CONSOLIDATED",$G$9,"ACCOUNTING_STANDARD_OVERRIDE",$G$7,"Fill=--")</f>
        <v>14.6</v>
      </c>
      <c r="F17" s="126">
        <f>_xll.BDP(Ticker,"BS_OPTIONS_EXERCISABLE","EQY_FUND_RELATIVE_PERIOD",F$11,"EQY_FUND_CRNCY",$K$7,"EQY_CONSOLIDATED",$G$9,"ACCOUNTING_STANDARD_OVERRIDE",$G$7,"Fill=--")</f>
        <v>14.299999999999999</v>
      </c>
      <c r="G17" s="126">
        <f>_xll.BDP(Ticker,"BS_OPTIONS_EXERCISABLE","EQY_FUND_RELATIVE_PERIOD",G$11,"EQY_FUND_CRNCY",$K$7,"EQY_CONSOLIDATED",$G$9,"ACCOUNTING_STANDARD_OVERRIDE",$G$7,"Fill=--")</f>
        <v>12.899999999999999</v>
      </c>
      <c r="H17" s="126">
        <f>_xll.BDP(Ticker,"BS_OPTIONS_EXERCISABLE","EQY_FUND_RELATIVE_PERIOD",H$11,"EQY_FUND_CRNCY",$K$7,"EQY_CONSOLIDATED",$G$9,"ACCOUNTING_STANDARD_OVERRIDE",$G$7,"Fill=--")</f>
        <v>10.1</v>
      </c>
      <c r="I17" s="126">
        <f>_xll.BDP(Ticker,"BS_OPTIONS_EXERCISABLE","EQY_FUND_RELATIVE_PERIOD",I$11,"EQY_FUND_CRNCY",$K$7,"EQY_CONSOLIDATED",$G$9,"ACCOUNTING_STANDARD_OVERRIDE",$G$7,"Fill=--")</f>
        <v>8.6999999999999993</v>
      </c>
      <c r="J17" s="126">
        <f>_xll.BDP(Ticker,"BS_OPTIONS_EXERCISABLE","EQY_FUND_RELATIVE_PERIOD",J$11,"EQY_FUND_CRNCY",$K$7,"EQY_CONSOLIDATED",$G$9,"ACCOUNTING_STANDARD_OVERRIDE",$G$7,"Fill=--")</f>
        <v>8.3000000000000007</v>
      </c>
      <c r="K17" s="126">
        <f>_xll.BDP(Ticker,"BS_OPTIONS_EXERCISABLE","EQY_FUND_RELATIVE_PERIOD",K$11,"EQY_FUND_CRNCY",$K$7,"EQY_CONSOLIDATED",$G$9,"ACCOUNTING_STANDARD_OVERRIDE",$G$7,"Fill=--")</f>
        <v>7.8</v>
      </c>
      <c r="L17" s="126">
        <f>_xll.BDP(Ticker,"BS_OPTIONS_EXERCISABLE","EQY_FUND_RELATIVE_PERIOD",L$11,"EQY_FUND_CRNCY",$K$7,"EQY_CONSOLIDATED",$G$9,"ACCOUNTING_STANDARD_OVERRIDE",$G$7,"Fill=--")</f>
        <v>7.5</v>
      </c>
      <c r="M17" s="126">
        <f>_xll.BDP(Ticker,"BS_OPTIONS_EXERCISABLE","EQY_FUND_RELATIVE_PERIOD",M$11,"EQY_FUND_CRNCY",$K$7,"EQY_CONSOLIDATED",$G$9,"ACCOUNTING_STANDARD_OVERRIDE",$G$7,"Fill=--")</f>
        <v>7.3</v>
      </c>
    </row>
    <row r="18" spans="1:13" ht="15" customHeight="1">
      <c r="A18" s="112"/>
      <c r="B18" s="122"/>
      <c r="C18" s="126"/>
      <c r="D18" s="126"/>
      <c r="E18" s="126"/>
      <c r="F18" s="126"/>
      <c r="G18" s="126"/>
      <c r="H18" s="126"/>
      <c r="I18" s="126"/>
      <c r="J18" s="126"/>
      <c r="K18" s="126"/>
      <c r="L18" s="126"/>
      <c r="M18" s="126"/>
    </row>
    <row r="19" spans="1:13" ht="15" customHeight="1">
      <c r="A19" s="112"/>
      <c r="B19" s="122" t="s">
        <v>181</v>
      </c>
      <c r="C19" s="126"/>
      <c r="D19" s="126"/>
      <c r="E19" s="126"/>
      <c r="F19" s="126"/>
      <c r="G19" s="126"/>
      <c r="H19" s="126"/>
      <c r="I19" s="126"/>
      <c r="J19" s="126"/>
      <c r="K19" s="126"/>
      <c r="L19" s="126"/>
      <c r="M19" s="126"/>
    </row>
    <row r="20" spans="1:13" ht="15" customHeight="1">
      <c r="A20" s="112"/>
      <c r="B20" s="121" t="s">
        <v>194</v>
      </c>
      <c r="C20" s="126" t="str">
        <f>_xll.BDP(Ticker,"BS_WEIGHTED_AVG_FV_PER_OPTION","EQY_FUND_RELATIVE_PERIOD",C$11,"EQY_FUND_CRNCY",$K$7,"EQY_CONSOLIDATED",$G$9,"ACCOUNTING_STANDARD_OVERRIDE",$G$7,"Fill=--")</f>
        <v>--</v>
      </c>
      <c r="D20" s="126" t="str">
        <f>_xll.BDP(Ticker,"BS_WEIGHTED_AVG_FV_PER_OPTION","EQY_FUND_RELATIVE_PERIOD",D$11,"EQY_FUND_CRNCY",$K$7,"EQY_CONSOLIDATED",$G$9,"ACCOUNTING_STANDARD_OVERRIDE",$G$7,"Fill=--")</f>
        <v>--</v>
      </c>
      <c r="E20" s="126">
        <f>_xll.BDP(Ticker,"BS_WEIGHTED_AVG_FV_PER_OPTION","EQY_FUND_RELATIVE_PERIOD",E$11,"EQY_FUND_CRNCY",$K$7,"EQY_CONSOLIDATED",$G$9,"ACCOUNTING_STANDARD_OVERRIDE",$G$7,"Fill=--")</f>
        <v>15.87</v>
      </c>
      <c r="F20" s="126">
        <f>_xll.BDP(Ticker,"BS_WEIGHTED_AVG_FV_PER_OPTION","EQY_FUND_RELATIVE_PERIOD",F$11,"EQY_FUND_CRNCY",$K$7,"EQY_CONSOLIDATED",$G$9,"ACCOUNTING_STANDARD_OVERRIDE",$G$7,"Fill=--")</f>
        <v>17.14</v>
      </c>
      <c r="G20" s="126">
        <f>_xll.BDP(Ticker,"BS_WEIGHTED_AVG_FV_PER_OPTION","EQY_FUND_RELATIVE_PERIOD",G$11,"EQY_FUND_CRNCY",$K$7,"EQY_CONSOLIDATED",$G$9,"ACCOUNTING_STANDARD_OVERRIDE",$G$7,"Fill=--")</f>
        <v>13.36</v>
      </c>
      <c r="H20" s="126">
        <f>_xll.BDP(Ticker,"BS_WEIGHTED_AVG_FV_PER_OPTION","EQY_FUND_RELATIVE_PERIOD",H$11,"EQY_FUND_CRNCY",$K$7,"EQY_CONSOLIDATED",$G$9,"ACCOUNTING_STANDARD_OVERRIDE",$G$7,"Fill=--")</f>
        <v>15.24</v>
      </c>
      <c r="I20" s="126">
        <f>_xll.BDP(Ticker,"BS_WEIGHTED_AVG_FV_PER_OPTION","EQY_FUND_RELATIVE_PERIOD",I$11,"EQY_FUND_CRNCY",$K$7,"EQY_CONSOLIDATED",$G$9,"ACCOUNTING_STANDARD_OVERRIDE",$G$7,"Fill=--")</f>
        <v>15.8</v>
      </c>
      <c r="J20" s="126">
        <f>_xll.BDP(Ticker,"BS_WEIGHTED_AVG_FV_PER_OPTION","EQY_FUND_RELATIVE_PERIOD",J$11,"EQY_FUND_CRNCY",$K$7,"EQY_CONSOLIDATED",$G$9,"ACCOUNTING_STANDARD_OVERRIDE",$G$7,"Fill=--")</f>
        <v>22.55</v>
      </c>
      <c r="K20" s="126">
        <f>_xll.BDP(Ticker,"BS_WEIGHTED_AVG_FV_PER_OPTION","EQY_FUND_RELATIVE_PERIOD",K$11,"EQY_FUND_CRNCY",$K$7,"EQY_CONSOLIDATED",$G$9,"ACCOUNTING_STANDARD_OVERRIDE",$G$7,"Fill=--")</f>
        <v>17.73</v>
      </c>
      <c r="L20" s="126">
        <f>_xll.BDP(Ticker,"BS_WEIGHTED_AVG_FV_PER_OPTION","EQY_FUND_RELATIVE_PERIOD",L$11,"EQY_FUND_CRNCY",$K$7,"EQY_CONSOLIDATED",$G$9,"ACCOUNTING_STANDARD_OVERRIDE",$G$7,"Fill=--")</f>
        <v>22.43</v>
      </c>
      <c r="M20" s="126">
        <f>_xll.BDP(Ticker,"BS_WEIGHTED_AVG_FV_PER_OPTION","EQY_FUND_RELATIVE_PERIOD",M$11,"EQY_FUND_CRNCY",$K$7,"EQY_CONSOLIDATED",$G$9,"ACCOUNTING_STANDARD_OVERRIDE",$G$7,"Fill=--")</f>
        <v>28.52</v>
      </c>
    </row>
    <row r="21" spans="1:13" ht="15" customHeight="1">
      <c r="A21" s="112"/>
      <c r="B21" s="121" t="s">
        <v>195</v>
      </c>
      <c r="C21" s="126">
        <f>_xll.BDP(Ticker,"ARDR_AVG_EXER_PX_OPT_OUTSTANDING","EQY_FUND_RELATIVE_PERIOD",C$11,"EQY_FUND_CRNCY",$K$7,"EQY_CONSOLIDATED",$G$9,"ACCOUNTING_STANDARD_OVERRIDE",$G$7,"Fill=--")</f>
        <v>45.01</v>
      </c>
      <c r="D21" s="126">
        <f>_xll.BDP(Ticker,"ARDR_AVG_EXER_PX_OPT_OUTSTANDING","EQY_FUND_RELATIVE_PERIOD",D$11,"EQY_FUND_CRNCY",$K$7,"EQY_CONSOLIDATED",$G$9,"ACCOUNTING_STANDARD_OVERRIDE",$G$7,"Fill=--")</f>
        <v>45.69</v>
      </c>
      <c r="E21" s="126">
        <f>_xll.BDP(Ticker,"ARDR_AVG_EXER_PX_OPT_OUTSTANDING","EQY_FUND_RELATIVE_PERIOD",E$11,"EQY_FUND_CRNCY",$K$7,"EQY_CONSOLIDATED",$G$9,"ACCOUNTING_STANDARD_OVERRIDE",$G$7,"Fill=--")</f>
        <v>50.32</v>
      </c>
      <c r="F21" s="126">
        <f>_xll.BDP(Ticker,"ARDR_AVG_EXER_PX_OPT_OUTSTANDING","EQY_FUND_RELATIVE_PERIOD",F$11,"EQY_FUND_CRNCY",$K$7,"EQY_CONSOLIDATED",$G$9,"ACCOUNTING_STANDARD_OVERRIDE",$G$7,"Fill=--")</f>
        <v>50.32</v>
      </c>
      <c r="G21" s="126">
        <f>_xll.BDP(Ticker,"ARDR_AVG_EXER_PX_OPT_OUTSTANDING","EQY_FUND_RELATIVE_PERIOD",G$11,"EQY_FUND_CRNCY",$K$7,"EQY_CONSOLIDATED",$G$9,"ACCOUNTING_STANDARD_OVERRIDE",$G$7,"Fill=--")</f>
        <v>52.23</v>
      </c>
      <c r="H21" s="126">
        <f>_xll.BDP(Ticker,"ARDR_AVG_EXER_PX_OPT_OUTSTANDING","EQY_FUND_RELATIVE_PERIOD",H$11,"EQY_FUND_CRNCY",$K$7,"EQY_CONSOLIDATED",$G$9,"ACCOUNTING_STANDARD_OVERRIDE",$G$7,"Fill=--")</f>
        <v>55.35</v>
      </c>
      <c r="I21" s="126">
        <f>_xll.BDP(Ticker,"ARDR_AVG_EXER_PX_OPT_OUTSTANDING","EQY_FUND_RELATIVE_PERIOD",I$11,"EQY_FUND_CRNCY",$K$7,"EQY_CONSOLIDATED",$G$9,"ACCOUNTING_STANDARD_OVERRIDE",$G$7,"Fill=--")</f>
        <v>59.97</v>
      </c>
      <c r="J21" s="126">
        <f>_xll.BDP(Ticker,"ARDR_AVG_EXER_PX_OPT_OUTSTANDING","EQY_FUND_RELATIVE_PERIOD",J$11,"EQY_FUND_CRNCY",$K$7,"EQY_CONSOLIDATED",$G$9,"ACCOUNTING_STANDARD_OVERRIDE",$G$7,"Fill=--")</f>
        <v>65.849999999999994</v>
      </c>
      <c r="K21" s="126">
        <f>_xll.BDP(Ticker,"ARDR_AVG_EXER_PX_OPT_OUTSTANDING","EQY_FUND_RELATIVE_PERIOD",K$11,"EQY_FUND_CRNCY",$K$7,"EQY_CONSOLIDATED",$G$9,"ACCOUNTING_STANDARD_OVERRIDE",$G$7,"Fill=--")</f>
        <v>65.849999999999994</v>
      </c>
      <c r="L21" s="126">
        <f>_xll.BDP(Ticker,"ARDR_AVG_EXER_PX_OPT_OUTSTANDING","EQY_FUND_RELATIVE_PERIOD",L$11,"EQY_FUND_CRNCY",$K$7,"EQY_CONSOLIDATED",$G$9,"ACCOUNTING_STANDARD_OVERRIDE",$G$7,"Fill=--")</f>
        <v>83.71</v>
      </c>
      <c r="M21" s="126">
        <f>_xll.BDP(Ticker,"ARDR_AVG_EXER_PX_OPT_OUTSTANDING","EQY_FUND_RELATIVE_PERIOD",M$11,"EQY_FUND_CRNCY",$K$7,"EQY_CONSOLIDATED",$G$9,"ACCOUNTING_STANDARD_OVERRIDE",$G$7,"Fill=--")</f>
        <v>97.69</v>
      </c>
    </row>
    <row r="22" spans="1:13" ht="15" customHeight="1">
      <c r="A22" s="112"/>
      <c r="B22" s="121" t="s">
        <v>196</v>
      </c>
      <c r="C22" s="126">
        <f>_xll.BDP(Ticker,"ARDR_AVG_EXER_PX_OPT_EXERCISABLE","EQY_FUND_RELATIVE_PERIOD",C$11,"EQY_FUND_CRNCY",$K$7,"EQY_CONSOLIDATED",$G$9,"ACCOUNTING_STANDARD_OVERRIDE",$G$7,"Fill=--")</f>
        <v>36.01</v>
      </c>
      <c r="D22" s="126">
        <f>_xll.BDP(Ticker,"ARDR_AVG_EXER_PX_OPT_EXERCISABLE","EQY_FUND_RELATIVE_PERIOD",D$11,"EQY_FUND_CRNCY",$K$7,"EQY_CONSOLIDATED",$G$9,"ACCOUNTING_STANDARD_OVERRIDE",$G$7,"Fill=--")</f>
        <v>41.2</v>
      </c>
      <c r="E22" s="126">
        <f>_xll.BDP(Ticker,"ARDR_AVG_EXER_PX_OPT_EXERCISABLE","EQY_FUND_RELATIVE_PERIOD",E$11,"EQY_FUND_CRNCY",$K$7,"EQY_CONSOLIDATED",$G$9,"ACCOUNTING_STANDARD_OVERRIDE",$G$7,"Fill=--")</f>
        <v>45.77</v>
      </c>
      <c r="F22" s="126">
        <f>_xll.BDP(Ticker,"ARDR_AVG_EXER_PX_OPT_EXERCISABLE","EQY_FUND_RELATIVE_PERIOD",F$11,"EQY_FUND_CRNCY",$K$7,"EQY_CONSOLIDATED",$G$9,"ACCOUNTING_STANDARD_OVERRIDE",$G$7,"Fill=--")</f>
        <v>48.63</v>
      </c>
      <c r="G22" s="126">
        <f>_xll.BDP(Ticker,"ARDR_AVG_EXER_PX_OPT_EXERCISABLE","EQY_FUND_RELATIVE_PERIOD",G$11,"EQY_FUND_CRNCY",$K$7,"EQY_CONSOLIDATED",$G$9,"ACCOUNTING_STANDARD_OVERRIDE",$G$7,"Fill=--")</f>
        <v>51.72</v>
      </c>
      <c r="H22" s="126">
        <f>_xll.BDP(Ticker,"ARDR_AVG_EXER_PX_OPT_EXERCISABLE","EQY_FUND_RELATIVE_PERIOD",H$11,"EQY_FUND_CRNCY",$K$7,"EQY_CONSOLIDATED",$G$9,"ACCOUNTING_STANDARD_OVERRIDE",$G$7,"Fill=--")</f>
        <v>53.77</v>
      </c>
      <c r="I22" s="126">
        <f>_xll.BDP(Ticker,"ARDR_AVG_EXER_PX_OPT_EXERCISABLE","EQY_FUND_RELATIVE_PERIOD",I$11,"EQY_FUND_CRNCY",$K$7,"EQY_CONSOLIDATED",$G$9,"ACCOUNTING_STANDARD_OVERRIDE",$G$7,"Fill=--")</f>
        <v>54.34</v>
      </c>
      <c r="J22" s="126">
        <f>_xll.BDP(Ticker,"ARDR_AVG_EXER_PX_OPT_EXERCISABLE","EQY_FUND_RELATIVE_PERIOD",J$11,"EQY_FUND_CRNCY",$K$7,"EQY_CONSOLIDATED",$G$9,"ACCOUNTING_STANDARD_OVERRIDE",$G$7,"Fill=--")</f>
        <v>56.67</v>
      </c>
      <c r="K22" s="126">
        <f>_xll.BDP(Ticker,"ARDR_AVG_EXER_PX_OPT_EXERCISABLE","EQY_FUND_RELATIVE_PERIOD",K$11,"EQY_FUND_CRNCY",$K$7,"EQY_CONSOLIDATED",$G$9,"ACCOUNTING_STANDARD_OVERRIDE",$G$7,"Fill=--")</f>
        <v>60.3</v>
      </c>
      <c r="L22" s="126">
        <f>_xll.BDP(Ticker,"ARDR_AVG_EXER_PX_OPT_EXERCISABLE","EQY_FUND_RELATIVE_PERIOD",L$11,"EQY_FUND_CRNCY",$K$7,"EQY_CONSOLIDATED",$G$9,"ACCOUNTING_STANDARD_OVERRIDE",$G$7,"Fill=--")</f>
        <v>65.47</v>
      </c>
      <c r="M22" s="126">
        <f>_xll.BDP(Ticker,"ARDR_AVG_EXER_PX_OPT_EXERCISABLE","EQY_FUND_RELATIVE_PERIOD",M$11,"EQY_FUND_CRNCY",$K$7,"EQY_CONSOLIDATED",$G$9,"ACCOUNTING_STANDARD_OVERRIDE",$G$7,"Fill=--")</f>
        <v>74.099999999999994</v>
      </c>
    </row>
    <row r="23" spans="1:13" ht="15" customHeight="1">
      <c r="A23" s="112"/>
      <c r="B23" s="122"/>
      <c r="C23" s="126"/>
      <c r="D23" s="126"/>
      <c r="E23" s="126"/>
      <c r="F23" s="126"/>
      <c r="G23" s="126"/>
      <c r="H23" s="126"/>
      <c r="I23" s="126"/>
      <c r="J23" s="126"/>
      <c r="K23" s="126"/>
      <c r="L23" s="126"/>
      <c r="M23" s="126"/>
    </row>
    <row r="24" spans="1:13" ht="15" customHeight="1">
      <c r="A24" s="112"/>
      <c r="B24" s="121" t="s">
        <v>197</v>
      </c>
      <c r="C24" s="126">
        <f>_xll.BDP(Ticker,"BS_STOCK_OPTION_VAL_MODEL","EQY_FUND_RELATIVE_PERIOD",C$11,"EQY_FUND_CRNCY",$K$7,"EQY_CONSOLIDATED",$G$9,"ACCOUNTING_STANDARD_OVERRIDE",$G$7,"Fill=--")</f>
        <v>1</v>
      </c>
      <c r="D24" s="126">
        <f>_xll.BDP(Ticker,"BS_STOCK_OPTION_VAL_MODEL","EQY_FUND_RELATIVE_PERIOD",D$11,"EQY_FUND_CRNCY",$K$7,"EQY_CONSOLIDATED",$G$9,"ACCOUNTING_STANDARD_OVERRIDE",$G$7,"Fill=--")</f>
        <v>1</v>
      </c>
      <c r="E24" s="126">
        <f>_xll.BDP(Ticker,"BS_STOCK_OPTION_VAL_MODEL","EQY_FUND_RELATIVE_PERIOD",E$11,"EQY_FUND_CRNCY",$K$7,"EQY_CONSOLIDATED",$G$9,"ACCOUNTING_STANDARD_OVERRIDE",$G$7,"Fill=--")</f>
        <v>1</v>
      </c>
      <c r="F24" s="126">
        <f>_xll.BDP(Ticker,"BS_STOCK_OPTION_VAL_MODEL","EQY_FUND_RELATIVE_PERIOD",F$11,"EQY_FUND_CRNCY",$K$7,"EQY_CONSOLIDATED",$G$9,"ACCOUNTING_STANDARD_OVERRIDE",$G$7,"Fill=--")</f>
        <v>1</v>
      </c>
      <c r="G24" s="126">
        <f>_xll.BDP(Ticker,"BS_STOCK_OPTION_VAL_MODEL","EQY_FUND_RELATIVE_PERIOD",G$11,"EQY_FUND_CRNCY",$K$7,"EQY_CONSOLIDATED",$G$9,"ACCOUNTING_STANDARD_OVERRIDE",$G$7,"Fill=--")</f>
        <v>1</v>
      </c>
      <c r="H24" s="126">
        <f>_xll.BDP(Ticker,"BS_STOCK_OPTION_VAL_MODEL","EQY_FUND_RELATIVE_PERIOD",H$11,"EQY_FUND_CRNCY",$K$7,"EQY_CONSOLIDATED",$G$9,"ACCOUNTING_STANDARD_OVERRIDE",$G$7,"Fill=--")</f>
        <v>1</v>
      </c>
      <c r="I24" s="126">
        <f>_xll.BDP(Ticker,"BS_STOCK_OPTION_VAL_MODEL","EQY_FUND_RELATIVE_PERIOD",I$11,"EQY_FUND_CRNCY",$K$7,"EQY_CONSOLIDATED",$G$9,"ACCOUNTING_STANDARD_OVERRIDE",$G$7,"Fill=--")</f>
        <v>1</v>
      </c>
      <c r="J24" s="126">
        <f>_xll.BDP(Ticker,"BS_STOCK_OPTION_VAL_MODEL","EQY_FUND_RELATIVE_PERIOD",J$11,"EQY_FUND_CRNCY",$K$7,"EQY_CONSOLIDATED",$G$9,"ACCOUNTING_STANDARD_OVERRIDE",$G$7,"Fill=--")</f>
        <v>1</v>
      </c>
      <c r="K24" s="126">
        <f>_xll.BDP(Ticker,"BS_STOCK_OPTION_VAL_MODEL","EQY_FUND_RELATIVE_PERIOD",K$11,"EQY_FUND_CRNCY",$K$7,"EQY_CONSOLIDATED",$G$9,"ACCOUNTING_STANDARD_OVERRIDE",$G$7,"Fill=--")</f>
        <v>1</v>
      </c>
      <c r="L24" s="126">
        <f>_xll.BDP(Ticker,"BS_STOCK_OPTION_VAL_MODEL","EQY_FUND_RELATIVE_PERIOD",L$11,"EQY_FUND_CRNCY",$K$7,"EQY_CONSOLIDATED",$G$9,"ACCOUNTING_STANDARD_OVERRIDE",$G$7,"Fill=--")</f>
        <v>1</v>
      </c>
      <c r="M24" s="126">
        <f>_xll.BDP(Ticker,"BS_STOCK_OPTION_VAL_MODEL","EQY_FUND_RELATIVE_PERIOD",M$11,"EQY_FUND_CRNCY",$K$7,"EQY_CONSOLIDATED",$G$9,"ACCOUNTING_STANDARD_OVERRIDE",$G$7,"Fill=--")</f>
        <v>1</v>
      </c>
    </row>
    <row r="25" spans="1:13" ht="15" customHeight="1">
      <c r="A25" s="112"/>
      <c r="B25" s="122"/>
      <c r="C25" s="126"/>
      <c r="D25" s="126"/>
      <c r="E25" s="126"/>
      <c r="F25" s="126"/>
      <c r="G25" s="126"/>
      <c r="H25" s="126"/>
      <c r="I25" s="126"/>
      <c r="J25" s="126"/>
      <c r="K25" s="126"/>
      <c r="L25" s="126"/>
      <c r="M25" s="126"/>
    </row>
    <row r="26" spans="1:13" ht="15" customHeight="1">
      <c r="A26" s="112"/>
      <c r="B26" s="122" t="s">
        <v>198</v>
      </c>
      <c r="C26" s="126"/>
      <c r="D26" s="126"/>
      <c r="E26" s="126"/>
      <c r="F26" s="126"/>
      <c r="G26" s="126"/>
      <c r="H26" s="126"/>
      <c r="I26" s="126"/>
      <c r="J26" s="126"/>
      <c r="K26" s="126"/>
      <c r="L26" s="126"/>
      <c r="M26" s="126"/>
    </row>
    <row r="27" spans="1:13" ht="15" customHeight="1">
      <c r="A27" s="112"/>
      <c r="B27" s="121" t="s">
        <v>199</v>
      </c>
      <c r="C27" s="126" t="str">
        <f>_xll.BDP(Ticker,"ARDR_STOCK_OPTION_VAL_RFR","EQY_FUND_RELATIVE_PERIOD",C$11,"EQY_FUND_CRNCY",$K$7,"EQY_CONSOLIDATED",$G$9,"ACCOUNTING_STANDARD_OVERRIDE",$G$7,"Fill=--")</f>
        <v>--</v>
      </c>
      <c r="D27" s="126" t="str">
        <f>_xll.BDP(Ticker,"ARDR_STOCK_OPTION_VAL_RFR","EQY_FUND_RELATIVE_PERIOD",D$11,"EQY_FUND_CRNCY",$K$7,"EQY_CONSOLIDATED",$G$9,"ACCOUNTING_STANDARD_OVERRIDE",$G$7,"Fill=--")</f>
        <v>--</v>
      </c>
      <c r="E27" s="126">
        <f>_xll.BDP(Ticker,"ARDR_STOCK_OPTION_VAL_RFR","EQY_FUND_RELATIVE_PERIOD",E$11,"EQY_FUND_CRNCY",$K$7,"EQY_CONSOLIDATED",$G$9,"ACCOUNTING_STANDARD_OVERRIDE",$G$7,"Fill=--")</f>
        <v>3</v>
      </c>
      <c r="F27" s="126">
        <f>_xll.BDP(Ticker,"ARDR_STOCK_OPTION_VAL_RFR","EQY_FUND_RELATIVE_PERIOD",F$11,"EQY_FUND_CRNCY",$K$7,"EQY_CONSOLIDATED",$G$9,"ACCOUNTING_STANDARD_OVERRIDE",$G$7,"Fill=--")</f>
        <v>2.9</v>
      </c>
      <c r="G27" s="126">
        <f>_xll.BDP(Ticker,"ARDR_STOCK_OPTION_VAL_RFR","EQY_FUND_RELATIVE_PERIOD",G$11,"EQY_FUND_CRNCY",$K$7,"EQY_CONSOLIDATED",$G$9,"ACCOUNTING_STANDARD_OVERRIDE",$G$7,"Fill=--")</f>
        <v>1.3</v>
      </c>
      <c r="H27" s="126">
        <f>_xll.BDP(Ticker,"ARDR_STOCK_OPTION_VAL_RFR","EQY_FUND_RELATIVE_PERIOD",H$11,"EQY_FUND_CRNCY",$K$7,"EQY_CONSOLIDATED",$G$9,"ACCOUNTING_STANDARD_OVERRIDE",$G$7,"Fill=--")</f>
        <v>1.3</v>
      </c>
      <c r="I27" s="126">
        <f>_xll.BDP(Ticker,"ARDR_STOCK_OPTION_VAL_RFR","EQY_FUND_RELATIVE_PERIOD",I$11,"EQY_FUND_CRNCY",$K$7,"EQY_CONSOLIDATED",$G$9,"ACCOUNTING_STANDARD_OVERRIDE",$G$7,"Fill=--")</f>
        <v>2.1</v>
      </c>
      <c r="J27" s="126">
        <f>_xll.BDP(Ticker,"ARDR_STOCK_OPTION_VAL_RFR","EQY_FUND_RELATIVE_PERIOD",J$11,"EQY_FUND_CRNCY",$K$7,"EQY_CONSOLIDATED",$G$9,"ACCOUNTING_STANDARD_OVERRIDE",$G$7,"Fill=--")</f>
        <v>1.8</v>
      </c>
      <c r="K27" s="126">
        <f>_xll.BDP(Ticker,"ARDR_STOCK_OPTION_VAL_RFR","EQY_FUND_RELATIVE_PERIOD",K$11,"EQY_FUND_CRNCY",$K$7,"EQY_CONSOLIDATED",$G$9,"ACCOUNTING_STANDARD_OVERRIDE",$G$7,"Fill=--")</f>
        <v>1.3</v>
      </c>
      <c r="L27" s="126">
        <f>_xll.BDP(Ticker,"ARDR_STOCK_OPTION_VAL_RFR","EQY_FUND_RELATIVE_PERIOD",L$11,"EQY_FUND_CRNCY",$K$7,"EQY_CONSOLIDATED",$G$9,"ACCOUNTING_STANDARD_OVERRIDE",$G$7,"Fill=--")</f>
        <v>2</v>
      </c>
      <c r="M27" s="126">
        <f>_xll.BDP(Ticker,"ARDR_STOCK_OPTION_VAL_RFR","EQY_FUND_RELATIVE_PERIOD",M$11,"EQY_FUND_CRNCY",$K$7,"EQY_CONSOLIDATED",$G$9,"ACCOUNTING_STANDARD_OVERRIDE",$G$7,"Fill=--")</f>
        <v>2.7</v>
      </c>
    </row>
    <row r="28" spans="1:13" ht="15" customHeight="1">
      <c r="A28" s="112"/>
      <c r="B28" s="121" t="s">
        <v>200</v>
      </c>
      <c r="C28" s="126" t="str">
        <f>_xll.BDP(Ticker,"ARDR_STOCK_OPTION_VAL_EXP_LIFE","EQY_FUND_RELATIVE_PERIOD",C$11,"EQY_FUND_CRNCY",$K$7,"EQY_CONSOLIDATED",$G$9,"ACCOUNTING_STANDARD_OVERRIDE",$G$7,"Fill=--")</f>
        <v>--</v>
      </c>
      <c r="D28" s="126" t="str">
        <f>_xll.BDP(Ticker,"ARDR_STOCK_OPTION_VAL_EXP_LIFE","EQY_FUND_RELATIVE_PERIOD",D$11,"EQY_FUND_CRNCY",$K$7,"EQY_CONSOLIDATED",$G$9,"ACCOUNTING_STANDARD_OVERRIDE",$G$7,"Fill=--")</f>
        <v>--</v>
      </c>
      <c r="E28" s="126">
        <f>_xll.BDP(Ticker,"ARDR_STOCK_OPTION_VAL_EXP_LIFE","EQY_FUND_RELATIVE_PERIOD",E$11,"EQY_FUND_CRNCY",$K$7,"EQY_CONSOLIDATED",$G$9,"ACCOUNTING_STANDARD_OVERRIDE",$G$7,"Fill=--")</f>
        <v>6.8</v>
      </c>
      <c r="F28" s="126">
        <f>_xll.BDP(Ticker,"ARDR_STOCK_OPTION_VAL_EXP_LIFE","EQY_FUND_RELATIVE_PERIOD",F$11,"EQY_FUND_CRNCY",$K$7,"EQY_CONSOLIDATED",$G$9,"ACCOUNTING_STANDARD_OVERRIDE",$G$7,"Fill=--")</f>
        <v>6.9</v>
      </c>
      <c r="G28" s="126">
        <f>_xll.BDP(Ticker,"ARDR_STOCK_OPTION_VAL_EXP_LIFE","EQY_FUND_RELATIVE_PERIOD",G$11,"EQY_FUND_CRNCY",$K$7,"EQY_CONSOLIDATED",$G$9,"ACCOUNTING_STANDARD_OVERRIDE",$G$7,"Fill=--")</f>
        <v>7.1</v>
      </c>
      <c r="H28" s="126">
        <f>_xll.BDP(Ticker,"ARDR_STOCK_OPTION_VAL_EXP_LIFE","EQY_FUND_RELATIVE_PERIOD",H$11,"EQY_FUND_CRNCY",$K$7,"EQY_CONSOLIDATED",$G$9,"ACCOUNTING_STANDARD_OVERRIDE",$G$7,"Fill=--")</f>
        <v>7.1</v>
      </c>
      <c r="I28" s="126">
        <f>_xll.BDP(Ticker,"ARDR_STOCK_OPTION_VAL_EXP_LIFE","EQY_FUND_RELATIVE_PERIOD",I$11,"EQY_FUND_CRNCY",$K$7,"EQY_CONSOLIDATED",$G$9,"ACCOUNTING_STANDARD_OVERRIDE",$G$7,"Fill=--")</f>
        <v>7.1</v>
      </c>
      <c r="J28" s="126">
        <f>_xll.BDP(Ticker,"ARDR_STOCK_OPTION_VAL_EXP_LIFE","EQY_FUND_RELATIVE_PERIOD",J$11,"EQY_FUND_CRNCY",$K$7,"EQY_CONSOLIDATED",$G$9,"ACCOUNTING_STANDARD_OVERRIDE",$G$7,"Fill=--")</f>
        <v>7.3</v>
      </c>
      <c r="K28" s="126">
        <f>_xll.BDP(Ticker,"ARDR_STOCK_OPTION_VAL_EXP_LIFE","EQY_FUND_RELATIVE_PERIOD",K$11,"EQY_FUND_CRNCY",$K$7,"EQY_CONSOLIDATED",$G$9,"ACCOUNTING_STANDARD_OVERRIDE",$G$7,"Fill=--")</f>
        <v>6.1</v>
      </c>
      <c r="L28" s="126">
        <f>_xll.BDP(Ticker,"ARDR_STOCK_OPTION_VAL_EXP_LIFE","EQY_FUND_RELATIVE_PERIOD",L$11,"EQY_FUND_CRNCY",$K$7,"EQY_CONSOLIDATED",$G$9,"ACCOUNTING_STANDARD_OVERRIDE",$G$7,"Fill=--")</f>
        <v>6</v>
      </c>
      <c r="M28" s="126">
        <f>_xll.BDP(Ticker,"ARDR_STOCK_OPTION_VAL_EXP_LIFE","EQY_FUND_RELATIVE_PERIOD",M$11,"EQY_FUND_CRNCY",$K$7,"EQY_CONSOLIDATED",$G$9,"ACCOUNTING_STANDARD_OVERRIDE",$G$7,"Fill=--")</f>
        <v>6</v>
      </c>
    </row>
    <row r="29" spans="1:13" ht="15" customHeight="1">
      <c r="A29" s="112"/>
      <c r="B29" s="121" t="s">
        <v>201</v>
      </c>
      <c r="C29" s="126" t="str">
        <f>_xll.BDP(Ticker,"ARDR_STOCK_OPTION_VAL_EXP_VOL","EQY_FUND_RELATIVE_PERIOD",C$11,"EQY_FUND_CRNCY",$K$7,"EQY_CONSOLIDATED",$G$9,"ACCOUNTING_STANDARD_OVERRIDE",$G$7,"Fill=--")</f>
        <v>--</v>
      </c>
      <c r="D29" s="126" t="str">
        <f>_xll.BDP(Ticker,"ARDR_STOCK_OPTION_VAL_EXP_VOL","EQY_FUND_RELATIVE_PERIOD",D$11,"EQY_FUND_CRNCY",$K$7,"EQY_CONSOLIDATED",$G$9,"ACCOUNTING_STANDARD_OVERRIDE",$G$7,"Fill=--")</f>
        <v>--</v>
      </c>
      <c r="E29" s="126">
        <f>_xll.BDP(Ticker,"ARDR_STOCK_OPTION_VAL_EXP_VOL","EQY_FUND_RELATIVE_PERIOD",E$11,"EQY_FUND_CRNCY",$K$7,"EQY_CONSOLIDATED",$G$9,"ACCOUNTING_STANDARD_OVERRIDE",$G$7,"Fill=--")</f>
        <v>28.6</v>
      </c>
      <c r="F29" s="126">
        <f>_xll.BDP(Ticker,"ARDR_STOCK_OPTION_VAL_EXP_VOL","EQY_FUND_RELATIVE_PERIOD",F$11,"EQY_FUND_CRNCY",$K$7,"EQY_CONSOLIDATED",$G$9,"ACCOUNTING_STANDARD_OVERRIDE",$G$7,"Fill=--")</f>
        <v>26.9</v>
      </c>
      <c r="G29" s="126">
        <f>_xll.BDP(Ticker,"ARDR_STOCK_OPTION_VAL_EXP_VOL","EQY_FUND_RELATIVE_PERIOD",G$11,"EQY_FUND_CRNCY",$K$7,"EQY_CONSOLIDATED",$G$9,"ACCOUNTING_STANDARD_OVERRIDE",$G$7,"Fill=--")</f>
        <v>27.6</v>
      </c>
      <c r="H29" s="126">
        <f>_xll.BDP(Ticker,"ARDR_STOCK_OPTION_VAL_EXP_VOL","EQY_FUND_RELATIVE_PERIOD",H$11,"EQY_FUND_CRNCY",$K$7,"EQY_CONSOLIDATED",$G$9,"ACCOUNTING_STANDARD_OVERRIDE",$G$7,"Fill=--")</f>
        <v>27.9</v>
      </c>
      <c r="I29" s="126">
        <f>_xll.BDP(Ticker,"ARDR_STOCK_OPTION_VAL_EXP_VOL","EQY_FUND_RELATIVE_PERIOD",I$11,"EQY_FUND_CRNCY",$K$7,"EQY_CONSOLIDATED",$G$9,"ACCOUNTING_STANDARD_OVERRIDE",$G$7,"Fill=--")</f>
        <v>20.2</v>
      </c>
      <c r="J29" s="126">
        <f>_xll.BDP(Ticker,"ARDR_STOCK_OPTION_VAL_EXP_VOL","EQY_FUND_RELATIVE_PERIOD",J$11,"EQY_FUND_CRNCY",$K$7,"EQY_CONSOLIDATED",$G$9,"ACCOUNTING_STANDARD_OVERRIDE",$G$7,"Fill=--")</f>
        <v>25.5</v>
      </c>
      <c r="K29" s="126">
        <f>_xll.BDP(Ticker,"ARDR_STOCK_OPTION_VAL_EXP_VOL","EQY_FUND_RELATIVE_PERIOD",K$11,"EQY_FUND_CRNCY",$K$7,"EQY_CONSOLIDATED",$G$9,"ACCOUNTING_STANDARD_OVERRIDE",$G$7,"Fill=--")</f>
        <v>20.5</v>
      </c>
      <c r="L29" s="126">
        <f>_xll.BDP(Ticker,"ARDR_STOCK_OPTION_VAL_EXP_VOL","EQY_FUND_RELATIVE_PERIOD",L$11,"EQY_FUND_CRNCY",$K$7,"EQY_CONSOLIDATED",$G$9,"ACCOUNTING_STANDARD_OVERRIDE",$G$7,"Fill=--")</f>
        <v>19.399999999999999</v>
      </c>
      <c r="M29" s="126">
        <f>_xll.BDP(Ticker,"ARDR_STOCK_OPTION_VAL_EXP_VOL","EQY_FUND_RELATIVE_PERIOD",M$11,"EQY_FUND_CRNCY",$K$7,"EQY_CONSOLIDATED",$G$9,"ACCOUNTING_STANDARD_OVERRIDE",$G$7,"Fill=--")</f>
        <v>16.8</v>
      </c>
    </row>
    <row r="30" spans="1:13" ht="15" customHeight="1">
      <c r="A30" s="112"/>
      <c r="B30" s="121" t="s">
        <v>202</v>
      </c>
      <c r="C30" s="126" t="str">
        <f>_xll.BDP(Ticker,"ARDR_STOCK_OPTION_VAL_DVD_YLD","EQY_FUND_RELATIVE_PERIOD",C$11,"EQY_FUND_CRNCY",$K$7,"EQY_CONSOLIDATED",$G$9,"ACCOUNTING_STANDARD_OVERRIDE",$G$7,"Fill=--")</f>
        <v>--</v>
      </c>
      <c r="D30" s="126" t="str">
        <f>_xll.BDP(Ticker,"ARDR_STOCK_OPTION_VAL_DVD_YLD","EQY_FUND_RELATIVE_PERIOD",D$11,"EQY_FUND_CRNCY",$K$7,"EQY_CONSOLIDATED",$G$9,"ACCOUNTING_STANDARD_OVERRIDE",$G$7,"Fill=--")</f>
        <v>--</v>
      </c>
      <c r="E30" s="126">
        <f>_xll.BDP(Ticker,"ARDR_STOCK_OPTION_VAL_DVD_YLD","EQY_FUND_RELATIVE_PERIOD",E$11,"EQY_FUND_CRNCY",$K$7,"EQY_CONSOLIDATED",$G$9,"ACCOUNTING_STANDARD_OVERRIDE",$G$7,"Fill=--")</f>
        <v>1.4</v>
      </c>
      <c r="F30" s="126">
        <f>_xll.BDP(Ticker,"ARDR_STOCK_OPTION_VAL_DVD_YLD","EQY_FUND_RELATIVE_PERIOD",F$11,"EQY_FUND_CRNCY",$K$7,"EQY_CONSOLIDATED",$G$9,"ACCOUNTING_STANDARD_OVERRIDE",$G$7,"Fill=--")</f>
        <v>1.4</v>
      </c>
      <c r="G30" s="126">
        <f>_xll.BDP(Ticker,"ARDR_STOCK_OPTION_VAL_DVD_YLD","EQY_FUND_RELATIVE_PERIOD",G$11,"EQY_FUND_CRNCY",$K$7,"EQY_CONSOLIDATED",$G$9,"ACCOUNTING_STANDARD_OVERRIDE",$G$7,"Fill=--")</f>
        <v>1.5</v>
      </c>
      <c r="H30" s="126">
        <f>_xll.BDP(Ticker,"ARDR_STOCK_OPTION_VAL_DVD_YLD","EQY_FUND_RELATIVE_PERIOD",H$11,"EQY_FUND_CRNCY",$K$7,"EQY_CONSOLIDATED",$G$9,"ACCOUNTING_STANDARD_OVERRIDE",$G$7,"Fill=--")</f>
        <v>1.9</v>
      </c>
      <c r="I30" s="126">
        <f>_xll.BDP(Ticker,"ARDR_STOCK_OPTION_VAL_DVD_YLD","EQY_FUND_RELATIVE_PERIOD",I$11,"EQY_FUND_CRNCY",$K$7,"EQY_CONSOLIDATED",$G$9,"ACCOUNTING_STANDARD_OVERRIDE",$G$7,"Fill=--")</f>
        <v>1.8</v>
      </c>
      <c r="J30" s="126">
        <f>_xll.BDP(Ticker,"ARDR_STOCK_OPTION_VAL_DVD_YLD","EQY_FUND_RELATIVE_PERIOD",J$11,"EQY_FUND_CRNCY",$K$7,"EQY_CONSOLIDATED",$G$9,"ACCOUNTING_STANDARD_OVERRIDE",$G$7,"Fill=--")</f>
        <v>1.6</v>
      </c>
      <c r="K30" s="126">
        <f>_xll.BDP(Ticker,"ARDR_STOCK_OPTION_VAL_DVD_YLD","EQY_FUND_RELATIVE_PERIOD",K$11,"EQY_FUND_CRNCY",$K$7,"EQY_CONSOLIDATED",$G$9,"ACCOUNTING_STANDARD_OVERRIDE",$G$7,"Fill=--")</f>
        <v>1.6</v>
      </c>
      <c r="L30" s="126">
        <f>_xll.BDP(Ticker,"ARDR_STOCK_OPTION_VAL_DVD_YLD","EQY_FUND_RELATIVE_PERIOD",L$11,"EQY_FUND_CRNCY",$K$7,"EQY_CONSOLIDATED",$G$9,"ACCOUNTING_STANDARD_OVERRIDE",$G$7,"Fill=--")</f>
        <v>1.5</v>
      </c>
      <c r="M30" s="126">
        <f>_xll.BDP(Ticker,"ARDR_STOCK_OPTION_VAL_DVD_YLD","EQY_FUND_RELATIVE_PERIOD",M$11,"EQY_FUND_CRNCY",$K$7,"EQY_CONSOLIDATED",$G$9,"ACCOUNTING_STANDARD_OVERRIDE",$G$7,"Fill=--")</f>
        <v>1.2</v>
      </c>
    </row>
    <row r="31" spans="1:13" ht="15" customHeight="1">
      <c r="A31" s="112"/>
      <c r="B31" s="122"/>
      <c r="C31" s="126"/>
      <c r="D31" s="126"/>
      <c r="E31" s="126"/>
      <c r="F31" s="126"/>
      <c r="G31" s="126"/>
      <c r="H31" s="126"/>
      <c r="I31" s="126"/>
      <c r="J31" s="126"/>
      <c r="K31" s="126"/>
      <c r="L31" s="126"/>
      <c r="M31" s="126"/>
    </row>
    <row r="32" spans="1:13" ht="15" customHeight="1">
      <c r="A32" s="112"/>
      <c r="B32" s="122" t="s">
        <v>203</v>
      </c>
      <c r="C32" s="126"/>
      <c r="D32" s="126"/>
      <c r="E32" s="126"/>
      <c r="F32" s="126"/>
      <c r="G32" s="126"/>
      <c r="H32" s="126"/>
      <c r="I32" s="126"/>
      <c r="J32" s="126"/>
      <c r="K32" s="126"/>
      <c r="L32" s="126"/>
      <c r="M32" s="126"/>
    </row>
    <row r="33" spans="1:37" ht="15" customHeight="1">
      <c r="A33" s="112"/>
      <c r="B33" s="121" t="s">
        <v>204</v>
      </c>
      <c r="C33" s="126">
        <f>_xll.BDP(Ticker,"IS_EXPENSE_STOCK_BASED_COMP","EQY_FUND_RELATIVE_PERIOD",C$11,"EQY_FUND_CRNCY",$K$7,"EQY_CONSOLIDATED",$G$9,"ACCOUNTING_STANDARD_OVERRIDE",$G$7,"Fill=--")</f>
        <v>65.5</v>
      </c>
      <c r="D33" s="126">
        <f>_xll.BDP(Ticker,"IS_EXPENSE_STOCK_BASED_COMP","EQY_FUND_RELATIVE_PERIOD",D$11,"EQY_FUND_CRNCY",$K$7,"EQY_CONSOLIDATED",$G$9,"ACCOUNTING_STANDARD_OVERRIDE",$G$7,"Fill=--")</f>
        <v>62</v>
      </c>
      <c r="E33" s="126">
        <f>_xll.BDP(Ticker,"IS_EXPENSE_STOCK_BASED_COMP","EQY_FUND_RELATIVE_PERIOD",E$11,"EQY_FUND_CRNCY",$K$7,"EQY_CONSOLIDATED",$G$9,"ACCOUNTING_STANDARD_OVERRIDE",$G$7,"Fill=--")</f>
        <v>69</v>
      </c>
      <c r="F33" s="126">
        <f>_xll.BDP(Ticker,"IS_EXPENSE_STOCK_BASED_COMP","EQY_FUND_RELATIVE_PERIOD",F$11,"EQY_FUND_CRNCY",$K$7,"EQY_CONSOLIDATED",$G$9,"ACCOUNTING_STANDARD_OVERRIDE",$G$7,"Fill=--")</f>
        <v>75</v>
      </c>
      <c r="G33" s="126">
        <f>_xll.BDP(Ticker,"IS_EXPENSE_STOCK_BASED_COMP","EQY_FUND_RELATIVE_PERIOD",G$11,"EQY_FUND_CRNCY",$K$7,"EQY_CONSOLIDATED",$G$9,"ACCOUNTING_STANDARD_OVERRIDE",$G$7,"Fill=--")</f>
        <v>75</v>
      </c>
      <c r="H33" s="126">
        <f>_xll.BDP(Ticker,"IS_EXPENSE_STOCK_BASED_COMP","EQY_FUND_RELATIVE_PERIOD",H$11,"EQY_FUND_CRNCY",$K$7,"EQY_CONSOLIDATED",$G$9,"ACCOUNTING_STANDARD_OVERRIDE",$G$7,"Fill=--")</f>
        <v>76</v>
      </c>
      <c r="I33" s="126">
        <f>_xll.BDP(Ticker,"IS_EXPENSE_STOCK_BASED_COMP","EQY_FUND_RELATIVE_PERIOD",I$11,"EQY_FUND_CRNCY",$K$7,"EQY_CONSOLIDATED",$G$9,"ACCOUNTING_STANDARD_OVERRIDE",$G$7,"Fill=--")</f>
        <v>77</v>
      </c>
      <c r="J33" s="126">
        <f>_xll.BDP(Ticker,"IS_EXPENSE_STOCK_BASED_COMP","EQY_FUND_RELATIVE_PERIOD",J$11,"EQY_FUND_CRNCY",$K$7,"EQY_CONSOLIDATED",$G$9,"ACCOUNTING_STANDARD_OVERRIDE",$G$7,"Fill=--")</f>
        <v>86</v>
      </c>
      <c r="K33" s="126">
        <f>_xll.BDP(Ticker,"IS_EXPENSE_STOCK_BASED_COMP","EQY_FUND_RELATIVE_PERIOD",K$11,"EQY_FUND_CRNCY",$K$7,"EQY_CONSOLIDATED",$G$9,"ACCOUNTING_STANDARD_OVERRIDE",$G$7,"Fill=--")</f>
        <v>97</v>
      </c>
      <c r="L33" s="126">
        <f>_xll.BDP(Ticker,"IS_EXPENSE_STOCK_BASED_COMP","EQY_FUND_RELATIVE_PERIOD",L$11,"EQY_FUND_CRNCY",$K$7,"EQY_CONSOLIDATED",$G$9,"ACCOUNTING_STANDARD_OVERRIDE",$G$7,"Fill=--")</f>
        <v>113</v>
      </c>
      <c r="M33" s="126">
        <f>_xll.BDP(Ticker,"IS_EXPENSE_STOCK_BASED_COMP","EQY_FUND_RELATIVE_PERIOD",M$11,"EQY_FUND_CRNCY",$K$7,"EQY_CONSOLIDATED",$G$9,"ACCOUNTING_STANDARD_OVERRIDE",$G$7,"Fill=--")</f>
        <v>119</v>
      </c>
    </row>
    <row r="34" spans="1:37" ht="15" customHeight="1">
      <c r="A34" s="112"/>
      <c r="B34" s="121" t="s">
        <v>205</v>
      </c>
      <c r="C34" s="126" t="str">
        <f>_xll.BDP(Ticker,"IS_STOCK_OPT_EXPENSE_AFTER_TAX","EQY_FUND_RELATIVE_PERIOD",C$11,"EQY_FUND_CRNCY",$K$7,"EQY_CONSOLIDATED",$G$9,"ACCOUNTING_STANDARD_OVERRIDE",$G$7,"Fill=--")</f>
        <v>--</v>
      </c>
      <c r="D34" s="126" t="str">
        <f>_xll.BDP(Ticker,"IS_STOCK_OPT_EXPENSE_AFTER_TAX","EQY_FUND_RELATIVE_PERIOD",D$11,"EQY_FUND_CRNCY",$K$7,"EQY_CONSOLIDATED",$G$9,"ACCOUNTING_STANDARD_OVERRIDE",$G$7,"Fill=--")</f>
        <v>--</v>
      </c>
      <c r="E34" s="126" t="str">
        <f>_xll.BDP(Ticker,"IS_STOCK_OPT_EXPENSE_AFTER_TAX","EQY_FUND_RELATIVE_PERIOD",E$11,"EQY_FUND_CRNCY",$K$7,"EQY_CONSOLIDATED",$G$9,"ACCOUNTING_STANDARD_OVERRIDE",$G$7,"Fill=--")</f>
        <v>--</v>
      </c>
      <c r="F34" s="126" t="str">
        <f>_xll.BDP(Ticker,"IS_STOCK_OPT_EXPENSE_AFTER_TAX","EQY_FUND_RELATIVE_PERIOD",F$11,"EQY_FUND_CRNCY",$K$7,"EQY_CONSOLIDATED",$G$9,"ACCOUNTING_STANDARD_OVERRIDE",$G$7,"Fill=--")</f>
        <v>--</v>
      </c>
      <c r="G34" s="126" t="str">
        <f>_xll.BDP(Ticker,"IS_STOCK_OPT_EXPENSE_AFTER_TAX","EQY_FUND_RELATIVE_PERIOD",G$11,"EQY_FUND_CRNCY",$K$7,"EQY_CONSOLIDATED",$G$9,"ACCOUNTING_STANDARD_OVERRIDE",$G$7,"Fill=--")</f>
        <v>--</v>
      </c>
      <c r="H34" s="126" t="str">
        <f>_xll.BDP(Ticker,"IS_STOCK_OPT_EXPENSE_AFTER_TAX","EQY_FUND_RELATIVE_PERIOD",H$11,"EQY_FUND_CRNCY",$K$7,"EQY_CONSOLIDATED",$G$9,"ACCOUNTING_STANDARD_OVERRIDE",$G$7,"Fill=--")</f>
        <v>--</v>
      </c>
      <c r="I34" s="126" t="str">
        <f>_xll.BDP(Ticker,"IS_STOCK_OPT_EXPENSE_AFTER_TAX","EQY_FUND_RELATIVE_PERIOD",I$11,"EQY_FUND_CRNCY",$K$7,"EQY_CONSOLIDATED",$G$9,"ACCOUNTING_STANDARD_OVERRIDE",$G$7,"Fill=--")</f>
        <v>--</v>
      </c>
      <c r="J34" s="126" t="str">
        <f>_xll.BDP(Ticker,"IS_STOCK_OPT_EXPENSE_AFTER_TAX","EQY_FUND_RELATIVE_PERIOD",J$11,"EQY_FUND_CRNCY",$K$7,"EQY_CONSOLIDATED",$G$9,"ACCOUNTING_STANDARD_OVERRIDE",$G$7,"Fill=--")</f>
        <v>--</v>
      </c>
      <c r="K34" s="126" t="str">
        <f>_xll.BDP(Ticker,"IS_STOCK_OPT_EXPENSE_AFTER_TAX","EQY_FUND_RELATIVE_PERIOD",K$11,"EQY_FUND_CRNCY",$K$7,"EQY_CONSOLIDATED",$G$9,"ACCOUNTING_STANDARD_OVERRIDE",$G$7,"Fill=--")</f>
        <v>--</v>
      </c>
      <c r="L34" s="126" t="str">
        <f>_xll.BDP(Ticker,"IS_STOCK_OPT_EXPENSE_AFTER_TAX","EQY_FUND_RELATIVE_PERIOD",L$11,"EQY_FUND_CRNCY",$K$7,"EQY_CONSOLIDATED",$G$9,"ACCOUNTING_STANDARD_OVERRIDE",$G$7,"Fill=--")</f>
        <v>--</v>
      </c>
      <c r="M34" s="126" t="str">
        <f>_xll.BDP(Ticker,"IS_STOCK_OPT_EXPENSE_AFTER_TAX","EQY_FUND_RELATIVE_PERIOD",M$11,"EQY_FUND_CRNCY",$K$7,"EQY_CONSOLIDATED",$G$9,"ACCOUNTING_STANDARD_OVERRIDE",$G$7,"Fill=--")</f>
        <v>--</v>
      </c>
    </row>
    <row r="35" spans="1:37" ht="15" customHeight="1">
      <c r="A35" s="112"/>
      <c r="B35" s="115"/>
      <c r="C35" s="123"/>
      <c r="D35" s="123"/>
      <c r="E35" s="123"/>
      <c r="F35" s="123"/>
      <c r="G35" s="123"/>
      <c r="H35" s="123"/>
      <c r="I35" s="123"/>
      <c r="J35" s="123"/>
      <c r="K35" s="123"/>
      <c r="L35" s="123"/>
      <c r="M35" s="123"/>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row>
    <row r="36" spans="1:37" ht="15" customHeight="1">
      <c r="B36" s="113"/>
      <c r="C36" s="124"/>
      <c r="D36" s="124"/>
      <c r="E36" s="124"/>
      <c r="F36" s="124"/>
      <c r="G36" s="124"/>
      <c r="H36" s="124"/>
      <c r="I36" s="124"/>
      <c r="J36" s="124"/>
      <c r="K36" s="124"/>
      <c r="L36" s="124"/>
      <c r="M36" s="124"/>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row>
    <row r="37" spans="1:37" ht="15" customHeight="1">
      <c r="B37" s="114"/>
      <c r="C37" s="124"/>
      <c r="D37" s="124"/>
      <c r="E37" s="124"/>
      <c r="F37" s="124"/>
      <c r="G37" s="124"/>
      <c r="H37" s="124"/>
      <c r="I37" s="124"/>
      <c r="J37" s="124"/>
      <c r="K37" s="124"/>
      <c r="L37" s="124"/>
      <c r="M37" s="124"/>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row>
    <row r="38" spans="1:37" ht="15" customHeight="1">
      <c r="B38" s="114"/>
      <c r="C38" s="124"/>
      <c r="D38" s="124"/>
      <c r="E38" s="124"/>
      <c r="F38" s="124"/>
      <c r="G38" s="124"/>
      <c r="H38" s="124"/>
      <c r="I38" s="124"/>
      <c r="J38" s="124"/>
      <c r="K38" s="124"/>
      <c r="L38" s="124"/>
      <c r="M38" s="124"/>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row>
    <row r="39" spans="1:37" ht="15" customHeight="1">
      <c r="B39" s="114"/>
      <c r="C39" s="124"/>
      <c r="D39" s="124"/>
      <c r="E39" s="124"/>
      <c r="F39" s="124"/>
      <c r="G39" s="124"/>
      <c r="H39" s="124"/>
      <c r="I39" s="124"/>
      <c r="J39" s="124"/>
      <c r="K39" s="124"/>
      <c r="L39" s="124"/>
      <c r="M39" s="124"/>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row>
    <row r="40" spans="1:37" ht="15" customHeight="1">
      <c r="B40" s="114"/>
      <c r="C40" s="124"/>
      <c r="D40" s="124"/>
      <c r="E40" s="124"/>
      <c r="F40" s="124"/>
      <c r="G40" s="124"/>
      <c r="H40" s="124"/>
      <c r="I40" s="124"/>
      <c r="J40" s="124"/>
      <c r="K40" s="124"/>
      <c r="L40" s="124"/>
      <c r="M40" s="124"/>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row>
    <row r="41" spans="1:37" ht="15" customHeight="1">
      <c r="B41" s="114"/>
      <c r="C41" s="124"/>
      <c r="D41" s="124"/>
      <c r="E41" s="124"/>
      <c r="F41" s="124"/>
      <c r="G41" s="124"/>
      <c r="H41" s="124"/>
      <c r="I41" s="124"/>
      <c r="J41" s="124"/>
      <c r="K41" s="124"/>
      <c r="L41" s="124"/>
      <c r="M41" s="124"/>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row>
    <row r="42" spans="1:37" ht="15" customHeight="1">
      <c r="B42" s="114"/>
      <c r="C42" s="124"/>
      <c r="D42" s="124"/>
      <c r="E42" s="124"/>
      <c r="F42" s="124"/>
      <c r="G42" s="124"/>
      <c r="H42" s="124"/>
      <c r="I42" s="124"/>
      <c r="J42" s="124"/>
      <c r="K42" s="124"/>
      <c r="L42" s="124"/>
      <c r="M42" s="124"/>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row>
    <row r="43" spans="1:37" ht="15" customHeight="1">
      <c r="B43" s="114"/>
      <c r="C43" s="124"/>
      <c r="D43" s="124"/>
      <c r="E43" s="124"/>
      <c r="F43" s="124"/>
      <c r="G43" s="124"/>
      <c r="H43" s="124"/>
      <c r="I43" s="124"/>
      <c r="J43" s="124"/>
      <c r="K43" s="124"/>
      <c r="L43" s="124"/>
      <c r="M43" s="124"/>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row>
    <row r="44" spans="1:37" ht="15" customHeight="1">
      <c r="B44" s="115"/>
      <c r="C44" s="124"/>
      <c r="D44" s="124"/>
      <c r="E44" s="124"/>
      <c r="F44" s="124"/>
      <c r="G44" s="124"/>
      <c r="H44" s="124"/>
      <c r="I44" s="124"/>
      <c r="J44" s="124"/>
      <c r="K44" s="124"/>
      <c r="L44" s="124"/>
      <c r="M44" s="124"/>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row>
    <row r="45" spans="1:37" ht="15" customHeight="1">
      <c r="B45" s="113"/>
      <c r="C45" s="124"/>
      <c r="D45" s="124"/>
      <c r="E45" s="124"/>
      <c r="F45" s="124"/>
      <c r="G45" s="124"/>
      <c r="H45" s="124"/>
      <c r="I45" s="124"/>
      <c r="J45" s="124"/>
      <c r="K45" s="124"/>
      <c r="L45" s="124"/>
      <c r="M45" s="124"/>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row>
    <row r="46" spans="1:37" ht="15" customHeight="1">
      <c r="B46" s="113"/>
      <c r="C46" s="124"/>
      <c r="D46" s="124"/>
      <c r="E46" s="124"/>
      <c r="F46" s="124"/>
      <c r="G46" s="124"/>
      <c r="H46" s="124"/>
      <c r="I46" s="124"/>
      <c r="J46" s="124"/>
      <c r="K46" s="124"/>
      <c r="L46" s="124"/>
      <c r="M46" s="124"/>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row>
    <row r="47" spans="1:37" ht="15" customHeight="1">
      <c r="B47" s="114"/>
      <c r="C47" s="124"/>
      <c r="D47" s="124"/>
      <c r="E47" s="124"/>
      <c r="F47" s="124"/>
      <c r="G47" s="124"/>
      <c r="H47" s="124"/>
      <c r="I47" s="124"/>
      <c r="J47" s="124"/>
      <c r="K47" s="124"/>
      <c r="L47" s="124"/>
      <c r="M47" s="124"/>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row>
    <row r="48" spans="1:37" ht="15" customHeight="1">
      <c r="B48" s="114"/>
      <c r="C48" s="124"/>
      <c r="D48" s="124"/>
      <c r="E48" s="124"/>
      <c r="F48" s="124"/>
      <c r="G48" s="124"/>
      <c r="H48" s="124"/>
      <c r="I48" s="124"/>
      <c r="J48" s="124"/>
      <c r="K48" s="124"/>
      <c r="L48" s="124"/>
      <c r="M48" s="124"/>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112"/>
    </row>
    <row r="49" spans="2:37" ht="15" customHeight="1">
      <c r="B49" s="114"/>
      <c r="C49" s="124"/>
      <c r="D49" s="124"/>
      <c r="E49" s="124"/>
      <c r="F49" s="124"/>
      <c r="G49" s="124"/>
      <c r="H49" s="124"/>
      <c r="I49" s="124"/>
      <c r="J49" s="124"/>
      <c r="K49" s="124"/>
      <c r="L49" s="124"/>
      <c r="M49" s="124"/>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row>
    <row r="50" spans="2:37" ht="15" customHeight="1">
      <c r="B50" s="113"/>
      <c r="C50" s="124"/>
      <c r="D50" s="124"/>
      <c r="E50" s="124"/>
      <c r="F50" s="124"/>
      <c r="G50" s="124"/>
      <c r="H50" s="124"/>
      <c r="I50" s="124"/>
      <c r="J50" s="124"/>
      <c r="K50" s="124"/>
      <c r="L50" s="124"/>
      <c r="M50" s="124"/>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row>
    <row r="51" spans="2:37" ht="15" customHeight="1">
      <c r="B51" s="114"/>
      <c r="C51" s="124"/>
      <c r="D51" s="124"/>
      <c r="E51" s="124"/>
      <c r="F51" s="124"/>
      <c r="G51" s="124"/>
      <c r="H51" s="124"/>
      <c r="I51" s="124"/>
      <c r="J51" s="124"/>
      <c r="K51" s="124"/>
      <c r="L51" s="124"/>
      <c r="M51" s="124"/>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row>
    <row r="52" spans="2:37" ht="15" customHeight="1">
      <c r="B52" s="114"/>
      <c r="C52" s="124"/>
      <c r="D52" s="124"/>
      <c r="E52" s="124"/>
      <c r="F52" s="124"/>
      <c r="G52" s="124"/>
      <c r="H52" s="124"/>
      <c r="I52" s="124"/>
      <c r="J52" s="124"/>
      <c r="K52" s="124"/>
      <c r="L52" s="124"/>
      <c r="M52" s="124"/>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row>
    <row r="53" spans="2:37" ht="15" customHeight="1">
      <c r="B53" s="114"/>
      <c r="C53" s="124"/>
      <c r="D53" s="124"/>
      <c r="E53" s="124"/>
      <c r="F53" s="124"/>
      <c r="G53" s="124"/>
      <c r="H53" s="124"/>
      <c r="I53" s="124"/>
      <c r="J53" s="124"/>
      <c r="K53" s="124"/>
      <c r="L53" s="124"/>
      <c r="M53" s="124"/>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row>
    <row r="54" spans="2:37" ht="15" customHeight="1">
      <c r="B54" s="115"/>
      <c r="C54" s="124"/>
      <c r="D54" s="124"/>
      <c r="E54" s="124"/>
      <c r="F54" s="124"/>
      <c r="G54" s="124"/>
      <c r="H54" s="124"/>
      <c r="I54" s="124"/>
      <c r="J54" s="124"/>
      <c r="K54" s="124"/>
      <c r="L54" s="124"/>
      <c r="M54" s="124"/>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row>
    <row r="55" spans="2:37" ht="15" customHeight="1">
      <c r="B55" s="113"/>
      <c r="C55" s="124"/>
      <c r="D55" s="124"/>
      <c r="E55" s="124"/>
      <c r="F55" s="124"/>
      <c r="G55" s="124"/>
      <c r="H55" s="124"/>
      <c r="I55" s="124"/>
      <c r="J55" s="124"/>
      <c r="K55" s="124"/>
      <c r="L55" s="124"/>
      <c r="M55" s="124"/>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row>
    <row r="56" spans="2:37" ht="15" customHeight="1">
      <c r="B56" s="114"/>
      <c r="C56" s="124"/>
      <c r="D56" s="124"/>
      <c r="E56" s="124"/>
      <c r="F56" s="124"/>
      <c r="G56" s="124"/>
      <c r="H56" s="124"/>
      <c r="I56" s="124"/>
      <c r="J56" s="124"/>
      <c r="K56" s="124"/>
      <c r="L56" s="124"/>
      <c r="M56" s="124"/>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row>
    <row r="57" spans="2:37" ht="15" customHeight="1">
      <c r="B57" s="114"/>
      <c r="C57" s="124"/>
      <c r="D57" s="124"/>
      <c r="E57" s="124"/>
      <c r="F57" s="124"/>
      <c r="G57" s="124"/>
      <c r="H57" s="124"/>
      <c r="I57" s="124"/>
      <c r="J57" s="124"/>
      <c r="K57" s="124"/>
      <c r="L57" s="124"/>
      <c r="M57" s="124"/>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row>
    <row r="58" spans="2:37" ht="15" customHeight="1">
      <c r="B58" s="114"/>
      <c r="C58" s="124"/>
      <c r="D58" s="124"/>
      <c r="E58" s="124"/>
      <c r="F58" s="124"/>
      <c r="G58" s="124"/>
      <c r="H58" s="124"/>
      <c r="I58" s="124"/>
      <c r="J58" s="124"/>
      <c r="K58" s="124"/>
      <c r="L58" s="124"/>
      <c r="M58" s="124"/>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row>
    <row r="59" spans="2:37" ht="15" customHeight="1">
      <c r="B59" s="114"/>
      <c r="C59" s="124"/>
      <c r="D59" s="124"/>
      <c r="E59" s="124"/>
      <c r="F59" s="124"/>
      <c r="G59" s="124"/>
      <c r="H59" s="124"/>
      <c r="I59" s="124"/>
      <c r="J59" s="124"/>
      <c r="K59" s="124"/>
      <c r="L59" s="124"/>
      <c r="M59" s="124"/>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row>
    <row r="60" spans="2:37" ht="15" customHeight="1">
      <c r="B60" s="114"/>
      <c r="C60" s="124"/>
      <c r="D60" s="124"/>
      <c r="E60" s="124"/>
      <c r="F60" s="124"/>
      <c r="G60" s="124"/>
      <c r="H60" s="623"/>
      <c r="I60" s="124"/>
      <c r="J60" s="124"/>
      <c r="K60" s="124"/>
      <c r="L60" s="124"/>
      <c r="M60" s="124"/>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row>
    <row r="61" spans="2:37" ht="15" customHeight="1">
      <c r="B61" s="114"/>
      <c r="C61" s="124"/>
      <c r="D61" s="124"/>
      <c r="E61" s="124"/>
      <c r="F61" s="124"/>
      <c r="G61" s="124"/>
      <c r="H61" s="124"/>
      <c r="I61" s="124"/>
      <c r="J61" s="124"/>
      <c r="K61" s="124"/>
      <c r="L61" s="124"/>
      <c r="M61" s="124"/>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row>
    <row r="62" spans="2:37" ht="15" customHeight="1">
      <c r="B62" s="114"/>
      <c r="C62" s="124"/>
      <c r="D62" s="124"/>
      <c r="E62" s="124"/>
      <c r="F62" s="124"/>
      <c r="G62" s="124"/>
      <c r="H62" s="124"/>
      <c r="I62" s="124"/>
      <c r="J62" s="124"/>
      <c r="K62" s="124"/>
      <c r="L62" s="124"/>
      <c r="M62" s="124"/>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row>
    <row r="63" spans="2:37" ht="15" customHeight="1">
      <c r="B63" s="114"/>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row>
    <row r="64" spans="2:37" ht="15" customHeight="1">
      <c r="B64" s="113"/>
      <c r="C64" s="112"/>
      <c r="D64" s="125"/>
      <c r="E64" s="125"/>
      <c r="F64" s="125"/>
      <c r="G64" s="125"/>
      <c r="H64" s="125"/>
      <c r="I64" s="125"/>
      <c r="J64" s="125"/>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row>
    <row r="65" spans="2:37" ht="15" customHeight="1">
      <c r="B65" s="114"/>
      <c r="C65" s="124"/>
      <c r="D65" s="124"/>
      <c r="E65" s="124"/>
      <c r="F65" s="124"/>
      <c r="G65" s="124"/>
      <c r="H65" s="124"/>
      <c r="I65" s="124"/>
      <c r="J65" s="124"/>
      <c r="K65" s="124"/>
      <c r="L65" s="124"/>
      <c r="M65" s="124"/>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row>
    <row r="66" spans="2:37" ht="15" customHeight="1">
      <c r="B66" s="114"/>
      <c r="C66" s="124"/>
      <c r="D66" s="124"/>
      <c r="E66" s="124"/>
      <c r="F66" s="124"/>
      <c r="G66" s="124"/>
      <c r="H66" s="124"/>
      <c r="I66" s="124"/>
      <c r="J66" s="124"/>
      <c r="K66" s="124"/>
      <c r="L66" s="124"/>
      <c r="M66" s="124"/>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row>
    <row r="67" spans="2:37" ht="15" customHeight="1">
      <c r="B67" s="114"/>
      <c r="C67" s="124"/>
      <c r="D67" s="124"/>
      <c r="E67" s="124"/>
      <c r="F67" s="124"/>
      <c r="G67" s="124"/>
      <c r="H67" s="124"/>
      <c r="I67" s="124"/>
      <c r="J67" s="124"/>
      <c r="K67" s="124"/>
      <c r="L67" s="124"/>
      <c r="M67" s="124"/>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row>
    <row r="68" spans="2:37" ht="15" customHeight="1">
      <c r="B68" s="114"/>
      <c r="C68" s="124"/>
      <c r="D68" s="124"/>
      <c r="E68" s="124"/>
      <c r="F68" s="124"/>
      <c r="G68" s="124"/>
      <c r="H68" s="124"/>
      <c r="I68" s="124"/>
      <c r="J68" s="124"/>
      <c r="K68" s="124"/>
      <c r="L68" s="124"/>
      <c r="M68" s="124"/>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row>
    <row r="69" spans="2:37" ht="15" customHeight="1">
      <c r="B69" s="114"/>
      <c r="C69" s="124"/>
      <c r="D69" s="124"/>
      <c r="E69" s="124"/>
      <c r="F69" s="124"/>
      <c r="G69" s="124"/>
      <c r="H69" s="124"/>
      <c r="I69" s="124"/>
      <c r="J69" s="124"/>
      <c r="K69" s="124"/>
      <c r="L69" s="124"/>
      <c r="M69" s="124"/>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row>
    <row r="70" spans="2:37" ht="15" customHeight="1">
      <c r="B70" s="114"/>
      <c r="C70" s="124"/>
      <c r="D70" s="124"/>
      <c r="E70" s="124"/>
      <c r="F70" s="124"/>
      <c r="G70" s="124"/>
      <c r="H70" s="124"/>
      <c r="I70" s="124"/>
      <c r="J70" s="124"/>
      <c r="K70" s="124"/>
      <c r="L70" s="124"/>
      <c r="M70" s="124"/>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row>
    <row r="71" spans="2:37" ht="15" customHeight="1">
      <c r="B71" s="114"/>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row>
    <row r="72" spans="2:37" ht="15" customHeight="1">
      <c r="B72" s="113"/>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row>
    <row r="73" spans="2:37" ht="15" customHeight="1">
      <c r="B73" s="114"/>
      <c r="C73" s="124"/>
      <c r="D73" s="124"/>
      <c r="E73" s="124"/>
      <c r="F73" s="124"/>
      <c r="G73" s="124"/>
      <c r="H73" s="124"/>
      <c r="I73" s="124"/>
      <c r="J73" s="124"/>
      <c r="K73" s="124"/>
      <c r="L73" s="124"/>
      <c r="M73" s="124"/>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row>
    <row r="74" spans="2:37" ht="15" customHeight="1">
      <c r="B74" s="114"/>
      <c r="C74" s="124"/>
      <c r="D74" s="124"/>
      <c r="E74" s="124"/>
      <c r="F74" s="124"/>
      <c r="G74" s="124"/>
      <c r="H74" s="124"/>
      <c r="I74" s="124"/>
      <c r="J74" s="124"/>
      <c r="K74" s="124"/>
      <c r="L74" s="124"/>
      <c r="M74" s="124"/>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row>
    <row r="75" spans="2:37" ht="15" customHeight="1">
      <c r="B75" s="114"/>
      <c r="C75" s="124"/>
      <c r="D75" s="124"/>
      <c r="E75" s="124"/>
      <c r="F75" s="124"/>
      <c r="G75" s="124"/>
      <c r="H75" s="124"/>
      <c r="I75" s="124"/>
      <c r="J75" s="124"/>
      <c r="K75" s="124"/>
      <c r="L75" s="124"/>
      <c r="M75" s="124"/>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row>
    <row r="76" spans="2:37" ht="15" customHeight="1">
      <c r="B76" s="114"/>
      <c r="C76" s="124"/>
      <c r="D76" s="124"/>
      <c r="E76" s="124"/>
      <c r="F76" s="124"/>
      <c r="G76" s="124"/>
      <c r="H76" s="124"/>
      <c r="I76" s="124"/>
      <c r="J76" s="124"/>
      <c r="K76" s="124"/>
      <c r="L76" s="124"/>
      <c r="M76" s="124"/>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row>
    <row r="77" spans="2:37" ht="15" customHeight="1">
      <c r="B77" s="114"/>
      <c r="C77" s="124"/>
      <c r="D77" s="124"/>
      <c r="E77" s="124"/>
      <c r="F77" s="124"/>
      <c r="G77" s="124"/>
      <c r="H77" s="124"/>
      <c r="I77" s="124"/>
      <c r="J77" s="124"/>
      <c r="K77" s="124"/>
      <c r="L77" s="124"/>
      <c r="M77" s="124"/>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row>
    <row r="78" spans="2:37" ht="15" customHeight="1">
      <c r="B78" s="114"/>
      <c r="C78" s="124"/>
      <c r="D78" s="124"/>
      <c r="E78" s="124"/>
      <c r="F78" s="124"/>
      <c r="G78" s="124"/>
      <c r="H78" s="124"/>
      <c r="I78" s="124"/>
      <c r="J78" s="124"/>
      <c r="K78" s="124"/>
      <c r="L78" s="124"/>
      <c r="M78" s="124"/>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row>
    <row r="79" spans="2:37" ht="15" customHeight="1">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row>
    <row r="80" spans="2:37" ht="15" customHeight="1">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row>
    <row r="81" spans="2:37" ht="15" customHeight="1">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row>
    <row r="82" spans="2:37" ht="15" customHeight="1">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row>
    <row r="83" spans="2:37" ht="15" customHeight="1">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row>
    <row r="84" spans="2:37" ht="15" customHeight="1">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row>
    <row r="85" spans="2:37" ht="15" customHeight="1">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row>
    <row r="86" spans="2:37" ht="15" customHeight="1">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row>
    <row r="87" spans="2:37" ht="15" customHeight="1">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row>
    <row r="88" spans="2:37" ht="15" customHeight="1">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row>
    <row r="89" spans="2:37" ht="15" customHeight="1">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row>
    <row r="90" spans="2:37" ht="15" customHeight="1">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row>
    <row r="91" spans="2:37" ht="15" customHeight="1">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row>
    <row r="92" spans="2:37" ht="15" customHeight="1">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row>
    <row r="93" spans="2:37" ht="15" customHeight="1">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row>
    <row r="94" spans="2:37" ht="15" customHeight="1">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row>
    <row r="95" spans="2:37" ht="15" customHeight="1">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row>
    <row r="96" spans="2:37" ht="15" customHeight="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row>
    <row r="97" spans="2:37" ht="15" customHeight="1">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row>
    <row r="98" spans="2:37" ht="15" customHeight="1">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row>
    <row r="99" spans="2:37" ht="15" customHeight="1">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row>
    <row r="100" spans="2:37" ht="15" customHeight="1">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row>
    <row r="101" spans="2:37" ht="15" customHeight="1">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row>
    <row r="102" spans="2:37" ht="15" customHeight="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row>
    <row r="103" spans="2:37" ht="15" customHeight="1">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row>
    <row r="104" spans="2:37" ht="15" customHeight="1">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row>
    <row r="105" spans="2:37" ht="15" customHeight="1">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row>
    <row r="106" spans="2:37" ht="15" customHeight="1">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row>
    <row r="107" spans="2:37" ht="15" customHeight="1">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row>
    <row r="108" spans="2:37" ht="15" customHeight="1">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row>
    <row r="109" spans="2:37" ht="15" customHeight="1">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row>
    <row r="110" spans="2:37" ht="15" customHeight="1">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row>
    <row r="111" spans="2:37" ht="15" customHeight="1">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row>
    <row r="112" spans="2:37" ht="15" customHeight="1">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row>
    <row r="113" spans="2:37" ht="15" customHeight="1">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row>
    <row r="114" spans="2:37" ht="15" customHeight="1">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row>
    <row r="115" spans="2:37" ht="15" customHeight="1">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row>
    <row r="116" spans="2:37" ht="15" customHeight="1">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row>
    <row r="117" spans="2:37" ht="15" customHeight="1">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row>
    <row r="118" spans="2:37" ht="15" customHeight="1">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row>
    <row r="119" spans="2:37" ht="15" customHeight="1">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row>
    <row r="120" spans="2:37" ht="15" customHeight="1">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row>
    <row r="121" spans="2:37" ht="15" customHeight="1">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row>
    <row r="122" spans="2:37" ht="15" customHeight="1">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row>
    <row r="123" spans="2:37" ht="15" customHeight="1">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row>
    <row r="124" spans="2:37" ht="15" customHeight="1">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row>
    <row r="125" spans="2:37" ht="15" customHeight="1">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row>
    <row r="126" spans="2:37" ht="15" customHeight="1">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row>
    <row r="127" spans="2:37" ht="15" customHeight="1">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row>
    <row r="128" spans="2:37" ht="15" customHeight="1">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row>
    <row r="129" spans="2:37" ht="15" customHeight="1">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row>
    <row r="130" spans="2:37" ht="15" customHeight="1">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row>
    <row r="131" spans="2:37" ht="15" customHeight="1">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row>
    <row r="132" spans="2:37" ht="15" customHeight="1">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row>
    <row r="133" spans="2:37" ht="15" customHeight="1">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row>
    <row r="134" spans="2:37" ht="15" customHeight="1">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row>
    <row r="135" spans="2:37" ht="15" customHeight="1">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row>
    <row r="136" spans="2:37" ht="15" customHeight="1">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row>
    <row r="137" spans="2:37" ht="15" customHeight="1">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row>
    <row r="138" spans="2:37" ht="15" customHeight="1">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row>
    <row r="139" spans="2:37" ht="15" customHeight="1">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row>
    <row r="140" spans="2:37" ht="15" customHeight="1">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row>
    <row r="141" spans="2:37" ht="15" customHeight="1">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row>
    <row r="142" spans="2:37" ht="15" customHeight="1">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row>
    <row r="143" spans="2:37" ht="15" customHeight="1">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row>
    <row r="144" spans="2:37" ht="15" customHeight="1">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row>
    <row r="145" spans="2:37" ht="15" customHeight="1">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row>
    <row r="146" spans="2:37" ht="15" customHeight="1">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row>
    <row r="147" spans="2:37" ht="15" customHeight="1">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row>
    <row r="148" spans="2:37" ht="15" customHeight="1">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row>
    <row r="149" spans="2:37" ht="15" customHeight="1">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row>
    <row r="150" spans="2:37" ht="11.85" customHeight="1">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row>
    <row r="151" spans="2:37" ht="11.85" customHeight="1">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row>
    <row r="152" spans="2:37" ht="11.85" customHeight="1">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row>
    <row r="153" spans="2:37" ht="11.85" customHeight="1">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row>
    <row r="154" spans="2:37" ht="11.85" customHeight="1">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row>
    <row r="155" spans="2:37" ht="11.85" customHeight="1">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row>
    <row r="156" spans="2:37" ht="11.85" customHeight="1">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row>
    <row r="157" spans="2:37" ht="11.85" customHeight="1">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row>
    <row r="158" spans="2:37" ht="11.85" customHeight="1">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row>
    <row r="159" spans="2:37" ht="11.85" customHeight="1">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row>
    <row r="160" spans="2:37" ht="11.85" customHeight="1">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row>
    <row r="161" spans="2:37" ht="11.85" customHeight="1">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row>
    <row r="162" spans="2:37" ht="11.85" customHeight="1">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row>
    <row r="163" spans="2:37" ht="11.85" customHeight="1">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row>
    <row r="164" spans="2:37" ht="11.85" customHeight="1">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row>
    <row r="165" spans="2:37" ht="11.85" customHeight="1">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row>
    <row r="166" spans="2:37" ht="11.85" customHeight="1">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row>
    <row r="167" spans="2:37" ht="11.85" customHeight="1">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row>
    <row r="168" spans="2:37" ht="11.85" customHeight="1">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row>
    <row r="169" spans="2:37" ht="11.85" customHeight="1">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row>
    <row r="170" spans="2:37" ht="11.85" customHeight="1">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row>
    <row r="171" spans="2:37" ht="11.85" customHeight="1">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row>
    <row r="172" spans="2:37" ht="11.85" customHeight="1">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row>
    <row r="173" spans="2:37" ht="11.85" customHeight="1">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row>
    <row r="174" spans="2:37" ht="11.85" customHeight="1">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row>
    <row r="175" spans="2:37" ht="11.85" customHeight="1">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row>
    <row r="176" spans="2:37" ht="11.85" customHeight="1">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row>
    <row r="177" spans="2:37" ht="11.85" customHeight="1">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row>
    <row r="178" spans="2:37" ht="11.85" customHeight="1">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row>
    <row r="179" spans="2:37" ht="11.85" customHeight="1">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row>
    <row r="180" spans="2:37" ht="11.85" customHeight="1">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row>
    <row r="181" spans="2:37" ht="11.85" customHeight="1">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row>
    <row r="182" spans="2:37" ht="11.85" customHeight="1">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row>
    <row r="183" spans="2:37" ht="11.85" customHeight="1">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row>
    <row r="184" spans="2:37" ht="11.85" customHeight="1">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row>
    <row r="185" spans="2:37" ht="11.85" customHeight="1">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row>
    <row r="186" spans="2:37" ht="11.85" customHeight="1">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row>
    <row r="187" spans="2:37" ht="11.85" customHeight="1">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row>
    <row r="188" spans="2:37" ht="11.85" customHeight="1">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row>
    <row r="189" spans="2:37" ht="11.85" customHeight="1">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row>
    <row r="190" spans="2:37" ht="11.85" customHeight="1">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row>
    <row r="191" spans="2:37" ht="11.85" customHeight="1">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row>
    <row r="192" spans="2:37" ht="11.85" customHeight="1">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row>
    <row r="193" spans="2:37" ht="11.85" customHeight="1">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row>
    <row r="194" spans="2:37" ht="11.85" customHeight="1">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row>
    <row r="195" spans="2:37" ht="11.85" customHeight="1">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row>
    <row r="196" spans="2:37" ht="11.85" customHeight="1">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row>
    <row r="197" spans="2:37" ht="11.85" customHeight="1">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row>
    <row r="198" spans="2:37" ht="11.85" customHeight="1">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row>
    <row r="199" spans="2:37" ht="11.85" customHeight="1">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row>
    <row r="200" spans="2:37" ht="11.85" customHeight="1">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row>
    <row r="201" spans="2:37" ht="11.85" customHeight="1">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row>
    <row r="202" spans="2:37" ht="11.85" customHeight="1">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row>
    <row r="203" spans="2:37" ht="11.85" customHeight="1">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row>
    <row r="204" spans="2:37" ht="11.85" customHeight="1">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row>
    <row r="205" spans="2:37" ht="11.85" customHeight="1">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row>
    <row r="206" spans="2:37" ht="11.85" customHeight="1">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row>
    <row r="207" spans="2:37" ht="11.85" customHeight="1">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row>
    <row r="208" spans="2:37" ht="11.85" customHeight="1">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row>
    <row r="209" spans="2:37" ht="11.85" customHeight="1">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row>
    <row r="210" spans="2:37" ht="11.85" customHeight="1">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row>
    <row r="211" spans="2:37" ht="11.85" customHeight="1">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row>
    <row r="212" spans="2:37" ht="11.85" customHeight="1">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row>
    <row r="213" spans="2:37" ht="11.85" customHeight="1">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row>
    <row r="214" spans="2:37" ht="11.85" customHeight="1">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row>
    <row r="215" spans="2:37" ht="11.85" customHeight="1">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row>
    <row r="216" spans="2:37" ht="11.85" customHeight="1">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row>
    <row r="217" spans="2:37" ht="11.85" customHeight="1">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row>
    <row r="218" spans="2:37" ht="11.85" customHeight="1">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row>
    <row r="219" spans="2:37" ht="11.85" customHeight="1">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row>
    <row r="220" spans="2:37" ht="11.85" customHeight="1">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row>
    <row r="221" spans="2:37" ht="11.85" customHeight="1">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row>
    <row r="222" spans="2:37" ht="11.85" customHeight="1">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row>
    <row r="223" spans="2:37" ht="11.85" customHeight="1">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row>
    <row r="224" spans="2:37" ht="11.85" customHeight="1">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row>
    <row r="225" spans="2:37" ht="11.85" customHeight="1">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row>
    <row r="226" spans="2:37" ht="11.85" customHeight="1">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row>
    <row r="227" spans="2:37" ht="11.85" customHeight="1">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row>
    <row r="228" spans="2:37" ht="11.85" customHeight="1">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row>
    <row r="229" spans="2:37" ht="11.85" customHeight="1">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row>
    <row r="230" spans="2:37" ht="11.85" customHeight="1">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row>
    <row r="231" spans="2:37" ht="11.85" customHeight="1">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row>
    <row r="232" spans="2:37" ht="11.85" customHeight="1">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row>
    <row r="233" spans="2:37" ht="11.85" customHeight="1">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row>
    <row r="234" spans="2:37" ht="11.85" customHeight="1">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row>
    <row r="235" spans="2:37" ht="11.85" customHeight="1">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row>
    <row r="236" spans="2:37" ht="11.85" customHeight="1">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row>
    <row r="237" spans="2:37" ht="11.85" customHeight="1">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row>
    <row r="238" spans="2:37" ht="11.85" customHeight="1">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row>
    <row r="239" spans="2:37" ht="11.85" customHeight="1">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row>
    <row r="240" spans="2:37" ht="11.85" customHeight="1">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row>
    <row r="241" spans="2:37" ht="11.85" customHeight="1">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row>
    <row r="242" spans="2:37" ht="11.85" customHeight="1">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row>
    <row r="243" spans="2:37" ht="11.85" customHeight="1">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row>
    <row r="244" spans="2:37" ht="11.85" customHeight="1">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row>
    <row r="245" spans="2:37" ht="11.85" customHeight="1">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row>
    <row r="246" spans="2:37" ht="11.85" customHeight="1">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row>
    <row r="247" spans="2:37" ht="11.85" customHeight="1">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c r="AK247" s="112"/>
    </row>
    <row r="248" spans="2:37" ht="11.85" customHeight="1">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c r="AH248" s="112"/>
      <c r="AI248" s="112"/>
      <c r="AJ248" s="112"/>
      <c r="AK248" s="112"/>
    </row>
    <row r="249" spans="2:37" ht="11.85" customHeight="1">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c r="AK249" s="112"/>
    </row>
    <row r="250" spans="2:37" ht="11.85" customHeight="1">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c r="AD250" s="112"/>
      <c r="AE250" s="112"/>
      <c r="AF250" s="112"/>
      <c r="AG250" s="112"/>
      <c r="AH250" s="112"/>
      <c r="AI250" s="112"/>
      <c r="AJ250" s="112"/>
      <c r="AK250" s="112"/>
    </row>
    <row r="251" spans="2:37" ht="11.85" customHeight="1">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c r="AH251" s="112"/>
      <c r="AI251" s="112"/>
      <c r="AJ251" s="112"/>
      <c r="AK251" s="112"/>
    </row>
    <row r="252" spans="2:37" ht="11.85" customHeight="1">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c r="AD252" s="112"/>
      <c r="AE252" s="112"/>
      <c r="AF252" s="112"/>
      <c r="AG252" s="112"/>
      <c r="AH252" s="112"/>
      <c r="AI252" s="112"/>
      <c r="AJ252" s="112"/>
      <c r="AK252" s="112"/>
    </row>
    <row r="253" spans="2:37" ht="11.85" customHeight="1">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c r="AD253" s="112"/>
      <c r="AE253" s="112"/>
      <c r="AF253" s="112"/>
      <c r="AG253" s="112"/>
      <c r="AH253" s="112"/>
      <c r="AI253" s="112"/>
      <c r="AJ253" s="112"/>
      <c r="AK253" s="112"/>
    </row>
    <row r="254" spans="2:37" ht="11.85" customHeight="1">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c r="AD254" s="112"/>
      <c r="AE254" s="112"/>
      <c r="AF254" s="112"/>
      <c r="AG254" s="112"/>
      <c r="AH254" s="112"/>
      <c r="AI254" s="112"/>
      <c r="AJ254" s="112"/>
      <c r="AK254" s="112"/>
    </row>
    <row r="255" spans="2:37" ht="11.85" customHeight="1">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c r="AD255" s="112"/>
      <c r="AE255" s="112"/>
      <c r="AF255" s="112"/>
      <c r="AG255" s="112"/>
      <c r="AH255" s="112"/>
      <c r="AI255" s="112"/>
      <c r="AJ255" s="112"/>
      <c r="AK255" s="112"/>
    </row>
    <row r="256" spans="2:37" ht="11.85" customHeight="1">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c r="AD256" s="112"/>
      <c r="AE256" s="112"/>
      <c r="AF256" s="112"/>
      <c r="AG256" s="112"/>
      <c r="AH256" s="112"/>
      <c r="AI256" s="112"/>
      <c r="AJ256" s="112"/>
      <c r="AK256" s="112"/>
    </row>
    <row r="257" spans="2:37" ht="11.85" customHeight="1">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c r="AD257" s="112"/>
      <c r="AE257" s="112"/>
      <c r="AF257" s="112"/>
      <c r="AG257" s="112"/>
      <c r="AH257" s="112"/>
      <c r="AI257" s="112"/>
      <c r="AJ257" s="112"/>
      <c r="AK257" s="112"/>
    </row>
    <row r="258" spans="2:37" ht="11.85" customHeight="1">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c r="AD258" s="112"/>
      <c r="AE258" s="112"/>
      <c r="AF258" s="112"/>
      <c r="AG258" s="112"/>
      <c r="AH258" s="112"/>
      <c r="AI258" s="112"/>
      <c r="AJ258" s="112"/>
      <c r="AK258" s="112"/>
    </row>
    <row r="259" spans="2:37" ht="11.85" customHeight="1">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c r="AD259" s="112"/>
      <c r="AE259" s="112"/>
      <c r="AF259" s="112"/>
      <c r="AG259" s="112"/>
      <c r="AH259" s="112"/>
      <c r="AI259" s="112"/>
      <c r="AJ259" s="112"/>
      <c r="AK259" s="112"/>
    </row>
    <row r="260" spans="2:37" ht="11.85" customHeight="1">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c r="AD260" s="112"/>
      <c r="AE260" s="112"/>
      <c r="AF260" s="112"/>
      <c r="AG260" s="112"/>
      <c r="AH260" s="112"/>
      <c r="AI260" s="112"/>
      <c r="AJ260" s="112"/>
      <c r="AK260" s="112"/>
    </row>
    <row r="261" spans="2:37" ht="11.85" customHeight="1">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c r="AD261" s="112"/>
      <c r="AE261" s="112"/>
      <c r="AF261" s="112"/>
      <c r="AG261" s="112"/>
      <c r="AH261" s="112"/>
      <c r="AI261" s="112"/>
      <c r="AJ261" s="112"/>
      <c r="AK261" s="112"/>
    </row>
    <row r="262" spans="2:37" ht="11.85" customHeight="1">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c r="AD262" s="112"/>
      <c r="AE262" s="112"/>
      <c r="AF262" s="112"/>
      <c r="AG262" s="112"/>
      <c r="AH262" s="112"/>
      <c r="AI262" s="112"/>
      <c r="AJ262" s="112"/>
      <c r="AK262" s="112"/>
    </row>
    <row r="263" spans="2:37" ht="11.85" customHeight="1">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c r="AD263" s="112"/>
      <c r="AE263" s="112"/>
      <c r="AF263" s="112"/>
      <c r="AG263" s="112"/>
      <c r="AH263" s="112"/>
      <c r="AI263" s="112"/>
      <c r="AJ263" s="112"/>
      <c r="AK263" s="112"/>
    </row>
    <row r="264" spans="2:37" ht="11.85" customHeight="1">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c r="AD264" s="112"/>
      <c r="AE264" s="112"/>
      <c r="AF264" s="112"/>
      <c r="AG264" s="112"/>
      <c r="AH264" s="112"/>
      <c r="AI264" s="112"/>
      <c r="AJ264" s="112"/>
      <c r="AK264" s="112"/>
    </row>
    <row r="265" spans="2:37" ht="11.85" customHeight="1">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c r="AD265" s="112"/>
      <c r="AE265" s="112"/>
      <c r="AF265" s="112"/>
      <c r="AG265" s="112"/>
      <c r="AH265" s="112"/>
      <c r="AI265" s="112"/>
      <c r="AJ265" s="112"/>
      <c r="AK265" s="112"/>
    </row>
    <row r="266" spans="2:37" ht="11.85" customHeight="1">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c r="AD266" s="112"/>
      <c r="AE266" s="112"/>
      <c r="AF266" s="112"/>
      <c r="AG266" s="112"/>
      <c r="AH266" s="112"/>
      <c r="AI266" s="112"/>
      <c r="AJ266" s="112"/>
      <c r="AK266" s="112"/>
    </row>
    <row r="267" spans="2:37" ht="11.85" customHeight="1">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c r="AD267" s="112"/>
      <c r="AE267" s="112"/>
      <c r="AF267" s="112"/>
      <c r="AG267" s="112"/>
      <c r="AH267" s="112"/>
      <c r="AI267" s="112"/>
      <c r="AJ267" s="112"/>
      <c r="AK267" s="112"/>
    </row>
    <row r="268" spans="2:37" ht="11.85" customHeight="1">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c r="AH268" s="112"/>
      <c r="AI268" s="112"/>
      <c r="AJ268" s="112"/>
      <c r="AK268" s="112"/>
    </row>
    <row r="269" spans="2:37" ht="11.85" customHeight="1">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c r="AD269" s="112"/>
      <c r="AE269" s="112"/>
      <c r="AF269" s="112"/>
      <c r="AG269" s="112"/>
      <c r="AH269" s="112"/>
      <c r="AI269" s="112"/>
      <c r="AJ269" s="112"/>
      <c r="AK269" s="112"/>
    </row>
    <row r="270" spans="2:37" ht="11.85" customHeight="1">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c r="AD270" s="112"/>
      <c r="AE270" s="112"/>
      <c r="AF270" s="112"/>
      <c r="AG270" s="112"/>
      <c r="AH270" s="112"/>
      <c r="AI270" s="112"/>
      <c r="AJ270" s="112"/>
      <c r="AK270" s="112"/>
    </row>
    <row r="271" spans="2:37" ht="11.85" customHeight="1">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c r="AD271" s="112"/>
      <c r="AE271" s="112"/>
      <c r="AF271" s="112"/>
      <c r="AG271" s="112"/>
      <c r="AH271" s="112"/>
      <c r="AI271" s="112"/>
      <c r="AJ271" s="112"/>
      <c r="AK271" s="112"/>
    </row>
    <row r="272" spans="2:37" ht="11.85" customHeight="1">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c r="AD272" s="112"/>
      <c r="AE272" s="112"/>
      <c r="AF272" s="112"/>
      <c r="AG272" s="112"/>
      <c r="AH272" s="112"/>
      <c r="AI272" s="112"/>
      <c r="AJ272" s="112"/>
      <c r="AK272" s="112"/>
    </row>
    <row r="273" spans="2:37" ht="11.85" customHeight="1">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c r="AD273" s="112"/>
      <c r="AE273" s="112"/>
      <c r="AF273" s="112"/>
      <c r="AG273" s="112"/>
      <c r="AH273" s="112"/>
      <c r="AI273" s="112"/>
      <c r="AJ273" s="112"/>
      <c r="AK273" s="112"/>
    </row>
    <row r="274" spans="2:37" ht="11.85" customHeight="1">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c r="AD274" s="112"/>
      <c r="AE274" s="112"/>
      <c r="AF274" s="112"/>
      <c r="AG274" s="112"/>
      <c r="AH274" s="112"/>
      <c r="AI274" s="112"/>
      <c r="AJ274" s="112"/>
      <c r="AK274" s="112"/>
    </row>
    <row r="275" spans="2:37" ht="11.85" customHeight="1">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c r="AD275" s="112"/>
      <c r="AE275" s="112"/>
      <c r="AF275" s="112"/>
      <c r="AG275" s="112"/>
      <c r="AH275" s="112"/>
      <c r="AI275" s="112"/>
      <c r="AJ275" s="112"/>
      <c r="AK275" s="112"/>
    </row>
    <row r="276" spans="2:37" ht="11.85" customHeight="1">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c r="AD276" s="112"/>
      <c r="AE276" s="112"/>
      <c r="AF276" s="112"/>
      <c r="AG276" s="112"/>
      <c r="AH276" s="112"/>
      <c r="AI276" s="112"/>
      <c r="AJ276" s="112"/>
      <c r="AK276" s="112"/>
    </row>
    <row r="277" spans="2:37" ht="11.85" customHeight="1">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c r="AD277" s="112"/>
      <c r="AE277" s="112"/>
      <c r="AF277" s="112"/>
      <c r="AG277" s="112"/>
      <c r="AH277" s="112"/>
      <c r="AI277" s="112"/>
      <c r="AJ277" s="112"/>
      <c r="AK277" s="112"/>
    </row>
    <row r="278" spans="2:37" ht="11.85" customHeight="1">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c r="AD278" s="112"/>
      <c r="AE278" s="112"/>
      <c r="AF278" s="112"/>
      <c r="AG278" s="112"/>
      <c r="AH278" s="112"/>
      <c r="AI278" s="112"/>
      <c r="AJ278" s="112"/>
      <c r="AK278" s="112"/>
    </row>
    <row r="279" spans="2:37" ht="11.85" customHeight="1">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c r="AD279" s="112"/>
      <c r="AE279" s="112"/>
      <c r="AF279" s="112"/>
      <c r="AG279" s="112"/>
      <c r="AH279" s="112"/>
      <c r="AI279" s="112"/>
      <c r="AJ279" s="112"/>
      <c r="AK279" s="112"/>
    </row>
    <row r="280" spans="2:37" ht="11.85" customHeight="1">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c r="AD280" s="112"/>
      <c r="AE280" s="112"/>
      <c r="AF280" s="112"/>
      <c r="AG280" s="112"/>
      <c r="AH280" s="112"/>
      <c r="AI280" s="112"/>
      <c r="AJ280" s="112"/>
      <c r="AK280" s="112"/>
    </row>
    <row r="281" spans="2:37" ht="11.85" customHeight="1">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c r="AD281" s="112"/>
      <c r="AE281" s="112"/>
      <c r="AF281" s="112"/>
      <c r="AG281" s="112"/>
      <c r="AH281" s="112"/>
      <c r="AI281" s="112"/>
      <c r="AJ281" s="112"/>
      <c r="AK281" s="112"/>
    </row>
    <row r="282" spans="2:37" ht="11.85" customHeight="1">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c r="AD282" s="112"/>
      <c r="AE282" s="112"/>
      <c r="AF282" s="112"/>
      <c r="AG282" s="112"/>
      <c r="AH282" s="112"/>
      <c r="AI282" s="112"/>
      <c r="AJ282" s="112"/>
      <c r="AK282" s="112"/>
    </row>
    <row r="283" spans="2:37" ht="11.85" customHeight="1">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c r="AD283" s="112"/>
      <c r="AE283" s="112"/>
      <c r="AF283" s="112"/>
      <c r="AG283" s="112"/>
      <c r="AH283" s="112"/>
      <c r="AI283" s="112"/>
      <c r="AJ283" s="112"/>
      <c r="AK283" s="112"/>
    </row>
    <row r="284" spans="2:37" ht="11.85" customHeight="1">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c r="AD284" s="112"/>
      <c r="AE284" s="112"/>
      <c r="AF284" s="112"/>
      <c r="AG284" s="112"/>
      <c r="AH284" s="112"/>
      <c r="AI284" s="112"/>
      <c r="AJ284" s="112"/>
      <c r="AK284" s="112"/>
    </row>
    <row r="285" spans="2:37" ht="11.85" customHeight="1">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c r="AK285" s="112"/>
    </row>
    <row r="286" spans="2:37" ht="11.85" customHeight="1">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c r="AD286" s="112"/>
      <c r="AE286" s="112"/>
      <c r="AF286" s="112"/>
      <c r="AG286" s="112"/>
      <c r="AH286" s="112"/>
      <c r="AI286" s="112"/>
      <c r="AJ286" s="112"/>
      <c r="AK286" s="112"/>
    </row>
    <row r="287" spans="2:37" ht="11.85" customHeight="1">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c r="AD287" s="112"/>
      <c r="AE287" s="112"/>
      <c r="AF287" s="112"/>
      <c r="AG287" s="112"/>
      <c r="AH287" s="112"/>
      <c r="AI287" s="112"/>
      <c r="AJ287" s="112"/>
      <c r="AK287" s="112"/>
    </row>
    <row r="288" spans="2:37" ht="11.85" customHeight="1">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c r="AD288" s="112"/>
      <c r="AE288" s="112"/>
      <c r="AF288" s="112"/>
      <c r="AG288" s="112"/>
      <c r="AH288" s="112"/>
      <c r="AI288" s="112"/>
      <c r="AJ288" s="112"/>
      <c r="AK288" s="112"/>
    </row>
    <row r="289" spans="2:37" ht="11.85" customHeight="1">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c r="AD289" s="112"/>
      <c r="AE289" s="112"/>
      <c r="AF289" s="112"/>
      <c r="AG289" s="112"/>
      <c r="AH289" s="112"/>
      <c r="AI289" s="112"/>
      <c r="AJ289" s="112"/>
      <c r="AK289" s="112"/>
    </row>
    <row r="290" spans="2:37" ht="11.85" customHeight="1">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c r="AD290" s="112"/>
      <c r="AE290" s="112"/>
      <c r="AF290" s="112"/>
      <c r="AG290" s="112"/>
      <c r="AH290" s="112"/>
      <c r="AI290" s="112"/>
      <c r="AJ290" s="112"/>
      <c r="AK290" s="112"/>
    </row>
    <row r="291" spans="2:37" ht="11.85" customHeight="1">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c r="AD291" s="112"/>
      <c r="AE291" s="112"/>
      <c r="AF291" s="112"/>
      <c r="AG291" s="112"/>
      <c r="AH291" s="112"/>
      <c r="AI291" s="112"/>
      <c r="AJ291" s="112"/>
      <c r="AK291" s="112"/>
    </row>
    <row r="292" spans="2:37" ht="11.85" customHeight="1">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c r="AD292" s="112"/>
      <c r="AE292" s="112"/>
      <c r="AF292" s="112"/>
      <c r="AG292" s="112"/>
      <c r="AH292" s="112"/>
      <c r="AI292" s="112"/>
      <c r="AJ292" s="112"/>
      <c r="AK292" s="112"/>
    </row>
    <row r="293" spans="2:37" ht="11.85" customHeight="1">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c r="AD293" s="112"/>
      <c r="AE293" s="112"/>
      <c r="AF293" s="112"/>
      <c r="AG293" s="112"/>
      <c r="AH293" s="112"/>
      <c r="AI293" s="112"/>
      <c r="AJ293" s="112"/>
      <c r="AK293" s="112"/>
    </row>
    <row r="294" spans="2:37" ht="11.85" customHeight="1">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c r="AD294" s="112"/>
      <c r="AE294" s="112"/>
      <c r="AF294" s="112"/>
      <c r="AG294" s="112"/>
      <c r="AH294" s="112"/>
      <c r="AI294" s="112"/>
      <c r="AJ294" s="112"/>
      <c r="AK294" s="112"/>
    </row>
    <row r="295" spans="2:37" ht="11.85" customHeight="1">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c r="AD295" s="112"/>
      <c r="AE295" s="112"/>
      <c r="AF295" s="112"/>
      <c r="AG295" s="112"/>
      <c r="AH295" s="112"/>
      <c r="AI295" s="112"/>
      <c r="AJ295" s="112"/>
      <c r="AK295" s="112"/>
    </row>
    <row r="296" spans="2:37" ht="11.85" customHeight="1">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c r="AD296" s="112"/>
      <c r="AE296" s="112"/>
      <c r="AF296" s="112"/>
      <c r="AG296" s="112"/>
      <c r="AH296" s="112"/>
      <c r="AI296" s="112"/>
      <c r="AJ296" s="112"/>
      <c r="AK296" s="112"/>
    </row>
    <row r="297" spans="2:37" ht="11.85" customHeight="1">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c r="AD297" s="112"/>
      <c r="AE297" s="112"/>
      <c r="AF297" s="112"/>
      <c r="AG297" s="112"/>
      <c r="AH297" s="112"/>
      <c r="AI297" s="112"/>
      <c r="AJ297" s="112"/>
      <c r="AK297" s="112"/>
    </row>
    <row r="298" spans="2:37" ht="11.85" customHeight="1">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c r="AD298" s="112"/>
      <c r="AE298" s="112"/>
      <c r="AF298" s="112"/>
      <c r="AG298" s="112"/>
      <c r="AH298" s="112"/>
      <c r="AI298" s="112"/>
      <c r="AJ298" s="112"/>
      <c r="AK298" s="112"/>
    </row>
    <row r="299" spans="2:37" ht="11.85" customHeight="1">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c r="AD299" s="112"/>
      <c r="AE299" s="112"/>
      <c r="AF299" s="112"/>
      <c r="AG299" s="112"/>
      <c r="AH299" s="112"/>
      <c r="AI299" s="112"/>
      <c r="AJ299" s="112"/>
      <c r="AK299" s="112"/>
    </row>
    <row r="300" spans="2:37" ht="11.85" customHeight="1">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c r="AD300" s="112"/>
      <c r="AE300" s="112"/>
      <c r="AF300" s="112"/>
      <c r="AG300" s="112"/>
      <c r="AH300" s="112"/>
      <c r="AI300" s="112"/>
      <c r="AJ300" s="112"/>
      <c r="AK300" s="112"/>
    </row>
    <row r="301" spans="2:37" ht="11.85" customHeight="1">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c r="AD301" s="112"/>
      <c r="AE301" s="112"/>
      <c r="AF301" s="112"/>
      <c r="AG301" s="112"/>
      <c r="AH301" s="112"/>
      <c r="AI301" s="112"/>
      <c r="AJ301" s="112"/>
      <c r="AK301" s="112"/>
    </row>
    <row r="302" spans="2:37" ht="11.85" customHeight="1">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c r="AD302" s="112"/>
      <c r="AE302" s="112"/>
      <c r="AF302" s="112"/>
      <c r="AG302" s="112"/>
      <c r="AH302" s="112"/>
      <c r="AI302" s="112"/>
      <c r="AJ302" s="112"/>
      <c r="AK302" s="112"/>
    </row>
    <row r="303" spans="2:37" ht="11.85" customHeight="1">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c r="AD303" s="112"/>
      <c r="AE303" s="112"/>
      <c r="AF303" s="112"/>
      <c r="AG303" s="112"/>
      <c r="AH303" s="112"/>
      <c r="AI303" s="112"/>
      <c r="AJ303" s="112"/>
      <c r="AK303" s="112"/>
    </row>
    <row r="304" spans="2:37" ht="11.85" customHeight="1">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c r="AD304" s="112"/>
      <c r="AE304" s="112"/>
      <c r="AF304" s="112"/>
      <c r="AG304" s="112"/>
      <c r="AH304" s="112"/>
      <c r="AI304" s="112"/>
      <c r="AJ304" s="112"/>
      <c r="AK304" s="112"/>
    </row>
    <row r="305" spans="2:37" ht="11.85" customHeight="1">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c r="AD305" s="112"/>
      <c r="AE305" s="112"/>
      <c r="AF305" s="112"/>
      <c r="AG305" s="112"/>
      <c r="AH305" s="112"/>
      <c r="AI305" s="112"/>
      <c r="AJ305" s="112"/>
      <c r="AK305" s="112"/>
    </row>
    <row r="306" spans="2:37" ht="11.85" customHeight="1">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c r="AD306" s="112"/>
      <c r="AE306" s="112"/>
      <c r="AF306" s="112"/>
      <c r="AG306" s="112"/>
      <c r="AH306" s="112"/>
      <c r="AI306" s="112"/>
      <c r="AJ306" s="112"/>
      <c r="AK306" s="112"/>
    </row>
    <row r="307" spans="2:37" ht="11.85" customHeight="1">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c r="AD307" s="112"/>
      <c r="AE307" s="112"/>
      <c r="AF307" s="112"/>
      <c r="AG307" s="112"/>
      <c r="AH307" s="112"/>
      <c r="AI307" s="112"/>
      <c r="AJ307" s="112"/>
      <c r="AK307" s="112"/>
    </row>
    <row r="308" spans="2:37" ht="11.85" customHeight="1">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c r="AD308" s="112"/>
      <c r="AE308" s="112"/>
      <c r="AF308" s="112"/>
      <c r="AG308" s="112"/>
      <c r="AH308" s="112"/>
      <c r="AI308" s="112"/>
      <c r="AJ308" s="112"/>
      <c r="AK308" s="112"/>
    </row>
    <row r="309" spans="2:37" ht="11.85" customHeight="1">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c r="AD309" s="112"/>
      <c r="AE309" s="112"/>
      <c r="AF309" s="112"/>
      <c r="AG309" s="112"/>
      <c r="AH309" s="112"/>
      <c r="AI309" s="112"/>
      <c r="AJ309" s="112"/>
      <c r="AK309" s="112"/>
    </row>
    <row r="310" spans="2:37" ht="11.85" customHeight="1">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c r="AD310" s="112"/>
      <c r="AE310" s="112"/>
      <c r="AF310" s="112"/>
      <c r="AG310" s="112"/>
      <c r="AH310" s="112"/>
      <c r="AI310" s="112"/>
      <c r="AJ310" s="112"/>
      <c r="AK310" s="112"/>
    </row>
    <row r="311" spans="2:37" ht="11.85" customHeight="1">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c r="AD311" s="112"/>
      <c r="AE311" s="112"/>
      <c r="AF311" s="112"/>
      <c r="AG311" s="112"/>
      <c r="AH311" s="112"/>
      <c r="AI311" s="112"/>
      <c r="AJ311" s="112"/>
      <c r="AK311" s="112"/>
    </row>
    <row r="312" spans="2:37" ht="11.85" customHeight="1">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c r="AD312" s="112"/>
      <c r="AE312" s="112"/>
      <c r="AF312" s="112"/>
      <c r="AG312" s="112"/>
      <c r="AH312" s="112"/>
      <c r="AI312" s="112"/>
      <c r="AJ312" s="112"/>
      <c r="AK312" s="112"/>
    </row>
    <row r="313" spans="2:37" ht="11.85" customHeight="1">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row>
    <row r="314" spans="2:37" ht="11.85" customHeight="1">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c r="AD314" s="112"/>
      <c r="AE314" s="112"/>
      <c r="AF314" s="112"/>
      <c r="AG314" s="112"/>
      <c r="AH314" s="112"/>
      <c r="AI314" s="112"/>
      <c r="AJ314" s="112"/>
      <c r="AK314" s="112"/>
    </row>
    <row r="315" spans="2:37" ht="11.85" customHeight="1">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c r="AD315" s="112"/>
      <c r="AE315" s="112"/>
      <c r="AF315" s="112"/>
      <c r="AG315" s="112"/>
      <c r="AH315" s="112"/>
      <c r="AI315" s="112"/>
      <c r="AJ315" s="112"/>
      <c r="AK315" s="112"/>
    </row>
    <row r="316" spans="2:37" ht="11.85" customHeight="1">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c r="AD316" s="112"/>
      <c r="AE316" s="112"/>
      <c r="AF316" s="112"/>
      <c r="AG316" s="112"/>
      <c r="AH316" s="112"/>
      <c r="AI316" s="112"/>
      <c r="AJ316" s="112"/>
      <c r="AK316" s="112"/>
    </row>
    <row r="317" spans="2:37" ht="11.85" customHeight="1">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c r="AD317" s="112"/>
      <c r="AE317" s="112"/>
      <c r="AF317" s="112"/>
      <c r="AG317" s="112"/>
      <c r="AH317" s="112"/>
      <c r="AI317" s="112"/>
      <c r="AJ317" s="112"/>
      <c r="AK317" s="112"/>
    </row>
    <row r="318" spans="2:37" ht="11.85" customHeight="1">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c r="AA318" s="112"/>
      <c r="AB318" s="112"/>
      <c r="AC318" s="112"/>
      <c r="AD318" s="112"/>
      <c r="AE318" s="112"/>
      <c r="AF318" s="112"/>
      <c r="AG318" s="112"/>
      <c r="AH318" s="112"/>
      <c r="AI318" s="112"/>
      <c r="AJ318" s="112"/>
      <c r="AK318" s="112"/>
    </row>
    <row r="319" spans="2:37" ht="11.85" customHeight="1">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c r="AA319" s="112"/>
      <c r="AB319" s="112"/>
      <c r="AC319" s="112"/>
      <c r="AD319" s="112"/>
      <c r="AE319" s="112"/>
      <c r="AF319" s="112"/>
      <c r="AG319" s="112"/>
      <c r="AH319" s="112"/>
      <c r="AI319" s="112"/>
      <c r="AJ319" s="112"/>
      <c r="AK319" s="112"/>
    </row>
    <row r="320" spans="2:37" ht="11.85" customHeight="1">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c r="AD320" s="112"/>
      <c r="AE320" s="112"/>
      <c r="AF320" s="112"/>
      <c r="AG320" s="112"/>
      <c r="AH320" s="112"/>
      <c r="AI320" s="112"/>
      <c r="AJ320" s="112"/>
      <c r="AK320" s="112"/>
    </row>
    <row r="321" spans="2:37" ht="11.85" customHeight="1">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c r="AA321" s="112"/>
      <c r="AB321" s="112"/>
      <c r="AC321" s="112"/>
      <c r="AD321" s="112"/>
      <c r="AE321" s="112"/>
      <c r="AF321" s="112"/>
      <c r="AG321" s="112"/>
      <c r="AH321" s="112"/>
      <c r="AI321" s="112"/>
      <c r="AJ321" s="112"/>
      <c r="AK321" s="112"/>
    </row>
    <row r="322" spans="2:37" ht="11.85" customHeight="1">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c r="AD322" s="112"/>
      <c r="AE322" s="112"/>
      <c r="AF322" s="112"/>
      <c r="AG322" s="112"/>
      <c r="AH322" s="112"/>
      <c r="AI322" s="112"/>
      <c r="AJ322" s="112"/>
      <c r="AK322" s="112"/>
    </row>
    <row r="323" spans="2:37" ht="11.85" customHeight="1">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c r="AA323" s="112"/>
      <c r="AB323" s="112"/>
      <c r="AC323" s="112"/>
      <c r="AD323" s="112"/>
      <c r="AE323" s="112"/>
      <c r="AF323" s="112"/>
      <c r="AG323" s="112"/>
      <c r="AH323" s="112"/>
      <c r="AI323" s="112"/>
      <c r="AJ323" s="112"/>
      <c r="AK323" s="112"/>
    </row>
    <row r="324" spans="2:37" ht="11.85" customHeight="1">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c r="AA324" s="112"/>
      <c r="AB324" s="112"/>
      <c r="AC324" s="112"/>
      <c r="AD324" s="112"/>
      <c r="AE324" s="112"/>
      <c r="AF324" s="112"/>
      <c r="AG324" s="112"/>
      <c r="AH324" s="112"/>
      <c r="AI324" s="112"/>
      <c r="AJ324" s="112"/>
      <c r="AK324" s="112"/>
    </row>
    <row r="325" spans="2:37" ht="11.85" customHeight="1">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c r="AA325" s="112"/>
      <c r="AB325" s="112"/>
      <c r="AC325" s="112"/>
      <c r="AD325" s="112"/>
      <c r="AE325" s="112"/>
      <c r="AF325" s="112"/>
      <c r="AG325" s="112"/>
      <c r="AH325" s="112"/>
      <c r="AI325" s="112"/>
      <c r="AJ325" s="112"/>
      <c r="AK325" s="112"/>
    </row>
    <row r="326" spans="2:37" ht="11.85" customHeight="1">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c r="AA326" s="112"/>
      <c r="AB326" s="112"/>
      <c r="AC326" s="112"/>
      <c r="AD326" s="112"/>
      <c r="AE326" s="112"/>
      <c r="AF326" s="112"/>
      <c r="AG326" s="112"/>
      <c r="AH326" s="112"/>
      <c r="AI326" s="112"/>
      <c r="AJ326" s="112"/>
      <c r="AK326" s="112"/>
    </row>
    <row r="327" spans="2:37" ht="11.85" customHeight="1">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c r="AA327" s="112"/>
      <c r="AB327" s="112"/>
      <c r="AC327" s="112"/>
      <c r="AD327" s="112"/>
      <c r="AE327" s="112"/>
      <c r="AF327" s="112"/>
      <c r="AG327" s="112"/>
      <c r="AH327" s="112"/>
      <c r="AI327" s="112"/>
      <c r="AJ327" s="112"/>
      <c r="AK327" s="112"/>
    </row>
    <row r="328" spans="2:37" ht="11.85" customHeight="1">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c r="AA328" s="112"/>
      <c r="AB328" s="112"/>
      <c r="AC328" s="112"/>
      <c r="AD328" s="112"/>
      <c r="AE328" s="112"/>
      <c r="AF328" s="112"/>
      <c r="AG328" s="112"/>
      <c r="AH328" s="112"/>
      <c r="AI328" s="112"/>
      <c r="AJ328" s="112"/>
      <c r="AK328" s="112"/>
    </row>
    <row r="329" spans="2:37" ht="11.85" customHeight="1">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c r="AA329" s="112"/>
      <c r="AB329" s="112"/>
      <c r="AC329" s="112"/>
      <c r="AD329" s="112"/>
      <c r="AE329" s="112"/>
      <c r="AF329" s="112"/>
      <c r="AG329" s="112"/>
      <c r="AH329" s="112"/>
      <c r="AI329" s="112"/>
      <c r="AJ329" s="112"/>
      <c r="AK329" s="112"/>
    </row>
    <row r="330" spans="2:37" ht="11.85" customHeight="1">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c r="AA330" s="112"/>
      <c r="AB330" s="112"/>
      <c r="AC330" s="112"/>
      <c r="AD330" s="112"/>
      <c r="AE330" s="112"/>
      <c r="AF330" s="112"/>
      <c r="AG330" s="112"/>
      <c r="AH330" s="112"/>
      <c r="AI330" s="112"/>
      <c r="AJ330" s="112"/>
      <c r="AK330" s="112"/>
    </row>
    <row r="331" spans="2:37" ht="11.85" customHeight="1">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c r="AA331" s="112"/>
      <c r="AB331" s="112"/>
      <c r="AC331" s="112"/>
      <c r="AD331" s="112"/>
      <c r="AE331" s="112"/>
      <c r="AF331" s="112"/>
      <c r="AG331" s="112"/>
      <c r="AH331" s="112"/>
      <c r="AI331" s="112"/>
      <c r="AJ331" s="112"/>
      <c r="AK331" s="112"/>
    </row>
    <row r="332" spans="2:37" ht="11.85" customHeight="1">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c r="AA332" s="112"/>
      <c r="AB332" s="112"/>
      <c r="AC332" s="112"/>
      <c r="AD332" s="112"/>
      <c r="AE332" s="112"/>
      <c r="AF332" s="112"/>
      <c r="AG332" s="112"/>
      <c r="AH332" s="112"/>
      <c r="AI332" s="112"/>
      <c r="AJ332" s="112"/>
      <c r="AK332" s="112"/>
    </row>
    <row r="333" spans="2:37" ht="11.85" customHeight="1">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c r="AA333" s="112"/>
      <c r="AB333" s="112"/>
      <c r="AC333" s="112"/>
      <c r="AD333" s="112"/>
      <c r="AE333" s="112"/>
      <c r="AF333" s="112"/>
      <c r="AG333" s="112"/>
      <c r="AH333" s="112"/>
      <c r="AI333" s="112"/>
      <c r="AJ333" s="112"/>
      <c r="AK333" s="112"/>
    </row>
    <row r="334" spans="2:37" ht="11.85" customHeight="1">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c r="AA334" s="112"/>
      <c r="AB334" s="112"/>
      <c r="AC334" s="112"/>
      <c r="AD334" s="112"/>
      <c r="AE334" s="112"/>
      <c r="AF334" s="112"/>
      <c r="AG334" s="112"/>
      <c r="AH334" s="112"/>
      <c r="AI334" s="112"/>
      <c r="AJ334" s="112"/>
      <c r="AK334" s="112"/>
    </row>
    <row r="335" spans="2:37" ht="11.85" customHeight="1">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c r="AD335" s="112"/>
      <c r="AE335" s="112"/>
      <c r="AF335" s="112"/>
      <c r="AG335" s="112"/>
      <c r="AH335" s="112"/>
      <c r="AI335" s="112"/>
      <c r="AJ335" s="112"/>
      <c r="AK335" s="112"/>
    </row>
    <row r="336" spans="2:37" ht="11.85" customHeight="1">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c r="AA336" s="112"/>
      <c r="AB336" s="112"/>
      <c r="AC336" s="112"/>
      <c r="AD336" s="112"/>
      <c r="AE336" s="112"/>
      <c r="AF336" s="112"/>
      <c r="AG336" s="112"/>
      <c r="AH336" s="112"/>
      <c r="AI336" s="112"/>
      <c r="AJ336" s="112"/>
      <c r="AK336" s="112"/>
    </row>
    <row r="337" spans="2:37" ht="11.85" customHeight="1">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c r="AA337" s="112"/>
      <c r="AB337" s="112"/>
      <c r="AC337" s="112"/>
      <c r="AD337" s="112"/>
      <c r="AE337" s="112"/>
      <c r="AF337" s="112"/>
      <c r="AG337" s="112"/>
      <c r="AH337" s="112"/>
      <c r="AI337" s="112"/>
      <c r="AJ337" s="112"/>
      <c r="AK337" s="112"/>
    </row>
    <row r="338" spans="2:37" ht="11.85" customHeight="1">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c r="AA338" s="112"/>
      <c r="AB338" s="112"/>
      <c r="AC338" s="112"/>
      <c r="AD338" s="112"/>
      <c r="AE338" s="112"/>
      <c r="AF338" s="112"/>
      <c r="AG338" s="112"/>
      <c r="AH338" s="112"/>
      <c r="AI338" s="112"/>
      <c r="AJ338" s="112"/>
      <c r="AK338" s="112"/>
    </row>
    <row r="339" spans="2:37" ht="11.85" customHeight="1">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c r="AA339" s="112"/>
      <c r="AB339" s="112"/>
      <c r="AC339" s="112"/>
      <c r="AD339" s="112"/>
      <c r="AE339" s="112"/>
      <c r="AF339" s="112"/>
      <c r="AG339" s="112"/>
      <c r="AH339" s="112"/>
      <c r="AI339" s="112"/>
      <c r="AJ339" s="112"/>
      <c r="AK339" s="112"/>
    </row>
    <row r="340" spans="2:37" ht="11.85" customHeight="1">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c r="AD340" s="112"/>
      <c r="AE340" s="112"/>
      <c r="AF340" s="112"/>
      <c r="AG340" s="112"/>
      <c r="AH340" s="112"/>
      <c r="AI340" s="112"/>
      <c r="AJ340" s="112"/>
      <c r="AK340" s="112"/>
    </row>
    <row r="341" spans="2:37" ht="11.85" customHeight="1">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c r="AA341" s="112"/>
      <c r="AB341" s="112"/>
      <c r="AC341" s="112"/>
      <c r="AD341" s="112"/>
      <c r="AE341" s="112"/>
      <c r="AF341" s="112"/>
      <c r="AG341" s="112"/>
      <c r="AH341" s="112"/>
      <c r="AI341" s="112"/>
      <c r="AJ341" s="112"/>
      <c r="AK341" s="112"/>
    </row>
    <row r="342" spans="2:37" ht="11.85" customHeight="1">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c r="AA342" s="112"/>
      <c r="AB342" s="112"/>
      <c r="AC342" s="112"/>
      <c r="AD342" s="112"/>
      <c r="AE342" s="112"/>
      <c r="AF342" s="112"/>
      <c r="AG342" s="112"/>
      <c r="AH342" s="112"/>
      <c r="AI342" s="112"/>
      <c r="AJ342" s="112"/>
      <c r="AK342" s="112"/>
    </row>
    <row r="343" spans="2:37" ht="11.85" customHeight="1">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c r="AA343" s="112"/>
      <c r="AB343" s="112"/>
      <c r="AC343" s="112"/>
      <c r="AD343" s="112"/>
      <c r="AE343" s="112"/>
      <c r="AF343" s="112"/>
      <c r="AG343" s="112"/>
      <c r="AH343" s="112"/>
      <c r="AI343" s="112"/>
      <c r="AJ343" s="112"/>
      <c r="AK343" s="112"/>
    </row>
    <row r="344" spans="2:37" ht="11.85" customHeight="1">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c r="AA344" s="112"/>
      <c r="AB344" s="112"/>
      <c r="AC344" s="112"/>
      <c r="AD344" s="112"/>
      <c r="AE344" s="112"/>
      <c r="AF344" s="112"/>
      <c r="AG344" s="112"/>
      <c r="AH344" s="112"/>
      <c r="AI344" s="112"/>
      <c r="AJ344" s="112"/>
      <c r="AK344" s="112"/>
    </row>
    <row r="345" spans="2:37" ht="11.85" customHeight="1">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c r="AA345" s="112"/>
      <c r="AB345" s="112"/>
      <c r="AC345" s="112"/>
      <c r="AD345" s="112"/>
      <c r="AE345" s="112"/>
      <c r="AF345" s="112"/>
      <c r="AG345" s="112"/>
      <c r="AH345" s="112"/>
      <c r="AI345" s="112"/>
      <c r="AJ345" s="112"/>
      <c r="AK345" s="112"/>
    </row>
    <row r="346" spans="2:37" ht="11.85" customHeight="1">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c r="AA346" s="112"/>
      <c r="AB346" s="112"/>
      <c r="AC346" s="112"/>
      <c r="AD346" s="112"/>
      <c r="AE346" s="112"/>
      <c r="AF346" s="112"/>
      <c r="AG346" s="112"/>
      <c r="AH346" s="112"/>
      <c r="AI346" s="112"/>
      <c r="AJ346" s="112"/>
      <c r="AK346" s="112"/>
    </row>
    <row r="347" spans="2:37" ht="11.85" customHeight="1">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c r="AA347" s="112"/>
      <c r="AB347" s="112"/>
      <c r="AC347" s="112"/>
      <c r="AD347" s="112"/>
      <c r="AE347" s="112"/>
      <c r="AF347" s="112"/>
      <c r="AG347" s="112"/>
      <c r="AH347" s="112"/>
      <c r="AI347" s="112"/>
      <c r="AJ347" s="112"/>
      <c r="AK347" s="112"/>
    </row>
    <row r="348" spans="2:37" ht="11.85" customHeight="1">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row>
    <row r="349" spans="2:37" ht="11.85" customHeight="1">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row>
    <row r="350" spans="2:37" ht="11.85" customHeight="1">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row>
    <row r="351" spans="2:37" ht="11.85" customHeight="1">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row>
    <row r="352" spans="2:37" ht="11.85" customHeight="1">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row>
    <row r="353" spans="2:37" ht="11.85" customHeight="1">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row>
    <row r="354" spans="2:37" ht="11.85" customHeight="1">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row>
    <row r="355" spans="2:37" ht="11.85" customHeight="1">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row>
    <row r="356" spans="2:37" ht="11.85" customHeight="1">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row>
    <row r="357" spans="2:37" ht="11.85" customHeight="1">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row>
    <row r="358" spans="2:37" ht="11.85" customHeight="1">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row>
    <row r="359" spans="2:37" ht="11.85" customHeight="1">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row>
    <row r="360" spans="2:37" ht="11.85" customHeight="1">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row>
    <row r="361" spans="2:37" ht="11.85" customHeight="1">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row>
    <row r="362" spans="2:37" ht="11.85" customHeight="1">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row>
    <row r="363" spans="2:37" ht="11.85" customHeight="1">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row>
    <row r="364" spans="2:37" ht="11.85" customHeight="1">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row>
    <row r="365" spans="2:37" ht="11.85" customHeight="1">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row>
    <row r="366" spans="2:37" ht="11.85" customHeight="1">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row>
    <row r="367" spans="2:37" ht="11.85" customHeight="1">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row>
    <row r="368" spans="2:37" ht="11.85" customHeight="1">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row>
    <row r="369" spans="2:37" ht="11.85" customHeight="1">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row>
    <row r="370" spans="2:37" ht="11.85" customHeight="1">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row>
    <row r="371" spans="2:37" ht="11.85" customHeight="1">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row>
    <row r="372" spans="2:37" ht="11.85" customHeight="1">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row>
    <row r="373" spans="2:37" ht="11.85" customHeight="1">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row>
    <row r="374" spans="2:37" ht="11.85" customHeight="1">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row>
    <row r="375" spans="2:37" ht="11.85" customHeight="1">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row>
    <row r="376" spans="2:37" ht="11.85" customHeight="1">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row>
    <row r="377" spans="2:37" ht="11.85" customHeight="1">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row>
    <row r="378" spans="2:37" ht="11.85" customHeight="1">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row>
    <row r="379" spans="2:37" ht="11.85" customHeight="1">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row>
    <row r="380" spans="2:37" ht="11.85" customHeight="1"/>
    <row r="381" spans="2:37" ht="11.85" customHeight="1"/>
    <row r="382" spans="2:37" ht="11.85" customHeight="1"/>
    <row r="383" spans="2:37" ht="11.85" customHeight="1"/>
    <row r="384" spans="2:37"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row r="577" ht="11.85" customHeight="1"/>
  </sheetData>
  <mergeCells count="6">
    <mergeCell ref="M8:M9"/>
    <mergeCell ref="B12:B13"/>
    <mergeCell ref="E7:F7"/>
    <mergeCell ref="E9:F9"/>
    <mergeCell ref="I7:J7"/>
    <mergeCell ref="I9:J9"/>
  </mergeCells>
  <phoneticPr fontId="0" type="noConversion"/>
  <dataValidations count="3">
    <dataValidation type="list" allowBlank="1" showInputMessage="1" showErrorMessage="1" sqref="C9">
      <formula1>"Annuals, Quarters, Semi-Annuals"</formula1>
    </dataValidation>
    <dataValidation type="list" allowBlank="1" showInputMessage="1" showErrorMessage="1" sqref="G7">
      <formula1>"Mixed, Local, IFRS, US"</formula1>
    </dataValidation>
    <dataValidation type="list" allowBlank="1" showInputMessage="1" showErrorMessage="1" sqref="G9">
      <formula1>"Yes, No"</formula1>
    </dataValidation>
  </dataValidations>
  <pageMargins left="0.7" right="0.7" top="0.75" bottom="0.75" header="0.3" footer="0.3"/>
  <pageSetup scale="5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2:X81"/>
  <sheetViews>
    <sheetView showGridLines="0" zoomScale="87" zoomScaleNormal="87" workbookViewId="0">
      <selection activeCell="G64" sqref="G64"/>
    </sheetView>
  </sheetViews>
  <sheetFormatPr defaultColWidth="8.85546875" defaultRowHeight="11.25"/>
  <cols>
    <col min="2" max="2" width="10" customWidth="1"/>
    <col min="3" max="3" width="28" customWidth="1"/>
    <col min="4" max="4" width="18.7109375" customWidth="1"/>
    <col min="5" max="5" width="19.42578125" bestFit="1" customWidth="1"/>
    <col min="6" max="6" width="19.85546875" bestFit="1" customWidth="1"/>
    <col min="7" max="7" width="14.7109375" customWidth="1"/>
    <col min="8" max="8" width="18.42578125" bestFit="1" customWidth="1"/>
    <col min="9" max="9" width="19.85546875" bestFit="1" customWidth="1"/>
    <col min="10" max="10" width="19.42578125" bestFit="1" customWidth="1"/>
    <col min="11" max="11" width="25" bestFit="1" customWidth="1"/>
    <col min="12" max="12" width="17" bestFit="1" customWidth="1"/>
    <col min="13" max="13" width="28.42578125" bestFit="1" customWidth="1"/>
    <col min="14" max="14" width="11.42578125" bestFit="1" customWidth="1"/>
    <col min="15" max="15" width="20.28515625" bestFit="1" customWidth="1"/>
    <col min="16" max="16" width="13.42578125" bestFit="1" customWidth="1"/>
    <col min="17" max="17" width="9.42578125" bestFit="1" customWidth="1"/>
    <col min="22" max="22" width="11.42578125" bestFit="1" customWidth="1"/>
  </cols>
  <sheetData>
    <row r="2" spans="1:24" ht="15">
      <c r="B2" s="65"/>
      <c r="C2" s="65"/>
      <c r="D2" s="65"/>
      <c r="E2" s="65"/>
      <c r="F2" s="65"/>
      <c r="G2" s="65"/>
      <c r="H2" s="65"/>
      <c r="I2" s="65"/>
      <c r="J2" s="65"/>
      <c r="K2" s="65"/>
      <c r="L2" s="65"/>
      <c r="M2" s="65"/>
      <c r="N2" s="65"/>
      <c r="O2" s="65"/>
      <c r="P2" s="65"/>
      <c r="Q2" s="65"/>
      <c r="R2" s="65"/>
    </row>
    <row r="3" spans="1:24" ht="15">
      <c r="B3" s="65"/>
      <c r="C3" s="65"/>
      <c r="D3" s="65"/>
      <c r="E3" s="65"/>
      <c r="F3" s="65"/>
      <c r="G3" s="65"/>
      <c r="H3" s="65"/>
      <c r="I3" s="65"/>
      <c r="J3" s="65"/>
      <c r="K3" s="65"/>
      <c r="L3" s="65"/>
      <c r="M3" s="65"/>
      <c r="N3" s="65"/>
      <c r="O3" s="65"/>
      <c r="P3" s="65"/>
      <c r="Q3" s="65"/>
      <c r="R3" s="65"/>
    </row>
    <row r="4" spans="1:24" ht="15">
      <c r="A4" s="65"/>
      <c r="B4" s="65"/>
      <c r="C4" s="65"/>
      <c r="D4" s="65"/>
      <c r="E4" s="746" t="s">
        <v>557</v>
      </c>
      <c r="F4" s="747"/>
      <c r="G4" s="747"/>
      <c r="H4" s="747"/>
      <c r="I4" s="748"/>
      <c r="J4" s="746" t="s">
        <v>556</v>
      </c>
      <c r="K4" s="747"/>
      <c r="L4" s="747"/>
      <c r="M4" s="748"/>
      <c r="N4" s="746" t="s">
        <v>555</v>
      </c>
      <c r="O4" s="747"/>
      <c r="P4" s="747"/>
      <c r="Q4" s="748"/>
      <c r="R4" s="65"/>
      <c r="S4" s="65"/>
      <c r="T4" s="65"/>
      <c r="U4" s="65"/>
      <c r="V4" s="65"/>
      <c r="W4" s="65"/>
      <c r="X4" s="65"/>
    </row>
    <row r="5" spans="1:24" ht="15">
      <c r="A5" s="65"/>
      <c r="B5" s="65"/>
      <c r="C5" s="310" t="s">
        <v>522</v>
      </c>
      <c r="D5" s="310" t="s">
        <v>353</v>
      </c>
      <c r="E5" s="310" t="s">
        <v>181</v>
      </c>
      <c r="F5" s="310" t="s">
        <v>551</v>
      </c>
      <c r="G5" s="310" t="s">
        <v>544</v>
      </c>
      <c r="H5" s="310" t="s">
        <v>552</v>
      </c>
      <c r="I5" s="310" t="s">
        <v>523</v>
      </c>
      <c r="J5" s="310" t="s">
        <v>564</v>
      </c>
      <c r="K5" s="310" t="s">
        <v>565</v>
      </c>
      <c r="L5" s="310" t="s">
        <v>566</v>
      </c>
      <c r="M5" s="310" t="s">
        <v>524</v>
      </c>
      <c r="N5" s="310" t="s">
        <v>525</v>
      </c>
      <c r="O5" s="310" t="s">
        <v>526</v>
      </c>
      <c r="P5" s="310" t="s">
        <v>527</v>
      </c>
      <c r="Q5" s="310" t="s">
        <v>528</v>
      </c>
      <c r="R5" s="65"/>
      <c r="S5" s="65"/>
      <c r="T5" s="65"/>
      <c r="U5" s="65"/>
      <c r="V5" s="65"/>
      <c r="W5" s="65"/>
      <c r="X5" s="65"/>
    </row>
    <row r="6" spans="1:24" ht="15" hidden="1">
      <c r="A6" s="65"/>
      <c r="B6" s="65"/>
      <c r="C6" s="310" t="s">
        <v>522</v>
      </c>
      <c r="D6" s="310" t="s">
        <v>353</v>
      </c>
      <c r="E6" s="310" t="s">
        <v>536</v>
      </c>
      <c r="F6" s="310" t="s">
        <v>537</v>
      </c>
      <c r="G6" s="310" t="s">
        <v>544</v>
      </c>
      <c r="H6" s="310" t="s">
        <v>538</v>
      </c>
      <c r="I6" s="310" t="s">
        <v>539</v>
      </c>
      <c r="J6" s="310" t="s">
        <v>540</v>
      </c>
      <c r="K6" s="310" t="s">
        <v>541</v>
      </c>
      <c r="L6" s="310" t="s">
        <v>1</v>
      </c>
      <c r="M6" s="310" t="s">
        <v>542</v>
      </c>
      <c r="N6" s="310" t="s">
        <v>543</v>
      </c>
      <c r="O6" s="310" t="s">
        <v>526</v>
      </c>
      <c r="P6" s="310" t="s">
        <v>527</v>
      </c>
      <c r="Q6" s="310" t="s">
        <v>528</v>
      </c>
      <c r="R6" s="65"/>
      <c r="S6" s="65"/>
      <c r="T6" s="65"/>
      <c r="U6" s="65"/>
      <c r="V6" s="65"/>
      <c r="W6" s="65"/>
      <c r="X6" s="65"/>
    </row>
    <row r="7" spans="1:24" ht="15" customHeight="1">
      <c r="A7" s="65"/>
      <c r="B7" s="743" t="s">
        <v>738</v>
      </c>
      <c r="C7" s="346" t="s">
        <v>529</v>
      </c>
      <c r="D7" s="347" t="s">
        <v>535</v>
      </c>
      <c r="E7" s="369">
        <f>_xll.BDP(D7,$E$6)</f>
        <v>187.07499999999999</v>
      </c>
      <c r="F7" s="369">
        <f>_xll.BDP(D7,$F$6)</f>
        <v>199.85</v>
      </c>
      <c r="G7" s="358">
        <f>E7/F7</f>
        <v>0.93607705779334494</v>
      </c>
      <c r="H7" s="356">
        <f>_xll.BDP(D7,$H$6)</f>
        <v>69930521651.375</v>
      </c>
      <c r="I7" s="356">
        <f>_xll.BDP(D7,$I$6)</f>
        <v>76643.521651375006</v>
      </c>
      <c r="J7" s="356">
        <f>_xll.BDP(D7,$J$6)</f>
        <v>13601</v>
      </c>
      <c r="K7" s="356">
        <f>_xll.BDP(D7,$K$6)</f>
        <v>3211</v>
      </c>
      <c r="L7" s="356">
        <f>_xll.BDP(D7,$L$6)</f>
        <v>2537</v>
      </c>
      <c r="M7" s="369">
        <f>_xll.BDP(D7,$M$6)</f>
        <v>6.6070189999999993</v>
      </c>
      <c r="N7" s="357">
        <f>E7/M7</f>
        <v>28.314584837730905</v>
      </c>
      <c r="O7" s="357">
        <f>I7/J7</f>
        <v>5.6351387141662386</v>
      </c>
      <c r="P7" s="357">
        <f>I7/K7</f>
        <v>23.869050654430087</v>
      </c>
      <c r="Q7" s="370">
        <f>I7/L7</f>
        <v>30.210296275670085</v>
      </c>
      <c r="R7" s="65"/>
      <c r="S7" s="65"/>
      <c r="T7" s="65"/>
      <c r="U7" s="65"/>
      <c r="V7" s="462"/>
      <c r="W7" s="65"/>
      <c r="X7" s="65"/>
    </row>
    <row r="8" spans="1:24" ht="15">
      <c r="A8" s="65"/>
      <c r="B8" s="744"/>
      <c r="C8" s="346" t="s">
        <v>530</v>
      </c>
      <c r="D8" s="347" t="s">
        <v>545</v>
      </c>
      <c r="E8" s="369">
        <f>_xll.BDP(D8,$E$6)</f>
        <v>237.42500000000001</v>
      </c>
      <c r="F8" s="369">
        <f>_xll.BDP(D8,$F$6)</f>
        <v>265.87</v>
      </c>
      <c r="G8" s="358">
        <f t="shared" ref="G8:G14" si="0">E8/F8</f>
        <v>0.89301162222138641</v>
      </c>
      <c r="H8" s="356">
        <f>_xll.BDP(D8,$H$6)</f>
        <v>63882372759.075005</v>
      </c>
      <c r="I8" s="356">
        <f>_xll.BDP(D8,$I$6)</f>
        <v>86480.372759075006</v>
      </c>
      <c r="J8" s="356">
        <f>_xll.BDP(D8,$J$6)</f>
        <v>15983</v>
      </c>
      <c r="K8" s="356">
        <f>_xll.BDP(D8,$K$6)</f>
        <v>4404</v>
      </c>
      <c r="L8" s="356">
        <f>_xll.BDP(D8,$L$6)</f>
        <v>1497</v>
      </c>
      <c r="M8" s="369">
        <f>_xll.BDP(D8,$M$6)</f>
        <v>9.3782209999999999</v>
      </c>
      <c r="N8" s="357">
        <f t="shared" ref="N8:N14" si="1">E8/M8</f>
        <v>25.316635212584561</v>
      </c>
      <c r="O8" s="357">
        <f t="shared" ref="O8:O14" si="2">I8/J8</f>
        <v>5.4107722429503227</v>
      </c>
      <c r="P8" s="357">
        <f t="shared" ref="P8:P14" si="3">I8/K8</f>
        <v>19.636778555648277</v>
      </c>
      <c r="Q8" s="370">
        <f t="shared" ref="Q8:Q14" si="4">I8/L8</f>
        <v>57.769120079542425</v>
      </c>
      <c r="R8" s="65"/>
      <c r="S8" s="65"/>
      <c r="T8" s="65"/>
      <c r="U8" s="65"/>
      <c r="V8" s="65"/>
      <c r="W8" s="65"/>
      <c r="X8" s="65"/>
    </row>
    <row r="9" spans="1:24" ht="15">
      <c r="A9" s="65"/>
      <c r="B9" s="744"/>
      <c r="C9" s="346" t="s">
        <v>531</v>
      </c>
      <c r="D9" s="347" t="s">
        <v>550</v>
      </c>
      <c r="E9" s="369">
        <f>_xll.BDP(D9,$E$6)</f>
        <v>129.76</v>
      </c>
      <c r="F9" s="369">
        <f>_xll.BDP(D9,$F$6)</f>
        <v>134.5</v>
      </c>
      <c r="G9" s="358">
        <f t="shared" si="0"/>
        <v>0.96475836431226758</v>
      </c>
      <c r="H9" s="356">
        <f>_xll.BDP(D9,$H$6)</f>
        <v>92899550294.23999</v>
      </c>
      <c r="I9" s="356">
        <f>_xll.BDP(D9,$I$6)</f>
        <v>100096.45029424</v>
      </c>
      <c r="J9" s="356">
        <f>_xll.BDP(D9,$J$6)</f>
        <v>19893</v>
      </c>
      <c r="K9" s="356">
        <f>_xll.BDP(D9,$K$6)</f>
        <v>4699.8999999999996</v>
      </c>
      <c r="L9" s="356">
        <f>_xll.BDP(D9,$L$6)</f>
        <v>3403.8</v>
      </c>
      <c r="M9" s="369">
        <f>_xll.BDP(D9,$M$6)</f>
        <v>3.83779</v>
      </c>
      <c r="N9" s="357">
        <f t="shared" si="1"/>
        <v>33.811125673890437</v>
      </c>
      <c r="O9" s="357">
        <f t="shared" si="2"/>
        <v>5.0317423362107272</v>
      </c>
      <c r="P9" s="357">
        <f t="shared" si="3"/>
        <v>21.297570223672846</v>
      </c>
      <c r="Q9" s="370">
        <f t="shared" si="4"/>
        <v>29.407265495693046</v>
      </c>
      <c r="R9" s="65"/>
      <c r="S9" s="65"/>
      <c r="T9" s="65"/>
      <c r="U9" s="65"/>
      <c r="V9" s="65"/>
      <c r="W9" s="65"/>
      <c r="X9" s="65"/>
    </row>
    <row r="10" spans="1:24" ht="15">
      <c r="A10" s="65"/>
      <c r="B10" s="744"/>
      <c r="C10" s="346" t="s">
        <v>601</v>
      </c>
      <c r="D10" s="347" t="s">
        <v>546</v>
      </c>
      <c r="E10" s="369">
        <f>_xll.BDP(D10,$E$6)</f>
        <v>521.35500000000002</v>
      </c>
      <c r="F10" s="369">
        <f>_xll.BDP(D10,$F$6)</f>
        <v>589.32000000000005</v>
      </c>
      <c r="G10" s="358">
        <f t="shared" si="0"/>
        <v>0.8846721645286092</v>
      </c>
      <c r="H10" s="356">
        <f>_xll.BDP(D10,$H$6)</f>
        <v>60189735091.590004</v>
      </c>
      <c r="I10" s="356">
        <f>_xll.BDP(D10,$I$6)</f>
        <v>57397.235091590002</v>
      </c>
      <c r="J10" s="356">
        <f>_xll.BDP(D10,$J$6)</f>
        <v>3724.2</v>
      </c>
      <c r="K10" s="356">
        <f>_xll.BDP(D10,$K$6)</f>
        <v>1313</v>
      </c>
      <c r="L10" s="356">
        <f>_xll.BDP(D10,$L$6)</f>
        <v>1199.4000000000001</v>
      </c>
      <c r="M10" s="369">
        <f>_xll.BDP(D10,$M$6)</f>
        <v>9.8635550000000016</v>
      </c>
      <c r="N10" s="357">
        <f t="shared" si="1"/>
        <v>52.856703288013293</v>
      </c>
      <c r="O10" s="357">
        <f t="shared" si="2"/>
        <v>15.411963667791742</v>
      </c>
      <c r="P10" s="357">
        <f>I10/K10</f>
        <v>43.714573565567406</v>
      </c>
      <c r="Q10" s="370">
        <f t="shared" si="4"/>
        <v>47.854956721352345</v>
      </c>
      <c r="R10" s="65"/>
      <c r="S10" s="65"/>
      <c r="T10" s="65"/>
      <c r="U10" s="65"/>
      <c r="V10" s="65"/>
      <c r="W10" s="65"/>
      <c r="X10" s="65"/>
    </row>
    <row r="11" spans="1:24" ht="15">
      <c r="A11" s="65"/>
      <c r="B11" s="744"/>
      <c r="C11" s="346" t="s">
        <v>532</v>
      </c>
      <c r="D11" s="347" t="s">
        <v>547</v>
      </c>
      <c r="E11" s="369">
        <f>_xll.BDP(D11,$E$6)</f>
        <v>36.585000000000001</v>
      </c>
      <c r="F11" s="369">
        <f>_xll.BDP(D11,$F$6)</f>
        <v>41</v>
      </c>
      <c r="G11" s="358">
        <f t="shared" si="0"/>
        <v>0.89231707317073172</v>
      </c>
      <c r="H11" s="356">
        <f>_xll.BDP(D11,$H$6)</f>
        <v>50871436719.57</v>
      </c>
      <c r="I11" s="356">
        <f>_xll.BDP(D11,$I$6)</f>
        <v>57781.436719569996</v>
      </c>
      <c r="J11" s="356">
        <f>_xll.BDP(D11,$J$6)</f>
        <v>9823</v>
      </c>
      <c r="K11" s="356">
        <f>_xll.BDP(D11,$K$6)</f>
        <v>2400</v>
      </c>
      <c r="L11" s="356">
        <f>_xll.BDP(D11,$L$6)</f>
        <v>1506</v>
      </c>
      <c r="M11" s="369">
        <f>_xll.BDP(D11,$M$6)</f>
        <v>1.099834</v>
      </c>
      <c r="N11" s="357">
        <f t="shared" si="1"/>
        <v>33.264110765806478</v>
      </c>
      <c r="O11" s="357">
        <f t="shared" si="2"/>
        <v>5.8822596680820523</v>
      </c>
      <c r="P11" s="357">
        <f t="shared" si="3"/>
        <v>24.075598633154165</v>
      </c>
      <c r="Q11" s="370">
        <f t="shared" si="4"/>
        <v>38.36748786160026</v>
      </c>
      <c r="R11" s="65"/>
      <c r="S11" s="65"/>
      <c r="T11" s="65"/>
      <c r="U11" s="65"/>
      <c r="V11" s="65"/>
      <c r="W11" s="65"/>
      <c r="X11" s="65"/>
    </row>
    <row r="12" spans="1:24" ht="15">
      <c r="A12" s="65"/>
      <c r="B12" s="744"/>
      <c r="C12" s="346" t="s">
        <v>533</v>
      </c>
      <c r="D12" s="347" t="s">
        <v>549</v>
      </c>
      <c r="E12" s="369">
        <f>_xll.BDP(D12,$E$6)</f>
        <v>177.68</v>
      </c>
      <c r="F12" s="369">
        <f>_xll.BDP(D12,$F$6)</f>
        <v>197.86</v>
      </c>
      <c r="G12" s="358">
        <f t="shared" si="0"/>
        <v>0.89800869301526332</v>
      </c>
      <c r="H12" s="356">
        <f>_xll.BDP(D12,$H$6)</f>
        <v>36976871973.200005</v>
      </c>
      <c r="I12" s="356">
        <f>_xll.BDP(D12,$I$6)</f>
        <v>36680.0719732</v>
      </c>
      <c r="J12" s="356">
        <f>_xll.BDP(D12,$J$6)</f>
        <v>3722.8</v>
      </c>
      <c r="K12" s="356">
        <f>_xll.BDP(D12,$K$6)</f>
        <v>825.6</v>
      </c>
      <c r="L12" s="356">
        <f>_xll.BDP(D12,$L$6)</f>
        <v>748.2</v>
      </c>
      <c r="M12" s="369">
        <f>_xll.BDP(D12,$M$6)</f>
        <v>4.6425659999999995</v>
      </c>
      <c r="N12" s="357">
        <f t="shared" si="1"/>
        <v>38.271938406476082</v>
      </c>
      <c r="O12" s="357">
        <f t="shared" si="2"/>
        <v>9.8528183016009443</v>
      </c>
      <c r="P12" s="357">
        <f t="shared" si="3"/>
        <v>44.428381750484498</v>
      </c>
      <c r="Q12" s="370">
        <f t="shared" si="4"/>
        <v>49.02442124191392</v>
      </c>
      <c r="R12" s="65"/>
      <c r="S12" s="65"/>
      <c r="T12" s="65"/>
      <c r="U12" s="65"/>
      <c r="V12" s="65"/>
      <c r="W12" s="65"/>
      <c r="X12" s="65"/>
    </row>
    <row r="13" spans="1:24" ht="15">
      <c r="A13" s="65"/>
      <c r="B13" s="745"/>
      <c r="C13" s="346" t="s">
        <v>758</v>
      </c>
      <c r="D13" s="347" t="s">
        <v>759</v>
      </c>
      <c r="E13" s="369">
        <f>_xll.BDP(D13,$E$6)</f>
        <v>125.253</v>
      </c>
      <c r="F13" s="369">
        <f>_xll.BDP(D13,$F$6)</f>
        <v>134.55000000000001</v>
      </c>
      <c r="G13" s="358">
        <f t="shared" ref="G13" si="5">E13/F13</f>
        <v>0.93090301003344478</v>
      </c>
      <c r="H13" s="356">
        <f>_xll.BDP(D13,$H$6)</f>
        <v>25624204630.703999</v>
      </c>
      <c r="I13" s="356">
        <f>_xll.BDP(D13,$I$6)</f>
        <v>34024.904630703997</v>
      </c>
      <c r="J13" s="356">
        <f>_xll.BDP(D13,$J$6)</f>
        <v>7932.9</v>
      </c>
      <c r="K13" s="356">
        <f>_xll.BDP(D13,$K$6)</f>
        <v>1074.3</v>
      </c>
      <c r="L13" s="356">
        <f>_xll.BDP(D13,$L$6)</f>
        <v>33.799999999999997</v>
      </c>
      <c r="M13" s="369">
        <f>_xll.BDP(D13,$M$6)</f>
        <v>5.2421800000000003</v>
      </c>
      <c r="N13" s="357">
        <f t="shared" ref="N13" si="6">E13/M13</f>
        <v>23.893303930807409</v>
      </c>
      <c r="O13" s="357">
        <f t="shared" ref="O13" si="7">I13/J13</f>
        <v>4.2890878027838495</v>
      </c>
      <c r="P13" s="357">
        <f t="shared" ref="P13" si="8">I13/K13</f>
        <v>31.671697506007632</v>
      </c>
      <c r="Q13" s="370">
        <f t="shared" ref="Q13" si="9">I13/L13</f>
        <v>1006.6539831569231</v>
      </c>
      <c r="R13" s="65"/>
      <c r="S13" s="65"/>
      <c r="T13" s="65"/>
      <c r="U13" s="65"/>
      <c r="V13" s="65"/>
      <c r="W13" s="65"/>
      <c r="X13" s="65"/>
    </row>
    <row r="14" spans="1:24" ht="15">
      <c r="A14" s="65"/>
      <c r="B14" s="65"/>
      <c r="C14" s="348" t="s">
        <v>534</v>
      </c>
      <c r="D14" s="349" t="s">
        <v>548</v>
      </c>
      <c r="E14" s="371">
        <f>_xll.BDP(D14,$E$6)</f>
        <v>75.489999999999995</v>
      </c>
      <c r="F14" s="371">
        <f>_xll.BDP(D14,$F$6)</f>
        <v>82.25</v>
      </c>
      <c r="G14" s="372">
        <f t="shared" si="0"/>
        <v>0.91781155015197557</v>
      </c>
      <c r="H14" s="367">
        <f>_xll.BDP(D14,$H$6)</f>
        <v>38584244373.080002</v>
      </c>
      <c r="I14" s="367">
        <f>_xll.BDP(D14,$I$6)</f>
        <v>40249.244373080001</v>
      </c>
      <c r="J14" s="367">
        <f>_xll.BDP(D14,$J$6)</f>
        <v>11127</v>
      </c>
      <c r="K14" s="367">
        <f>_xll.BDP(D14,$K$6)</f>
        <v>2384</v>
      </c>
      <c r="L14" s="367">
        <f>_xll.BDP(D14,$L$6)</f>
        <v>1599</v>
      </c>
      <c r="M14" s="371">
        <f>_xll.BDP(D14,$M$6)</f>
        <v>2.8539119999999998</v>
      </c>
      <c r="N14" s="373">
        <f t="shared" si="1"/>
        <v>26.451411255848114</v>
      </c>
      <c r="O14" s="373">
        <f t="shared" si="2"/>
        <v>3.6172593127599533</v>
      </c>
      <c r="P14" s="373">
        <f t="shared" si="3"/>
        <v>16.883072304144296</v>
      </c>
      <c r="Q14" s="374">
        <f t="shared" si="4"/>
        <v>25.171509926879299</v>
      </c>
      <c r="R14" s="65"/>
      <c r="S14" s="65"/>
      <c r="T14" s="65"/>
      <c r="U14" s="65"/>
      <c r="V14" s="65"/>
      <c r="W14" s="65"/>
      <c r="X14" s="65"/>
    </row>
    <row r="15" spans="1:24" ht="15">
      <c r="A15" s="65"/>
      <c r="B15" s="65"/>
      <c r="C15" s="65"/>
      <c r="D15" s="65"/>
      <c r="E15" s="65"/>
      <c r="F15" s="65"/>
      <c r="G15" s="65"/>
      <c r="H15" s="65"/>
      <c r="I15" s="65"/>
      <c r="J15" s="65"/>
      <c r="K15" s="65"/>
      <c r="L15" s="65"/>
      <c r="M15" s="65"/>
      <c r="N15" s="65"/>
      <c r="O15" s="65"/>
      <c r="P15" s="65"/>
      <c r="Q15" s="65"/>
      <c r="R15" s="65"/>
      <c r="S15" s="65"/>
      <c r="T15" s="65"/>
      <c r="U15" s="65"/>
      <c r="V15" s="65"/>
      <c r="W15" s="65"/>
      <c r="X15" s="65"/>
    </row>
    <row r="16" spans="1:24" ht="15">
      <c r="A16" s="65"/>
      <c r="B16" s="65"/>
      <c r="C16" s="307" t="s">
        <v>553</v>
      </c>
      <c r="D16" s="306"/>
      <c r="E16" s="375">
        <f t="shared" ref="E16:Q16" si="10">AVERAGE(E8:E14)</f>
        <v>186.22114285714287</v>
      </c>
      <c r="F16" s="375">
        <f t="shared" si="10"/>
        <v>206.47857142857146</v>
      </c>
      <c r="G16" s="354">
        <f t="shared" si="10"/>
        <v>0.91164035391909692</v>
      </c>
      <c r="H16" s="352">
        <f t="shared" si="10"/>
        <v>52718345120.208427</v>
      </c>
      <c r="I16" s="352">
        <f t="shared" si="10"/>
        <v>58958.530834494144</v>
      </c>
      <c r="J16" s="352">
        <f t="shared" si="10"/>
        <v>10315.128571428571</v>
      </c>
      <c r="K16" s="352">
        <f t="shared" si="10"/>
        <v>2442.9714285714285</v>
      </c>
      <c r="L16" s="352">
        <f t="shared" si="10"/>
        <v>1426.7428571428572</v>
      </c>
      <c r="M16" s="375">
        <f t="shared" si="10"/>
        <v>5.2740082857142863</v>
      </c>
      <c r="N16" s="353">
        <f t="shared" si="10"/>
        <v>33.409318361918046</v>
      </c>
      <c r="O16" s="353">
        <f t="shared" si="10"/>
        <v>7.0708433331685123</v>
      </c>
      <c r="P16" s="353">
        <f>AVERAGE(P8:P14)</f>
        <v>28.815381791239876</v>
      </c>
      <c r="Q16" s="376">
        <f t="shared" si="10"/>
        <v>179.17839206912919</v>
      </c>
      <c r="R16" s="65"/>
      <c r="S16" s="65"/>
      <c r="T16" s="65"/>
      <c r="U16" s="65"/>
      <c r="V16" s="65"/>
      <c r="W16" s="65"/>
      <c r="X16" s="65"/>
    </row>
    <row r="17" spans="1:24" ht="15">
      <c r="A17" s="65"/>
      <c r="B17" s="65"/>
      <c r="C17" s="308" t="s">
        <v>554</v>
      </c>
      <c r="D17" s="77"/>
      <c r="E17" s="369">
        <f t="shared" ref="E17:Q17" si="11">MEDIAN(E8:E14)</f>
        <v>129.76</v>
      </c>
      <c r="F17" s="369">
        <f t="shared" si="11"/>
        <v>134.55000000000001</v>
      </c>
      <c r="G17" s="358">
        <f t="shared" si="11"/>
        <v>0.89800869301526332</v>
      </c>
      <c r="H17" s="356">
        <f t="shared" si="11"/>
        <v>50871436719.57</v>
      </c>
      <c r="I17" s="356">
        <f t="shared" si="11"/>
        <v>57397.235091590002</v>
      </c>
      <c r="J17" s="356">
        <f t="shared" si="11"/>
        <v>9823</v>
      </c>
      <c r="K17" s="356">
        <f t="shared" si="11"/>
        <v>2384</v>
      </c>
      <c r="L17" s="356">
        <f t="shared" si="11"/>
        <v>1497</v>
      </c>
      <c r="M17" s="369">
        <f t="shared" si="11"/>
        <v>4.6425659999999995</v>
      </c>
      <c r="N17" s="357">
        <f t="shared" si="11"/>
        <v>33.264110765806478</v>
      </c>
      <c r="O17" s="357">
        <f t="shared" si="11"/>
        <v>5.4107722429503227</v>
      </c>
      <c r="P17" s="357">
        <f>MEDIAN(P8:P14)</f>
        <v>24.075598633154165</v>
      </c>
      <c r="Q17" s="370">
        <f t="shared" si="11"/>
        <v>47.854956721352345</v>
      </c>
      <c r="R17" s="65"/>
      <c r="S17" s="65"/>
      <c r="T17" s="65"/>
      <c r="U17" s="65"/>
      <c r="V17" s="65"/>
      <c r="W17" s="65"/>
      <c r="X17" s="65"/>
    </row>
    <row r="18" spans="1:24" ht="15">
      <c r="A18" s="65"/>
      <c r="B18" s="65"/>
      <c r="C18" s="308" t="s">
        <v>172</v>
      </c>
      <c r="D18" s="77"/>
      <c r="E18" s="369">
        <f t="shared" ref="E18:Q18" si="12">MAX(E7:E14)</f>
        <v>521.35500000000002</v>
      </c>
      <c r="F18" s="369">
        <f t="shared" si="12"/>
        <v>589.32000000000005</v>
      </c>
      <c r="G18" s="358">
        <f t="shared" si="12"/>
        <v>0.96475836431226758</v>
      </c>
      <c r="H18" s="356">
        <f t="shared" si="12"/>
        <v>92899550294.23999</v>
      </c>
      <c r="I18" s="356">
        <f t="shared" si="12"/>
        <v>100096.45029424</v>
      </c>
      <c r="J18" s="356">
        <f t="shared" si="12"/>
        <v>19893</v>
      </c>
      <c r="K18" s="356">
        <f t="shared" si="12"/>
        <v>4699.8999999999996</v>
      </c>
      <c r="L18" s="356">
        <f t="shared" si="12"/>
        <v>3403.8</v>
      </c>
      <c r="M18" s="369">
        <f t="shared" si="12"/>
        <v>9.8635550000000016</v>
      </c>
      <c r="N18" s="357">
        <f t="shared" si="12"/>
        <v>52.856703288013293</v>
      </c>
      <c r="O18" s="357">
        <f t="shared" si="12"/>
        <v>15.411963667791742</v>
      </c>
      <c r="P18" s="357">
        <f t="shared" si="12"/>
        <v>44.428381750484498</v>
      </c>
      <c r="Q18" s="370">
        <f t="shared" si="12"/>
        <v>1006.6539831569231</v>
      </c>
      <c r="R18" s="65"/>
      <c r="S18" s="65"/>
      <c r="T18" s="65"/>
      <c r="U18" s="65"/>
      <c r="V18" s="65"/>
      <c r="W18" s="65"/>
      <c r="X18" s="65"/>
    </row>
    <row r="19" spans="1:24" ht="15">
      <c r="A19" s="65"/>
      <c r="B19" s="65"/>
      <c r="C19" s="309" t="s">
        <v>173</v>
      </c>
      <c r="D19" s="303"/>
      <c r="E19" s="371">
        <f t="shared" ref="E19:Q19" si="13">MIN(E7:E14)</f>
        <v>36.585000000000001</v>
      </c>
      <c r="F19" s="371">
        <f t="shared" si="13"/>
        <v>41</v>
      </c>
      <c r="G19" s="372">
        <f t="shared" si="13"/>
        <v>0.8846721645286092</v>
      </c>
      <c r="H19" s="367">
        <f t="shared" si="13"/>
        <v>25624204630.703999</v>
      </c>
      <c r="I19" s="367">
        <f t="shared" si="13"/>
        <v>34024.904630703997</v>
      </c>
      <c r="J19" s="367">
        <f t="shared" si="13"/>
        <v>3722.8</v>
      </c>
      <c r="K19" s="367">
        <f t="shared" si="13"/>
        <v>825.6</v>
      </c>
      <c r="L19" s="367">
        <f t="shared" si="13"/>
        <v>33.799999999999997</v>
      </c>
      <c r="M19" s="371">
        <f t="shared" si="13"/>
        <v>1.099834</v>
      </c>
      <c r="N19" s="373">
        <f t="shared" si="13"/>
        <v>23.893303930807409</v>
      </c>
      <c r="O19" s="373">
        <f t="shared" si="13"/>
        <v>3.6172593127599533</v>
      </c>
      <c r="P19" s="373">
        <f t="shared" si="13"/>
        <v>16.883072304144296</v>
      </c>
      <c r="Q19" s="374">
        <f t="shared" si="13"/>
        <v>25.171509926879299</v>
      </c>
      <c r="R19" s="65"/>
      <c r="S19" s="65"/>
      <c r="T19" s="65"/>
      <c r="U19" s="65"/>
      <c r="V19" s="65"/>
      <c r="W19" s="65"/>
      <c r="X19" s="65"/>
    </row>
    <row r="20" spans="1:24" ht="15">
      <c r="A20" s="65"/>
      <c r="B20" s="65"/>
      <c r="C20" s="65"/>
      <c r="D20" s="65"/>
      <c r="E20" s="65"/>
      <c r="F20" s="65"/>
      <c r="G20" s="65"/>
      <c r="H20" s="65"/>
      <c r="I20" s="65"/>
      <c r="J20" s="65"/>
      <c r="K20" s="65"/>
      <c r="L20" s="65"/>
      <c r="M20" s="65"/>
      <c r="N20" s="65"/>
      <c r="O20" s="65"/>
      <c r="P20" s="65"/>
      <c r="Q20" s="65"/>
      <c r="R20" s="65"/>
      <c r="S20" s="65"/>
      <c r="T20" s="65"/>
      <c r="U20" s="65"/>
      <c r="V20" s="65"/>
      <c r="W20" s="65"/>
      <c r="X20" s="65"/>
    </row>
    <row r="21" spans="1:24" ht="15">
      <c r="A21" s="65"/>
      <c r="B21" s="65"/>
      <c r="C21" s="740" t="s">
        <v>568</v>
      </c>
      <c r="D21" s="741"/>
      <c r="E21" s="741"/>
      <c r="F21" s="742"/>
      <c r="G21" s="65"/>
      <c r="H21" s="740" t="s">
        <v>567</v>
      </c>
      <c r="I21" s="741"/>
      <c r="J21" s="741"/>
      <c r="K21" s="741"/>
      <c r="L21" s="741"/>
      <c r="M21" s="741"/>
      <c r="N21" s="741"/>
      <c r="O21" s="741"/>
      <c r="P21" s="741"/>
      <c r="Q21" s="742"/>
      <c r="R21" s="65"/>
      <c r="S21" s="65"/>
      <c r="T21" s="65"/>
      <c r="U21" s="65"/>
      <c r="V21" s="65"/>
      <c r="W21" s="65"/>
      <c r="X21" s="65"/>
    </row>
    <row r="22" spans="1:24" ht="15">
      <c r="A22" s="65"/>
      <c r="B22" s="65"/>
      <c r="C22" s="308"/>
      <c r="D22" s="313" t="s">
        <v>563</v>
      </c>
      <c r="E22" s="313" t="s">
        <v>559</v>
      </c>
      <c r="F22" s="314" t="s">
        <v>562</v>
      </c>
      <c r="G22" s="65"/>
      <c r="H22" s="308"/>
      <c r="I22" s="317" t="s">
        <v>572</v>
      </c>
      <c r="J22" s="317" t="s">
        <v>571</v>
      </c>
      <c r="K22" s="317" t="s">
        <v>558</v>
      </c>
      <c r="L22" s="317" t="s">
        <v>573</v>
      </c>
      <c r="M22" s="317" t="s">
        <v>574</v>
      </c>
      <c r="N22" s="317" t="s">
        <v>575</v>
      </c>
      <c r="O22" s="317" t="s">
        <v>576</v>
      </c>
      <c r="P22" s="317" t="s">
        <v>562</v>
      </c>
      <c r="Q22" s="318"/>
      <c r="R22" s="65"/>
      <c r="S22" s="65"/>
      <c r="T22" s="65"/>
      <c r="U22" s="65"/>
      <c r="V22" s="65"/>
      <c r="W22" s="65"/>
      <c r="X22" s="65"/>
    </row>
    <row r="23" spans="1:24" ht="15">
      <c r="A23" s="65"/>
      <c r="B23" s="65"/>
      <c r="C23" s="312" t="s">
        <v>560</v>
      </c>
      <c r="D23" s="357">
        <f>N16</f>
        <v>33.409318361918046</v>
      </c>
      <c r="E23" s="369">
        <f>$M$7</f>
        <v>6.6070189999999993</v>
      </c>
      <c r="F23" s="377">
        <f>E23*D23</f>
        <v>220.7360011942414</v>
      </c>
      <c r="G23" s="65"/>
      <c r="H23" s="319" t="s">
        <v>569</v>
      </c>
      <c r="I23" s="357">
        <f>P16</f>
        <v>28.815381791239876</v>
      </c>
      <c r="J23" s="356">
        <f>$K$7</f>
        <v>3211</v>
      </c>
      <c r="K23" s="356">
        <f>J23*I23</f>
        <v>92526.190931671241</v>
      </c>
      <c r="L23" s="356">
        <f>'Key Stats'!$D$39</f>
        <v>8471</v>
      </c>
      <c r="M23" s="468">
        <f>'Income Statement'!$N$50</f>
        <v>0</v>
      </c>
      <c r="N23" s="356">
        <f>'Balance Sheet'!$N$19</f>
        <v>3699</v>
      </c>
      <c r="O23" s="356">
        <f>K23-L23-M23+N23</f>
        <v>87754.190931671241</v>
      </c>
      <c r="P23" s="365">
        <f>O23/'Key Stats'!$D$36</f>
        <v>234.75608190632747</v>
      </c>
      <c r="Q23" s="311"/>
      <c r="R23" s="65"/>
      <c r="S23" s="65"/>
      <c r="T23" s="65"/>
      <c r="U23" s="65"/>
      <c r="V23" s="65"/>
      <c r="W23" s="65"/>
      <c r="X23" s="65"/>
    </row>
    <row r="24" spans="1:24" ht="15">
      <c r="A24" s="65"/>
      <c r="B24" s="65"/>
      <c r="C24" s="315" t="s">
        <v>561</v>
      </c>
      <c r="D24" s="373">
        <f>N17</f>
        <v>33.264110765806478</v>
      </c>
      <c r="E24" s="371">
        <f>$M$7</f>
        <v>6.6070189999999993</v>
      </c>
      <c r="F24" s="378">
        <f>E24*D24</f>
        <v>219.77661184778793</v>
      </c>
      <c r="G24" s="65"/>
      <c r="H24" s="320" t="s">
        <v>570</v>
      </c>
      <c r="I24" s="373">
        <f>P17</f>
        <v>24.075598633154165</v>
      </c>
      <c r="J24" s="367">
        <f>$K$7</f>
        <v>3211</v>
      </c>
      <c r="K24" s="367">
        <f>J24*I24</f>
        <v>77306.747211058027</v>
      </c>
      <c r="L24" s="360">
        <f>'Key Stats'!$D$39</f>
        <v>8471</v>
      </c>
      <c r="M24" s="469">
        <f>'Income Statement'!$N$50</f>
        <v>0</v>
      </c>
      <c r="N24" s="367">
        <f>'Balance Sheet'!$N$19</f>
        <v>3699</v>
      </c>
      <c r="O24" s="367">
        <f>K24-L24-M24+N24</f>
        <v>72534.747211058027</v>
      </c>
      <c r="P24" s="368">
        <f>O24/'Key Stats'!$D$36</f>
        <v>194.04170759881458</v>
      </c>
      <c r="Q24" s="316"/>
      <c r="R24" s="65"/>
      <c r="S24" s="65"/>
      <c r="T24" s="65"/>
      <c r="U24" s="65"/>
      <c r="V24" s="65"/>
      <c r="W24" s="65"/>
      <c r="X24" s="65"/>
    </row>
    <row r="25" spans="1:24" ht="15">
      <c r="A25" s="65"/>
      <c r="B25" s="65"/>
      <c r="C25" s="65"/>
      <c r="D25" s="65"/>
      <c r="E25" s="65"/>
      <c r="F25" s="65"/>
      <c r="G25" s="65"/>
      <c r="H25" s="65"/>
      <c r="I25" s="65"/>
      <c r="J25" s="65"/>
      <c r="K25" s="65"/>
      <c r="L25" s="65"/>
      <c r="M25" s="65"/>
      <c r="N25" s="65"/>
      <c r="O25" s="65"/>
      <c r="P25" s="65"/>
      <c r="Q25" s="65"/>
      <c r="R25" s="65"/>
      <c r="S25" s="65"/>
      <c r="T25" s="65"/>
      <c r="U25" s="65"/>
      <c r="V25" s="65"/>
      <c r="W25" s="65"/>
      <c r="X25" s="65"/>
    </row>
    <row r="26" spans="1:24" ht="15">
      <c r="A26" s="65"/>
      <c r="B26" s="65"/>
      <c r="C26" s="740" t="s">
        <v>746</v>
      </c>
      <c r="D26" s="741"/>
      <c r="E26" s="741"/>
      <c r="F26" s="742"/>
      <c r="G26" s="65"/>
      <c r="H26" s="740" t="s">
        <v>747</v>
      </c>
      <c r="I26" s="741"/>
      <c r="J26" s="741"/>
      <c r="K26" s="742"/>
      <c r="L26" s="65"/>
      <c r="M26" s="65"/>
      <c r="N26" s="65"/>
      <c r="O26" s="65"/>
      <c r="P26" s="65"/>
      <c r="Q26" s="65"/>
      <c r="R26" s="65"/>
      <c r="S26" s="65"/>
      <c r="T26" s="65"/>
      <c r="U26" s="65"/>
      <c r="V26" s="65"/>
      <c r="W26" s="65"/>
      <c r="X26" s="65"/>
    </row>
    <row r="27" spans="1:24" ht="15">
      <c r="A27" s="65"/>
      <c r="B27" s="65"/>
      <c r="C27" s="589" t="s">
        <v>760</v>
      </c>
      <c r="D27" s="555"/>
      <c r="E27" s="555"/>
      <c r="F27" s="619">
        <v>1</v>
      </c>
      <c r="G27" s="65"/>
      <c r="H27" s="308"/>
      <c r="I27" s="77"/>
      <c r="J27" s="77"/>
      <c r="K27" s="509"/>
      <c r="L27" s="65"/>
      <c r="M27" s="65"/>
      <c r="N27" s="65"/>
      <c r="O27" s="65"/>
      <c r="P27" s="65"/>
      <c r="Q27" s="65"/>
      <c r="R27" s="65"/>
      <c r="S27" s="65"/>
      <c r="T27" s="65"/>
      <c r="U27" s="65"/>
      <c r="V27" s="65"/>
      <c r="W27" s="65"/>
      <c r="X27" s="65"/>
    </row>
    <row r="28" spans="1:24" ht="15">
      <c r="A28" s="65"/>
      <c r="B28" s="65"/>
      <c r="C28" s="308" t="s">
        <v>744</v>
      </c>
      <c r="D28" s="555"/>
      <c r="E28" s="555"/>
      <c r="F28" s="548">
        <f>K7</f>
        <v>3211</v>
      </c>
      <c r="G28" s="65"/>
      <c r="H28" s="308" t="s">
        <v>760</v>
      </c>
      <c r="I28" s="77"/>
      <c r="J28" s="77"/>
      <c r="K28" s="617">
        <v>1</v>
      </c>
      <c r="L28" s="65"/>
      <c r="M28" s="65"/>
      <c r="N28" s="65"/>
      <c r="O28" s="65"/>
      <c r="P28" s="65"/>
      <c r="Q28" s="65"/>
      <c r="R28" s="65"/>
      <c r="S28" s="65"/>
      <c r="T28" s="65"/>
      <c r="U28" s="65"/>
      <c r="V28" s="65"/>
      <c r="W28" s="65"/>
      <c r="X28" s="65"/>
    </row>
    <row r="29" spans="1:24" ht="15">
      <c r="A29" s="65"/>
      <c r="B29" s="65"/>
      <c r="C29" s="584" t="s">
        <v>614</v>
      </c>
      <c r="D29" s="587"/>
      <c r="E29" s="587"/>
      <c r="F29" s="588">
        <f>'Key Stats'!D36</f>
        <v>373.81008500000002</v>
      </c>
      <c r="G29" s="65"/>
      <c r="H29" s="308" t="s">
        <v>560</v>
      </c>
      <c r="I29" s="77"/>
      <c r="J29" s="77"/>
      <c r="K29" s="586">
        <f>D23</f>
        <v>33.409318361918046</v>
      </c>
      <c r="L29" s="65"/>
      <c r="M29" s="65"/>
      <c r="N29" s="65"/>
      <c r="O29" s="65"/>
      <c r="P29" s="65"/>
      <c r="Q29" s="65"/>
      <c r="R29" s="65"/>
      <c r="S29" s="65"/>
      <c r="T29" s="65"/>
      <c r="U29" s="65"/>
      <c r="V29" s="65"/>
      <c r="W29" s="65"/>
      <c r="X29" s="65"/>
    </row>
    <row r="30" spans="1:24" ht="15">
      <c r="A30" s="65"/>
      <c r="B30" s="65"/>
      <c r="C30" s="589" t="s">
        <v>745</v>
      </c>
      <c r="D30" s="555"/>
      <c r="E30" s="322" t="s">
        <v>173</v>
      </c>
      <c r="F30" s="590" t="s">
        <v>172</v>
      </c>
      <c r="G30" s="65"/>
      <c r="H30" s="584" t="s">
        <v>559</v>
      </c>
      <c r="I30" s="585"/>
      <c r="J30" s="585"/>
      <c r="K30" s="652">
        <f>E23</f>
        <v>6.6070189999999993</v>
      </c>
      <c r="L30" s="65"/>
      <c r="M30" s="65"/>
      <c r="N30" s="65"/>
      <c r="O30" s="65"/>
      <c r="P30" s="65"/>
      <c r="Q30" s="65"/>
      <c r="R30" s="65"/>
      <c r="S30" s="65"/>
      <c r="T30" s="65"/>
      <c r="U30" s="65"/>
      <c r="V30" s="65"/>
      <c r="W30" s="65"/>
      <c r="X30" s="65"/>
    </row>
    <row r="31" spans="1:24" ht="15">
      <c r="A31" s="65"/>
      <c r="B31" s="65"/>
      <c r="C31" s="638" t="s">
        <v>761</v>
      </c>
      <c r="D31" s="615"/>
      <c r="E31" s="592">
        <f>I23-$F$27</f>
        <v>27.815381791239876</v>
      </c>
      <c r="F31" s="593">
        <f>F27+$I$23</f>
        <v>29.815381791239876</v>
      </c>
      <c r="G31" s="65"/>
      <c r="H31" s="308" t="s">
        <v>745</v>
      </c>
      <c r="I31" s="77"/>
      <c r="J31" s="322" t="s">
        <v>173</v>
      </c>
      <c r="K31" s="590" t="s">
        <v>172</v>
      </c>
      <c r="L31" s="65"/>
      <c r="M31" s="65"/>
      <c r="N31" s="65"/>
      <c r="O31" s="65"/>
      <c r="P31" s="65"/>
      <c r="Q31" s="65"/>
      <c r="R31" s="65"/>
      <c r="S31" s="65"/>
      <c r="T31" s="65"/>
      <c r="U31" s="65"/>
      <c r="V31" s="65"/>
      <c r="W31" s="65"/>
      <c r="X31" s="65"/>
    </row>
    <row r="32" spans="1:24" ht="15">
      <c r="A32" s="65"/>
      <c r="B32" s="65"/>
      <c r="C32" s="553" t="s">
        <v>763</v>
      </c>
      <c r="D32" s="596"/>
      <c r="E32" s="650">
        <f>I24-$F$27</f>
        <v>23.075598633154165</v>
      </c>
      <c r="F32" s="651">
        <f>F27+I24</f>
        <v>25.075598633154165</v>
      </c>
      <c r="G32" s="65"/>
      <c r="H32" s="638" t="s">
        <v>761</v>
      </c>
      <c r="I32" s="77"/>
      <c r="J32" s="592">
        <f>D23-$K$28</f>
        <v>32.409318361918046</v>
      </c>
      <c r="K32" s="593">
        <f>D23+$K$28</f>
        <v>34.409318361918046</v>
      </c>
      <c r="L32" s="65"/>
      <c r="M32" s="65"/>
      <c r="N32" s="65"/>
      <c r="O32" s="65"/>
      <c r="P32" s="65"/>
      <c r="Q32" s="65"/>
      <c r="R32" s="65"/>
      <c r="S32" s="65"/>
      <c r="T32" s="65"/>
      <c r="U32" s="65"/>
      <c r="V32" s="65"/>
      <c r="W32" s="65"/>
      <c r="X32" s="65"/>
    </row>
    <row r="33" spans="1:24" ht="15">
      <c r="A33" s="65"/>
      <c r="B33" s="65"/>
      <c r="C33" s="308" t="s">
        <v>742</v>
      </c>
      <c r="D33" s="77"/>
      <c r="E33" s="336">
        <f>E32*$F$28</f>
        <v>74095.747211058027</v>
      </c>
      <c r="F33" s="591">
        <f>F32*$F$28</f>
        <v>80517.747211058027</v>
      </c>
      <c r="G33" s="65"/>
      <c r="H33" s="553" t="s">
        <v>763</v>
      </c>
      <c r="I33" s="585"/>
      <c r="J33" s="650">
        <f>D24-$K$28</f>
        <v>32.264110765806478</v>
      </c>
      <c r="K33" s="651">
        <f>D24+$K$28</f>
        <v>34.264110765806478</v>
      </c>
      <c r="L33" s="65"/>
      <c r="M33" s="65"/>
      <c r="N33" s="65"/>
      <c r="O33" s="65"/>
      <c r="P33" s="65"/>
      <c r="Q33" s="65"/>
      <c r="R33" s="65"/>
      <c r="S33" s="65"/>
      <c r="T33" s="65"/>
      <c r="U33" s="65"/>
      <c r="V33" s="65"/>
      <c r="W33" s="65"/>
      <c r="X33" s="65"/>
    </row>
    <row r="34" spans="1:24" ht="15">
      <c r="A34" s="65"/>
      <c r="B34" s="65"/>
      <c r="C34" s="584" t="s">
        <v>743</v>
      </c>
      <c r="D34" s="585"/>
      <c r="E34" s="594">
        <f>(E33-$L$23-$M$23+$N$23)/$F$29</f>
        <v>185.45178418890978</v>
      </c>
      <c r="F34" s="595">
        <f>(F33-$L$23-$M$23+$N$23)/$F$29</f>
        <v>202.63163100871938</v>
      </c>
      <c r="G34" s="65"/>
      <c r="H34" s="584" t="s">
        <v>743</v>
      </c>
      <c r="I34" s="585"/>
      <c r="J34" s="594">
        <f>J33*$K$30</f>
        <v>213.16959284778792</v>
      </c>
      <c r="K34" s="595">
        <f>K33*$K$30</f>
        <v>226.38363084778794</v>
      </c>
      <c r="L34" s="65"/>
      <c r="M34" s="65"/>
      <c r="N34" s="65"/>
      <c r="O34" s="65"/>
      <c r="P34" s="65"/>
      <c r="Q34" s="65"/>
      <c r="R34" s="65"/>
      <c r="S34" s="65"/>
      <c r="T34" s="65"/>
      <c r="U34" s="65"/>
      <c r="V34" s="65"/>
      <c r="W34" s="65"/>
      <c r="X34" s="65"/>
    </row>
    <row r="35" spans="1:24" ht="15">
      <c r="A35" s="65"/>
      <c r="B35" s="65"/>
      <c r="C35" s="65"/>
      <c r="D35" s="65"/>
      <c r="E35" s="65"/>
      <c r="F35" s="65"/>
      <c r="G35" s="65"/>
      <c r="H35" s="65"/>
      <c r="I35" s="65"/>
      <c r="J35" s="65"/>
      <c r="K35" s="65"/>
      <c r="L35" s="65"/>
      <c r="M35" s="65"/>
      <c r="N35" s="65"/>
      <c r="O35" s="65"/>
      <c r="P35" s="65"/>
      <c r="Q35" s="65"/>
      <c r="R35" s="65"/>
      <c r="S35" s="65"/>
      <c r="T35" s="65"/>
      <c r="U35" s="65"/>
      <c r="V35" s="65"/>
      <c r="W35" s="65"/>
      <c r="X35" s="65"/>
    </row>
    <row r="36" spans="1:24" ht="15">
      <c r="A36" s="65"/>
      <c r="B36" s="65"/>
      <c r="C36" s="65"/>
      <c r="D36" s="65"/>
      <c r="E36" s="65"/>
      <c r="F36" s="65"/>
      <c r="G36" s="65"/>
      <c r="H36" s="65"/>
      <c r="I36" s="65"/>
      <c r="J36" s="65"/>
      <c r="K36" s="65"/>
      <c r="L36" s="65"/>
      <c r="M36" s="65"/>
      <c r="N36" s="65"/>
      <c r="O36" s="65"/>
      <c r="P36" s="65"/>
      <c r="Q36" s="65"/>
      <c r="R36" s="65"/>
      <c r="S36" s="65"/>
      <c r="T36" s="65"/>
      <c r="U36" s="65"/>
      <c r="V36" s="65"/>
      <c r="W36" s="65"/>
      <c r="X36" s="65"/>
    </row>
    <row r="37" spans="1:24" ht="15">
      <c r="A37" s="65"/>
      <c r="B37" s="65"/>
      <c r="C37" s="65"/>
      <c r="D37" s="65"/>
      <c r="E37" s="65"/>
      <c r="F37" s="65"/>
      <c r="G37" s="65"/>
      <c r="H37" s="65"/>
      <c r="I37" s="65"/>
      <c r="J37" s="65"/>
      <c r="K37" s="65"/>
      <c r="L37" s="65"/>
      <c r="M37" s="65"/>
      <c r="N37" s="65"/>
      <c r="O37" s="65"/>
      <c r="P37" s="65"/>
      <c r="Q37" s="65"/>
      <c r="R37" s="65"/>
      <c r="S37" s="65"/>
      <c r="T37" s="65"/>
      <c r="U37" s="65"/>
      <c r="V37" s="65"/>
      <c r="W37" s="65"/>
      <c r="X37" s="65"/>
    </row>
    <row r="38" spans="1:24" ht="15">
      <c r="A38" s="65"/>
      <c r="B38" s="65"/>
      <c r="C38" s="65"/>
      <c r="D38" s="65"/>
      <c r="E38" s="65"/>
      <c r="F38" s="65"/>
      <c r="G38" s="65"/>
      <c r="H38" s="65"/>
      <c r="I38" s="65"/>
      <c r="J38" s="65"/>
      <c r="K38" s="65"/>
      <c r="L38" s="65"/>
      <c r="M38" s="65"/>
      <c r="N38" s="65"/>
      <c r="O38" s="65"/>
      <c r="P38" s="65"/>
      <c r="Q38" s="65"/>
      <c r="R38" s="65"/>
      <c r="S38" s="65"/>
      <c r="T38" s="65"/>
      <c r="U38" s="65"/>
      <c r="V38" s="65"/>
      <c r="W38" s="65"/>
      <c r="X38" s="65"/>
    </row>
    <row r="39" spans="1:24" ht="15">
      <c r="A39" s="65"/>
      <c r="B39" s="65"/>
      <c r="C39" s="65"/>
      <c r="D39" s="65"/>
      <c r="E39" s="65"/>
      <c r="F39" s="65"/>
      <c r="G39" s="65"/>
      <c r="H39" s="65"/>
      <c r="I39" s="65"/>
      <c r="J39" s="65"/>
      <c r="K39" s="65"/>
      <c r="L39" s="65"/>
      <c r="M39" s="65"/>
      <c r="N39" s="65"/>
      <c r="O39" s="65"/>
      <c r="P39" s="65"/>
      <c r="Q39" s="65"/>
      <c r="R39" s="65"/>
      <c r="S39" s="65"/>
      <c r="T39" s="65"/>
      <c r="U39" s="65"/>
      <c r="V39" s="65"/>
      <c r="W39" s="65"/>
      <c r="X39" s="65"/>
    </row>
    <row r="40" spans="1:24" ht="15">
      <c r="A40" s="65"/>
      <c r="B40" s="65"/>
      <c r="C40" s="65"/>
      <c r="D40" s="65"/>
      <c r="E40" s="65"/>
      <c r="F40" s="65"/>
      <c r="G40" s="65"/>
      <c r="H40" s="65"/>
      <c r="I40" s="65"/>
      <c r="J40" s="65"/>
      <c r="K40" s="65"/>
      <c r="L40" s="65"/>
      <c r="M40" s="65"/>
      <c r="N40" s="65"/>
      <c r="O40" s="65"/>
      <c r="P40" s="65"/>
      <c r="Q40" s="65"/>
      <c r="R40" s="65"/>
      <c r="S40" s="65"/>
      <c r="T40" s="65"/>
      <c r="U40" s="65"/>
      <c r="V40" s="65"/>
      <c r="W40" s="65"/>
      <c r="X40" s="65"/>
    </row>
    <row r="41" spans="1:24" ht="15">
      <c r="A41" s="65"/>
      <c r="B41" s="65"/>
      <c r="C41" s="65"/>
      <c r="D41" s="65"/>
      <c r="E41" s="65"/>
      <c r="F41" s="65"/>
      <c r="G41" s="65"/>
      <c r="H41" s="65"/>
      <c r="I41" s="65"/>
      <c r="J41" s="65"/>
      <c r="K41" s="65"/>
      <c r="L41" s="65"/>
      <c r="M41" s="65"/>
      <c r="N41" s="65"/>
      <c r="O41" s="65"/>
      <c r="P41" s="65"/>
      <c r="Q41" s="65"/>
      <c r="R41" s="65"/>
      <c r="S41" s="65"/>
      <c r="T41" s="65"/>
      <c r="U41" s="65"/>
      <c r="V41" s="65"/>
      <c r="W41" s="65"/>
      <c r="X41" s="65"/>
    </row>
    <row r="42" spans="1:24" ht="15">
      <c r="A42" s="65"/>
      <c r="B42" s="65"/>
      <c r="C42" s="65"/>
      <c r="D42" s="65"/>
      <c r="E42" s="65"/>
      <c r="F42" s="65"/>
      <c r="G42" s="65"/>
      <c r="H42" s="65"/>
      <c r="I42" s="65"/>
      <c r="J42" s="65"/>
      <c r="K42" s="65"/>
      <c r="L42" s="65"/>
      <c r="M42" s="65"/>
      <c r="N42" s="65"/>
      <c r="O42" s="65"/>
      <c r="P42" s="65"/>
      <c r="Q42" s="65"/>
      <c r="R42" s="65"/>
      <c r="S42" s="65"/>
      <c r="T42" s="65"/>
      <c r="U42" s="65"/>
      <c r="V42" s="65"/>
      <c r="W42" s="65"/>
      <c r="X42" s="65"/>
    </row>
    <row r="43" spans="1:24" ht="15">
      <c r="A43" s="65"/>
      <c r="B43" s="65"/>
      <c r="C43" s="65"/>
      <c r="D43" s="65"/>
      <c r="E43" s="65"/>
      <c r="F43" s="65"/>
      <c r="G43" s="65"/>
      <c r="H43" s="65"/>
      <c r="I43" s="65"/>
      <c r="J43" s="65"/>
      <c r="K43" s="65"/>
      <c r="L43" s="65"/>
      <c r="M43" s="65"/>
      <c r="N43" s="65"/>
      <c r="O43" s="65"/>
      <c r="P43" s="65"/>
      <c r="Q43" s="65"/>
      <c r="R43" s="65"/>
      <c r="S43" s="65"/>
      <c r="T43" s="65"/>
      <c r="U43" s="65"/>
      <c r="V43" s="65"/>
      <c r="W43" s="65"/>
      <c r="X43" s="65"/>
    </row>
    <row r="44" spans="1:24" ht="15">
      <c r="A44" s="65"/>
      <c r="B44" s="65"/>
      <c r="C44" s="65"/>
      <c r="D44" s="65"/>
      <c r="E44" s="65"/>
      <c r="F44" s="65"/>
      <c r="G44" s="65"/>
      <c r="H44" s="65"/>
      <c r="I44" s="65"/>
      <c r="J44" s="65"/>
      <c r="K44" s="65"/>
      <c r="L44" s="65"/>
      <c r="M44" s="65"/>
      <c r="N44" s="65"/>
      <c r="O44" s="65"/>
      <c r="P44" s="65"/>
      <c r="Q44" s="65"/>
      <c r="R44" s="65"/>
      <c r="S44" s="65"/>
      <c r="T44" s="65"/>
      <c r="U44" s="65"/>
      <c r="V44" s="65"/>
      <c r="W44" s="65"/>
      <c r="X44" s="65"/>
    </row>
    <row r="45" spans="1:24" ht="15">
      <c r="A45" s="65"/>
      <c r="B45" s="65"/>
      <c r="C45" s="65"/>
      <c r="D45" s="65"/>
      <c r="E45" s="65"/>
      <c r="F45" s="65"/>
      <c r="G45" s="65"/>
      <c r="H45" s="65"/>
      <c r="I45" s="65"/>
      <c r="J45" s="65"/>
      <c r="K45" s="65"/>
      <c r="L45" s="65"/>
      <c r="M45" s="65"/>
      <c r="N45" s="65"/>
      <c r="O45" s="65"/>
      <c r="P45" s="65"/>
      <c r="Q45" s="65"/>
      <c r="R45" s="65"/>
      <c r="S45" s="65"/>
      <c r="T45" s="65"/>
      <c r="U45" s="65"/>
      <c r="V45" s="65"/>
      <c r="W45" s="65"/>
      <c r="X45" s="65"/>
    </row>
    <row r="46" spans="1:24" ht="15">
      <c r="A46" s="65"/>
      <c r="B46" s="65"/>
      <c r="C46" s="65"/>
      <c r="D46" s="65"/>
      <c r="E46" s="65"/>
      <c r="F46" s="65"/>
      <c r="G46" s="65"/>
      <c r="H46" s="65"/>
      <c r="I46" s="65"/>
      <c r="J46" s="65"/>
      <c r="K46" s="65"/>
      <c r="L46" s="65"/>
      <c r="M46" s="65"/>
      <c r="N46" s="65"/>
      <c r="O46" s="65"/>
      <c r="P46" s="65"/>
      <c r="Q46" s="65"/>
      <c r="R46" s="65"/>
      <c r="S46" s="65"/>
      <c r="T46" s="65"/>
      <c r="U46" s="65"/>
      <c r="V46" s="65"/>
      <c r="W46" s="65"/>
      <c r="X46" s="65"/>
    </row>
    <row r="47" spans="1:24" ht="15">
      <c r="A47" s="65"/>
      <c r="B47" s="65"/>
      <c r="C47" s="65"/>
      <c r="D47" s="65"/>
      <c r="E47" s="65"/>
      <c r="F47" s="65"/>
      <c r="G47" s="65"/>
      <c r="H47" s="65"/>
      <c r="I47" s="65"/>
      <c r="J47" s="65"/>
      <c r="K47" s="65"/>
      <c r="L47" s="65"/>
      <c r="M47" s="65"/>
      <c r="N47" s="65"/>
      <c r="O47" s="65"/>
      <c r="P47" s="65"/>
      <c r="Q47" s="65"/>
      <c r="R47" s="65"/>
      <c r="S47" s="65"/>
      <c r="T47" s="65"/>
      <c r="U47" s="65"/>
      <c r="V47" s="65"/>
      <c r="W47" s="65"/>
      <c r="X47" s="65"/>
    </row>
    <row r="48" spans="1:24" ht="15">
      <c r="A48" s="65"/>
      <c r="B48" s="65"/>
      <c r="C48" s="65"/>
      <c r="D48" s="65"/>
      <c r="E48" s="65"/>
      <c r="F48" s="65"/>
      <c r="G48" s="65"/>
      <c r="H48" s="65"/>
      <c r="I48" s="65"/>
      <c r="J48" s="65"/>
      <c r="K48" s="65"/>
      <c r="L48" s="65"/>
      <c r="M48" s="65"/>
      <c r="N48" s="65"/>
      <c r="O48" s="65"/>
      <c r="P48" s="65"/>
      <c r="Q48" s="65"/>
      <c r="R48" s="65"/>
      <c r="S48" s="65"/>
      <c r="T48" s="65"/>
      <c r="U48" s="65"/>
      <c r="V48" s="65"/>
      <c r="W48" s="65"/>
      <c r="X48" s="65"/>
    </row>
    <row r="49" spans="1:24" ht="15">
      <c r="A49" s="65"/>
      <c r="B49" s="65"/>
      <c r="C49" s="65"/>
      <c r="D49" s="65"/>
      <c r="E49" s="65"/>
      <c r="F49" s="65"/>
      <c r="G49" s="65"/>
      <c r="H49" s="65"/>
      <c r="I49" s="65"/>
      <c r="J49" s="65"/>
      <c r="K49" s="65"/>
      <c r="L49" s="65"/>
      <c r="M49" s="65"/>
      <c r="N49" s="65"/>
      <c r="O49" s="65"/>
      <c r="P49" s="65"/>
      <c r="Q49" s="65"/>
      <c r="R49" s="65"/>
      <c r="S49" s="65"/>
      <c r="T49" s="65"/>
      <c r="U49" s="65"/>
      <c r="V49" s="65"/>
      <c r="W49" s="65"/>
      <c r="X49" s="65"/>
    </row>
    <row r="50" spans="1:24" ht="15">
      <c r="A50" s="65"/>
      <c r="B50" s="65"/>
      <c r="C50" s="65"/>
      <c r="D50" s="65"/>
      <c r="E50" s="65"/>
      <c r="F50" s="65"/>
      <c r="G50" s="65"/>
      <c r="H50" s="65"/>
      <c r="I50" s="65"/>
      <c r="J50" s="65"/>
      <c r="K50" s="65"/>
      <c r="L50" s="65"/>
      <c r="M50" s="65"/>
      <c r="N50" s="65"/>
      <c r="O50" s="65"/>
      <c r="P50" s="65"/>
      <c r="Q50" s="65"/>
      <c r="R50" s="65"/>
      <c r="S50" s="65"/>
      <c r="T50" s="65"/>
      <c r="U50" s="65"/>
      <c r="V50" s="65"/>
      <c r="W50" s="65"/>
      <c r="X50" s="65"/>
    </row>
    <row r="51" spans="1:24" ht="15">
      <c r="A51" s="65"/>
      <c r="B51" s="65"/>
      <c r="C51" s="65"/>
      <c r="D51" s="65"/>
      <c r="E51" s="65"/>
      <c r="F51" s="65"/>
      <c r="G51" s="65"/>
      <c r="H51" s="65"/>
      <c r="I51" s="65"/>
      <c r="J51" s="65"/>
      <c r="K51" s="65"/>
      <c r="L51" s="65"/>
      <c r="M51" s="65"/>
      <c r="N51" s="65"/>
      <c r="O51" s="65"/>
      <c r="P51" s="65"/>
      <c r="Q51" s="65"/>
      <c r="R51" s="65"/>
      <c r="S51" s="65"/>
      <c r="T51" s="65"/>
      <c r="U51" s="65"/>
      <c r="V51" s="65"/>
      <c r="W51" s="65"/>
      <c r="X51" s="65"/>
    </row>
    <row r="52" spans="1:24" ht="15">
      <c r="A52" s="65"/>
      <c r="B52" s="65"/>
      <c r="C52" s="65"/>
      <c r="D52" s="65"/>
      <c r="E52" s="65"/>
      <c r="F52" s="65"/>
      <c r="G52" s="65"/>
      <c r="H52" s="65"/>
      <c r="I52" s="65"/>
      <c r="J52" s="65"/>
      <c r="K52" s="65"/>
      <c r="L52" s="65"/>
      <c r="M52" s="65"/>
      <c r="N52" s="65"/>
      <c r="O52" s="65"/>
      <c r="P52" s="65"/>
      <c r="Q52" s="65"/>
      <c r="R52" s="65"/>
      <c r="S52" s="65"/>
      <c r="T52" s="65"/>
      <c r="U52" s="65"/>
      <c r="V52" s="65"/>
      <c r="W52" s="65"/>
      <c r="X52" s="65"/>
    </row>
    <row r="53" spans="1:24" ht="15">
      <c r="A53" s="65"/>
      <c r="B53" s="65"/>
      <c r="C53" s="65"/>
      <c r="D53" s="65"/>
      <c r="E53" s="65"/>
      <c r="F53" s="65"/>
      <c r="G53" s="65"/>
      <c r="H53" s="65"/>
      <c r="I53" s="65"/>
      <c r="J53" s="65"/>
      <c r="K53" s="65"/>
      <c r="L53" s="65"/>
      <c r="M53" s="65"/>
      <c r="N53" s="65"/>
      <c r="O53" s="65"/>
      <c r="P53" s="65"/>
      <c r="Q53" s="65"/>
      <c r="R53" s="65"/>
      <c r="S53" s="65"/>
      <c r="T53" s="65"/>
      <c r="U53" s="65"/>
      <c r="V53" s="65"/>
      <c r="W53" s="65"/>
      <c r="X53" s="65"/>
    </row>
    <row r="54" spans="1:24" ht="15">
      <c r="A54" s="65"/>
      <c r="B54" s="65"/>
      <c r="C54" s="65"/>
      <c r="D54" s="65"/>
      <c r="E54" s="65"/>
      <c r="F54" s="65"/>
      <c r="G54" s="65"/>
      <c r="H54" s="65"/>
      <c r="I54" s="65"/>
      <c r="J54" s="65"/>
      <c r="K54" s="65"/>
      <c r="L54" s="65"/>
      <c r="M54" s="65"/>
      <c r="N54" s="65"/>
      <c r="O54" s="65"/>
      <c r="P54" s="65"/>
      <c r="Q54" s="65"/>
      <c r="R54" s="65"/>
      <c r="S54" s="65"/>
      <c r="T54" s="65"/>
      <c r="U54" s="65"/>
      <c r="V54" s="65"/>
      <c r="W54" s="65"/>
      <c r="X54" s="65"/>
    </row>
    <row r="55" spans="1:24" ht="15">
      <c r="A55" s="65"/>
      <c r="B55" s="65"/>
      <c r="C55" s="65"/>
      <c r="D55" s="65"/>
      <c r="E55" s="65"/>
      <c r="F55" s="65"/>
      <c r="G55" s="65"/>
      <c r="H55" s="65"/>
      <c r="I55" s="65"/>
      <c r="J55" s="65"/>
      <c r="K55" s="65"/>
      <c r="L55" s="65"/>
      <c r="M55" s="65"/>
      <c r="N55" s="65"/>
      <c r="O55" s="65"/>
      <c r="P55" s="65"/>
      <c r="Q55" s="65"/>
      <c r="R55" s="65"/>
      <c r="S55" s="65"/>
      <c r="T55" s="65"/>
      <c r="U55" s="65"/>
      <c r="V55" s="65"/>
      <c r="W55" s="65"/>
      <c r="X55" s="65"/>
    </row>
    <row r="56" spans="1:24" ht="15">
      <c r="A56" s="65"/>
      <c r="B56" s="65"/>
      <c r="C56" s="65"/>
      <c r="D56" s="65"/>
      <c r="E56" s="65"/>
      <c r="F56" s="65"/>
      <c r="G56" s="65"/>
      <c r="H56" s="65"/>
      <c r="I56" s="65"/>
      <c r="J56" s="65"/>
      <c r="K56" s="65"/>
      <c r="L56" s="65"/>
      <c r="M56" s="65"/>
      <c r="N56" s="65"/>
      <c r="O56" s="65"/>
      <c r="P56" s="65"/>
      <c r="Q56" s="65"/>
      <c r="R56" s="65"/>
      <c r="S56" s="65"/>
      <c r="T56" s="65"/>
      <c r="U56" s="65"/>
      <c r="V56" s="65"/>
      <c r="W56" s="65"/>
      <c r="X56" s="65"/>
    </row>
    <row r="57" spans="1:24" ht="15">
      <c r="A57" s="65"/>
      <c r="B57" s="65"/>
      <c r="C57" s="65"/>
      <c r="D57" s="65"/>
      <c r="E57" s="65"/>
      <c r="F57" s="65"/>
      <c r="G57" s="65"/>
      <c r="H57" s="65"/>
      <c r="I57" s="65"/>
      <c r="J57" s="65"/>
      <c r="K57" s="65"/>
      <c r="L57" s="65"/>
      <c r="M57" s="65"/>
      <c r="N57" s="65"/>
      <c r="O57" s="65"/>
      <c r="P57" s="65"/>
      <c r="Q57" s="65"/>
      <c r="R57" s="65"/>
      <c r="S57" s="65"/>
      <c r="T57" s="65"/>
      <c r="U57" s="65"/>
      <c r="V57" s="65"/>
      <c r="W57" s="65"/>
      <c r="X57" s="65"/>
    </row>
    <row r="58" spans="1:24" ht="15">
      <c r="A58" s="65"/>
      <c r="B58" s="65"/>
      <c r="C58" s="65"/>
      <c r="D58" s="65"/>
      <c r="E58" s="65"/>
      <c r="F58" s="65"/>
      <c r="G58" s="65"/>
      <c r="H58" s="65"/>
      <c r="I58" s="65"/>
      <c r="J58" s="65"/>
      <c r="K58" s="65"/>
      <c r="L58" s="65"/>
      <c r="M58" s="65"/>
      <c r="N58" s="65"/>
      <c r="O58" s="65"/>
      <c r="P58" s="65"/>
      <c r="Q58" s="65"/>
      <c r="R58" s="65"/>
      <c r="S58" s="65"/>
      <c r="T58" s="65"/>
      <c r="U58" s="65"/>
      <c r="V58" s="65"/>
      <c r="W58" s="65"/>
      <c r="X58" s="65"/>
    </row>
    <row r="59" spans="1:24" ht="15">
      <c r="A59" s="65"/>
      <c r="B59" s="65"/>
      <c r="C59" s="65"/>
      <c r="D59" s="65"/>
      <c r="E59" s="65"/>
      <c r="F59" s="65"/>
      <c r="G59" s="65"/>
      <c r="H59" s="65"/>
      <c r="I59" s="65"/>
      <c r="J59" s="65"/>
      <c r="K59" s="65"/>
      <c r="L59" s="65"/>
      <c r="M59" s="65"/>
      <c r="N59" s="65"/>
      <c r="O59" s="65"/>
      <c r="P59" s="65"/>
      <c r="Q59" s="65"/>
      <c r="R59" s="65"/>
      <c r="S59" s="65"/>
      <c r="T59" s="65"/>
      <c r="U59" s="65"/>
      <c r="V59" s="65"/>
      <c r="W59" s="65"/>
      <c r="X59" s="65"/>
    </row>
    <row r="60" spans="1:24" ht="15">
      <c r="A60" s="65"/>
      <c r="B60" s="65"/>
      <c r="C60" s="65"/>
      <c r="D60" s="65"/>
      <c r="E60" s="65"/>
      <c r="F60" s="65"/>
      <c r="G60" s="65"/>
      <c r="H60" s="65"/>
      <c r="I60" s="65"/>
      <c r="J60" s="65"/>
      <c r="K60" s="65"/>
      <c r="L60" s="65"/>
      <c r="M60" s="65"/>
      <c r="N60" s="65"/>
      <c r="O60" s="65"/>
      <c r="P60" s="65"/>
      <c r="Q60" s="65"/>
      <c r="R60" s="65"/>
      <c r="S60" s="65"/>
      <c r="T60" s="65"/>
      <c r="U60" s="65"/>
      <c r="V60" s="65"/>
      <c r="W60" s="65"/>
      <c r="X60" s="65"/>
    </row>
    <row r="61" spans="1:24" ht="15">
      <c r="A61" s="65"/>
      <c r="B61" s="65"/>
      <c r="C61" s="65"/>
      <c r="D61" s="65"/>
      <c r="E61" s="65"/>
      <c r="F61" s="65"/>
      <c r="G61" s="65"/>
      <c r="H61" s="622"/>
      <c r="I61" s="65"/>
      <c r="J61" s="65"/>
      <c r="K61" s="65"/>
      <c r="L61" s="65"/>
      <c r="M61" s="65"/>
      <c r="N61" s="65"/>
      <c r="O61" s="65"/>
      <c r="P61" s="65"/>
      <c r="Q61" s="65"/>
      <c r="R61" s="65"/>
      <c r="S61" s="65"/>
      <c r="T61" s="65"/>
      <c r="U61" s="65"/>
      <c r="V61" s="65"/>
      <c r="W61" s="65"/>
      <c r="X61" s="65"/>
    </row>
    <row r="62" spans="1:24" ht="15">
      <c r="A62" s="65"/>
      <c r="B62" s="65"/>
      <c r="C62" s="65"/>
      <c r="D62" s="65"/>
      <c r="E62" s="65"/>
      <c r="F62" s="65"/>
      <c r="G62" s="65"/>
      <c r="H62" s="65"/>
      <c r="I62" s="65"/>
      <c r="J62" s="65"/>
      <c r="K62" s="65"/>
      <c r="L62" s="65"/>
      <c r="M62" s="65"/>
      <c r="N62" s="65"/>
      <c r="O62" s="65"/>
      <c r="P62" s="65"/>
      <c r="Q62" s="65"/>
      <c r="R62" s="65"/>
      <c r="S62" s="65"/>
      <c r="T62" s="65"/>
      <c r="U62" s="65"/>
      <c r="V62" s="65"/>
      <c r="W62" s="65"/>
      <c r="X62" s="65"/>
    </row>
    <row r="63" spans="1:24" ht="15">
      <c r="A63" s="65"/>
      <c r="B63" s="65"/>
      <c r="C63" s="65"/>
      <c r="D63" s="65"/>
      <c r="E63" s="65"/>
      <c r="F63" s="65"/>
      <c r="G63" s="65"/>
      <c r="H63" s="65"/>
      <c r="I63" s="65"/>
      <c r="J63" s="65"/>
      <c r="K63" s="65"/>
      <c r="L63" s="65"/>
      <c r="M63" s="65"/>
      <c r="N63" s="65"/>
      <c r="O63" s="65"/>
      <c r="P63" s="65"/>
      <c r="Q63" s="65"/>
      <c r="R63" s="65"/>
      <c r="S63" s="65"/>
      <c r="T63" s="65"/>
      <c r="U63" s="65"/>
      <c r="V63" s="65"/>
      <c r="W63" s="65"/>
      <c r="X63" s="65"/>
    </row>
    <row r="64" spans="1:24" ht="15">
      <c r="A64" s="65"/>
      <c r="B64" s="65"/>
      <c r="C64" s="65"/>
      <c r="D64" s="65"/>
      <c r="E64" s="65"/>
      <c r="F64" s="65"/>
      <c r="G64" s="65"/>
      <c r="H64" s="65"/>
      <c r="I64" s="65"/>
      <c r="J64" s="65"/>
      <c r="K64" s="65"/>
      <c r="L64" s="65"/>
      <c r="M64" s="65"/>
      <c r="N64" s="65"/>
      <c r="O64" s="65"/>
      <c r="P64" s="65"/>
      <c r="Q64" s="65"/>
      <c r="R64" s="65"/>
      <c r="S64" s="65"/>
      <c r="T64" s="65"/>
      <c r="U64" s="65"/>
      <c r="V64" s="65"/>
      <c r="W64" s="65"/>
      <c r="X64" s="65"/>
    </row>
    <row r="65" spans="1:24" ht="15">
      <c r="A65" s="65"/>
      <c r="B65" s="65"/>
      <c r="C65" s="65"/>
      <c r="D65" s="65"/>
      <c r="E65" s="65"/>
      <c r="F65" s="65"/>
      <c r="G65" s="65"/>
      <c r="H65" s="65"/>
      <c r="I65" s="65"/>
      <c r="J65" s="65"/>
      <c r="K65" s="65"/>
      <c r="L65" s="65"/>
      <c r="M65" s="65"/>
      <c r="N65" s="65"/>
      <c r="O65" s="65"/>
      <c r="P65" s="65"/>
      <c r="Q65" s="65"/>
      <c r="R65" s="65"/>
      <c r="S65" s="65"/>
      <c r="T65" s="65"/>
      <c r="U65" s="65"/>
      <c r="V65" s="65"/>
      <c r="W65" s="65"/>
      <c r="X65" s="65"/>
    </row>
    <row r="66" spans="1:24" ht="15">
      <c r="A66" s="65"/>
      <c r="B66" s="65"/>
      <c r="C66" s="65"/>
      <c r="D66" s="65"/>
      <c r="E66" s="65"/>
      <c r="F66" s="65"/>
      <c r="G66" s="65"/>
      <c r="H66" s="65"/>
      <c r="I66" s="65"/>
      <c r="J66" s="65"/>
      <c r="K66" s="65"/>
      <c r="L66" s="65"/>
      <c r="M66" s="65"/>
      <c r="N66" s="65"/>
      <c r="O66" s="65"/>
      <c r="P66" s="65"/>
      <c r="Q66" s="65"/>
      <c r="R66" s="65"/>
      <c r="S66" s="65"/>
      <c r="T66" s="65"/>
      <c r="U66" s="65"/>
      <c r="V66" s="65"/>
      <c r="W66" s="65"/>
      <c r="X66" s="65"/>
    </row>
    <row r="67" spans="1:24" ht="15">
      <c r="A67" s="65"/>
      <c r="B67" s="65"/>
      <c r="C67" s="65"/>
      <c r="D67" s="65"/>
      <c r="E67" s="65"/>
      <c r="F67" s="65"/>
      <c r="G67" s="65"/>
      <c r="H67" s="65"/>
      <c r="I67" s="65"/>
      <c r="J67" s="65"/>
      <c r="K67" s="65"/>
      <c r="L67" s="65"/>
      <c r="M67" s="65"/>
      <c r="N67" s="65"/>
      <c r="O67" s="65"/>
      <c r="P67" s="65"/>
      <c r="Q67" s="65"/>
      <c r="R67" s="65"/>
      <c r="S67" s="65"/>
      <c r="T67" s="65"/>
      <c r="U67" s="65"/>
      <c r="V67" s="65"/>
      <c r="W67" s="65"/>
      <c r="X67" s="65"/>
    </row>
    <row r="68" spans="1:24" ht="15">
      <c r="A68" s="65"/>
      <c r="B68" s="65"/>
      <c r="C68" s="65"/>
      <c r="D68" s="65"/>
      <c r="E68" s="65"/>
      <c r="F68" s="65"/>
      <c r="G68" s="65"/>
      <c r="H68" s="65"/>
      <c r="I68" s="65"/>
      <c r="J68" s="65"/>
      <c r="K68" s="65"/>
      <c r="L68" s="65"/>
      <c r="M68" s="65"/>
      <c r="N68" s="65"/>
      <c r="O68" s="65"/>
      <c r="P68" s="65"/>
      <c r="Q68" s="65"/>
      <c r="R68" s="65"/>
      <c r="S68" s="65"/>
      <c r="T68" s="65"/>
      <c r="U68" s="65"/>
      <c r="V68" s="65"/>
      <c r="W68" s="65"/>
      <c r="X68" s="65"/>
    </row>
    <row r="69" spans="1:24" ht="15">
      <c r="A69" s="65"/>
      <c r="B69" s="65"/>
      <c r="C69" s="65"/>
      <c r="D69" s="65"/>
      <c r="E69" s="65"/>
      <c r="F69" s="65"/>
      <c r="G69" s="65"/>
      <c r="H69" s="65"/>
      <c r="I69" s="65"/>
      <c r="J69" s="65"/>
      <c r="K69" s="65"/>
      <c r="L69" s="65"/>
      <c r="M69" s="65"/>
      <c r="N69" s="65"/>
      <c r="O69" s="65"/>
      <c r="P69" s="65"/>
      <c r="Q69" s="65"/>
      <c r="R69" s="65"/>
      <c r="S69" s="65"/>
      <c r="T69" s="65"/>
      <c r="U69" s="65"/>
      <c r="V69" s="65"/>
      <c r="W69" s="65"/>
      <c r="X69" s="65"/>
    </row>
    <row r="70" spans="1:24" ht="15">
      <c r="A70" s="65"/>
      <c r="B70" s="65"/>
      <c r="C70" s="65"/>
      <c r="D70" s="65"/>
      <c r="E70" s="65"/>
      <c r="F70" s="65"/>
      <c r="G70" s="65"/>
      <c r="H70" s="65"/>
      <c r="I70" s="65"/>
      <c r="J70" s="65"/>
      <c r="K70" s="65"/>
      <c r="L70" s="65"/>
      <c r="M70" s="65"/>
      <c r="N70" s="65"/>
      <c r="O70" s="65"/>
      <c r="P70" s="65"/>
      <c r="Q70" s="65"/>
      <c r="R70" s="65"/>
      <c r="S70" s="65"/>
      <c r="T70" s="65"/>
      <c r="U70" s="65"/>
      <c r="V70" s="65"/>
      <c r="W70" s="65"/>
      <c r="X70" s="65"/>
    </row>
    <row r="71" spans="1:24" ht="15">
      <c r="A71" s="65"/>
      <c r="B71" s="65"/>
      <c r="C71" s="65"/>
      <c r="D71" s="65"/>
      <c r="E71" s="65"/>
      <c r="F71" s="65"/>
      <c r="G71" s="65"/>
      <c r="H71" s="65"/>
      <c r="I71" s="65"/>
      <c r="J71" s="65"/>
      <c r="K71" s="65"/>
      <c r="L71" s="65"/>
      <c r="M71" s="65"/>
      <c r="N71" s="65"/>
      <c r="O71" s="65"/>
      <c r="P71" s="65"/>
      <c r="Q71" s="65"/>
      <c r="R71" s="65"/>
      <c r="S71" s="65"/>
      <c r="T71" s="65"/>
      <c r="U71" s="65"/>
      <c r="V71" s="65"/>
      <c r="W71" s="65"/>
      <c r="X71" s="65"/>
    </row>
    <row r="72" spans="1:24" ht="15">
      <c r="A72" s="65"/>
      <c r="B72" s="65"/>
      <c r="C72" s="65"/>
      <c r="D72" s="65"/>
      <c r="E72" s="65"/>
      <c r="F72" s="65"/>
      <c r="G72" s="65"/>
      <c r="H72" s="65"/>
      <c r="I72" s="65"/>
      <c r="J72" s="65"/>
      <c r="K72" s="65"/>
      <c r="L72" s="65"/>
      <c r="M72" s="65"/>
      <c r="N72" s="65"/>
      <c r="O72" s="65"/>
      <c r="P72" s="65"/>
      <c r="Q72" s="65"/>
      <c r="R72" s="65"/>
      <c r="S72" s="65"/>
      <c r="T72" s="65"/>
      <c r="U72" s="65"/>
      <c r="V72" s="65"/>
      <c r="W72" s="65"/>
      <c r="X72" s="65"/>
    </row>
    <row r="73" spans="1:24" ht="15">
      <c r="A73" s="65"/>
      <c r="B73" s="65"/>
      <c r="C73" s="65"/>
      <c r="D73" s="65"/>
      <c r="E73" s="65"/>
      <c r="F73" s="65"/>
      <c r="G73" s="65"/>
      <c r="H73" s="65"/>
      <c r="I73" s="65"/>
      <c r="J73" s="65"/>
      <c r="K73" s="65"/>
      <c r="L73" s="65"/>
      <c r="M73" s="65"/>
      <c r="N73" s="65"/>
      <c r="O73" s="65"/>
      <c r="P73" s="65"/>
      <c r="Q73" s="65"/>
      <c r="R73" s="65"/>
      <c r="S73" s="65"/>
      <c r="T73" s="65"/>
      <c r="U73" s="65"/>
      <c r="V73" s="65"/>
      <c r="W73" s="65"/>
      <c r="X73" s="65"/>
    </row>
    <row r="74" spans="1:24" ht="15">
      <c r="A74" s="65"/>
      <c r="B74" s="65"/>
      <c r="C74" s="65"/>
      <c r="D74" s="65"/>
      <c r="E74" s="65"/>
      <c r="F74" s="65"/>
      <c r="G74" s="65"/>
      <c r="H74" s="65"/>
      <c r="I74" s="65"/>
      <c r="J74" s="65"/>
      <c r="K74" s="65"/>
      <c r="L74" s="65"/>
      <c r="M74" s="65"/>
      <c r="N74" s="65"/>
      <c r="O74" s="65"/>
      <c r="P74" s="65"/>
      <c r="Q74" s="65"/>
      <c r="R74" s="65"/>
      <c r="S74" s="65"/>
      <c r="T74" s="65"/>
      <c r="U74" s="65"/>
      <c r="V74" s="65"/>
      <c r="W74" s="65"/>
      <c r="X74" s="65"/>
    </row>
    <row r="75" spans="1:24" ht="15">
      <c r="A75" s="65"/>
      <c r="B75" s="65"/>
      <c r="C75" s="65"/>
      <c r="D75" s="65"/>
      <c r="E75" s="65"/>
      <c r="F75" s="65"/>
      <c r="G75" s="65"/>
      <c r="H75" s="65"/>
      <c r="I75" s="65"/>
      <c r="J75" s="65"/>
      <c r="K75" s="65"/>
      <c r="L75" s="65"/>
      <c r="M75" s="65"/>
      <c r="N75" s="65"/>
      <c r="O75" s="65"/>
      <c r="P75" s="65"/>
      <c r="Q75" s="65"/>
      <c r="R75" s="65"/>
      <c r="S75" s="65"/>
      <c r="T75" s="65"/>
      <c r="U75" s="65"/>
      <c r="V75" s="65"/>
      <c r="W75" s="65"/>
      <c r="X75" s="65"/>
    </row>
    <row r="76" spans="1:24" ht="15">
      <c r="A76" s="65"/>
      <c r="B76" s="65"/>
      <c r="C76" s="65"/>
      <c r="D76" s="65"/>
      <c r="E76" s="65"/>
      <c r="F76" s="65"/>
      <c r="G76" s="65"/>
      <c r="H76" s="65"/>
      <c r="I76" s="65"/>
      <c r="J76" s="65"/>
      <c r="K76" s="65"/>
      <c r="L76" s="65"/>
      <c r="M76" s="65"/>
      <c r="N76" s="65"/>
      <c r="O76" s="65"/>
      <c r="P76" s="65"/>
      <c r="Q76" s="65"/>
      <c r="R76" s="65"/>
      <c r="S76" s="65"/>
      <c r="T76" s="65"/>
      <c r="U76" s="65"/>
      <c r="V76" s="65"/>
      <c r="W76" s="65"/>
      <c r="X76" s="65"/>
    </row>
    <row r="77" spans="1:24" ht="15">
      <c r="A77" s="65"/>
      <c r="B77" s="65"/>
      <c r="C77" s="65"/>
      <c r="D77" s="65"/>
      <c r="E77" s="65"/>
      <c r="F77" s="65"/>
      <c r="G77" s="65"/>
      <c r="H77" s="65"/>
      <c r="I77" s="65"/>
      <c r="J77" s="65"/>
      <c r="K77" s="65"/>
      <c r="L77" s="65"/>
      <c r="M77" s="65"/>
      <c r="N77" s="65"/>
      <c r="O77" s="65"/>
      <c r="P77" s="65"/>
      <c r="Q77" s="65"/>
      <c r="R77" s="65"/>
      <c r="S77" s="65"/>
      <c r="T77" s="65"/>
      <c r="U77" s="65"/>
      <c r="V77" s="65"/>
      <c r="W77" s="65"/>
      <c r="X77" s="65"/>
    </row>
    <row r="78" spans="1:24" ht="15">
      <c r="A78" s="65"/>
      <c r="B78" s="65"/>
      <c r="G78" s="65"/>
      <c r="H78" s="65"/>
      <c r="I78" s="65"/>
      <c r="J78" s="65"/>
      <c r="K78" s="65"/>
      <c r="L78" s="65"/>
      <c r="M78" s="65"/>
      <c r="N78" s="65"/>
      <c r="O78" s="65"/>
      <c r="P78" s="65"/>
      <c r="Q78" s="65"/>
      <c r="R78" s="65"/>
      <c r="S78" s="65"/>
      <c r="T78" s="65"/>
      <c r="U78" s="65"/>
      <c r="V78" s="65"/>
      <c r="W78" s="65"/>
      <c r="X78" s="65"/>
    </row>
    <row r="79" spans="1:24" ht="15">
      <c r="A79" s="65"/>
      <c r="B79" s="65"/>
      <c r="G79" s="65"/>
      <c r="H79" s="65"/>
      <c r="I79" s="65"/>
      <c r="J79" s="65"/>
      <c r="K79" s="65"/>
      <c r="L79" s="65"/>
      <c r="M79" s="65"/>
      <c r="N79" s="65"/>
      <c r="O79" s="65"/>
      <c r="P79" s="65"/>
      <c r="Q79" s="65"/>
      <c r="R79" s="65"/>
      <c r="S79" s="65"/>
      <c r="T79" s="65"/>
      <c r="U79" s="65"/>
      <c r="V79" s="65"/>
      <c r="W79" s="65"/>
      <c r="X79" s="65"/>
    </row>
    <row r="80" spans="1:24" ht="15">
      <c r="G80" s="65"/>
      <c r="H80" s="65"/>
      <c r="I80" s="65"/>
      <c r="J80" s="65"/>
      <c r="K80" s="65"/>
      <c r="L80" s="65"/>
      <c r="M80" s="65"/>
      <c r="N80" s="65"/>
      <c r="O80" s="65"/>
      <c r="P80" s="65"/>
      <c r="Q80" s="65"/>
    </row>
    <row r="81" spans="7:11" ht="15">
      <c r="G81" s="65"/>
      <c r="H81" s="65"/>
      <c r="I81" s="65"/>
      <c r="J81" s="65"/>
      <c r="K81" s="65"/>
    </row>
  </sheetData>
  <mergeCells count="8">
    <mergeCell ref="C26:F26"/>
    <mergeCell ref="H26:K26"/>
    <mergeCell ref="B7:B13"/>
    <mergeCell ref="N4:Q4"/>
    <mergeCell ref="J4:M4"/>
    <mergeCell ref="E4:I4"/>
    <mergeCell ref="C21:F21"/>
    <mergeCell ref="H21:Q2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C4:V71"/>
  <sheetViews>
    <sheetView showGridLines="0" zoomScale="87" zoomScaleNormal="87" workbookViewId="0">
      <selection activeCell="F63" sqref="F63"/>
    </sheetView>
  </sheetViews>
  <sheetFormatPr defaultColWidth="8.85546875" defaultRowHeight="11.25"/>
  <cols>
    <col min="3" max="3" width="17.85546875" customWidth="1"/>
    <col min="4" max="4" width="24.42578125" customWidth="1"/>
    <col min="5" max="5" width="18.42578125" bestFit="1" customWidth="1"/>
    <col min="6" max="6" width="26.28515625" bestFit="1" customWidth="1"/>
    <col min="7" max="7" width="22.28515625" bestFit="1" customWidth="1"/>
    <col min="8" max="8" width="29.28515625" bestFit="1" customWidth="1"/>
    <col min="9" max="9" width="15.85546875" bestFit="1" customWidth="1"/>
    <col min="10" max="10" width="22" bestFit="1" customWidth="1"/>
    <col min="11" max="11" width="14.28515625" bestFit="1" customWidth="1"/>
    <col min="12" max="12" width="11.42578125" bestFit="1" customWidth="1"/>
    <col min="13" max="13" width="9.28515625" bestFit="1" customWidth="1"/>
    <col min="14" max="14" width="11.42578125" bestFit="1" customWidth="1"/>
    <col min="15" max="15" width="11.140625" bestFit="1" customWidth="1"/>
    <col min="16" max="16" width="20.7109375" customWidth="1"/>
    <col min="17" max="17" width="23.7109375" bestFit="1" customWidth="1"/>
    <col min="22" max="22" width="10" bestFit="1" customWidth="1"/>
  </cols>
  <sheetData>
    <row r="4" spans="3:22" ht="15">
      <c r="C4" s="65"/>
      <c r="D4" s="65"/>
      <c r="E4" s="65"/>
      <c r="F4" s="65"/>
      <c r="G4" s="65"/>
      <c r="H4" s="65"/>
      <c r="I4" s="65"/>
      <c r="J4" s="65"/>
      <c r="K4" s="65"/>
      <c r="L4" s="65"/>
      <c r="M4" s="751" t="s">
        <v>587</v>
      </c>
      <c r="N4" s="752"/>
      <c r="O4" s="753"/>
      <c r="P4" s="308"/>
      <c r="Q4" s="311"/>
      <c r="R4" s="751" t="s">
        <v>585</v>
      </c>
      <c r="S4" s="752"/>
      <c r="T4" s="752"/>
    </row>
    <row r="5" spans="3:22" ht="15">
      <c r="C5" s="65"/>
      <c r="D5" s="65"/>
      <c r="E5" s="65"/>
      <c r="F5" s="65"/>
      <c r="G5" s="65"/>
      <c r="H5" s="65"/>
      <c r="I5" s="65"/>
      <c r="J5" s="65"/>
      <c r="K5" s="65"/>
      <c r="L5" s="65"/>
      <c r="M5" s="342" t="s">
        <v>347</v>
      </c>
      <c r="N5" s="321" t="s">
        <v>347</v>
      </c>
      <c r="O5" s="341" t="s">
        <v>347</v>
      </c>
      <c r="P5" s="344" t="s">
        <v>347</v>
      </c>
      <c r="Q5" s="345" t="s">
        <v>347</v>
      </c>
      <c r="R5" s="749" t="s">
        <v>586</v>
      </c>
      <c r="S5" s="749"/>
      <c r="T5" s="750"/>
    </row>
    <row r="6" spans="3:22" ht="15">
      <c r="C6" s="310" t="s">
        <v>577</v>
      </c>
      <c r="D6" s="310" t="s">
        <v>578</v>
      </c>
      <c r="E6" s="310" t="s">
        <v>579</v>
      </c>
      <c r="F6" s="310" t="s">
        <v>580</v>
      </c>
      <c r="G6" s="310" t="s">
        <v>581</v>
      </c>
      <c r="H6" s="310" t="s">
        <v>582</v>
      </c>
      <c r="I6" s="310" t="s">
        <v>583</v>
      </c>
      <c r="J6" s="310" t="s">
        <v>584</v>
      </c>
      <c r="K6" s="310" t="s">
        <v>315</v>
      </c>
      <c r="L6" s="310" t="s">
        <v>1</v>
      </c>
      <c r="M6" s="310" t="s">
        <v>526</v>
      </c>
      <c r="N6" s="310" t="s">
        <v>527</v>
      </c>
      <c r="O6" s="310" t="s">
        <v>528</v>
      </c>
      <c r="P6" s="310" t="s">
        <v>593</v>
      </c>
      <c r="Q6" s="310" t="s">
        <v>600</v>
      </c>
      <c r="R6" s="310">
        <v>1</v>
      </c>
      <c r="S6" s="310">
        <v>7</v>
      </c>
      <c r="T6" s="310">
        <v>30</v>
      </c>
    </row>
    <row r="7" spans="3:22" ht="15">
      <c r="C7" s="329">
        <v>42848</v>
      </c>
      <c r="D7" s="324" t="s">
        <v>530</v>
      </c>
      <c r="E7" s="324" t="s">
        <v>592</v>
      </c>
      <c r="F7" s="324" t="s">
        <v>590</v>
      </c>
      <c r="G7" s="324" t="s">
        <v>591</v>
      </c>
      <c r="H7" s="335">
        <v>24628.31</v>
      </c>
      <c r="I7" s="335">
        <v>25365.01</v>
      </c>
      <c r="J7" s="335">
        <v>3779.3</v>
      </c>
      <c r="K7" s="335">
        <v>1174</v>
      </c>
      <c r="L7" s="335">
        <v>962.6</v>
      </c>
      <c r="M7" s="338">
        <f t="shared" ref="M7:M12" si="0">I7/J7</f>
        <v>6.7115629878548928</v>
      </c>
      <c r="N7" s="338">
        <f t="shared" ref="N7:N12" si="1">I7/K7</f>
        <v>21.605630323679726</v>
      </c>
      <c r="O7" s="338">
        <f t="shared" ref="O7:O12" si="2">I7/L7</f>
        <v>26.350519426553085</v>
      </c>
      <c r="P7" s="325">
        <v>0.311</v>
      </c>
      <c r="Q7" s="338">
        <f>H7/593.3</f>
        <v>41.510719703354127</v>
      </c>
      <c r="R7" s="325">
        <v>0.25259999999999999</v>
      </c>
      <c r="S7" s="325">
        <v>0.25369999999999998</v>
      </c>
      <c r="T7" s="340">
        <v>0.26390000000000002</v>
      </c>
    </row>
    <row r="8" spans="3:22" ht="15">
      <c r="C8" s="330">
        <v>42619</v>
      </c>
      <c r="D8" s="322" t="s">
        <v>531</v>
      </c>
      <c r="E8" s="322" t="s">
        <v>594</v>
      </c>
      <c r="F8" s="322" t="s">
        <v>590</v>
      </c>
      <c r="G8" s="322" t="s">
        <v>595</v>
      </c>
      <c r="H8" s="336">
        <v>3933.06</v>
      </c>
      <c r="I8" s="336">
        <v>3896.58</v>
      </c>
      <c r="J8" s="336">
        <v>564.20000000000005</v>
      </c>
      <c r="K8" s="336">
        <v>100</v>
      </c>
      <c r="L8" s="336">
        <v>-34.4</v>
      </c>
      <c r="M8" s="326">
        <f t="shared" si="0"/>
        <v>6.906380716058135</v>
      </c>
      <c r="N8" s="326">
        <f>I8/K8</f>
        <v>38.965800000000002</v>
      </c>
      <c r="O8" s="326">
        <f t="shared" si="2"/>
        <v>-113.27267441860465</v>
      </c>
      <c r="P8" s="323">
        <v>1E-3</v>
      </c>
      <c r="Q8" s="326">
        <f>H8/-49.5</f>
        <v>-79.455757575757573</v>
      </c>
      <c r="R8" s="323">
        <v>0.53979999999999995</v>
      </c>
      <c r="S8" s="323">
        <v>0.53969999999999996</v>
      </c>
      <c r="T8" s="327">
        <v>0.49530000000000002</v>
      </c>
      <c r="V8" s="463"/>
    </row>
    <row r="9" spans="3:22" ht="15">
      <c r="C9" s="330">
        <v>42488</v>
      </c>
      <c r="D9" s="322" t="s">
        <v>588</v>
      </c>
      <c r="E9" s="322" t="s">
        <v>589</v>
      </c>
      <c r="F9" s="322" t="s">
        <v>590</v>
      </c>
      <c r="G9" s="322" t="s">
        <v>591</v>
      </c>
      <c r="H9" s="336">
        <v>23314.49</v>
      </c>
      <c r="I9" s="336">
        <v>29047.49</v>
      </c>
      <c r="J9" s="336">
        <v>5644</v>
      </c>
      <c r="K9" s="336">
        <v>1292</v>
      </c>
      <c r="L9" s="336">
        <v>2781</v>
      </c>
      <c r="M9" s="326">
        <f t="shared" si="0"/>
        <v>5.1466141034727144</v>
      </c>
      <c r="N9" s="326">
        <f t="shared" si="1"/>
        <v>22.482577399380805</v>
      </c>
      <c r="O9" s="326">
        <f t="shared" si="2"/>
        <v>10.444980222941389</v>
      </c>
      <c r="P9" s="323">
        <v>0.22900000000000001</v>
      </c>
      <c r="Q9" s="326">
        <f>H9/2447</f>
        <v>9.5277850429096862</v>
      </c>
      <c r="R9" s="323">
        <v>0.37069999999999997</v>
      </c>
      <c r="S9" s="323">
        <v>0.39900000000000002</v>
      </c>
      <c r="T9" s="327">
        <f>0.4581</f>
        <v>0.45810000000000001</v>
      </c>
    </row>
    <row r="10" spans="3:22" ht="15">
      <c r="C10" s="330">
        <v>42401</v>
      </c>
      <c r="D10" s="322" t="s">
        <v>588</v>
      </c>
      <c r="E10" s="322" t="s">
        <v>599</v>
      </c>
      <c r="F10" s="322" t="s">
        <v>590</v>
      </c>
      <c r="G10" s="322" t="s">
        <v>595</v>
      </c>
      <c r="H10" s="336">
        <v>4463.92</v>
      </c>
      <c r="I10" s="336">
        <v>7585.9</v>
      </c>
      <c r="J10" s="336">
        <v>2455.4</v>
      </c>
      <c r="K10" s="336">
        <v>436.8</v>
      </c>
      <c r="L10" s="336">
        <v>127.5</v>
      </c>
      <c r="M10" s="326">
        <f t="shared" si="0"/>
        <v>3.0894762564144331</v>
      </c>
      <c r="N10" s="326">
        <f t="shared" si="1"/>
        <v>17.366987179487179</v>
      </c>
      <c r="O10" s="326">
        <f t="shared" si="2"/>
        <v>59.49725490196078</v>
      </c>
      <c r="P10" s="323">
        <v>0.17799999999999999</v>
      </c>
      <c r="Q10" s="326">
        <f>H10/211.2</f>
        <v>21.135984848484849</v>
      </c>
      <c r="R10" s="323">
        <v>0.371</v>
      </c>
      <c r="S10" s="323">
        <v>0.34770000000000001</v>
      </c>
      <c r="T10" s="327">
        <v>0.35310000000000002</v>
      </c>
    </row>
    <row r="11" spans="3:22" ht="15">
      <c r="C11" s="330">
        <v>41917</v>
      </c>
      <c r="D11" s="322" t="s">
        <v>530</v>
      </c>
      <c r="E11" s="322" t="s">
        <v>596</v>
      </c>
      <c r="F11" s="322" t="s">
        <v>590</v>
      </c>
      <c r="G11" s="322" t="s">
        <v>591</v>
      </c>
      <c r="H11" s="336">
        <v>12350.64</v>
      </c>
      <c r="I11" s="336">
        <v>12605.64</v>
      </c>
      <c r="J11" s="336">
        <v>3934</v>
      </c>
      <c r="K11" s="336">
        <v>834</v>
      </c>
      <c r="L11" s="336">
        <v>631</v>
      </c>
      <c r="M11" s="326">
        <f t="shared" si="0"/>
        <v>3.2042806304016267</v>
      </c>
      <c r="N11" s="326">
        <f t="shared" si="1"/>
        <v>15.114676258992805</v>
      </c>
      <c r="O11" s="326">
        <f t="shared" si="2"/>
        <v>19.977242472266244</v>
      </c>
      <c r="P11" s="323">
        <v>0.21199999999999999</v>
      </c>
      <c r="Q11" s="326">
        <f>I11/415</f>
        <v>30.375036144578313</v>
      </c>
      <c r="R11" s="323">
        <v>0.25619999999999998</v>
      </c>
      <c r="S11" s="323">
        <v>0.27160000000000001</v>
      </c>
      <c r="T11" s="327">
        <v>0.25540000000000002</v>
      </c>
    </row>
    <row r="12" spans="3:22" ht="15">
      <c r="C12" s="331">
        <v>41805</v>
      </c>
      <c r="D12" s="332" t="s">
        <v>597</v>
      </c>
      <c r="E12" s="332" t="s">
        <v>598</v>
      </c>
      <c r="F12" s="332" t="s">
        <v>590</v>
      </c>
      <c r="G12" s="332" t="s">
        <v>591</v>
      </c>
      <c r="H12" s="337">
        <v>48787.09</v>
      </c>
      <c r="I12" s="337">
        <v>52630.09</v>
      </c>
      <c r="J12" s="337">
        <v>10375</v>
      </c>
      <c r="K12" s="337">
        <v>2715</v>
      </c>
      <c r="L12" s="337">
        <v>2127</v>
      </c>
      <c r="M12" s="339">
        <f t="shared" si="0"/>
        <v>5.0727797590361439</v>
      </c>
      <c r="N12" s="339">
        <f t="shared" si="1"/>
        <v>19.384931860036833</v>
      </c>
      <c r="O12" s="339">
        <f t="shared" si="2"/>
        <v>24.743812881993417</v>
      </c>
      <c r="P12" s="333">
        <v>0.26100000000000001</v>
      </c>
      <c r="Q12" s="339">
        <f>H12/1607</f>
        <v>30.359110143123832</v>
      </c>
      <c r="R12" s="333">
        <v>0.2944</v>
      </c>
      <c r="S12" s="333">
        <v>0.29360000000000003</v>
      </c>
      <c r="T12" s="334">
        <v>0.29139999999999999</v>
      </c>
    </row>
    <row r="13" spans="3:22" ht="15">
      <c r="C13" s="65"/>
      <c r="D13" s="65"/>
      <c r="E13" s="65"/>
      <c r="F13" s="65"/>
      <c r="G13" s="65"/>
      <c r="H13" s="65"/>
      <c r="I13" s="65"/>
      <c r="J13" s="65"/>
      <c r="K13" s="65"/>
      <c r="L13" s="65"/>
      <c r="M13" s="65"/>
      <c r="N13" s="65"/>
      <c r="O13" s="65"/>
      <c r="P13" s="65"/>
      <c r="Q13" s="65"/>
      <c r="R13" s="65"/>
      <c r="S13" s="65"/>
      <c r="T13" s="65"/>
    </row>
    <row r="14" spans="3:22" ht="15">
      <c r="C14" s="307" t="s">
        <v>553</v>
      </c>
      <c r="D14" s="306"/>
      <c r="E14" s="306"/>
      <c r="F14" s="306"/>
      <c r="G14" s="306"/>
      <c r="H14" s="352">
        <f>AVERAGE(H7:H12)</f>
        <v>19579.584999999999</v>
      </c>
      <c r="I14" s="352">
        <f t="shared" ref="I14:T14" si="3">AVERAGE(I7:I12)</f>
        <v>21855.118333333332</v>
      </c>
      <c r="J14" s="352">
        <f t="shared" si="3"/>
        <v>4458.6500000000005</v>
      </c>
      <c r="K14" s="352">
        <f t="shared" si="3"/>
        <v>1091.9666666666667</v>
      </c>
      <c r="L14" s="352">
        <f t="shared" si="3"/>
        <v>1099.1166666666666</v>
      </c>
      <c r="M14" s="353">
        <f t="shared" si="3"/>
        <v>5.0218490755396576</v>
      </c>
      <c r="N14" s="353">
        <f>AVERAGE(N7:N12)</f>
        <v>22.486767170262894</v>
      </c>
      <c r="O14" s="353">
        <f t="shared" si="3"/>
        <v>4.6235225811850436</v>
      </c>
      <c r="P14" s="354">
        <f t="shared" si="3"/>
        <v>0.19866666666666669</v>
      </c>
      <c r="Q14" s="353">
        <f>AVERAGE(Q7:Q12)</f>
        <v>8.9088130511155388</v>
      </c>
      <c r="R14" s="354">
        <f>AVERAGE(R7:R12)</f>
        <v>0.34744999999999998</v>
      </c>
      <c r="S14" s="354">
        <f t="shared" si="3"/>
        <v>0.35088333333333327</v>
      </c>
      <c r="T14" s="355">
        <f t="shared" si="3"/>
        <v>0.35286666666666666</v>
      </c>
    </row>
    <row r="15" spans="3:22" ht="15">
      <c r="C15" s="308" t="s">
        <v>554</v>
      </c>
      <c r="D15" s="77"/>
      <c r="E15" s="77"/>
      <c r="F15" s="77"/>
      <c r="G15" s="77"/>
      <c r="H15" s="356">
        <f>MEDIAN(H7:H12)</f>
        <v>17832.565000000002</v>
      </c>
      <c r="I15" s="356">
        <f t="shared" ref="I15:T15" si="4">MEDIAN(I7:I12)</f>
        <v>18985.324999999997</v>
      </c>
      <c r="J15" s="356">
        <f t="shared" si="4"/>
        <v>3856.65</v>
      </c>
      <c r="K15" s="356">
        <f t="shared" si="4"/>
        <v>1004</v>
      </c>
      <c r="L15" s="356">
        <f t="shared" si="4"/>
        <v>796.8</v>
      </c>
      <c r="M15" s="357">
        <f t="shared" si="4"/>
        <v>5.1096969312544296</v>
      </c>
      <c r="N15" s="357">
        <f t="shared" si="4"/>
        <v>20.495281091858281</v>
      </c>
      <c r="O15" s="357">
        <f t="shared" si="4"/>
        <v>22.360527677129831</v>
      </c>
      <c r="P15" s="358">
        <f t="shared" si="4"/>
        <v>0.2205</v>
      </c>
      <c r="Q15" s="357">
        <f t="shared" si="4"/>
        <v>25.747547495804341</v>
      </c>
      <c r="R15" s="358">
        <f>MEDIAN(R7:R12)</f>
        <v>0.33255000000000001</v>
      </c>
      <c r="S15" s="358">
        <f t="shared" si="4"/>
        <v>0.32064999999999999</v>
      </c>
      <c r="T15" s="359">
        <f t="shared" si="4"/>
        <v>0.32225000000000004</v>
      </c>
    </row>
    <row r="16" spans="3:22" ht="15">
      <c r="C16" s="308" t="s">
        <v>172</v>
      </c>
      <c r="D16" s="77"/>
      <c r="E16" s="77"/>
      <c r="F16" s="77"/>
      <c r="G16" s="77"/>
      <c r="H16" s="356">
        <f>MAX(H7:H12)</f>
        <v>48787.09</v>
      </c>
      <c r="I16" s="356">
        <f t="shared" ref="I16:T16" si="5">MAX(I7:I12)</f>
        <v>52630.09</v>
      </c>
      <c r="J16" s="356">
        <f t="shared" si="5"/>
        <v>10375</v>
      </c>
      <c r="K16" s="356">
        <f t="shared" si="5"/>
        <v>2715</v>
      </c>
      <c r="L16" s="356">
        <f t="shared" si="5"/>
        <v>2781</v>
      </c>
      <c r="M16" s="357">
        <f t="shared" si="5"/>
        <v>6.906380716058135</v>
      </c>
      <c r="N16" s="357">
        <f>MAX(N7:N12)</f>
        <v>38.965800000000002</v>
      </c>
      <c r="O16" s="357">
        <f t="shared" si="5"/>
        <v>59.49725490196078</v>
      </c>
      <c r="P16" s="358">
        <f t="shared" si="5"/>
        <v>0.311</v>
      </c>
      <c r="Q16" s="357">
        <f t="shared" si="5"/>
        <v>41.510719703354127</v>
      </c>
      <c r="R16" s="358">
        <f>MAX(R7:R12)</f>
        <v>0.53979999999999995</v>
      </c>
      <c r="S16" s="358">
        <f t="shared" si="5"/>
        <v>0.53969999999999996</v>
      </c>
      <c r="T16" s="359">
        <f t="shared" si="5"/>
        <v>0.49530000000000002</v>
      </c>
    </row>
    <row r="17" spans="3:20" ht="15">
      <c r="C17" s="309" t="s">
        <v>173</v>
      </c>
      <c r="D17" s="303"/>
      <c r="E17" s="328"/>
      <c r="F17" s="328"/>
      <c r="G17" s="328"/>
      <c r="H17" s="360">
        <f>MIN(H7:H12)</f>
        <v>3933.06</v>
      </c>
      <c r="I17" s="360">
        <f t="shared" ref="I17:T17" si="6">MIN(I7:I12)</f>
        <v>3896.58</v>
      </c>
      <c r="J17" s="360">
        <f t="shared" si="6"/>
        <v>564.20000000000005</v>
      </c>
      <c r="K17" s="360">
        <f t="shared" si="6"/>
        <v>100</v>
      </c>
      <c r="L17" s="360">
        <f t="shared" si="6"/>
        <v>-34.4</v>
      </c>
      <c r="M17" s="361">
        <f t="shared" si="6"/>
        <v>3.0894762564144331</v>
      </c>
      <c r="N17" s="361">
        <f t="shared" si="6"/>
        <v>15.114676258992805</v>
      </c>
      <c r="O17" s="361">
        <f t="shared" si="6"/>
        <v>-113.27267441860465</v>
      </c>
      <c r="P17" s="362">
        <f t="shared" si="6"/>
        <v>1E-3</v>
      </c>
      <c r="Q17" s="361">
        <f t="shared" si="6"/>
        <v>-79.455757575757573</v>
      </c>
      <c r="R17" s="362">
        <f>MIN(R7:R12)</f>
        <v>0.25259999999999999</v>
      </c>
      <c r="S17" s="362">
        <f t="shared" si="6"/>
        <v>0.25369999999999998</v>
      </c>
      <c r="T17" s="363">
        <f t="shared" si="6"/>
        <v>0.25540000000000002</v>
      </c>
    </row>
    <row r="18" spans="3:20" ht="15">
      <c r="C18" s="65"/>
      <c r="D18" s="65"/>
      <c r="E18" s="65"/>
      <c r="F18" s="65"/>
      <c r="G18" s="65"/>
      <c r="H18" s="65"/>
      <c r="I18" s="65"/>
      <c r="J18" s="65"/>
      <c r="K18" s="65"/>
      <c r="L18" s="65"/>
      <c r="M18" s="65"/>
      <c r="N18" s="65"/>
      <c r="O18" s="65"/>
      <c r="P18" s="65"/>
      <c r="Q18" s="65"/>
      <c r="R18" s="65"/>
      <c r="S18" s="65"/>
      <c r="T18" s="65"/>
    </row>
    <row r="19" spans="3:20" ht="15">
      <c r="C19" s="740" t="s">
        <v>567</v>
      </c>
      <c r="D19" s="741"/>
      <c r="E19" s="741"/>
      <c r="F19" s="741"/>
      <c r="G19" s="741"/>
      <c r="H19" s="741"/>
      <c r="I19" s="741"/>
      <c r="J19" s="741"/>
      <c r="K19" s="741"/>
      <c r="L19" s="742"/>
      <c r="M19" s="65"/>
      <c r="N19" s="65"/>
      <c r="O19" s="65"/>
      <c r="P19" s="65"/>
      <c r="Q19" s="65"/>
      <c r="R19" s="65"/>
      <c r="S19" s="65"/>
      <c r="T19" s="65"/>
    </row>
    <row r="20" spans="3:20" ht="15">
      <c r="C20" s="308"/>
      <c r="D20" s="364" t="s">
        <v>572</v>
      </c>
      <c r="E20" s="364" t="s">
        <v>571</v>
      </c>
      <c r="F20" s="364" t="s">
        <v>558</v>
      </c>
      <c r="G20" s="364" t="s">
        <v>573</v>
      </c>
      <c r="H20" s="364" t="s">
        <v>574</v>
      </c>
      <c r="I20" s="364" t="s">
        <v>575</v>
      </c>
      <c r="J20" s="364" t="s">
        <v>576</v>
      </c>
      <c r="K20" s="364" t="s">
        <v>562</v>
      </c>
      <c r="L20" s="318"/>
      <c r="M20" s="65"/>
      <c r="N20" s="65"/>
      <c r="O20" s="65"/>
      <c r="P20" s="65"/>
      <c r="Q20" s="65"/>
      <c r="R20" s="65"/>
      <c r="S20" s="65"/>
      <c r="T20" s="65"/>
    </row>
    <row r="21" spans="3:20" ht="15">
      <c r="C21" s="319" t="s">
        <v>569</v>
      </c>
      <c r="D21" s="357">
        <f>N14</f>
        <v>22.486767170262894</v>
      </c>
      <c r="E21" s="356">
        <f>'Key Stats'!$K$21</f>
        <v>3211</v>
      </c>
      <c r="F21" s="356">
        <f>E21*D21</f>
        <v>72205.009383714147</v>
      </c>
      <c r="G21" s="356">
        <f>'Key Stats'!$D$39</f>
        <v>8471</v>
      </c>
      <c r="H21" s="468">
        <f>'Income Statement'!$N$50</f>
        <v>0</v>
      </c>
      <c r="I21" s="356">
        <f>'Balance Sheet'!$N$19</f>
        <v>3699</v>
      </c>
      <c r="J21" s="356">
        <f>F21-G21-H21+I21</f>
        <v>67433.009383714147</v>
      </c>
      <c r="K21" s="365">
        <f>J21/'Key Stats'!$D$36</f>
        <v>180.39376702133154</v>
      </c>
      <c r="L21" s="311"/>
      <c r="M21" s="65"/>
      <c r="N21" s="65"/>
      <c r="O21" s="65"/>
      <c r="P21" s="65"/>
      <c r="Q21" s="65"/>
      <c r="R21" s="65"/>
      <c r="S21" s="65"/>
      <c r="T21" s="65"/>
    </row>
    <row r="22" spans="3:20" ht="15">
      <c r="C22" s="320" t="s">
        <v>570</v>
      </c>
      <c r="D22" s="366">
        <f>N15</f>
        <v>20.495281091858281</v>
      </c>
      <c r="E22" s="360">
        <f>'Key Stats'!$K$21</f>
        <v>3211</v>
      </c>
      <c r="F22" s="367">
        <f>E22*D22</f>
        <v>65810.347585956944</v>
      </c>
      <c r="G22" s="360">
        <f>'Key Stats'!$D$39</f>
        <v>8471</v>
      </c>
      <c r="H22" s="469">
        <f>'Income Statement'!$N$50</f>
        <v>0</v>
      </c>
      <c r="I22" s="367">
        <f>'Balance Sheet'!$N$19</f>
        <v>3699</v>
      </c>
      <c r="J22" s="367">
        <f>F22-G22-H22+I22</f>
        <v>61038.347585956944</v>
      </c>
      <c r="K22" s="368">
        <f>J22/'Key Stats'!$D$36</f>
        <v>163.28705413594432</v>
      </c>
      <c r="L22" s="316"/>
      <c r="M22" s="65"/>
      <c r="N22" s="65"/>
      <c r="O22" s="65"/>
      <c r="P22" s="65"/>
      <c r="Q22" s="65"/>
      <c r="R22" s="65"/>
      <c r="S22" s="65"/>
      <c r="T22" s="65"/>
    </row>
    <row r="23" spans="3:20" ht="15">
      <c r="C23" s="65"/>
      <c r="D23" s="65"/>
      <c r="E23" s="65"/>
      <c r="F23" s="65"/>
      <c r="G23" s="65"/>
      <c r="H23" s="65"/>
      <c r="I23" s="65"/>
      <c r="J23" s="65"/>
      <c r="K23" s="65"/>
      <c r="L23" s="65"/>
      <c r="M23" s="65"/>
      <c r="N23" s="65"/>
      <c r="O23" s="65"/>
      <c r="P23" s="65"/>
      <c r="Q23" s="65"/>
      <c r="R23" s="65"/>
      <c r="S23" s="65"/>
      <c r="T23" s="65"/>
    </row>
    <row r="24" spans="3:20" ht="15">
      <c r="C24" s="740" t="s">
        <v>746</v>
      </c>
      <c r="D24" s="741"/>
      <c r="E24" s="741"/>
      <c r="F24" s="741"/>
      <c r="G24" s="77"/>
      <c r="H24" s="77"/>
      <c r="I24" s="77"/>
      <c r="J24" s="77"/>
      <c r="K24" s="77"/>
      <c r="L24" s="65"/>
      <c r="M24" s="65"/>
      <c r="N24" s="65"/>
      <c r="O24" s="65"/>
      <c r="P24" s="65"/>
      <c r="Q24" s="65"/>
      <c r="R24" s="65"/>
      <c r="S24" s="65"/>
      <c r="T24" s="65"/>
    </row>
    <row r="25" spans="3:20" ht="15">
      <c r="C25" s="308" t="s">
        <v>760</v>
      </c>
      <c r="D25" s="77"/>
      <c r="E25" s="77"/>
      <c r="F25" s="618">
        <v>1</v>
      </c>
      <c r="G25" s="77"/>
      <c r="H25" s="77"/>
      <c r="I25" s="77"/>
      <c r="J25" s="77"/>
      <c r="K25" s="77"/>
      <c r="L25" s="65"/>
      <c r="M25" s="65"/>
      <c r="N25" s="65"/>
      <c r="O25" s="65"/>
      <c r="P25" s="65"/>
      <c r="Q25" s="65"/>
      <c r="R25" s="65"/>
      <c r="S25" s="65"/>
      <c r="T25" s="65"/>
    </row>
    <row r="26" spans="3:20" ht="15">
      <c r="C26" s="308" t="s">
        <v>744</v>
      </c>
      <c r="D26" s="305"/>
      <c r="E26" s="304"/>
      <c r="F26" s="526">
        <v>3260</v>
      </c>
      <c r="G26" s="304"/>
      <c r="H26" s="77"/>
      <c r="I26" s="304"/>
      <c r="J26" s="304"/>
      <c r="K26" s="77"/>
      <c r="L26" s="65"/>
      <c r="M26" s="65"/>
      <c r="N26" s="65"/>
      <c r="O26" s="65"/>
      <c r="P26" s="65"/>
      <c r="Q26" s="65"/>
      <c r="R26" s="65"/>
      <c r="S26" s="65"/>
      <c r="T26" s="65"/>
    </row>
    <row r="27" spans="3:20" ht="15">
      <c r="C27" s="584" t="s">
        <v>614</v>
      </c>
      <c r="D27" s="596"/>
      <c r="E27" s="597"/>
      <c r="F27" s="598">
        <v>373.10522500000002</v>
      </c>
      <c r="G27" s="304"/>
      <c r="H27" s="77"/>
      <c r="I27" s="304"/>
      <c r="J27" s="77"/>
      <c r="K27" s="77"/>
      <c r="L27" s="65"/>
      <c r="M27" s="65"/>
      <c r="N27" s="65"/>
      <c r="O27" s="65"/>
      <c r="P27" s="65"/>
      <c r="Q27" s="65"/>
      <c r="R27" s="65"/>
      <c r="S27" s="65"/>
      <c r="T27" s="65"/>
    </row>
    <row r="28" spans="3:20" ht="15">
      <c r="C28" s="308" t="s">
        <v>745</v>
      </c>
      <c r="D28" s="77"/>
      <c r="E28" s="322" t="s">
        <v>173</v>
      </c>
      <c r="F28" s="590" t="s">
        <v>172</v>
      </c>
      <c r="G28" s="65"/>
      <c r="H28" s="65"/>
      <c r="I28" s="65"/>
      <c r="J28" s="65"/>
      <c r="K28" s="65"/>
      <c r="L28" s="65"/>
      <c r="M28" s="65"/>
      <c r="N28" s="65"/>
      <c r="O28" s="65"/>
      <c r="P28" s="65"/>
      <c r="Q28" s="65"/>
      <c r="R28" s="65"/>
      <c r="S28" s="65"/>
      <c r="T28" s="65"/>
    </row>
    <row r="29" spans="3:20" ht="15">
      <c r="C29" s="638" t="s">
        <v>761</v>
      </c>
      <c r="D29" s="77"/>
      <c r="E29" s="592">
        <f>N14-$F$25</f>
        <v>21.486767170262894</v>
      </c>
      <c r="F29" s="593">
        <f>N14+$F$25</f>
        <v>23.486767170262894</v>
      </c>
      <c r="G29" s="65"/>
      <c r="H29" s="65"/>
      <c r="I29" s="65"/>
      <c r="J29" s="65"/>
      <c r="K29" s="65"/>
      <c r="L29" s="65"/>
      <c r="M29" s="65"/>
      <c r="N29" s="65"/>
      <c r="O29" s="65"/>
      <c r="P29" s="65"/>
      <c r="Q29" s="65"/>
      <c r="R29" s="65"/>
      <c r="S29" s="65"/>
      <c r="T29" s="65"/>
    </row>
    <row r="30" spans="3:20" ht="15">
      <c r="C30" s="553" t="s">
        <v>764</v>
      </c>
      <c r="D30" s="585"/>
      <c r="E30" s="650">
        <f>N15-$F$25</f>
        <v>19.495281091858281</v>
      </c>
      <c r="F30" s="651">
        <f>N15+$F$25</f>
        <v>21.495281091858281</v>
      </c>
      <c r="G30" s="65"/>
      <c r="H30" s="65"/>
      <c r="I30" s="65"/>
      <c r="J30" s="65"/>
      <c r="K30" s="65"/>
      <c r="L30" s="65"/>
      <c r="M30" s="65"/>
      <c r="N30" s="65"/>
      <c r="O30" s="65"/>
      <c r="P30" s="65"/>
      <c r="Q30" s="65"/>
      <c r="R30" s="65"/>
      <c r="S30" s="65"/>
      <c r="T30" s="65"/>
    </row>
    <row r="31" spans="3:20" ht="15">
      <c r="C31" s="308" t="s">
        <v>742</v>
      </c>
      <c r="D31" s="77"/>
      <c r="E31" s="336">
        <f>E30*$F$26</f>
        <v>63554.616359457999</v>
      </c>
      <c r="F31" s="591">
        <f>F30*$F$26</f>
        <v>70074.616359457999</v>
      </c>
      <c r="G31" s="65"/>
      <c r="H31" s="65"/>
      <c r="I31" s="65"/>
      <c r="J31" s="65"/>
      <c r="K31" s="65"/>
      <c r="L31" s="65"/>
      <c r="M31" s="65"/>
      <c r="N31" s="65"/>
      <c r="O31" s="65"/>
      <c r="P31" s="65"/>
      <c r="Q31" s="65"/>
      <c r="R31" s="65"/>
      <c r="S31" s="65"/>
      <c r="T31" s="65"/>
    </row>
    <row r="32" spans="3:20" ht="15">
      <c r="C32" s="584" t="s">
        <v>743</v>
      </c>
      <c r="D32" s="585"/>
      <c r="E32" s="594">
        <f>(E31-$G$21-$H$21+$I$21)/$F$27</f>
        <v>157.54970024731762</v>
      </c>
      <c r="F32" s="595">
        <f>(F31-$G$21-$H$21+$I$21)/$F$27</f>
        <v>175.02466324200631</v>
      </c>
      <c r="G32" s="65"/>
      <c r="H32" s="65"/>
      <c r="I32" s="65"/>
      <c r="J32" s="65"/>
      <c r="K32" s="65"/>
      <c r="L32" s="65"/>
      <c r="M32" s="65"/>
      <c r="N32" s="65"/>
      <c r="O32" s="65"/>
      <c r="P32" s="65"/>
      <c r="Q32" s="65"/>
      <c r="R32" s="65"/>
      <c r="S32" s="65"/>
      <c r="T32" s="65"/>
    </row>
    <row r="33" spans="3:20" ht="15">
      <c r="C33" s="65"/>
      <c r="D33" s="65"/>
      <c r="E33" s="65"/>
      <c r="F33" s="65"/>
      <c r="G33" s="65"/>
      <c r="H33" s="65"/>
      <c r="I33" s="65"/>
      <c r="J33" s="65"/>
      <c r="K33" s="65"/>
      <c r="L33" s="65"/>
      <c r="M33" s="65"/>
      <c r="N33" s="65"/>
      <c r="O33" s="65"/>
      <c r="P33" s="65"/>
      <c r="Q33" s="65"/>
      <c r="R33" s="65"/>
      <c r="S33" s="65"/>
      <c r="T33" s="65"/>
    </row>
    <row r="34" spans="3:20" ht="15" hidden="1">
      <c r="C34" s="65"/>
      <c r="D34" s="65"/>
      <c r="E34" s="65"/>
      <c r="F34" s="65"/>
      <c r="G34" s="65"/>
      <c r="H34" s="65"/>
      <c r="I34" s="65"/>
      <c r="J34" s="65"/>
      <c r="K34" s="65"/>
      <c r="L34" s="65"/>
      <c r="M34" s="65"/>
      <c r="N34" s="65"/>
      <c r="O34" s="65"/>
      <c r="P34" s="65"/>
      <c r="Q34" s="65"/>
      <c r="R34" s="65"/>
      <c r="S34" s="65"/>
      <c r="T34" s="65"/>
    </row>
    <row r="35" spans="3:20" ht="15">
      <c r="C35" s="65"/>
      <c r="D35" s="65"/>
      <c r="E35" s="65"/>
      <c r="F35" s="65"/>
      <c r="G35" s="65"/>
      <c r="H35" s="65"/>
      <c r="I35" s="65"/>
      <c r="J35" s="65"/>
      <c r="K35" s="65"/>
      <c r="L35" s="65"/>
      <c r="M35" s="65"/>
      <c r="N35" s="65"/>
      <c r="O35" s="65"/>
      <c r="P35" s="65"/>
      <c r="Q35" s="65"/>
      <c r="R35" s="65"/>
      <c r="S35" s="65"/>
      <c r="T35" s="65"/>
    </row>
    <row r="36" spans="3:20" ht="15">
      <c r="C36" s="65"/>
      <c r="D36" s="65"/>
      <c r="E36" s="65"/>
      <c r="F36" s="65"/>
      <c r="G36" s="65"/>
      <c r="H36" s="65"/>
      <c r="I36" s="65"/>
      <c r="J36" s="65"/>
      <c r="K36" s="65"/>
      <c r="L36" s="65"/>
      <c r="M36" s="65"/>
      <c r="N36" s="65"/>
      <c r="O36" s="65"/>
      <c r="P36" s="65"/>
      <c r="Q36" s="65"/>
      <c r="R36" s="65"/>
      <c r="S36" s="65"/>
      <c r="T36" s="65"/>
    </row>
    <row r="37" spans="3:20" ht="15">
      <c r="C37" s="65"/>
      <c r="D37" s="65"/>
      <c r="E37" s="65"/>
      <c r="F37" s="65"/>
      <c r="G37" s="65"/>
      <c r="H37" s="65"/>
      <c r="I37" s="65"/>
      <c r="J37" s="65"/>
      <c r="K37" s="65"/>
      <c r="L37" s="65"/>
      <c r="M37" s="65"/>
      <c r="N37" s="65"/>
      <c r="O37" s="65"/>
      <c r="P37" s="65"/>
      <c r="Q37" s="65"/>
      <c r="R37" s="65"/>
      <c r="S37" s="65"/>
      <c r="T37" s="65"/>
    </row>
    <row r="38" spans="3:20" ht="15">
      <c r="C38" s="65"/>
      <c r="D38" s="65"/>
      <c r="E38" s="65"/>
      <c r="F38" s="65"/>
      <c r="G38" s="65"/>
      <c r="H38" s="65"/>
      <c r="I38" s="65"/>
      <c r="J38" s="65"/>
      <c r="K38" s="65"/>
      <c r="L38" s="65"/>
      <c r="M38" s="65"/>
      <c r="N38" s="65"/>
      <c r="O38" s="65"/>
      <c r="P38" s="65"/>
      <c r="Q38" s="65"/>
      <c r="R38" s="65"/>
      <c r="S38" s="65"/>
      <c r="T38" s="65"/>
    </row>
    <row r="39" spans="3:20" ht="15">
      <c r="C39" s="65"/>
      <c r="D39" s="65"/>
      <c r="E39" s="65"/>
      <c r="F39" s="65"/>
      <c r="G39" s="65"/>
      <c r="H39" s="65"/>
      <c r="I39" s="65"/>
      <c r="J39" s="65"/>
      <c r="K39" s="65"/>
      <c r="L39" s="65"/>
      <c r="M39" s="65"/>
      <c r="N39" s="65"/>
      <c r="O39" s="65"/>
      <c r="P39" s="65"/>
      <c r="Q39" s="65"/>
      <c r="R39" s="65"/>
      <c r="S39" s="65"/>
      <c r="T39" s="65"/>
    </row>
    <row r="40" spans="3:20" ht="15">
      <c r="C40" s="65"/>
      <c r="D40" s="65"/>
      <c r="E40" s="65"/>
      <c r="F40" s="65"/>
      <c r="G40" s="65"/>
      <c r="H40" s="65"/>
      <c r="I40" s="65"/>
      <c r="J40" s="65"/>
      <c r="K40" s="65"/>
      <c r="L40" s="65"/>
      <c r="M40" s="65"/>
      <c r="N40" s="65"/>
      <c r="O40" s="65"/>
      <c r="P40" s="65"/>
      <c r="Q40" s="65"/>
      <c r="R40" s="65"/>
      <c r="S40" s="65"/>
      <c r="T40" s="65"/>
    </row>
    <row r="41" spans="3:20" ht="15">
      <c r="C41" s="65"/>
      <c r="D41" s="65"/>
      <c r="E41" s="65"/>
      <c r="F41" s="65"/>
      <c r="G41" s="65"/>
      <c r="H41" s="65"/>
      <c r="I41" s="65"/>
      <c r="J41" s="65"/>
      <c r="K41" s="65"/>
      <c r="L41" s="65"/>
      <c r="M41" s="65"/>
      <c r="N41" s="65"/>
      <c r="O41" s="65"/>
      <c r="P41" s="65"/>
      <c r="Q41" s="65"/>
      <c r="R41" s="65"/>
      <c r="S41" s="65"/>
      <c r="T41" s="65"/>
    </row>
    <row r="42" spans="3:20" ht="15">
      <c r="C42" s="65"/>
      <c r="D42" s="65"/>
      <c r="E42" s="65"/>
      <c r="F42" s="65"/>
      <c r="G42" s="65"/>
      <c r="H42" s="65"/>
      <c r="I42" s="65"/>
      <c r="J42" s="65"/>
      <c r="K42" s="65"/>
      <c r="L42" s="65"/>
      <c r="M42" s="65"/>
      <c r="N42" s="65"/>
      <c r="O42" s="65"/>
      <c r="P42" s="65"/>
      <c r="Q42" s="65"/>
      <c r="R42" s="65"/>
      <c r="S42" s="65"/>
      <c r="T42" s="65"/>
    </row>
    <row r="43" spans="3:20" ht="15">
      <c r="C43" s="65"/>
      <c r="D43" s="65"/>
      <c r="E43" s="65"/>
      <c r="F43" s="65"/>
      <c r="G43" s="65"/>
      <c r="H43" s="65"/>
      <c r="I43" s="65"/>
      <c r="J43" s="65"/>
      <c r="K43" s="65"/>
      <c r="L43" s="65"/>
      <c r="M43" s="65"/>
      <c r="N43" s="65"/>
      <c r="O43" s="65"/>
      <c r="P43" s="65"/>
      <c r="Q43" s="65"/>
      <c r="R43" s="65"/>
      <c r="S43" s="65"/>
      <c r="T43" s="65"/>
    </row>
    <row r="44" spans="3:20" ht="15">
      <c r="C44" s="65"/>
      <c r="D44" s="65"/>
      <c r="E44" s="65"/>
      <c r="F44" s="65"/>
      <c r="G44" s="65"/>
      <c r="H44" s="65"/>
      <c r="I44" s="65"/>
      <c r="J44" s="65"/>
      <c r="K44" s="65"/>
      <c r="L44" s="65"/>
      <c r="M44" s="65"/>
      <c r="N44" s="65"/>
      <c r="O44" s="65"/>
      <c r="P44" s="65"/>
      <c r="Q44" s="65"/>
      <c r="R44" s="65"/>
      <c r="S44" s="65"/>
      <c r="T44" s="65"/>
    </row>
    <row r="45" spans="3:20" ht="15">
      <c r="C45" s="65"/>
      <c r="D45" s="65"/>
      <c r="E45" s="65"/>
      <c r="F45" s="65"/>
      <c r="G45" s="65"/>
      <c r="H45" s="65"/>
      <c r="I45" s="65"/>
      <c r="J45" s="65"/>
      <c r="K45" s="65"/>
      <c r="L45" s="65"/>
      <c r="M45" s="65"/>
      <c r="N45" s="65"/>
      <c r="O45" s="65"/>
      <c r="P45" s="65"/>
      <c r="Q45" s="65"/>
      <c r="R45" s="65"/>
      <c r="S45" s="65"/>
      <c r="T45" s="65"/>
    </row>
    <row r="46" spans="3:20" ht="15">
      <c r="C46" s="65"/>
      <c r="D46" s="65"/>
      <c r="E46" s="65"/>
      <c r="F46" s="65"/>
      <c r="G46" s="65"/>
      <c r="H46" s="65"/>
      <c r="I46" s="65"/>
      <c r="J46" s="65"/>
      <c r="K46" s="65"/>
      <c r="L46" s="65"/>
      <c r="M46" s="65"/>
      <c r="N46" s="65"/>
      <c r="O46" s="65"/>
      <c r="P46" s="65"/>
      <c r="Q46" s="65"/>
      <c r="R46" s="65"/>
      <c r="S46" s="65"/>
      <c r="T46" s="65"/>
    </row>
    <row r="47" spans="3:20" ht="15">
      <c r="C47" s="65"/>
      <c r="D47" s="65"/>
      <c r="E47" s="65"/>
      <c r="F47" s="65"/>
      <c r="G47" s="65"/>
      <c r="H47" s="65"/>
      <c r="I47" s="65"/>
      <c r="J47" s="65"/>
      <c r="K47" s="65"/>
      <c r="L47" s="65"/>
      <c r="M47" s="65"/>
      <c r="N47" s="65"/>
      <c r="O47" s="65"/>
      <c r="P47" s="65"/>
      <c r="Q47" s="65"/>
      <c r="R47" s="65"/>
      <c r="S47" s="65"/>
      <c r="T47" s="65"/>
    </row>
    <row r="48" spans="3:20" ht="15">
      <c r="C48" s="65"/>
      <c r="D48" s="65"/>
      <c r="E48" s="65"/>
      <c r="F48" s="65"/>
      <c r="G48" s="65"/>
      <c r="H48" s="65"/>
      <c r="I48" s="65"/>
      <c r="J48" s="65"/>
      <c r="K48" s="65"/>
      <c r="L48" s="65"/>
      <c r="M48" s="65"/>
      <c r="N48" s="65"/>
      <c r="O48" s="65"/>
      <c r="P48" s="65"/>
      <c r="Q48" s="65"/>
      <c r="R48" s="65"/>
      <c r="S48" s="65"/>
      <c r="T48" s="65"/>
    </row>
    <row r="49" spans="3:20" ht="15">
      <c r="C49" s="65"/>
      <c r="D49" s="65"/>
      <c r="E49" s="65"/>
      <c r="F49" s="65"/>
      <c r="G49" s="65"/>
      <c r="H49" s="65"/>
      <c r="I49" s="65"/>
      <c r="J49" s="65"/>
      <c r="K49" s="65"/>
      <c r="L49" s="65"/>
      <c r="M49" s="65"/>
      <c r="N49" s="65"/>
      <c r="O49" s="65"/>
      <c r="P49" s="65"/>
      <c r="Q49" s="65"/>
      <c r="R49" s="65"/>
      <c r="S49" s="65"/>
      <c r="T49" s="65"/>
    </row>
    <row r="50" spans="3:20" ht="15">
      <c r="C50" s="65"/>
      <c r="D50" s="65"/>
      <c r="E50" s="65"/>
      <c r="F50" s="65"/>
      <c r="G50" s="65"/>
      <c r="H50" s="65"/>
      <c r="I50" s="65"/>
      <c r="J50" s="65"/>
      <c r="K50" s="65"/>
      <c r="L50" s="65"/>
      <c r="M50" s="65"/>
      <c r="N50" s="65"/>
      <c r="O50" s="65"/>
      <c r="P50" s="65"/>
      <c r="Q50" s="65"/>
      <c r="R50" s="65"/>
      <c r="S50" s="65"/>
      <c r="T50" s="65"/>
    </row>
    <row r="51" spans="3:20" ht="15">
      <c r="C51" s="65"/>
      <c r="D51" s="65"/>
      <c r="E51" s="65"/>
      <c r="F51" s="65"/>
      <c r="G51" s="65"/>
      <c r="H51" s="65"/>
      <c r="I51" s="65"/>
      <c r="J51" s="65"/>
      <c r="K51" s="65"/>
      <c r="L51" s="65"/>
      <c r="M51" s="65"/>
      <c r="N51" s="65"/>
      <c r="O51" s="65"/>
      <c r="P51" s="65"/>
      <c r="Q51" s="65"/>
      <c r="R51" s="65"/>
      <c r="S51" s="65"/>
      <c r="T51" s="65"/>
    </row>
    <row r="52" spans="3:20" ht="15">
      <c r="C52" s="65"/>
      <c r="D52" s="65"/>
      <c r="E52" s="65"/>
      <c r="F52" s="65"/>
      <c r="G52" s="65"/>
      <c r="H52" s="65"/>
      <c r="I52" s="65"/>
      <c r="J52" s="65"/>
      <c r="K52" s="65"/>
      <c r="L52" s="65"/>
      <c r="M52" s="65"/>
      <c r="N52" s="65"/>
      <c r="O52" s="65"/>
      <c r="P52" s="65"/>
      <c r="Q52" s="65"/>
      <c r="R52" s="65"/>
      <c r="S52" s="65"/>
      <c r="T52" s="65"/>
    </row>
    <row r="53" spans="3:20" ht="15">
      <c r="C53" s="65"/>
      <c r="D53" s="65"/>
      <c r="E53" s="65"/>
      <c r="F53" s="65"/>
      <c r="G53" s="65"/>
      <c r="H53" s="65"/>
      <c r="I53" s="65"/>
      <c r="J53" s="65"/>
      <c r="K53" s="65"/>
      <c r="L53" s="65"/>
      <c r="M53" s="65"/>
      <c r="N53" s="65"/>
      <c r="O53" s="65"/>
      <c r="P53" s="65"/>
      <c r="Q53" s="65"/>
      <c r="R53" s="65"/>
      <c r="S53" s="65"/>
      <c r="T53" s="65"/>
    </row>
    <row r="54" spans="3:20" ht="15">
      <c r="C54" s="65"/>
      <c r="D54" s="65"/>
      <c r="E54" s="65"/>
      <c r="F54" s="65"/>
      <c r="G54" s="65"/>
      <c r="H54" s="65"/>
      <c r="I54" s="65"/>
      <c r="J54" s="65"/>
      <c r="K54" s="65"/>
      <c r="L54" s="65"/>
      <c r="M54" s="65"/>
      <c r="N54" s="65"/>
      <c r="O54" s="65"/>
      <c r="P54" s="65"/>
      <c r="Q54" s="65"/>
      <c r="R54" s="65"/>
      <c r="S54" s="65"/>
      <c r="T54" s="65"/>
    </row>
    <row r="55" spans="3:20" ht="15">
      <c r="C55" s="65"/>
      <c r="D55" s="65"/>
      <c r="E55" s="65"/>
      <c r="F55" s="65"/>
      <c r="G55" s="65"/>
      <c r="H55" s="65"/>
      <c r="I55" s="65"/>
      <c r="J55" s="65"/>
      <c r="K55" s="65"/>
      <c r="L55" s="65"/>
      <c r="M55" s="65"/>
      <c r="N55" s="65"/>
      <c r="O55" s="65"/>
      <c r="P55" s="65"/>
      <c r="Q55" s="65"/>
      <c r="R55" s="65"/>
      <c r="S55" s="65"/>
      <c r="T55" s="65"/>
    </row>
    <row r="56" spans="3:20" ht="15">
      <c r="C56" s="65"/>
      <c r="D56" s="65"/>
      <c r="E56" s="65"/>
      <c r="F56" s="65"/>
      <c r="G56" s="65"/>
      <c r="H56" s="65"/>
      <c r="I56" s="65"/>
      <c r="J56" s="65"/>
      <c r="K56" s="65"/>
      <c r="L56" s="65"/>
      <c r="M56" s="65"/>
      <c r="N56" s="65"/>
      <c r="O56" s="65"/>
      <c r="P56" s="65"/>
      <c r="Q56" s="65"/>
      <c r="R56" s="65"/>
      <c r="S56" s="65"/>
      <c r="T56" s="65"/>
    </row>
    <row r="57" spans="3:20" ht="15">
      <c r="C57" s="65"/>
      <c r="D57" s="65"/>
      <c r="E57" s="65"/>
      <c r="F57" s="65"/>
      <c r="G57" s="65"/>
      <c r="H57" s="65"/>
      <c r="I57" s="65"/>
      <c r="J57" s="65"/>
      <c r="K57" s="65"/>
      <c r="L57" s="65"/>
      <c r="M57" s="65"/>
      <c r="N57" s="65"/>
      <c r="O57" s="65"/>
      <c r="P57" s="65"/>
      <c r="Q57" s="65"/>
      <c r="R57" s="65"/>
      <c r="S57" s="65"/>
      <c r="T57" s="65"/>
    </row>
    <row r="58" spans="3:20" ht="15">
      <c r="C58" s="65"/>
      <c r="D58" s="65"/>
      <c r="E58" s="65"/>
      <c r="F58" s="65"/>
      <c r="G58" s="65"/>
      <c r="H58" s="65"/>
      <c r="I58" s="65"/>
      <c r="J58" s="65"/>
      <c r="K58" s="65"/>
      <c r="L58" s="65"/>
      <c r="M58" s="65"/>
      <c r="N58" s="65"/>
      <c r="O58" s="65"/>
      <c r="P58" s="65"/>
      <c r="Q58" s="65"/>
      <c r="R58" s="65"/>
      <c r="S58" s="65"/>
      <c r="T58" s="65"/>
    </row>
    <row r="59" spans="3:20" ht="15">
      <c r="C59" s="65"/>
      <c r="D59" s="65"/>
      <c r="E59" s="65"/>
      <c r="F59" s="65"/>
      <c r="G59" s="65"/>
      <c r="H59" s="65"/>
      <c r="I59" s="65"/>
      <c r="J59" s="65"/>
      <c r="K59" s="65"/>
      <c r="L59" s="65"/>
      <c r="M59" s="65"/>
      <c r="N59" s="65"/>
      <c r="O59" s="65"/>
      <c r="P59" s="65"/>
      <c r="Q59" s="65"/>
      <c r="R59" s="65"/>
      <c r="S59" s="65"/>
      <c r="T59" s="65"/>
    </row>
    <row r="60" spans="3:20" ht="15">
      <c r="C60" s="65"/>
      <c r="D60" s="65"/>
      <c r="E60" s="65"/>
      <c r="F60" s="65"/>
      <c r="G60" s="65"/>
      <c r="H60" s="622"/>
      <c r="I60" s="65"/>
      <c r="J60" s="65"/>
      <c r="K60" s="65"/>
      <c r="L60" s="65"/>
      <c r="M60" s="65"/>
      <c r="N60" s="65"/>
      <c r="O60" s="65"/>
      <c r="P60" s="65"/>
      <c r="Q60" s="65"/>
      <c r="R60" s="65"/>
      <c r="S60" s="65"/>
      <c r="T60" s="65"/>
    </row>
    <row r="61" spans="3:20" ht="15">
      <c r="C61" s="65"/>
      <c r="D61" s="65"/>
      <c r="E61" s="65"/>
      <c r="F61" s="65"/>
      <c r="G61" s="65"/>
      <c r="H61" s="65"/>
      <c r="I61" s="65"/>
      <c r="J61" s="65"/>
      <c r="K61" s="65"/>
      <c r="L61" s="65"/>
      <c r="M61" s="65"/>
      <c r="N61" s="65"/>
      <c r="O61" s="65"/>
      <c r="P61" s="65"/>
      <c r="Q61" s="65"/>
      <c r="R61" s="65"/>
      <c r="S61" s="65"/>
      <c r="T61" s="65"/>
    </row>
    <row r="62" spans="3:20" ht="15">
      <c r="C62" s="65"/>
      <c r="D62" s="65"/>
      <c r="E62" s="65"/>
      <c r="F62" s="65"/>
      <c r="G62" s="65"/>
      <c r="H62" s="65"/>
      <c r="I62" s="65"/>
      <c r="J62" s="65"/>
      <c r="K62" s="65"/>
      <c r="L62" s="65"/>
      <c r="M62" s="65"/>
      <c r="N62" s="65"/>
      <c r="O62" s="65"/>
      <c r="P62" s="65"/>
      <c r="Q62" s="65"/>
      <c r="R62" s="65"/>
      <c r="S62" s="65"/>
      <c r="T62" s="65"/>
    </row>
    <row r="63" spans="3:20" ht="15">
      <c r="C63" s="65"/>
      <c r="D63" s="65"/>
      <c r="E63" s="65"/>
      <c r="F63" s="65"/>
      <c r="G63" s="65"/>
      <c r="H63" s="65"/>
      <c r="I63" s="65"/>
      <c r="J63" s="65"/>
      <c r="K63" s="65"/>
      <c r="L63" s="65"/>
      <c r="M63" s="65"/>
      <c r="N63" s="65"/>
      <c r="O63" s="65"/>
      <c r="P63" s="65"/>
      <c r="Q63" s="65"/>
      <c r="R63" s="65"/>
      <c r="S63" s="65"/>
      <c r="T63" s="65"/>
    </row>
    <row r="64" spans="3:20" ht="15">
      <c r="C64" s="65"/>
      <c r="D64" s="65"/>
      <c r="E64" s="65"/>
      <c r="F64" s="65"/>
      <c r="G64" s="65"/>
      <c r="H64" s="65"/>
      <c r="I64" s="65"/>
      <c r="J64" s="65"/>
      <c r="K64" s="65"/>
      <c r="L64" s="65"/>
      <c r="M64" s="65"/>
      <c r="N64" s="65"/>
      <c r="O64" s="65"/>
      <c r="P64" s="65"/>
      <c r="Q64" s="65"/>
      <c r="R64" s="65"/>
      <c r="S64" s="65"/>
      <c r="T64" s="65"/>
    </row>
    <row r="65" spans="3:20" ht="15">
      <c r="C65" s="65"/>
      <c r="D65" s="65"/>
      <c r="E65" s="65"/>
      <c r="F65" s="65"/>
      <c r="G65" s="65"/>
      <c r="H65" s="65"/>
      <c r="I65" s="65"/>
      <c r="J65" s="65"/>
      <c r="K65" s="65"/>
      <c r="L65" s="65"/>
      <c r="M65" s="65"/>
      <c r="N65" s="65"/>
      <c r="O65" s="65"/>
      <c r="P65" s="65"/>
      <c r="Q65" s="65"/>
      <c r="R65" s="65"/>
      <c r="S65" s="65"/>
      <c r="T65" s="65"/>
    </row>
    <row r="66" spans="3:20" ht="15">
      <c r="C66" s="65"/>
      <c r="D66" s="65"/>
      <c r="E66" s="65"/>
      <c r="F66" s="65"/>
      <c r="G66" s="65"/>
      <c r="H66" s="65"/>
      <c r="I66" s="65"/>
      <c r="J66" s="65"/>
      <c r="K66" s="65"/>
      <c r="L66" s="65"/>
      <c r="M66" s="65"/>
      <c r="N66" s="65"/>
      <c r="O66" s="65"/>
      <c r="P66" s="65"/>
      <c r="Q66" s="65"/>
      <c r="R66" s="65"/>
      <c r="S66" s="65"/>
      <c r="T66" s="65"/>
    </row>
    <row r="67" spans="3:20" ht="15">
      <c r="C67" s="65"/>
      <c r="D67" s="65"/>
      <c r="E67" s="65"/>
      <c r="F67" s="65"/>
      <c r="G67" s="65"/>
      <c r="H67" s="65"/>
      <c r="I67" s="65"/>
      <c r="J67" s="65"/>
      <c r="K67" s="65"/>
      <c r="L67" s="65"/>
      <c r="M67" s="65"/>
      <c r="N67" s="65"/>
      <c r="O67" s="65"/>
      <c r="P67" s="65"/>
      <c r="Q67" s="65"/>
      <c r="R67" s="65"/>
      <c r="S67" s="65"/>
      <c r="T67" s="65"/>
    </row>
    <row r="68" spans="3:20" ht="15">
      <c r="C68" s="65"/>
      <c r="D68" s="65"/>
      <c r="E68" s="65"/>
      <c r="F68" s="65"/>
      <c r="G68" s="65"/>
      <c r="H68" s="65"/>
      <c r="I68" s="65"/>
      <c r="J68" s="65"/>
      <c r="K68" s="65"/>
      <c r="L68" s="65"/>
      <c r="M68" s="65"/>
      <c r="N68" s="65"/>
      <c r="O68" s="65"/>
      <c r="P68" s="65"/>
      <c r="Q68" s="65"/>
      <c r="R68" s="65"/>
      <c r="S68" s="65"/>
      <c r="T68" s="65"/>
    </row>
    <row r="69" spans="3:20" ht="15">
      <c r="C69" s="65"/>
      <c r="D69" s="65"/>
      <c r="E69" s="65"/>
      <c r="F69" s="65"/>
      <c r="G69" s="65"/>
      <c r="H69" s="65"/>
      <c r="I69" s="65"/>
      <c r="J69" s="65"/>
      <c r="K69" s="65"/>
      <c r="L69" s="65"/>
      <c r="M69" s="65"/>
      <c r="N69" s="65"/>
      <c r="O69" s="65"/>
      <c r="P69" s="65"/>
      <c r="Q69" s="65"/>
      <c r="R69" s="65"/>
      <c r="S69" s="65"/>
      <c r="T69" s="65"/>
    </row>
    <row r="70" spans="3:20" ht="15">
      <c r="C70" s="65"/>
      <c r="D70" s="65"/>
      <c r="E70" s="65"/>
      <c r="F70" s="65"/>
      <c r="G70" s="65"/>
      <c r="H70" s="65"/>
      <c r="I70" s="65"/>
      <c r="J70" s="65"/>
      <c r="K70" s="65"/>
      <c r="L70" s="65"/>
      <c r="M70" s="65"/>
      <c r="N70" s="65"/>
      <c r="O70" s="65"/>
      <c r="P70" s="65"/>
      <c r="Q70" s="65"/>
      <c r="R70" s="65"/>
      <c r="S70" s="65"/>
      <c r="T70" s="65"/>
    </row>
    <row r="71" spans="3:20" ht="15">
      <c r="C71" s="65"/>
      <c r="D71" s="65"/>
      <c r="E71" s="65"/>
      <c r="F71" s="65"/>
    </row>
  </sheetData>
  <mergeCells count="5">
    <mergeCell ref="R5:T5"/>
    <mergeCell ref="M4:O4"/>
    <mergeCell ref="R4:T4"/>
    <mergeCell ref="C19:L19"/>
    <mergeCell ref="C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C6:V60"/>
  <sheetViews>
    <sheetView showGridLines="0" tabSelected="1" zoomScale="87" zoomScaleNormal="87" workbookViewId="0">
      <selection activeCell="S69" sqref="S69"/>
    </sheetView>
  </sheetViews>
  <sheetFormatPr defaultColWidth="8.85546875" defaultRowHeight="11.25"/>
  <cols>
    <col min="18" max="22" width="10.28515625" bestFit="1" customWidth="1"/>
    <col min="24" max="24" width="3.42578125" bestFit="1" customWidth="1"/>
    <col min="25" max="25" width="11.140625" bestFit="1" customWidth="1"/>
    <col min="26" max="29" width="12.28515625" bestFit="1" customWidth="1"/>
  </cols>
  <sheetData>
    <row r="6" spans="3:22" ht="15">
      <c r="C6" s="754" t="s">
        <v>603</v>
      </c>
      <c r="D6" s="755"/>
      <c r="E6" s="755"/>
      <c r="F6" s="755"/>
      <c r="G6" s="755"/>
      <c r="H6" s="755"/>
      <c r="I6" s="755"/>
      <c r="J6" s="755"/>
      <c r="K6" s="755"/>
      <c r="L6" s="756"/>
      <c r="M6" s="379"/>
      <c r="N6" s="754" t="s">
        <v>604</v>
      </c>
      <c r="O6" s="755"/>
      <c r="P6" s="755"/>
      <c r="Q6" s="755"/>
      <c r="R6" s="755"/>
      <c r="S6" s="755"/>
      <c r="T6" s="755"/>
      <c r="U6" s="755"/>
      <c r="V6" s="755"/>
    </row>
    <row r="7" spans="3:22" ht="15" customHeight="1">
      <c r="C7" s="380"/>
      <c r="D7" s="381"/>
      <c r="E7" s="381"/>
      <c r="F7" s="381"/>
      <c r="G7" s="382" t="s">
        <v>605</v>
      </c>
      <c r="H7" s="383" t="s">
        <v>606</v>
      </c>
      <c r="I7" s="384" t="s">
        <v>607</v>
      </c>
      <c r="J7" s="384" t="s">
        <v>608</v>
      </c>
      <c r="K7" s="384" t="s">
        <v>609</v>
      </c>
      <c r="L7" s="385" t="s">
        <v>736</v>
      </c>
      <c r="M7" s="379"/>
      <c r="N7" s="386" t="s">
        <v>610</v>
      </c>
      <c r="O7" s="387"/>
      <c r="P7" s="387"/>
      <c r="Q7" s="387"/>
      <c r="R7" s="387"/>
      <c r="S7" s="387"/>
      <c r="T7" s="387"/>
      <c r="U7" s="381"/>
      <c r="V7" s="388">
        <f>'Public Comparables'!E7</f>
        <v>187.07499999999999</v>
      </c>
    </row>
    <row r="8" spans="3:22" ht="15">
      <c r="C8" s="386" t="s">
        <v>11</v>
      </c>
      <c r="D8" s="387"/>
      <c r="E8" s="387"/>
      <c r="F8" s="387"/>
      <c r="G8" s="401">
        <f>'Key Stats'!L15</f>
        <v>14795.678571428571</v>
      </c>
      <c r="H8" s="535">
        <f>'Key Stats'!M15</f>
        <v>15796.392857142861</v>
      </c>
      <c r="I8" s="536">
        <f>'Key Stats'!N15</f>
        <v>16822.777777777781</v>
      </c>
      <c r="J8" s="389">
        <f>'Discounted Cash Flow Valuation'!J6</f>
        <v>17938.224539644736</v>
      </c>
      <c r="K8" s="389">
        <f>'Discounted Cash Flow Valuation'!K6</f>
        <v>19115.704369356539</v>
      </c>
      <c r="L8" s="537">
        <f>'Discounted Cash Flow Valuation'!L6</f>
        <v>20376.830137367051</v>
      </c>
      <c r="M8" s="379"/>
      <c r="N8" s="386" t="s">
        <v>611</v>
      </c>
      <c r="O8" s="387"/>
      <c r="P8" s="387"/>
      <c r="Q8" s="387"/>
      <c r="R8" s="387"/>
      <c r="S8" s="387"/>
      <c r="T8" s="387"/>
      <c r="U8" s="387"/>
      <c r="V8" s="391">
        <v>0.24</v>
      </c>
    </row>
    <row r="9" spans="3:22" ht="15">
      <c r="C9" s="386" t="s">
        <v>612</v>
      </c>
      <c r="D9" s="387"/>
      <c r="E9" s="387"/>
      <c r="F9" s="387"/>
      <c r="G9" s="392">
        <f>G8-G10</f>
        <v>12062.528641213186</v>
      </c>
      <c r="H9" s="393">
        <f>H8-H10</f>
        <v>12901.224132796408</v>
      </c>
      <c r="I9" s="394">
        <f t="shared" ref="I9:L9" si="0">I8-I10</f>
        <v>13788.329193478947</v>
      </c>
      <c r="J9" s="394">
        <f t="shared" si="0"/>
        <v>14821.469253242914</v>
      </c>
      <c r="K9" s="394">
        <f t="shared" si="0"/>
        <v>15864.74252236772</v>
      </c>
      <c r="L9" s="395">
        <f t="shared" si="0"/>
        <v>16969.352369204222</v>
      </c>
      <c r="M9" s="396"/>
      <c r="N9" s="397" t="s">
        <v>613</v>
      </c>
      <c r="O9" s="398"/>
      <c r="P9" s="398"/>
      <c r="Q9" s="398"/>
      <c r="R9" s="398"/>
      <c r="S9" s="398"/>
      <c r="T9" s="398"/>
      <c r="U9" s="398"/>
      <c r="V9" s="399">
        <f>V7*(1+V8)</f>
        <v>231.97299999999998</v>
      </c>
    </row>
    <row r="10" spans="3:22" ht="15">
      <c r="C10" s="397" t="s">
        <v>1</v>
      </c>
      <c r="D10" s="398"/>
      <c r="E10" s="398"/>
      <c r="F10" s="398"/>
      <c r="G10" s="537">
        <f>'Discounted Cash Flow Valuation'!G19</f>
        <v>2733.1499302153834</v>
      </c>
      <c r="H10" s="400">
        <f>'Discounted Cash Flow Valuation'!H19</f>
        <v>2895.168724346453</v>
      </c>
      <c r="I10" s="400">
        <f>'Discounted Cash Flow Valuation'!I19</f>
        <v>3034.4485842988342</v>
      </c>
      <c r="J10" s="400">
        <f>'Discounted Cash Flow Valuation'!J19</f>
        <v>3116.7552864018216</v>
      </c>
      <c r="K10" s="400">
        <f>'Discounted Cash Flow Valuation'!K19</f>
        <v>3250.9618469888192</v>
      </c>
      <c r="L10" s="537">
        <f>'Discounted Cash Flow Valuation'!L19</f>
        <v>3407.4777681628311</v>
      </c>
      <c r="M10" s="396"/>
      <c r="N10" s="386" t="s">
        <v>614</v>
      </c>
      <c r="O10" s="387"/>
      <c r="P10" s="387"/>
      <c r="Q10" s="387"/>
      <c r="R10" s="387"/>
      <c r="S10" s="387"/>
      <c r="T10" s="387"/>
      <c r="U10" s="402"/>
      <c r="V10" s="407">
        <f>'Key Stats'!D36</f>
        <v>373.81008500000002</v>
      </c>
    </row>
    <row r="11" spans="3:22" ht="15">
      <c r="C11" s="386" t="s">
        <v>20</v>
      </c>
      <c r="D11" s="387"/>
      <c r="E11" s="387"/>
      <c r="F11" s="387"/>
      <c r="G11" s="403"/>
      <c r="H11" s="393">
        <f ca="1">H53</f>
        <v>646.21513256219066</v>
      </c>
      <c r="I11" s="394">
        <f ca="1">I53</f>
        <v>506.73428640834447</v>
      </c>
      <c r="J11" s="394">
        <f ca="1">J53</f>
        <v>422.66923076923064</v>
      </c>
      <c r="K11" s="394">
        <f t="shared" ref="K11:L11" ca="1" si="1">K53</f>
        <v>388.8556923076921</v>
      </c>
      <c r="L11" s="395">
        <f t="shared" ca="1" si="1"/>
        <v>355.04215384615367</v>
      </c>
      <c r="M11" s="396"/>
      <c r="N11" s="397" t="s">
        <v>615</v>
      </c>
      <c r="O11" s="398"/>
      <c r="P11" s="398"/>
      <c r="Q11" s="398"/>
      <c r="R11" s="398"/>
      <c r="S11" s="398"/>
      <c r="T11" s="398"/>
      <c r="U11" s="387"/>
      <c r="V11" s="404">
        <f>V9*V10</f>
        <v>86713.846847705005</v>
      </c>
    </row>
    <row r="12" spans="3:22" ht="15">
      <c r="C12" s="397" t="s">
        <v>616</v>
      </c>
      <c r="D12" s="398"/>
      <c r="E12" s="398"/>
      <c r="F12" s="398"/>
      <c r="G12" s="405"/>
      <c r="H12" s="406">
        <f ca="1">H10-H11</f>
        <v>2248.9535917842622</v>
      </c>
      <c r="I12" s="405">
        <f t="shared" ref="I12:L12" ca="1" si="2">I10-I11</f>
        <v>2527.7142978904899</v>
      </c>
      <c r="J12" s="405">
        <f t="shared" ca="1" si="2"/>
        <v>2694.0860556325911</v>
      </c>
      <c r="K12" s="405">
        <f t="shared" ca="1" si="2"/>
        <v>2862.106154681127</v>
      </c>
      <c r="L12" s="404">
        <f t="shared" ca="1" si="2"/>
        <v>3052.4356143166774</v>
      </c>
      <c r="M12" s="396"/>
      <c r="N12" s="386" t="s">
        <v>617</v>
      </c>
      <c r="O12" s="387"/>
      <c r="P12" s="387"/>
      <c r="Q12" s="387"/>
      <c r="R12" s="387"/>
      <c r="S12" s="387"/>
      <c r="T12" s="387"/>
      <c r="U12" s="387"/>
      <c r="V12" s="407">
        <f>'Key Stats'!D39</f>
        <v>8471</v>
      </c>
    </row>
    <row r="13" spans="3:22" ht="15">
      <c r="C13" s="386" t="s">
        <v>618</v>
      </c>
      <c r="D13" s="408"/>
      <c r="E13" s="408">
        <v>0.21</v>
      </c>
      <c r="F13" s="387"/>
      <c r="G13" s="409"/>
      <c r="H13" s="410">
        <f ca="1">H12*$E$13</f>
        <v>472.28025427469504</v>
      </c>
      <c r="I13" s="411">
        <f ca="1">I12*$E$13</f>
        <v>530.82000255700291</v>
      </c>
      <c r="J13" s="411">
        <f ca="1">J12*$E$13</f>
        <v>565.75807168284405</v>
      </c>
      <c r="K13" s="411">
        <f ca="1">K12*$E$13</f>
        <v>601.0422924830367</v>
      </c>
      <c r="L13" s="412">
        <f ca="1">L12*$E$13</f>
        <v>641.01147900650221</v>
      </c>
      <c r="M13" s="396"/>
      <c r="N13" s="386" t="s">
        <v>619</v>
      </c>
      <c r="O13" s="387"/>
      <c r="P13" s="387"/>
      <c r="Q13" s="387"/>
      <c r="R13" s="387"/>
      <c r="S13" s="387"/>
      <c r="T13" s="387"/>
      <c r="U13" s="387"/>
      <c r="V13" s="407">
        <f>-'Key Stats'!D38</f>
        <v>-1758</v>
      </c>
    </row>
    <row r="14" spans="3:22" ht="15">
      <c r="C14" s="397" t="s">
        <v>2</v>
      </c>
      <c r="D14" s="398"/>
      <c r="E14" s="398"/>
      <c r="F14" s="398"/>
      <c r="G14" s="405"/>
      <c r="H14" s="406">
        <f ca="1">H12-H13</f>
        <v>1776.6733375095673</v>
      </c>
      <c r="I14" s="405">
        <f t="shared" ref="I14:L14" ca="1" si="3">I12-I13</f>
        <v>1996.894295333487</v>
      </c>
      <c r="J14" s="405">
        <f t="shared" ca="1" si="3"/>
        <v>2128.3279839497472</v>
      </c>
      <c r="K14" s="405">
        <f t="shared" ca="1" si="3"/>
        <v>2261.0638621980902</v>
      </c>
      <c r="L14" s="404">
        <f t="shared" ca="1" si="3"/>
        <v>2411.4241353101752</v>
      </c>
      <c r="M14" s="396"/>
      <c r="N14" s="397" t="s">
        <v>604</v>
      </c>
      <c r="O14" s="398"/>
      <c r="P14" s="398"/>
      <c r="Q14" s="398"/>
      <c r="R14" s="398"/>
      <c r="S14" s="398"/>
      <c r="T14" s="398"/>
      <c r="U14" s="398"/>
      <c r="V14" s="404">
        <f>SUM(V11:V13)</f>
        <v>93426.846847705005</v>
      </c>
    </row>
    <row r="15" spans="3:22" ht="15">
      <c r="C15" s="386"/>
      <c r="D15" s="387"/>
      <c r="E15" s="387"/>
      <c r="F15" s="387"/>
      <c r="G15" s="413"/>
      <c r="H15" s="387"/>
      <c r="I15" s="387"/>
      <c r="J15" s="387"/>
      <c r="K15" s="387"/>
      <c r="L15" s="413"/>
      <c r="M15" s="396"/>
      <c r="N15" s="386"/>
      <c r="O15" s="387"/>
      <c r="P15" s="387"/>
      <c r="Q15" s="387"/>
      <c r="R15" s="387"/>
      <c r="S15" s="387"/>
      <c r="T15" s="387"/>
      <c r="U15" s="387"/>
      <c r="V15" s="413"/>
    </row>
    <row r="16" spans="3:22" ht="15">
      <c r="C16" s="386" t="s">
        <v>620</v>
      </c>
      <c r="D16" s="387"/>
      <c r="E16" s="387"/>
      <c r="F16" s="387"/>
      <c r="G16" s="390">
        <f>'Discounted Cash Flow Valuation'!G15</f>
        <v>402.88739530811017</v>
      </c>
      <c r="H16" s="538">
        <f>'Discounted Cash Flow Valuation'!H15</f>
        <v>484.56908692239489</v>
      </c>
      <c r="I16" s="389">
        <f>'Discounted Cash Flow Valuation'!I15</f>
        <v>574.02335070615584</v>
      </c>
      <c r="J16" s="389">
        <f>'Discounted Cash Flow Valuation'!J15</f>
        <v>673.89701787867489</v>
      </c>
      <c r="K16" s="389">
        <f>'Discounted Cash Flow Valuation'!K15</f>
        <v>784.00222753416813</v>
      </c>
      <c r="L16" s="390">
        <f>'Discounted Cash Flow Valuation'!L15</f>
        <v>905.94114633204197</v>
      </c>
      <c r="M16" s="396"/>
      <c r="N16" s="602" t="s">
        <v>751</v>
      </c>
      <c r="O16" s="387"/>
      <c r="P16" s="387"/>
      <c r="Q16" s="387"/>
      <c r="R16" s="387"/>
      <c r="S16" s="387"/>
      <c r="T16" s="387"/>
      <c r="U16" s="387"/>
      <c r="V16" s="414">
        <f>'Key Stats'!L21</f>
        <v>4226.6923076923067</v>
      </c>
    </row>
    <row r="17" spans="3:22" ht="15">
      <c r="C17" s="380" t="s">
        <v>621</v>
      </c>
      <c r="D17" s="381"/>
      <c r="E17" s="381"/>
      <c r="F17" s="381"/>
      <c r="G17" s="415"/>
      <c r="H17" s="416">
        <f>'Discounted Cash Flow Valuation'!S9</f>
        <v>98.429893203534903</v>
      </c>
      <c r="I17" s="416">
        <f>'Discounted Cash Flow Valuation'!T9</f>
        <v>110.68651742484826</v>
      </c>
      <c r="J17" s="416">
        <f>'Discounted Cash Flow Valuation'!U9</f>
        <v>150.74645305818285</v>
      </c>
      <c r="K17" s="416">
        <f>'Discounted Cash Flow Valuation'!V9</f>
        <v>135.27988762001678</v>
      </c>
      <c r="L17" s="415">
        <f>'Discounted Cash Flow Valuation'!W9</f>
        <v>137.19018692818281</v>
      </c>
      <c r="M17" s="379"/>
      <c r="N17" s="417" t="s">
        <v>622</v>
      </c>
      <c r="O17" s="418"/>
      <c r="P17" s="418"/>
      <c r="Q17" s="418"/>
      <c r="R17" s="418"/>
      <c r="S17" s="418"/>
      <c r="T17" s="418"/>
      <c r="U17" s="418"/>
      <c r="V17" s="419">
        <f>V14/V16</f>
        <v>22.104009482231337</v>
      </c>
    </row>
    <row r="18" spans="3:22" ht="15">
      <c r="C18" s="386" t="s">
        <v>623</v>
      </c>
      <c r="D18" s="387"/>
      <c r="E18" s="387"/>
      <c r="F18" s="387"/>
      <c r="G18" s="407"/>
      <c r="H18" s="403">
        <f>'Discounted Cash Flow Valuation'!S8</f>
        <v>702.29776449225483</v>
      </c>
      <c r="I18" s="403">
        <f>'Discounted Cash Flow Valuation'!T8</f>
        <v>747.93019727544686</v>
      </c>
      <c r="J18" s="403">
        <f>'Discounted Cash Flow Valuation'!U8</f>
        <v>797.52226391710781</v>
      </c>
      <c r="K18" s="403">
        <f>'Discounted Cash Flow Valuation'!V8</f>
        <v>849.87228202693166</v>
      </c>
      <c r="L18" s="407">
        <f>'Discounted Cash Flow Valuation'!W8</f>
        <v>905.94114633204219</v>
      </c>
      <c r="M18" s="396"/>
      <c r="N18" s="396"/>
      <c r="O18" s="396"/>
      <c r="P18" s="396"/>
      <c r="Q18" s="396"/>
      <c r="R18" s="396"/>
      <c r="S18" s="396"/>
      <c r="T18" s="396"/>
      <c r="U18" s="396"/>
      <c r="V18" s="396"/>
    </row>
    <row r="19" spans="3:22" ht="15">
      <c r="C19" s="386" t="s">
        <v>624</v>
      </c>
      <c r="D19" s="387"/>
      <c r="E19" s="387"/>
      <c r="F19" s="387"/>
      <c r="G19" s="413"/>
      <c r="H19" s="409">
        <f>H29</f>
        <v>-845.33846153846139</v>
      </c>
      <c r="I19" s="409">
        <f t="shared" ref="I19:L19" si="4">I29</f>
        <v>-845.33846153846139</v>
      </c>
      <c r="J19" s="409">
        <f t="shared" si="4"/>
        <v>-845.33846153846139</v>
      </c>
      <c r="K19" s="409">
        <f t="shared" si="4"/>
        <v>-845.33846153846139</v>
      </c>
      <c r="L19" s="412">
        <f t="shared" si="4"/>
        <v>-845.33846153846139</v>
      </c>
      <c r="M19" s="396"/>
      <c r="N19" s="754" t="s">
        <v>625</v>
      </c>
      <c r="O19" s="755"/>
      <c r="P19" s="755"/>
      <c r="Q19" s="755"/>
      <c r="R19" s="755"/>
      <c r="S19" s="755"/>
      <c r="T19" s="755"/>
      <c r="U19" s="755"/>
      <c r="V19" s="755"/>
    </row>
    <row r="20" spans="3:22" ht="17.25">
      <c r="C20" s="397" t="s">
        <v>626</v>
      </c>
      <c r="D20" s="398"/>
      <c r="E20" s="398"/>
      <c r="F20" s="398"/>
      <c r="G20" s="420"/>
      <c r="H20" s="405">
        <f ca="1">SUM(H14:H19)</f>
        <v>2216.6316205892908</v>
      </c>
      <c r="I20" s="405">
        <f ca="1">SUM(I14:I19)</f>
        <v>2584.195899201477</v>
      </c>
      <c r="J20" s="405">
        <f t="shared" ref="J20:L20" ca="1" si="5">SUM(J14:J19)</f>
        <v>2905.1552572652517</v>
      </c>
      <c r="K20" s="405">
        <f t="shared" ca="1" si="5"/>
        <v>3184.8797978407456</v>
      </c>
      <c r="L20" s="404">
        <f t="shared" ca="1" si="5"/>
        <v>3515.158153363981</v>
      </c>
      <c r="M20" s="396"/>
      <c r="N20" s="380"/>
      <c r="O20" s="381"/>
      <c r="P20" s="381"/>
      <c r="Q20" s="381"/>
      <c r="R20" s="421" t="s">
        <v>627</v>
      </c>
      <c r="S20" s="421" t="s">
        <v>628</v>
      </c>
      <c r="T20" s="421" t="s">
        <v>629</v>
      </c>
      <c r="U20" s="421" t="s">
        <v>630</v>
      </c>
      <c r="V20" s="422" t="s">
        <v>631</v>
      </c>
    </row>
    <row r="21" spans="3:22" ht="15">
      <c r="C21" s="386" t="s">
        <v>632</v>
      </c>
      <c r="D21" s="387"/>
      <c r="E21" s="387"/>
      <c r="F21" s="387"/>
      <c r="G21" s="413"/>
      <c r="H21" s="423">
        <f ca="1">-IF(H20&gt;0,MIN(H20,H26),0)</f>
        <v>-2216.6316205892908</v>
      </c>
      <c r="I21" s="423">
        <f ca="1">-IF(I20&gt;0,MIN(I20,I26),0)</f>
        <v>-2010.0606871030159</v>
      </c>
      <c r="J21" s="423">
        <f ca="1">-IF(J20&gt;0,MIN(J20,J26),0)</f>
        <v>0</v>
      </c>
      <c r="K21" s="423">
        <f ca="1">-IF(K20&gt;0,MIN(K20,K26),0)</f>
        <v>0</v>
      </c>
      <c r="L21" s="424">
        <f ca="1">-IF(L20&gt;0,MIN(L20,L26),0)</f>
        <v>0</v>
      </c>
      <c r="M21" s="396"/>
      <c r="N21" s="386" t="s">
        <v>633</v>
      </c>
      <c r="O21" s="387"/>
      <c r="P21" s="387"/>
      <c r="Q21" s="387"/>
      <c r="R21" s="396"/>
      <c r="S21" s="425">
        <v>3</v>
      </c>
      <c r="T21" s="426">
        <v>15</v>
      </c>
      <c r="U21" s="427">
        <f>V21/$V$24</f>
        <v>0.13437820102686307</v>
      </c>
      <c r="V21" s="428">
        <f>V16*S21</f>
        <v>12680.07692307692</v>
      </c>
    </row>
    <row r="22" spans="3:22" ht="15">
      <c r="C22" s="397" t="s">
        <v>634</v>
      </c>
      <c r="D22" s="398"/>
      <c r="E22" s="398"/>
      <c r="F22" s="398"/>
      <c r="G22" s="420"/>
      <c r="H22" s="405">
        <f ca="1">H20+H21</f>
        <v>0</v>
      </c>
      <c r="I22" s="405">
        <f t="shared" ref="I22:L22" ca="1" si="6">I20+I21</f>
        <v>574.13521209846112</v>
      </c>
      <c r="J22" s="405">
        <f t="shared" ca="1" si="6"/>
        <v>2905.1552572652517</v>
      </c>
      <c r="K22" s="405">
        <f ca="1">K20+K21</f>
        <v>3184.8797978407456</v>
      </c>
      <c r="L22" s="404">
        <f t="shared" ca="1" si="6"/>
        <v>3515.158153363981</v>
      </c>
      <c r="M22" s="396"/>
      <c r="N22" s="386" t="s">
        <v>635</v>
      </c>
      <c r="O22" s="387"/>
      <c r="P22" s="387"/>
      <c r="Q22" s="387"/>
      <c r="R22" s="396"/>
      <c r="S22" s="425">
        <v>1</v>
      </c>
      <c r="T22" s="396"/>
      <c r="U22" s="427">
        <f>V22/$V$24</f>
        <v>4.4792733675621026E-2</v>
      </c>
      <c r="V22" s="429">
        <f>V16*S22</f>
        <v>4226.6923076923067</v>
      </c>
    </row>
    <row r="23" spans="3:22" ht="15">
      <c r="C23" s="386"/>
      <c r="D23" s="387"/>
      <c r="E23" s="387"/>
      <c r="F23" s="387"/>
      <c r="G23" s="387"/>
      <c r="H23" s="387"/>
      <c r="I23" s="387"/>
      <c r="J23" s="387"/>
      <c r="K23" s="387"/>
      <c r="L23" s="413"/>
      <c r="M23" s="396"/>
      <c r="N23" s="386" t="s">
        <v>636</v>
      </c>
      <c r="O23" s="387"/>
      <c r="P23" s="387"/>
      <c r="Q23" s="387"/>
      <c r="R23" s="387"/>
      <c r="S23" s="387"/>
      <c r="T23" s="430"/>
      <c r="U23" s="431">
        <f t="shared" ref="U23:U24" si="7">V23/$V$24</f>
        <v>0.82082906529751598</v>
      </c>
      <c r="V23" s="429">
        <f>V24-SUM(V21:V22)</f>
        <v>77454.346085412835</v>
      </c>
    </row>
    <row r="24" spans="3:22" ht="15">
      <c r="C24" s="432" t="s">
        <v>239</v>
      </c>
      <c r="D24" s="387"/>
      <c r="E24" s="387"/>
      <c r="F24" s="387"/>
      <c r="G24" s="387"/>
      <c r="H24" s="387"/>
      <c r="I24" s="387"/>
      <c r="J24" s="387"/>
      <c r="K24" s="387"/>
      <c r="L24" s="413"/>
      <c r="M24" s="396"/>
      <c r="N24" s="397" t="s">
        <v>637</v>
      </c>
      <c r="O24" s="398"/>
      <c r="P24" s="398"/>
      <c r="Q24" s="398"/>
      <c r="R24" s="398"/>
      <c r="S24" s="398"/>
      <c r="T24" s="433"/>
      <c r="U24" s="427">
        <f t="shared" si="7"/>
        <v>1</v>
      </c>
      <c r="V24" s="404">
        <f>V29</f>
        <v>94361.115316182055</v>
      </c>
    </row>
    <row r="25" spans="3:22" ht="15">
      <c r="C25" s="386" t="s">
        <v>638</v>
      </c>
      <c r="D25" s="387"/>
      <c r="E25" s="387"/>
      <c r="F25" s="387"/>
      <c r="G25" s="387"/>
      <c r="H25" s="434">
        <f>V21</f>
        <v>12680.07692307692</v>
      </c>
      <c r="I25" s="434">
        <f>H33</f>
        <v>11834.738461538458</v>
      </c>
      <c r="J25" s="434">
        <f>I33</f>
        <v>10989.399999999996</v>
      </c>
      <c r="K25" s="434">
        <f t="shared" ref="K25:L25" si="8">J33</f>
        <v>10144.061538461534</v>
      </c>
      <c r="L25" s="646">
        <f t="shared" si="8"/>
        <v>9298.7230769230719</v>
      </c>
      <c r="M25" s="396"/>
      <c r="N25" s="386"/>
      <c r="O25" s="387"/>
      <c r="P25" s="387"/>
      <c r="Q25" s="387"/>
      <c r="R25" s="387"/>
      <c r="S25" s="387"/>
      <c r="T25" s="387"/>
      <c r="U25" s="387"/>
      <c r="V25" s="413"/>
    </row>
    <row r="26" spans="3:22" ht="15">
      <c r="C26" s="386" t="s">
        <v>639</v>
      </c>
      <c r="D26" s="387"/>
      <c r="E26" s="387"/>
      <c r="F26" s="387"/>
      <c r="G26" s="387"/>
      <c r="H26" s="409">
        <f>V22</f>
        <v>4226.6923076923067</v>
      </c>
      <c r="I26" s="409">
        <f ca="1">H34</f>
        <v>2010.0606871030159</v>
      </c>
      <c r="J26" s="409">
        <f ca="1">I34</f>
        <v>0</v>
      </c>
      <c r="K26" s="409">
        <f ca="1">J34</f>
        <v>0</v>
      </c>
      <c r="L26" s="647">
        <f t="shared" ref="L26" ca="1" si="9">K34</f>
        <v>0</v>
      </c>
      <c r="M26" s="396"/>
      <c r="N26" s="386" t="s">
        <v>604</v>
      </c>
      <c r="O26" s="387"/>
      <c r="P26" s="387"/>
      <c r="Q26" s="387"/>
      <c r="R26" s="387"/>
      <c r="S26" s="387"/>
      <c r="T26" s="387"/>
      <c r="U26" s="427">
        <f>V26/$V$29</f>
        <v>0.99009900990099009</v>
      </c>
      <c r="V26" s="414">
        <f>V14</f>
        <v>93426.846847705005</v>
      </c>
    </row>
    <row r="27" spans="3:22" ht="15">
      <c r="C27" s="397" t="s">
        <v>640</v>
      </c>
      <c r="D27" s="398"/>
      <c r="E27" s="398"/>
      <c r="F27" s="398"/>
      <c r="G27" s="398"/>
      <c r="H27" s="405">
        <f>SUM(H25:H26)</f>
        <v>16906.769230769227</v>
      </c>
      <c r="I27" s="405">
        <f ca="1">SUM(I25:I26)</f>
        <v>13844.799148641474</v>
      </c>
      <c r="J27" s="405">
        <f ca="1">SUM(J25:J26)</f>
        <v>10989.399999999996</v>
      </c>
      <c r="K27" s="405">
        <f t="shared" ref="K27:L27" ca="1" si="10">SUM(K25:K26)</f>
        <v>10144.061538461534</v>
      </c>
      <c r="L27" s="404">
        <f t="shared" ca="1" si="10"/>
        <v>9298.7230769230719</v>
      </c>
      <c r="M27" s="396"/>
      <c r="N27" s="386" t="s">
        <v>641</v>
      </c>
      <c r="O27" s="387"/>
      <c r="P27" s="387"/>
      <c r="Q27" s="387"/>
      <c r="R27" s="387"/>
      <c r="S27" s="387"/>
      <c r="T27" s="387"/>
      <c r="U27" s="427">
        <f>V27/$V$29</f>
        <v>0</v>
      </c>
      <c r="V27" s="435">
        <v>0</v>
      </c>
    </row>
    <row r="28" spans="3:22" ht="15">
      <c r="C28" s="386"/>
      <c r="D28" s="387"/>
      <c r="E28" s="387"/>
      <c r="F28" s="387"/>
      <c r="G28" s="387"/>
      <c r="H28" s="387"/>
      <c r="I28" s="387"/>
      <c r="J28" s="387"/>
      <c r="K28" s="387"/>
      <c r="L28" s="413"/>
      <c r="M28" s="396"/>
      <c r="N28" s="386" t="s">
        <v>642</v>
      </c>
      <c r="O28" s="387"/>
      <c r="P28" s="387"/>
      <c r="Q28" s="387"/>
      <c r="R28" s="408">
        <v>0.01</v>
      </c>
      <c r="S28" s="387"/>
      <c r="T28" s="387"/>
      <c r="U28" s="431">
        <f>V28/$V$29</f>
        <v>9.9009900990099011E-3</v>
      </c>
      <c r="V28" s="429">
        <f>R28*V26</f>
        <v>934.26846847705008</v>
      </c>
    </row>
    <row r="29" spans="3:22" ht="15">
      <c r="C29" s="386" t="s">
        <v>643</v>
      </c>
      <c r="D29" s="387"/>
      <c r="E29" s="387"/>
      <c r="F29" s="387"/>
      <c r="G29" s="387"/>
      <c r="H29" s="436">
        <f>-$V$21/$T$21</f>
        <v>-845.33846153846139</v>
      </c>
      <c r="I29" s="436">
        <f>-$V$21/$T$21</f>
        <v>-845.33846153846139</v>
      </c>
      <c r="J29" s="436">
        <f>-$V$21/$T$21</f>
        <v>-845.33846153846139</v>
      </c>
      <c r="K29" s="436">
        <f>-$V$21/$T$21</f>
        <v>-845.33846153846139</v>
      </c>
      <c r="L29" s="428">
        <f>-$V$21/$T$21</f>
        <v>-845.33846153846139</v>
      </c>
      <c r="M29" s="396"/>
      <c r="N29" s="397" t="s">
        <v>644</v>
      </c>
      <c r="O29" s="398"/>
      <c r="P29" s="398"/>
      <c r="Q29" s="398"/>
      <c r="R29" s="398"/>
      <c r="S29" s="398"/>
      <c r="T29" s="398"/>
      <c r="U29" s="427">
        <f t="shared" ref="U29" si="11">V29/$V$29</f>
        <v>1</v>
      </c>
      <c r="V29" s="404">
        <f>SUM(V26:V28)</f>
        <v>94361.115316182055</v>
      </c>
    </row>
    <row r="30" spans="3:22" ht="15">
      <c r="C30" s="386" t="s">
        <v>645</v>
      </c>
      <c r="D30" s="387"/>
      <c r="E30" s="387"/>
      <c r="F30" s="387"/>
      <c r="G30" s="387"/>
      <c r="H30" s="392">
        <f ca="1">H21</f>
        <v>-2216.6316205892908</v>
      </c>
      <c r="I30" s="392">
        <f t="shared" ref="I30:L30" ca="1" si="12">I21</f>
        <v>-2010.0606871030159</v>
      </c>
      <c r="J30" s="392">
        <f ca="1">J21</f>
        <v>0</v>
      </c>
      <c r="K30" s="392">
        <f t="shared" ca="1" si="12"/>
        <v>0</v>
      </c>
      <c r="L30" s="395">
        <f t="shared" ca="1" si="12"/>
        <v>0</v>
      </c>
      <c r="M30" s="396"/>
      <c r="N30" s="386"/>
      <c r="O30" s="387"/>
      <c r="P30" s="387"/>
      <c r="Q30" s="387"/>
      <c r="R30" s="387"/>
      <c r="S30" s="387"/>
      <c r="T30" s="387"/>
      <c r="U30" s="387"/>
      <c r="V30" s="413"/>
    </row>
    <row r="31" spans="3:22" ht="15">
      <c r="C31" s="397" t="s">
        <v>646</v>
      </c>
      <c r="D31" s="398"/>
      <c r="E31" s="398"/>
      <c r="F31" s="398"/>
      <c r="G31" s="398"/>
      <c r="H31" s="405">
        <f ca="1">SUM(H29:H30)</f>
        <v>-3061.970082127752</v>
      </c>
      <c r="I31" s="405">
        <f ca="1">SUM(I29:I30)</f>
        <v>-2855.399148641477</v>
      </c>
      <c r="J31" s="405">
        <f ca="1">SUM(J29:J30)</f>
        <v>-845.33846153846139</v>
      </c>
      <c r="K31" s="405">
        <f t="shared" ref="K31:L31" ca="1" si="13">SUM(K29:K30)</f>
        <v>-845.33846153846139</v>
      </c>
      <c r="L31" s="404">
        <f t="shared" ca="1" si="13"/>
        <v>-845.33846153846139</v>
      </c>
      <c r="M31" s="396"/>
      <c r="N31" s="437" t="s">
        <v>647</v>
      </c>
      <c r="O31" s="402"/>
      <c r="P31" s="402"/>
      <c r="Q31" s="402"/>
      <c r="R31" s="402"/>
      <c r="S31" s="402"/>
      <c r="T31" s="402"/>
      <c r="U31" s="402"/>
      <c r="V31" s="438">
        <f>SUM(V21:V22)/V16</f>
        <v>4</v>
      </c>
    </row>
    <row r="32" spans="3:22" ht="15">
      <c r="C32" s="386"/>
      <c r="D32" s="387"/>
      <c r="E32" s="387"/>
      <c r="F32" s="387"/>
      <c r="G32" s="387"/>
      <c r="H32" s="387"/>
      <c r="I32" s="387"/>
      <c r="J32" s="387"/>
      <c r="K32" s="387"/>
      <c r="L32" s="413"/>
      <c r="M32" s="396"/>
      <c r="N32" s="396"/>
      <c r="O32" s="396"/>
      <c r="P32" s="396"/>
      <c r="Q32" s="396"/>
      <c r="R32" s="396"/>
      <c r="S32" s="396"/>
      <c r="T32" s="396"/>
      <c r="U32" s="396"/>
      <c r="V32" s="396"/>
    </row>
    <row r="33" spans="3:22" ht="15">
      <c r="C33" s="386" t="s">
        <v>648</v>
      </c>
      <c r="D33" s="387"/>
      <c r="E33" s="387"/>
      <c r="F33" s="387"/>
      <c r="G33" s="387"/>
      <c r="H33" s="434">
        <f t="shared" ref="H33:J34" si="14">H25+H29</f>
        <v>11834.738461538458</v>
      </c>
      <c r="I33" s="434">
        <f t="shared" si="14"/>
        <v>10989.399999999996</v>
      </c>
      <c r="J33" s="434">
        <f t="shared" si="14"/>
        <v>10144.061538461534</v>
      </c>
      <c r="K33" s="434">
        <f t="shared" ref="K33:L34" si="15">K25+K29</f>
        <v>9298.7230769230719</v>
      </c>
      <c r="L33" s="414">
        <f t="shared" si="15"/>
        <v>8453.3846153846098</v>
      </c>
      <c r="M33" s="396"/>
      <c r="N33" s="754" t="s">
        <v>649</v>
      </c>
      <c r="O33" s="755"/>
      <c r="P33" s="755"/>
      <c r="Q33" s="755"/>
      <c r="R33" s="755"/>
      <c r="S33" s="755"/>
      <c r="T33" s="755"/>
      <c r="U33" s="755"/>
      <c r="V33" s="755"/>
    </row>
    <row r="34" spans="3:22" ht="15">
      <c r="C34" s="386" t="s">
        <v>650</v>
      </c>
      <c r="D34" s="387"/>
      <c r="E34" s="387"/>
      <c r="F34" s="387"/>
      <c r="G34" s="387"/>
      <c r="H34" s="409">
        <f t="shared" ca="1" si="14"/>
        <v>2010.0606871030159</v>
      </c>
      <c r="I34" s="409">
        <f t="shared" ca="1" si="14"/>
        <v>0</v>
      </c>
      <c r="J34" s="409">
        <f t="shared" ca="1" si="14"/>
        <v>0</v>
      </c>
      <c r="K34" s="409">
        <f t="shared" ca="1" si="15"/>
        <v>0</v>
      </c>
      <c r="L34" s="412">
        <f t="shared" ca="1" si="15"/>
        <v>0</v>
      </c>
      <c r="M34" s="396"/>
      <c r="N34" s="439"/>
      <c r="O34" s="398"/>
      <c r="P34" s="398"/>
      <c r="Q34" s="398"/>
      <c r="R34" s="440" t="str">
        <f>H7</f>
        <v>2020E</v>
      </c>
      <c r="S34" s="440" t="str">
        <f t="shared" ref="S34:V34" si="16">I7</f>
        <v>2021E</v>
      </c>
      <c r="T34" s="440" t="str">
        <f t="shared" si="16"/>
        <v>2022E</v>
      </c>
      <c r="U34" s="440" t="str">
        <f t="shared" si="16"/>
        <v>2023E</v>
      </c>
      <c r="V34" s="441" t="str">
        <f t="shared" si="16"/>
        <v>2024E</v>
      </c>
    </row>
    <row r="35" spans="3:22" ht="15">
      <c r="C35" s="397" t="s">
        <v>651</v>
      </c>
      <c r="D35" s="398"/>
      <c r="E35" s="398"/>
      <c r="F35" s="398"/>
      <c r="G35" s="398"/>
      <c r="H35" s="405">
        <f ca="1">SUM(H33:H34)</f>
        <v>13844.799148641474</v>
      </c>
      <c r="I35" s="405">
        <f ca="1">SUM(I33:I34)</f>
        <v>10989.399999999996</v>
      </c>
      <c r="J35" s="405">
        <f ca="1">SUM(J33:J34)</f>
        <v>10144.061538461534</v>
      </c>
      <c r="K35" s="405">
        <f t="shared" ref="K35:L35" ca="1" si="17">SUM(K33:K34)</f>
        <v>9298.7230769230719</v>
      </c>
      <c r="L35" s="404">
        <f t="shared" ca="1" si="17"/>
        <v>8453.3846153846098</v>
      </c>
      <c r="M35" s="396"/>
      <c r="N35" s="386" t="s">
        <v>652</v>
      </c>
      <c r="O35" s="387"/>
      <c r="P35" s="387"/>
      <c r="Q35" s="387"/>
      <c r="R35" s="426">
        <v>1</v>
      </c>
      <c r="S35" s="426">
        <v>2</v>
      </c>
      <c r="T35" s="426">
        <v>3</v>
      </c>
      <c r="U35" s="426">
        <v>4</v>
      </c>
      <c r="V35" s="442">
        <v>5</v>
      </c>
    </row>
    <row r="36" spans="3:22" ht="15">
      <c r="C36" s="443"/>
      <c r="D36" s="387"/>
      <c r="E36" s="387"/>
      <c r="F36" s="387"/>
      <c r="G36" s="387"/>
      <c r="H36" s="434"/>
      <c r="I36" s="434"/>
      <c r="J36" s="434"/>
      <c r="K36" s="434"/>
      <c r="L36" s="414"/>
      <c r="M36" s="396"/>
      <c r="N36" s="386"/>
      <c r="O36" s="387"/>
      <c r="P36" s="387"/>
      <c r="Q36" s="387"/>
      <c r="R36" s="434"/>
      <c r="S36" s="434"/>
      <c r="T36" s="434"/>
      <c r="U36" s="434"/>
      <c r="V36" s="414"/>
    </row>
    <row r="37" spans="3:22" ht="15">
      <c r="C37" s="432" t="s">
        <v>653</v>
      </c>
      <c r="D37" s="387"/>
      <c r="E37" s="387"/>
      <c r="F37" s="387"/>
      <c r="G37" s="387"/>
      <c r="H37" s="387"/>
      <c r="I37" s="387"/>
      <c r="J37" s="387"/>
      <c r="K37" s="387"/>
      <c r="L37" s="413"/>
      <c r="M37" s="396"/>
      <c r="N37" s="386" t="s">
        <v>315</v>
      </c>
      <c r="O37" s="387"/>
      <c r="P37" s="387"/>
      <c r="Q37" s="434"/>
      <c r="R37" s="434">
        <f>H10+H16</f>
        <v>3379.737811268848</v>
      </c>
      <c r="S37" s="434">
        <f>I10+I16</f>
        <v>3608.47193500499</v>
      </c>
      <c r="T37" s="434">
        <f>J10+J16</f>
        <v>3790.6523042804965</v>
      </c>
      <c r="U37" s="434">
        <f>K10+K16</f>
        <v>4034.9640745229872</v>
      </c>
      <c r="V37" s="414">
        <f t="shared" ref="V37" si="18">L10+L16</f>
        <v>4313.4189144948732</v>
      </c>
    </row>
    <row r="38" spans="3:22" ht="15">
      <c r="C38" s="386" t="s">
        <v>654</v>
      </c>
      <c r="D38" s="387"/>
      <c r="E38" s="387"/>
      <c r="F38" s="387"/>
      <c r="G38" s="387"/>
      <c r="H38" s="434">
        <f>V27</f>
        <v>0</v>
      </c>
      <c r="I38" s="434">
        <f ca="1">H40</f>
        <v>0</v>
      </c>
      <c r="J38" s="434">
        <f ca="1">I40</f>
        <v>574.13521209846112</v>
      </c>
      <c r="K38" s="434">
        <f t="shared" ref="K38:L38" ca="1" si="19">J40</f>
        <v>3479.2904693637129</v>
      </c>
      <c r="L38" s="414">
        <f t="shared" ca="1" si="19"/>
        <v>6664.1702672044585</v>
      </c>
      <c r="M38" s="396"/>
      <c r="N38" s="386" t="s">
        <v>655</v>
      </c>
      <c r="O38" s="387"/>
      <c r="P38" s="387"/>
      <c r="Q38" s="387"/>
      <c r="R38" s="444">
        <v>23</v>
      </c>
      <c r="S38" s="444">
        <v>23</v>
      </c>
      <c r="T38" s="444">
        <v>23</v>
      </c>
      <c r="U38" s="444">
        <v>23</v>
      </c>
      <c r="V38" s="445">
        <v>23</v>
      </c>
    </row>
    <row r="39" spans="3:22" ht="15">
      <c r="C39" s="386" t="s">
        <v>656</v>
      </c>
      <c r="D39" s="387"/>
      <c r="E39" s="387"/>
      <c r="F39" s="387"/>
      <c r="G39" s="387"/>
      <c r="H39" s="409">
        <f ca="1">H22</f>
        <v>0</v>
      </c>
      <c r="I39" s="409">
        <f t="shared" ref="I39:J39" ca="1" si="20">I22</f>
        <v>574.13521209846112</v>
      </c>
      <c r="J39" s="409">
        <f t="shared" ca="1" si="20"/>
        <v>2905.1552572652517</v>
      </c>
      <c r="K39" s="409">
        <f ca="1">K22</f>
        <v>3184.8797978407456</v>
      </c>
      <c r="L39" s="412">
        <f ca="1">L22</f>
        <v>3515.158153363981</v>
      </c>
      <c r="M39" s="396"/>
      <c r="N39" s="397" t="s">
        <v>583</v>
      </c>
      <c r="O39" s="398"/>
      <c r="P39" s="398"/>
      <c r="Q39" s="398"/>
      <c r="R39" s="446">
        <f>R37*R38</f>
        <v>77733.969659183509</v>
      </c>
      <c r="S39" s="446">
        <f t="shared" ref="S39:V39" si="21">S37*S38</f>
        <v>82994.854505114767</v>
      </c>
      <c r="T39" s="446">
        <f t="shared" si="21"/>
        <v>87185.002998451426</v>
      </c>
      <c r="U39" s="446">
        <f t="shared" si="21"/>
        <v>92804.1737140287</v>
      </c>
      <c r="V39" s="447">
        <f t="shared" si="21"/>
        <v>99208.635033382088</v>
      </c>
    </row>
    <row r="40" spans="3:22" ht="15">
      <c r="C40" s="397" t="s">
        <v>651</v>
      </c>
      <c r="D40" s="398"/>
      <c r="E40" s="398"/>
      <c r="F40" s="398"/>
      <c r="G40" s="398"/>
      <c r="H40" s="405">
        <f ca="1">SUM(H38:H39)</f>
        <v>0</v>
      </c>
      <c r="I40" s="405">
        <f t="shared" ref="I40:L40" ca="1" si="22">SUM(I38:I39)</f>
        <v>574.13521209846112</v>
      </c>
      <c r="J40" s="405">
        <f t="shared" ca="1" si="22"/>
        <v>3479.2904693637129</v>
      </c>
      <c r="K40" s="405">
        <f ca="1">SUM(K38:K39)</f>
        <v>6664.1702672044585</v>
      </c>
      <c r="L40" s="404">
        <f t="shared" ca="1" si="22"/>
        <v>10179.328420568439</v>
      </c>
      <c r="M40" s="396"/>
      <c r="N40" s="386"/>
      <c r="O40" s="387"/>
      <c r="P40" s="387"/>
      <c r="Q40" s="387"/>
      <c r="R40" s="434"/>
      <c r="S40" s="434"/>
      <c r="T40" s="434"/>
      <c r="U40" s="434"/>
      <c r="V40" s="414"/>
    </row>
    <row r="41" spans="3:22" ht="15">
      <c r="C41" s="386"/>
      <c r="D41" s="387"/>
      <c r="E41" s="387"/>
      <c r="F41" s="387"/>
      <c r="G41" s="387"/>
      <c r="H41" s="387"/>
      <c r="I41" s="387"/>
      <c r="J41" s="387"/>
      <c r="K41" s="387"/>
      <c r="L41" s="413"/>
      <c r="M41" s="396"/>
      <c r="N41" s="386" t="s">
        <v>657</v>
      </c>
      <c r="O41" s="387"/>
      <c r="P41" s="387"/>
      <c r="Q41" s="387"/>
      <c r="R41" s="434">
        <f ca="1">H35</f>
        <v>13844.799148641474</v>
      </c>
      <c r="S41" s="434">
        <f ca="1">I35</f>
        <v>10989.399999999996</v>
      </c>
      <c r="T41" s="434">
        <f ca="1">J35</f>
        <v>10144.061538461534</v>
      </c>
      <c r="U41" s="434">
        <f ca="1">K35</f>
        <v>9298.7230769230719</v>
      </c>
      <c r="V41" s="414">
        <f ca="1">L35</f>
        <v>8453.3846153846098</v>
      </c>
    </row>
    <row r="42" spans="3:22" ht="15">
      <c r="C42" s="432" t="s">
        <v>20</v>
      </c>
      <c r="D42" s="387"/>
      <c r="E42" s="387"/>
      <c r="F42" s="387"/>
      <c r="G42" s="387"/>
      <c r="H42" s="387"/>
      <c r="I42" s="387"/>
      <c r="J42" s="387"/>
      <c r="K42" s="387"/>
      <c r="L42" s="413"/>
      <c r="M42" s="396"/>
      <c r="N42" s="386" t="s">
        <v>619</v>
      </c>
      <c r="O42" s="387"/>
      <c r="P42" s="387"/>
      <c r="Q42" s="387"/>
      <c r="R42" s="411">
        <f ca="1">H40</f>
        <v>0</v>
      </c>
      <c r="S42" s="411">
        <f ca="1">I40</f>
        <v>574.13521209846112</v>
      </c>
      <c r="T42" s="411">
        <f ca="1">J40</f>
        <v>3479.2904693637129</v>
      </c>
      <c r="U42" s="411">
        <f t="shared" ref="U42" ca="1" si="23">K40</f>
        <v>6664.1702672044585</v>
      </c>
      <c r="V42" s="412">
        <f ca="1">L40</f>
        <v>10179.328420568439</v>
      </c>
    </row>
    <row r="43" spans="3:22" ht="15">
      <c r="C43" s="386" t="s">
        <v>658</v>
      </c>
      <c r="D43" s="387"/>
      <c r="E43" s="387"/>
      <c r="F43" s="387"/>
      <c r="G43" s="387"/>
      <c r="H43" s="434">
        <f>AVERAGE(H33,H25)</f>
        <v>12257.40769230769</v>
      </c>
      <c r="I43" s="434">
        <f t="shared" ref="I43:L43" si="24">AVERAGE(I33,I25)</f>
        <v>11412.069230769226</v>
      </c>
      <c r="J43" s="434">
        <f t="shared" si="24"/>
        <v>10566.730769230766</v>
      </c>
      <c r="K43" s="434">
        <f t="shared" si="24"/>
        <v>9721.392307692302</v>
      </c>
      <c r="L43" s="414">
        <f t="shared" si="24"/>
        <v>8876.0538461538417</v>
      </c>
      <c r="M43" s="396"/>
      <c r="N43" s="397" t="s">
        <v>96</v>
      </c>
      <c r="O43" s="398"/>
      <c r="P43" s="398"/>
      <c r="Q43" s="398"/>
      <c r="R43" s="405">
        <f ca="1">R41-R42</f>
        <v>13844.799148641474</v>
      </c>
      <c r="S43" s="405">
        <f t="shared" ref="S43:U43" ca="1" si="25">S41-S42</f>
        <v>10415.264787901535</v>
      </c>
      <c r="T43" s="405">
        <f t="shared" ca="1" si="25"/>
        <v>6664.7710690978211</v>
      </c>
      <c r="U43" s="405">
        <f t="shared" ca="1" si="25"/>
        <v>2634.5528097186134</v>
      </c>
      <c r="V43" s="404">
        <f ca="1">V41-V42</f>
        <v>-1725.9438051838297</v>
      </c>
    </row>
    <row r="44" spans="3:22" ht="15">
      <c r="C44" s="386" t="s">
        <v>659</v>
      </c>
      <c r="D44" s="387"/>
      <c r="E44" s="387"/>
      <c r="F44" s="387"/>
      <c r="G44" s="387"/>
      <c r="H44" s="409">
        <f ca="1">AVERAGE(H26,H34)</f>
        <v>3118.3764973976613</v>
      </c>
      <c r="I44" s="409">
        <f t="shared" ref="I44:L44" ca="1" si="26">AVERAGE(I26,I34)</f>
        <v>1005.0303435515079</v>
      </c>
      <c r="J44" s="409">
        <f ca="1">AVERAGE(J26,J34)</f>
        <v>0</v>
      </c>
      <c r="K44" s="409">
        <f ca="1">AVERAGE(K26,K34)</f>
        <v>0</v>
      </c>
      <c r="L44" s="412">
        <f t="shared" ca="1" si="26"/>
        <v>0</v>
      </c>
      <c r="M44" s="396"/>
      <c r="N44" s="386"/>
      <c r="O44" s="387"/>
      <c r="P44" s="387"/>
      <c r="Q44" s="387"/>
      <c r="R44" s="387"/>
      <c r="S44" s="387"/>
      <c r="T44" s="387"/>
      <c r="U44" s="387"/>
      <c r="V44" s="413"/>
    </row>
    <row r="45" spans="3:22" ht="15">
      <c r="C45" s="397" t="s">
        <v>660</v>
      </c>
      <c r="D45" s="398"/>
      <c r="E45" s="398"/>
      <c r="F45" s="398"/>
      <c r="G45" s="398"/>
      <c r="H45" s="405">
        <f ca="1">SUM(H43:H44)</f>
        <v>15375.784189705351</v>
      </c>
      <c r="I45" s="405">
        <f t="shared" ref="I45:L45" ca="1" si="27">SUM(I43:I44)</f>
        <v>12417.099574320735</v>
      </c>
      <c r="J45" s="405">
        <f t="shared" ca="1" si="27"/>
        <v>10566.730769230766</v>
      </c>
      <c r="K45" s="405">
        <f t="shared" ca="1" si="27"/>
        <v>9721.392307692302</v>
      </c>
      <c r="L45" s="404">
        <f t="shared" ca="1" si="27"/>
        <v>8876.0538461538417</v>
      </c>
      <c r="M45" s="396"/>
      <c r="N45" s="443" t="s">
        <v>582</v>
      </c>
      <c r="O45" s="396"/>
      <c r="P45" s="396"/>
      <c r="Q45" s="396"/>
      <c r="R45" s="448">
        <f ca="1">R39-R43</f>
        <v>63889.170510542033</v>
      </c>
      <c r="S45" s="448">
        <f t="shared" ref="S45:U45" ca="1" si="28">S39-S43</f>
        <v>72579.589717213239</v>
      </c>
      <c r="T45" s="448">
        <f t="shared" ca="1" si="28"/>
        <v>80520.231929353598</v>
      </c>
      <c r="U45" s="448">
        <f t="shared" ca="1" si="28"/>
        <v>90169.620904310083</v>
      </c>
      <c r="V45" s="449">
        <f ca="1">V39-V43</f>
        <v>100934.57883856591</v>
      </c>
    </row>
    <row r="46" spans="3:22" ht="15">
      <c r="C46" s="443"/>
      <c r="D46" s="387"/>
      <c r="E46" s="387"/>
      <c r="F46" s="387"/>
      <c r="G46" s="387"/>
      <c r="H46" s="434"/>
      <c r="I46" s="434"/>
      <c r="J46" s="434"/>
      <c r="K46" s="434"/>
      <c r="L46" s="414"/>
      <c r="M46" s="396"/>
      <c r="N46" s="599"/>
      <c r="O46" s="387"/>
      <c r="P46" s="387"/>
      <c r="Q46" s="387"/>
      <c r="R46" s="600"/>
      <c r="S46" s="600"/>
      <c r="T46" s="600"/>
      <c r="U46" s="600"/>
      <c r="V46" s="601"/>
    </row>
    <row r="47" spans="3:22" ht="15">
      <c r="C47" s="386" t="s">
        <v>661</v>
      </c>
      <c r="D47" s="387"/>
      <c r="E47" s="387"/>
      <c r="F47" s="387"/>
      <c r="G47" s="387"/>
      <c r="H47" s="408">
        <v>0.04</v>
      </c>
      <c r="I47" s="408">
        <v>0.04</v>
      </c>
      <c r="J47" s="408">
        <v>0.04</v>
      </c>
      <c r="K47" s="408">
        <v>0.04</v>
      </c>
      <c r="L47" s="391">
        <v>0.04</v>
      </c>
      <c r="M47" s="396"/>
      <c r="N47" s="386" t="s">
        <v>662</v>
      </c>
      <c r="O47" s="387"/>
      <c r="P47" s="387"/>
      <c r="Q47" s="387"/>
      <c r="R47" s="545">
        <f ca="1">RATE(R35,,-$V$23,R45,0)</f>
        <v>-0.17513769414451952</v>
      </c>
      <c r="S47" s="427">
        <f ca="1">RATE(S35,,-$V$23,S45,0)</f>
        <v>-3.1979936863518132E-2</v>
      </c>
      <c r="T47" s="427">
        <f t="shared" ref="T47:U47" ca="1" si="29">RATE(T35,,-$V$23,T45,0)</f>
        <v>1.3024016944271752E-2</v>
      </c>
      <c r="U47" s="427">
        <f t="shared" ca="1" si="29"/>
        <v>3.8732243890899944E-2</v>
      </c>
      <c r="V47" s="450">
        <f ca="1">RATE(V35,,-$V$23,V45,0)</f>
        <v>5.4384072112584454E-2</v>
      </c>
    </row>
    <row r="48" spans="3:22" ht="15">
      <c r="C48" s="386" t="s">
        <v>663</v>
      </c>
      <c r="D48" s="387"/>
      <c r="E48" s="387"/>
      <c r="F48" s="387"/>
      <c r="G48" s="387"/>
      <c r="H48" s="408">
        <v>0.05</v>
      </c>
      <c r="I48" s="408">
        <v>0.05</v>
      </c>
      <c r="J48" s="408">
        <v>0.05</v>
      </c>
      <c r="K48" s="408">
        <v>0.05</v>
      </c>
      <c r="L48" s="451">
        <v>0.05</v>
      </c>
      <c r="M48" s="396"/>
      <c r="N48" s="437" t="s">
        <v>664</v>
      </c>
      <c r="O48" s="402"/>
      <c r="P48" s="402"/>
      <c r="Q48" s="402"/>
      <c r="R48" s="452">
        <f ca="1">R45/$V$23</f>
        <v>0.82486230585548037</v>
      </c>
      <c r="S48" s="452">
        <f t="shared" ref="S48:V48" ca="1" si="30">S45/$V$23</f>
        <v>0.93706284263475736</v>
      </c>
      <c r="T48" s="452">
        <f t="shared" ca="1" si="30"/>
        <v>1.0395831350839868</v>
      </c>
      <c r="U48" s="452">
        <f t="shared" ca="1" si="30"/>
        <v>1.1641647688158838</v>
      </c>
      <c r="V48" s="655">
        <f t="shared" ca="1" si="30"/>
        <v>1.303149325245871</v>
      </c>
    </row>
    <row r="49" spans="3:22" ht="15">
      <c r="C49" s="397" t="s">
        <v>665</v>
      </c>
      <c r="D49" s="398"/>
      <c r="E49" s="398"/>
      <c r="F49" s="398"/>
      <c r="G49" s="398"/>
      <c r="H49" s="453">
        <f ca="1">H53/H45</f>
        <v>4.2028108913941133E-2</v>
      </c>
      <c r="I49" s="453">
        <f t="shared" ref="I49:L49" ca="1" si="31">I53/I45</f>
        <v>4.0809392191418006E-2</v>
      </c>
      <c r="J49" s="453">
        <f t="shared" ca="1" si="31"/>
        <v>0.04</v>
      </c>
      <c r="K49" s="453">
        <f t="shared" ca="1" si="31"/>
        <v>0.04</v>
      </c>
      <c r="L49" s="454">
        <f t="shared" ca="1" si="31"/>
        <v>0.04</v>
      </c>
      <c r="M49" s="396"/>
      <c r="N49" s="387"/>
      <c r="O49" s="387"/>
      <c r="P49" s="387"/>
      <c r="Q49" s="387"/>
      <c r="R49" s="387"/>
      <c r="S49" s="387"/>
      <c r="T49" s="387"/>
      <c r="U49" s="387"/>
      <c r="V49" s="387"/>
    </row>
    <row r="50" spans="3:22" ht="15">
      <c r="C50" s="386"/>
      <c r="D50" s="387"/>
      <c r="E50" s="387"/>
      <c r="F50" s="387"/>
      <c r="G50" s="387"/>
      <c r="H50" s="387"/>
      <c r="I50" s="387"/>
      <c r="J50" s="387"/>
      <c r="K50" s="387"/>
      <c r="L50" s="413"/>
      <c r="M50" s="396"/>
      <c r="N50" s="754" t="s">
        <v>666</v>
      </c>
      <c r="O50" s="755"/>
      <c r="P50" s="755"/>
      <c r="Q50" s="755"/>
      <c r="R50" s="755"/>
      <c r="S50" s="755"/>
      <c r="T50" s="755"/>
      <c r="U50" s="755"/>
      <c r="V50" s="755"/>
    </row>
    <row r="51" spans="3:22" ht="15">
      <c r="C51" s="386" t="s">
        <v>667</v>
      </c>
      <c r="D51" s="387"/>
      <c r="E51" s="387"/>
      <c r="F51" s="387"/>
      <c r="G51" s="387"/>
      <c r="H51" s="434">
        <f>H47*H43</f>
        <v>490.29630769230761</v>
      </c>
      <c r="I51" s="434">
        <f t="shared" ref="I51:L52" si="32">I47*I43</f>
        <v>456.48276923076907</v>
      </c>
      <c r="J51" s="434">
        <f t="shared" si="32"/>
        <v>422.66923076923064</v>
      </c>
      <c r="K51" s="434">
        <f t="shared" si="32"/>
        <v>388.8556923076921</v>
      </c>
      <c r="L51" s="414">
        <f t="shared" si="32"/>
        <v>355.04215384615367</v>
      </c>
      <c r="M51" s="396"/>
      <c r="N51" s="439"/>
      <c r="O51" s="398"/>
      <c r="P51" s="398"/>
      <c r="Q51" s="455"/>
      <c r="R51" s="440" t="str">
        <f t="shared" ref="R51:V51" si="33">R34</f>
        <v>2020E</v>
      </c>
      <c r="S51" s="440" t="str">
        <f t="shared" si="33"/>
        <v>2021E</v>
      </c>
      <c r="T51" s="440" t="str">
        <f t="shared" si="33"/>
        <v>2022E</v>
      </c>
      <c r="U51" s="440" t="str">
        <f t="shared" si="33"/>
        <v>2023E</v>
      </c>
      <c r="V51" s="441" t="str">
        <f t="shared" si="33"/>
        <v>2024E</v>
      </c>
    </row>
    <row r="52" spans="3:22" ht="15">
      <c r="C52" s="386" t="s">
        <v>668</v>
      </c>
      <c r="D52" s="387"/>
      <c r="E52" s="387"/>
      <c r="F52" s="387"/>
      <c r="G52" s="387"/>
      <c r="H52" s="409">
        <f ca="1">H48*H44</f>
        <v>155.91882486988308</v>
      </c>
      <c r="I52" s="409">
        <f t="shared" ca="1" si="32"/>
        <v>50.251517177575401</v>
      </c>
      <c r="J52" s="409">
        <f t="shared" ca="1" si="32"/>
        <v>0</v>
      </c>
      <c r="K52" s="409">
        <f ca="1">K48*K44</f>
        <v>0</v>
      </c>
      <c r="L52" s="412">
        <f t="shared" ca="1" si="32"/>
        <v>0</v>
      </c>
      <c r="M52" s="396"/>
      <c r="N52" s="386" t="s">
        <v>647</v>
      </c>
      <c r="O52" s="387"/>
      <c r="P52" s="387"/>
      <c r="Q52" s="456"/>
      <c r="R52" s="456">
        <f ca="1">H35/R37</f>
        <v>4.0964121839509646</v>
      </c>
      <c r="S52" s="456">
        <f t="shared" ref="S52:V52" ca="1" si="34">I35/S37</f>
        <v>3.0454442206947077</v>
      </c>
      <c r="T52" s="456">
        <f t="shared" ca="1" si="34"/>
        <v>2.6760728033554049</v>
      </c>
      <c r="U52" s="456">
        <f t="shared" ca="1" si="34"/>
        <v>2.3045367703855866</v>
      </c>
      <c r="V52" s="457">
        <f t="shared" ca="1" si="34"/>
        <v>1.9597875334987145</v>
      </c>
    </row>
    <row r="53" spans="3:22" ht="15">
      <c r="C53" s="458" t="s">
        <v>669</v>
      </c>
      <c r="D53" s="459"/>
      <c r="E53" s="459"/>
      <c r="F53" s="459"/>
      <c r="G53" s="459"/>
      <c r="H53" s="460">
        <f ca="1">SUM(H51:H52)</f>
        <v>646.21513256219066</v>
      </c>
      <c r="I53" s="460">
        <f ca="1">SUM(I51:I52)</f>
        <v>506.73428640834447</v>
      </c>
      <c r="J53" s="460">
        <f ca="1">SUM(J51:J52)</f>
        <v>422.66923076923064</v>
      </c>
      <c r="K53" s="460">
        <f ca="1">SUM(K51:K52)</f>
        <v>388.8556923076921</v>
      </c>
      <c r="L53" s="461">
        <f ca="1">SUM(L51:L52)</f>
        <v>355.04215384615367</v>
      </c>
      <c r="M53" s="396"/>
      <c r="N53" s="437" t="s">
        <v>670</v>
      </c>
      <c r="O53" s="402"/>
      <c r="P53" s="402"/>
      <c r="Q53" s="402"/>
      <c r="R53" s="452">
        <f ca="1">R37/H53</f>
        <v>5.2300505527756078</v>
      </c>
      <c r="S53" s="452">
        <f t="shared" ref="S53:V53" ca="1" si="35">S37/I53</f>
        <v>7.1210337089706126</v>
      </c>
      <c r="T53" s="452">
        <f t="shared" ca="1" si="35"/>
        <v>8.9683658717757968</v>
      </c>
      <c r="U53" s="452">
        <f t="shared" ca="1" si="35"/>
        <v>10.376507671977752</v>
      </c>
      <c r="V53" s="438">
        <f t="shared" ca="1" si="35"/>
        <v>12.149033200051951</v>
      </c>
    </row>
    <row r="60" spans="3:22" ht="12.75">
      <c r="H60" s="622"/>
    </row>
  </sheetData>
  <mergeCells count="5">
    <mergeCell ref="N19:V19"/>
    <mergeCell ref="N33:V33"/>
    <mergeCell ref="N50:V50"/>
    <mergeCell ref="C6:L6"/>
    <mergeCell ref="N6:V6"/>
  </mergeCells>
  <pageMargins left="0.7" right="0.7" top="0.75" bottom="0.75" header="0.3" footer="0.3"/>
  <pageSetup orientation="portrait" r:id="rId1"/>
  <ignoredErrors>
    <ignoredError sqref="H13:L13"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C2:Y74"/>
  <sheetViews>
    <sheetView showGridLines="0" zoomScale="87" zoomScaleNormal="87" workbookViewId="0">
      <selection activeCell="S17" sqref="S17"/>
    </sheetView>
  </sheetViews>
  <sheetFormatPr defaultColWidth="8.85546875" defaultRowHeight="11.25"/>
  <cols>
    <col min="3" max="3" width="39" bestFit="1" customWidth="1"/>
    <col min="4" max="12" width="12.28515625" bestFit="1" customWidth="1"/>
    <col min="14" max="14" width="34.28515625" bestFit="1" customWidth="1"/>
    <col min="15" max="15" width="12.28515625" bestFit="1" customWidth="1"/>
    <col min="16" max="16" width="14.42578125" bestFit="1" customWidth="1"/>
    <col min="17" max="17" width="12.28515625" bestFit="1" customWidth="1"/>
    <col min="18" max="18" width="19.42578125" customWidth="1"/>
    <col min="19" max="20" width="12.28515625" bestFit="1" customWidth="1"/>
    <col min="21" max="21" width="20.85546875" customWidth="1"/>
    <col min="22" max="22" width="13.85546875" bestFit="1" customWidth="1"/>
    <col min="23" max="23" width="23" bestFit="1" customWidth="1"/>
    <col min="24" max="24" width="3.28515625" customWidth="1"/>
  </cols>
  <sheetData>
    <row r="2" spans="3:25" ht="15">
      <c r="C2" s="65"/>
      <c r="D2" s="65"/>
      <c r="E2" s="65"/>
      <c r="F2" s="65"/>
      <c r="G2" s="65"/>
      <c r="H2" s="65"/>
      <c r="I2" s="65"/>
      <c r="J2" s="65"/>
      <c r="K2" s="65"/>
      <c r="L2" s="65"/>
      <c r="M2" s="65"/>
      <c r="N2" s="65"/>
      <c r="O2" s="65"/>
      <c r="P2" s="65"/>
      <c r="Q2" s="65"/>
      <c r="R2" s="65"/>
      <c r="S2" s="65"/>
      <c r="T2" s="65"/>
      <c r="U2" s="65"/>
      <c r="V2" s="65"/>
      <c r="W2" s="65"/>
      <c r="X2" s="65"/>
      <c r="Y2" s="65"/>
    </row>
    <row r="3" spans="3:25" ht="15">
      <c r="C3" s="65"/>
      <c r="D3" s="746" t="s">
        <v>683</v>
      </c>
      <c r="E3" s="747"/>
      <c r="F3" s="747"/>
      <c r="G3" s="747"/>
      <c r="H3" s="765" t="s">
        <v>684</v>
      </c>
      <c r="I3" s="766"/>
      <c r="J3" s="766"/>
      <c r="K3" s="766"/>
      <c r="L3" s="767"/>
      <c r="M3" s="65"/>
      <c r="N3" s="65"/>
      <c r="O3" s="746" t="s">
        <v>683</v>
      </c>
      <c r="P3" s="747"/>
      <c r="Q3" s="747"/>
      <c r="R3" s="747"/>
      <c r="S3" s="765" t="s">
        <v>684</v>
      </c>
      <c r="T3" s="766"/>
      <c r="U3" s="766"/>
      <c r="V3" s="766"/>
      <c r="W3" s="767"/>
      <c r="X3" s="65"/>
      <c r="Y3" s="65"/>
    </row>
    <row r="4" spans="3:25" ht="15">
      <c r="C4" s="763" t="s">
        <v>10</v>
      </c>
      <c r="D4" s="351" t="s">
        <v>672</v>
      </c>
      <c r="E4" s="351" t="s">
        <v>673</v>
      </c>
      <c r="F4" s="351" t="s">
        <v>674</v>
      </c>
      <c r="G4" s="351" t="s">
        <v>675</v>
      </c>
      <c r="H4" s="351" t="s">
        <v>676</v>
      </c>
      <c r="I4" s="351" t="s">
        <v>677</v>
      </c>
      <c r="J4" s="351" t="s">
        <v>678</v>
      </c>
      <c r="K4" s="351" t="s">
        <v>679</v>
      </c>
      <c r="L4" s="470" t="s">
        <v>680</v>
      </c>
      <c r="M4" s="65"/>
      <c r="N4" s="763" t="s">
        <v>707</v>
      </c>
      <c r="O4" s="351" t="s">
        <v>672</v>
      </c>
      <c r="P4" s="351" t="s">
        <v>673</v>
      </c>
      <c r="Q4" s="351" t="s">
        <v>674</v>
      </c>
      <c r="R4" s="351" t="s">
        <v>675</v>
      </c>
      <c r="S4" s="351" t="s">
        <v>676</v>
      </c>
      <c r="T4" s="351" t="s">
        <v>677</v>
      </c>
      <c r="U4" s="351" t="s">
        <v>678</v>
      </c>
      <c r="V4" s="351" t="s">
        <v>679</v>
      </c>
      <c r="W4" s="470" t="s">
        <v>680</v>
      </c>
      <c r="X4" s="65"/>
      <c r="Y4" s="65"/>
    </row>
    <row r="5" spans="3:25" ht="15">
      <c r="C5" s="764"/>
      <c r="D5" s="300">
        <v>42735</v>
      </c>
      <c r="E5" s="300">
        <v>43100</v>
      </c>
      <c r="F5" s="300">
        <v>43465</v>
      </c>
      <c r="G5" s="300">
        <v>43830</v>
      </c>
      <c r="H5" s="300">
        <v>44196</v>
      </c>
      <c r="I5" s="300">
        <v>44561</v>
      </c>
      <c r="J5" s="300">
        <v>44926</v>
      </c>
      <c r="K5" s="300">
        <v>45291</v>
      </c>
      <c r="L5" s="502">
        <v>45657</v>
      </c>
      <c r="M5" s="65"/>
      <c r="N5" s="764"/>
      <c r="O5" s="300">
        <v>42735</v>
      </c>
      <c r="P5" s="300">
        <v>43100</v>
      </c>
      <c r="Q5" s="300">
        <v>43465</v>
      </c>
      <c r="R5" s="300">
        <v>43830</v>
      </c>
      <c r="S5" s="300">
        <v>44196</v>
      </c>
      <c r="T5" s="300">
        <v>44561</v>
      </c>
      <c r="U5" s="300">
        <v>44926</v>
      </c>
      <c r="V5" s="300">
        <v>45291</v>
      </c>
      <c r="W5" s="502">
        <v>45657</v>
      </c>
      <c r="X5" s="65"/>
      <c r="Y5" s="65"/>
    </row>
    <row r="6" spans="3:25" ht="15">
      <c r="C6" s="478" t="s">
        <v>11</v>
      </c>
      <c r="D6" s="539">
        <f>'Income Statement'!L16</f>
        <v>11325</v>
      </c>
      <c r="E6" s="539">
        <f>'Income Statement'!M16</f>
        <v>12444</v>
      </c>
      <c r="F6" s="539">
        <f>'Income Statement'!N16</f>
        <v>13601</v>
      </c>
      <c r="G6" s="539">
        <f>'Key Stats'!L15</f>
        <v>14795.678571428571</v>
      </c>
      <c r="H6" s="539">
        <f>'Key Stats'!M15</f>
        <v>15796.392857142861</v>
      </c>
      <c r="I6" s="539">
        <f>'Key Stats'!N15</f>
        <v>16822.777777777781</v>
      </c>
      <c r="J6" s="540">
        <f>I6*(1+J26)</f>
        <v>17938.224539644736</v>
      </c>
      <c r="K6" s="540">
        <f t="shared" ref="K6:L6" si="0">J6*(1+K26)</f>
        <v>19115.704369356539</v>
      </c>
      <c r="L6" s="541">
        <f t="shared" si="0"/>
        <v>20376.830137367051</v>
      </c>
      <c r="M6" s="65"/>
      <c r="N6" s="510" t="s">
        <v>682</v>
      </c>
      <c r="O6" s="505">
        <f>D23</f>
        <v>1901</v>
      </c>
      <c r="P6" s="505">
        <f t="shared" ref="P6:W6" si="1">E23</f>
        <v>1254</v>
      </c>
      <c r="Q6" s="505">
        <f t="shared" si="1"/>
        <v>3734</v>
      </c>
      <c r="R6" s="505">
        <f t="shared" si="1"/>
        <v>2159.188444870153</v>
      </c>
      <c r="S6" s="505">
        <f t="shared" si="1"/>
        <v>2287.183292233698</v>
      </c>
      <c r="T6" s="505">
        <f t="shared" si="1"/>
        <v>2397.214381596079</v>
      </c>
      <c r="U6" s="505">
        <f t="shared" si="1"/>
        <v>2462.2366762574393</v>
      </c>
      <c r="V6" s="505">
        <f t="shared" si="1"/>
        <v>2568.2598591211672</v>
      </c>
      <c r="W6" s="519">
        <f t="shared" si="1"/>
        <v>2691.9074368486367</v>
      </c>
      <c r="X6" s="65"/>
      <c r="Y6" s="65"/>
    </row>
    <row r="7" spans="3:25" ht="15">
      <c r="C7" s="478" t="s">
        <v>12</v>
      </c>
      <c r="D7" s="479">
        <f>'Income Statement'!L17</f>
        <v>0</v>
      </c>
      <c r="E7" s="479">
        <f>'Income Statement'!M17</f>
        <v>0</v>
      </c>
      <c r="F7" s="479">
        <f>'Income Statement'!N17</f>
        <v>0</v>
      </c>
      <c r="G7" s="503">
        <f>F7</f>
        <v>0</v>
      </c>
      <c r="H7" s="480">
        <f t="shared" ref="H7:I7" si="2">G7</f>
        <v>0</v>
      </c>
      <c r="I7" s="480">
        <f t="shared" si="2"/>
        <v>0</v>
      </c>
      <c r="J7" s="480"/>
      <c r="K7" s="504"/>
      <c r="L7" s="481"/>
      <c r="M7" s="65"/>
      <c r="N7" s="510" t="s">
        <v>620</v>
      </c>
      <c r="O7" s="505">
        <f t="shared" ref="O7:W7" si="3">D37</f>
        <v>227</v>
      </c>
      <c r="P7" s="505">
        <f t="shared" si="3"/>
        <v>271</v>
      </c>
      <c r="Q7" s="505">
        <f t="shared" si="3"/>
        <v>306</v>
      </c>
      <c r="R7" s="505">
        <f t="shared" si="3"/>
        <v>402.88739530811017</v>
      </c>
      <c r="S7" s="505">
        <f t="shared" si="3"/>
        <v>484.56908692239489</v>
      </c>
      <c r="T7" s="505">
        <f t="shared" si="3"/>
        <v>574.02335070615584</v>
      </c>
      <c r="U7" s="505">
        <f t="shared" si="3"/>
        <v>673.89701787867489</v>
      </c>
      <c r="V7" s="505">
        <f t="shared" si="3"/>
        <v>784.00222753416813</v>
      </c>
      <c r="W7" s="525">
        <f t="shared" si="3"/>
        <v>905.94114633204197</v>
      </c>
      <c r="X7" s="65"/>
      <c r="Y7" s="65"/>
    </row>
    <row r="8" spans="3:25" ht="15">
      <c r="C8" s="482" t="s">
        <v>13</v>
      </c>
      <c r="D8" s="483">
        <f>SUM(D6:D7)</f>
        <v>11325</v>
      </c>
      <c r="E8" s="483">
        <f>SUM(E6:E7)</f>
        <v>12444</v>
      </c>
      <c r="F8" s="483">
        <f>SUM(F6:F7)</f>
        <v>13601</v>
      </c>
      <c r="G8" s="483">
        <f>SUM(G6:G7)</f>
        <v>14795.678571428571</v>
      </c>
      <c r="H8" s="483">
        <f t="shared" ref="H8:L8" si="4">SUM(H6:H7)</f>
        <v>15796.392857142861</v>
      </c>
      <c r="I8" s="483">
        <f t="shared" si="4"/>
        <v>16822.777777777781</v>
      </c>
      <c r="J8" s="483">
        <f t="shared" si="4"/>
        <v>17938.224539644736</v>
      </c>
      <c r="K8" s="483">
        <f t="shared" si="4"/>
        <v>19115.704369356539</v>
      </c>
      <c r="L8" s="484">
        <f t="shared" si="4"/>
        <v>20376.830137367051</v>
      </c>
      <c r="M8" s="65"/>
      <c r="N8" s="510" t="s">
        <v>623</v>
      </c>
      <c r="O8" s="505">
        <f t="shared" ref="O8:W8" si="5">D36</f>
        <v>490</v>
      </c>
      <c r="P8" s="505">
        <f t="shared" si="5"/>
        <v>598</v>
      </c>
      <c r="Q8" s="505">
        <f t="shared" si="5"/>
        <v>572</v>
      </c>
      <c r="R8" s="505">
        <f t="shared" si="5"/>
        <v>657.80663211105332</v>
      </c>
      <c r="S8" s="505">
        <f t="shared" si="5"/>
        <v>702.29776449225483</v>
      </c>
      <c r="T8" s="505">
        <f t="shared" si="5"/>
        <v>747.93019727544686</v>
      </c>
      <c r="U8" s="505">
        <f t="shared" si="5"/>
        <v>797.52226391710781</v>
      </c>
      <c r="V8" s="505">
        <f t="shared" si="5"/>
        <v>849.87228202693166</v>
      </c>
      <c r="W8" s="525">
        <f t="shared" si="5"/>
        <v>905.94114633204219</v>
      </c>
      <c r="X8" s="65"/>
      <c r="Y8" s="65"/>
    </row>
    <row r="9" spans="3:25" ht="15">
      <c r="C9" s="478"/>
      <c r="D9" s="485"/>
      <c r="E9" s="485"/>
      <c r="F9" s="485"/>
      <c r="G9" s="505"/>
      <c r="H9" s="505"/>
      <c r="I9" s="505"/>
      <c r="J9" s="505"/>
      <c r="K9" s="505"/>
      <c r="L9" s="506"/>
      <c r="M9" s="65"/>
      <c r="N9" s="309" t="s">
        <v>708</v>
      </c>
      <c r="O9" s="328"/>
      <c r="P9" s="343">
        <f t="shared" ref="P9:W9" si="6">E59</f>
        <v>719</v>
      </c>
      <c r="Q9" s="343">
        <f t="shared" si="6"/>
        <v>480</v>
      </c>
      <c r="R9" s="343">
        <f t="shared" si="6"/>
        <v>-341.46327961591669</v>
      </c>
      <c r="S9" s="343">
        <f t="shared" si="6"/>
        <v>98.429893203534903</v>
      </c>
      <c r="T9" s="343">
        <f t="shared" si="6"/>
        <v>110.68651742484826</v>
      </c>
      <c r="U9" s="343">
        <f t="shared" si="6"/>
        <v>150.74645305818285</v>
      </c>
      <c r="V9" s="343">
        <f t="shared" si="6"/>
        <v>135.27988762001678</v>
      </c>
      <c r="W9" s="523">
        <f t="shared" si="6"/>
        <v>137.19018692818281</v>
      </c>
      <c r="X9" s="65"/>
      <c r="Y9" s="65"/>
    </row>
    <row r="10" spans="3:25" ht="15">
      <c r="C10" s="478" t="s">
        <v>14</v>
      </c>
      <c r="D10" s="539">
        <f>'Income Statement'!L20</f>
        <v>3821</v>
      </c>
      <c r="E10" s="539">
        <f>'Income Statement'!M20</f>
        <v>4264</v>
      </c>
      <c r="F10" s="539">
        <f>'Income Statement'!N20</f>
        <v>4663</v>
      </c>
      <c r="G10" s="540">
        <f>G6-G11</f>
        <v>5003.4751367083409</v>
      </c>
      <c r="H10" s="540">
        <f t="shared" ref="H10" si="7">H6-H11</f>
        <v>5310.295288484409</v>
      </c>
      <c r="I10" s="540">
        <f>I6-I11</f>
        <v>5646.2039293381513</v>
      </c>
      <c r="J10" s="540">
        <f>J27*J8</f>
        <v>6077.6617095629153</v>
      </c>
      <c r="K10" s="540">
        <f t="shared" ref="K10:L10" si="8">K27*K8</f>
        <v>6481.114197086431</v>
      </c>
      <c r="L10" s="541">
        <f t="shared" si="8"/>
        <v>6896.439561625446</v>
      </c>
      <c r="M10" s="65"/>
      <c r="N10" s="511" t="s">
        <v>709</v>
      </c>
      <c r="O10" s="505">
        <f>O6+O7-O8-O9</f>
        <v>1638</v>
      </c>
      <c r="P10" s="505">
        <f t="shared" ref="P10:W10" si="9">P6+P7-P8-P9</f>
        <v>208</v>
      </c>
      <c r="Q10" s="505">
        <f t="shared" si="9"/>
        <v>2988</v>
      </c>
      <c r="R10" s="505">
        <f t="shared" si="9"/>
        <v>2245.7324876831267</v>
      </c>
      <c r="S10" s="505">
        <f t="shared" si="9"/>
        <v>1971.0247214603032</v>
      </c>
      <c r="T10" s="505">
        <f t="shared" si="9"/>
        <v>2112.6210176019395</v>
      </c>
      <c r="U10" s="505">
        <f t="shared" si="9"/>
        <v>2187.8649771608234</v>
      </c>
      <c r="V10" s="505">
        <f t="shared" si="9"/>
        <v>2367.1099170083867</v>
      </c>
      <c r="W10" s="525">
        <f t="shared" si="9"/>
        <v>2554.7172499204539</v>
      </c>
      <c r="X10" s="65"/>
      <c r="Y10" s="644"/>
    </row>
    <row r="11" spans="3:25" ht="15">
      <c r="C11" s="482" t="s">
        <v>15</v>
      </c>
      <c r="D11" s="483">
        <f>D8-D10</f>
        <v>7504</v>
      </c>
      <c r="E11" s="483">
        <f>E8-E10</f>
        <v>8180</v>
      </c>
      <c r="F11" s="483">
        <f>F8-F10</f>
        <v>8938</v>
      </c>
      <c r="G11" s="483">
        <f>'Key Stats'!L18</f>
        <v>9792.2034347202298</v>
      </c>
      <c r="H11" s="483">
        <f>'Key Stats'!M18</f>
        <v>10486.097568658452</v>
      </c>
      <c r="I11" s="483">
        <f>'Key Stats'!N18</f>
        <v>11176.57384843963</v>
      </c>
      <c r="J11" s="483">
        <f>J8-J10</f>
        <v>11860.562830081821</v>
      </c>
      <c r="K11" s="483">
        <f t="shared" ref="K11:L11" si="10">K8-K10</f>
        <v>12634.590172270109</v>
      </c>
      <c r="L11" s="484">
        <f t="shared" si="10"/>
        <v>13480.390575741605</v>
      </c>
      <c r="M11" s="65"/>
      <c r="N11" s="645" t="s">
        <v>762</v>
      </c>
      <c r="O11" s="505"/>
      <c r="P11" s="505"/>
      <c r="Q11" s="505"/>
      <c r="R11" s="505"/>
      <c r="S11" s="505"/>
      <c r="T11" s="653">
        <f>LN(T10/S10)</f>
        <v>6.9375794357429008E-2</v>
      </c>
      <c r="U11" s="653">
        <f>LN(U10/T10)</f>
        <v>3.4996806987185866E-2</v>
      </c>
      <c r="V11" s="653">
        <f>LN(V10/U10)</f>
        <v>7.8743594685210846E-2</v>
      </c>
      <c r="W11" s="654">
        <f>LN(W10/V10)</f>
        <v>7.6271785419061655E-2</v>
      </c>
      <c r="X11" s="65"/>
      <c r="Y11" s="65"/>
    </row>
    <row r="12" spans="3:25" ht="15">
      <c r="C12" s="478"/>
      <c r="D12" s="485"/>
      <c r="E12" s="485"/>
      <c r="F12" s="485"/>
      <c r="G12" s="505"/>
      <c r="H12" s="505"/>
      <c r="I12" s="505"/>
      <c r="J12" s="505"/>
      <c r="K12" s="505"/>
      <c r="L12" s="506"/>
      <c r="M12" s="65"/>
      <c r="N12" s="530" t="s">
        <v>737</v>
      </c>
      <c r="O12" s="580" t="s">
        <v>535</v>
      </c>
      <c r="P12" s="527"/>
      <c r="Q12" s="527"/>
      <c r="R12" s="527"/>
      <c r="S12" s="527"/>
      <c r="T12" s="527"/>
      <c r="U12" s="527"/>
      <c r="V12" s="527"/>
      <c r="W12" s="525"/>
      <c r="X12" s="65"/>
      <c r="Y12" s="65"/>
    </row>
    <row r="13" spans="3:25" ht="15">
      <c r="C13" s="478" t="s">
        <v>16</v>
      </c>
      <c r="D13" s="539">
        <f>'Income Statement'!L23</f>
        <v>4137</v>
      </c>
      <c r="E13" s="539">
        <f>'Income Statement'!M23</f>
        <v>4552</v>
      </c>
      <c r="F13" s="539">
        <f>'Income Statement'!N23</f>
        <v>5099</v>
      </c>
      <c r="G13" s="540">
        <f>G28*G6</f>
        <v>5454.6522744408558</v>
      </c>
      <c r="H13" s="540">
        <f>H28*H6</f>
        <v>5823.5808388378764</v>
      </c>
      <c r="I13" s="540">
        <f>I28*I6</f>
        <v>6201.9732738157682</v>
      </c>
      <c r="J13" s="540">
        <f t="shared" ref="J13:L13" si="11">J28*J6</f>
        <v>6613.1997131616863</v>
      </c>
      <c r="K13" s="540">
        <f t="shared" si="11"/>
        <v>7047.2955878617804</v>
      </c>
      <c r="L13" s="541">
        <f t="shared" si="11"/>
        <v>7512.2288118180177</v>
      </c>
      <c r="M13" s="65"/>
      <c r="N13" s="531" t="s">
        <v>283</v>
      </c>
      <c r="O13" s="634">
        <v>7</v>
      </c>
      <c r="P13" s="77"/>
      <c r="Q13" s="77"/>
      <c r="R13" s="77"/>
      <c r="S13" s="77"/>
      <c r="T13" s="77"/>
      <c r="U13" s="77"/>
      <c r="V13" s="77"/>
      <c r="W13" s="513"/>
      <c r="X13" s="65"/>
      <c r="Y13" s="65"/>
    </row>
    <row r="14" spans="3:25" ht="15">
      <c r="C14" s="478" t="s">
        <v>17</v>
      </c>
      <c r="D14" s="539">
        <f>'Income Statement'!L24</f>
        <v>715</v>
      </c>
      <c r="E14" s="539">
        <f>'Income Statement'!M24</f>
        <v>787</v>
      </c>
      <c r="F14" s="539">
        <f>'Income Statement'!N24</f>
        <v>862</v>
      </c>
      <c r="G14" s="540">
        <f t="shared" ref="G14:L14" si="12">G29*G6</f>
        <v>935.85468660309789</v>
      </c>
      <c r="H14" s="540">
        <f t="shared" si="12"/>
        <v>999.15176011785229</v>
      </c>
      <c r="I14" s="540">
        <f t="shared" si="12"/>
        <v>1064.0725499010136</v>
      </c>
      <c r="J14" s="540">
        <f t="shared" si="12"/>
        <v>1134.6266697887809</v>
      </c>
      <c r="K14" s="540">
        <f t="shared" si="12"/>
        <v>1209.1044986829788</v>
      </c>
      <c r="L14" s="541">
        <f t="shared" si="12"/>
        <v>1288.8730915657461</v>
      </c>
      <c r="M14" s="65"/>
      <c r="N14" s="510" t="s">
        <v>710</v>
      </c>
      <c r="O14" s="65"/>
      <c r="P14" s="65"/>
      <c r="Q14" s="65"/>
      <c r="R14" s="65"/>
      <c r="S14" s="556">
        <v>1</v>
      </c>
      <c r="T14" s="556">
        <v>2</v>
      </c>
      <c r="U14" s="556">
        <v>3</v>
      </c>
      <c r="V14" s="556">
        <v>4</v>
      </c>
      <c r="W14" s="557">
        <v>5</v>
      </c>
      <c r="X14" s="65"/>
      <c r="Y14" s="65"/>
    </row>
    <row r="15" spans="3:25" ht="15">
      <c r="C15" s="478" t="s">
        <v>18</v>
      </c>
      <c r="D15" s="539">
        <f>'Income Statement'!L25</f>
        <v>227</v>
      </c>
      <c r="E15" s="539">
        <f>'Income Statement'!M25</f>
        <v>271</v>
      </c>
      <c r="F15" s="539">
        <f>'Income Statement'!N25</f>
        <v>306</v>
      </c>
      <c r="G15" s="540">
        <f t="shared" ref="G15:L15" si="13">G37</f>
        <v>402.88739530811017</v>
      </c>
      <c r="H15" s="540">
        <f t="shared" si="13"/>
        <v>484.56908692239489</v>
      </c>
      <c r="I15" s="540">
        <f t="shared" si="13"/>
        <v>574.02335070615584</v>
      </c>
      <c r="J15" s="540">
        <f t="shared" si="13"/>
        <v>673.89701787867489</v>
      </c>
      <c r="K15" s="540">
        <f t="shared" si="13"/>
        <v>784.00222753416813</v>
      </c>
      <c r="L15" s="541">
        <f t="shared" si="13"/>
        <v>905.94114633204197</v>
      </c>
      <c r="M15" s="65"/>
      <c r="N15" s="510" t="s">
        <v>711</v>
      </c>
      <c r="O15" s="65"/>
      <c r="P15" s="65"/>
      <c r="Q15" s="65"/>
      <c r="R15" s="65"/>
      <c r="S15" s="558">
        <f>1/((1+($O$13/100))^S14)</f>
        <v>0.93457943925233644</v>
      </c>
      <c r="T15" s="558">
        <f t="shared" ref="T15:W15" si="14">1/((1+($O$13/100))^T14)</f>
        <v>0.87343872827321156</v>
      </c>
      <c r="U15" s="558">
        <f t="shared" si="14"/>
        <v>0.81629787689085187</v>
      </c>
      <c r="V15" s="558">
        <f t="shared" si="14"/>
        <v>0.7628952120475252</v>
      </c>
      <c r="W15" s="559">
        <f t="shared" si="14"/>
        <v>0.71298617948366838</v>
      </c>
      <c r="X15" s="65"/>
      <c r="Y15" s="65"/>
    </row>
    <row r="16" spans="3:25" ht="15">
      <c r="C16" s="478" t="s">
        <v>671</v>
      </c>
      <c r="D16" s="539">
        <f>'Income Statement'!L26</f>
        <v>250</v>
      </c>
      <c r="E16" s="539">
        <f>'Income Statement'!M26</f>
        <v>273</v>
      </c>
      <c r="F16" s="539">
        <f>'Income Statement'!N26</f>
        <v>134</v>
      </c>
      <c r="G16" s="540">
        <f t="shared" ref="G16:L16" si="15">G30*G6</f>
        <v>265.65914815278273</v>
      </c>
      <c r="H16" s="540">
        <f t="shared" si="15"/>
        <v>283.62715843387593</v>
      </c>
      <c r="I16" s="540">
        <f t="shared" si="15"/>
        <v>302.05608971785739</v>
      </c>
      <c r="J16" s="540">
        <f t="shared" si="15"/>
        <v>322.08414285085701</v>
      </c>
      <c r="K16" s="540">
        <f t="shared" si="15"/>
        <v>343.22601120236169</v>
      </c>
      <c r="L16" s="541">
        <f t="shared" si="15"/>
        <v>365.86975786296841</v>
      </c>
      <c r="M16" s="65"/>
      <c r="N16" s="309" t="s">
        <v>712</v>
      </c>
      <c r="O16" s="328"/>
      <c r="P16" s="328"/>
      <c r="Q16" s="328"/>
      <c r="R16" s="328"/>
      <c r="S16" s="560">
        <f>S10*S15</f>
        <v>1842.0791789348627</v>
      </c>
      <c r="T16" s="560">
        <f>T10*T15</f>
        <v>1845.2450149374961</v>
      </c>
      <c r="U16" s="560">
        <f>U10*U15</f>
        <v>1785.9495357802323</v>
      </c>
      <c r="V16" s="560">
        <f>V10*V15</f>
        <v>1805.856822075913</v>
      </c>
      <c r="W16" s="561">
        <f>W10*W15</f>
        <v>1821.4780916818086</v>
      </c>
      <c r="X16" s="65"/>
      <c r="Y16" s="65"/>
    </row>
    <row r="17" spans="3:25" ht="15">
      <c r="C17" s="482" t="s">
        <v>340</v>
      </c>
      <c r="D17" s="483">
        <f t="shared" ref="D17:F17" si="16">SUM(D13:D16)</f>
        <v>5329</v>
      </c>
      <c r="E17" s="483">
        <f t="shared" si="16"/>
        <v>5883</v>
      </c>
      <c r="F17" s="483">
        <f t="shared" si="16"/>
        <v>6401</v>
      </c>
      <c r="G17" s="483">
        <f>SUM(G13:G16)</f>
        <v>7059.0535045048464</v>
      </c>
      <c r="H17" s="483">
        <f t="shared" ref="H17:L17" si="17">SUM(H13:H16)</f>
        <v>7590.9288443119985</v>
      </c>
      <c r="I17" s="483">
        <f>SUM(I13:I16)</f>
        <v>8142.1252641407955</v>
      </c>
      <c r="J17" s="483">
        <f t="shared" si="17"/>
        <v>8743.8075436799991</v>
      </c>
      <c r="K17" s="483">
        <f t="shared" si="17"/>
        <v>9383.62832528129</v>
      </c>
      <c r="L17" s="484">
        <f t="shared" si="17"/>
        <v>10072.912807578774</v>
      </c>
      <c r="M17" s="65"/>
      <c r="N17" s="65"/>
      <c r="O17" s="65"/>
      <c r="P17" s="65"/>
      <c r="Q17" s="65"/>
      <c r="R17" s="65"/>
      <c r="S17" s="65"/>
      <c r="T17" s="65"/>
      <c r="U17" s="65"/>
      <c r="V17" s="65"/>
      <c r="W17" s="65"/>
      <c r="X17" s="65"/>
      <c r="Y17" s="65"/>
    </row>
    <row r="18" spans="3:25" ht="15">
      <c r="C18" s="478"/>
      <c r="D18" s="485"/>
      <c r="E18" s="485"/>
      <c r="F18" s="485"/>
      <c r="G18" s="505"/>
      <c r="H18" s="505"/>
      <c r="I18" s="505"/>
      <c r="J18" s="505"/>
      <c r="K18" s="505"/>
      <c r="L18" s="506"/>
      <c r="M18" s="65"/>
      <c r="N18" s="768" t="s">
        <v>732</v>
      </c>
      <c r="O18" s="771"/>
      <c r="P18" s="65"/>
      <c r="Q18" s="768" t="s">
        <v>719</v>
      </c>
      <c r="R18" s="768"/>
      <c r="S18" s="768"/>
      <c r="T18" s="65"/>
      <c r="U18" s="768" t="s">
        <v>733</v>
      </c>
      <c r="V18" s="768"/>
      <c r="W18" s="768"/>
      <c r="X18" s="65"/>
      <c r="Y18" s="65"/>
    </row>
    <row r="19" spans="3:25" ht="15" customHeight="1">
      <c r="C19" s="486" t="s">
        <v>19</v>
      </c>
      <c r="D19" s="487">
        <f>D11-D17</f>
        <v>2175</v>
      </c>
      <c r="E19" s="487">
        <f t="shared" ref="E19:F19" si="18">E11-E17</f>
        <v>2297</v>
      </c>
      <c r="F19" s="487">
        <f t="shared" si="18"/>
        <v>2537</v>
      </c>
      <c r="G19" s="487">
        <f>G11-G17</f>
        <v>2733.1499302153834</v>
      </c>
      <c r="H19" s="487">
        <f t="shared" ref="H19:L19" si="19">H11-H17</f>
        <v>2895.168724346453</v>
      </c>
      <c r="I19" s="487">
        <f t="shared" si="19"/>
        <v>3034.4485842988342</v>
      </c>
      <c r="J19" s="487">
        <f t="shared" si="19"/>
        <v>3116.7552864018216</v>
      </c>
      <c r="K19" s="487">
        <f t="shared" si="19"/>
        <v>3250.9618469888192</v>
      </c>
      <c r="L19" s="488">
        <f t="shared" si="19"/>
        <v>3407.4777681628311</v>
      </c>
      <c r="M19" s="65"/>
      <c r="N19" s="510" t="s">
        <v>713</v>
      </c>
      <c r="O19" s="529">
        <f>SUM(S16:W16)</f>
        <v>9100.6086434103127</v>
      </c>
      <c r="P19" s="65"/>
      <c r="Q19" s="510" t="s">
        <v>583</v>
      </c>
      <c r="R19" s="77"/>
      <c r="S19" s="525">
        <f>O29</f>
        <v>77281.765687484614</v>
      </c>
      <c r="T19" s="65"/>
      <c r="U19" s="510" t="s">
        <v>727</v>
      </c>
      <c r="V19" s="77"/>
      <c r="W19" s="529">
        <f>W16</f>
        <v>1821.4780916818086</v>
      </c>
      <c r="X19" s="769" t="s">
        <v>735</v>
      </c>
      <c r="Y19" s="65"/>
    </row>
    <row r="20" spans="3:25" ht="15">
      <c r="C20" s="308"/>
      <c r="D20" s="505"/>
      <c r="E20" s="505"/>
      <c r="F20" s="505"/>
      <c r="G20" s="505"/>
      <c r="H20" s="505"/>
      <c r="I20" s="505"/>
      <c r="J20" s="505"/>
      <c r="K20" s="505"/>
      <c r="L20" s="506"/>
      <c r="M20" s="65"/>
      <c r="N20" s="510"/>
      <c r="O20" s="513"/>
      <c r="P20" s="65"/>
      <c r="Q20" s="510" t="s">
        <v>720</v>
      </c>
      <c r="R20" s="77"/>
      <c r="S20" s="525">
        <f>'Key Stats'!D39</f>
        <v>8471</v>
      </c>
      <c r="T20" s="65"/>
      <c r="U20" s="309" t="s">
        <v>283</v>
      </c>
      <c r="V20" s="328"/>
      <c r="W20" s="532">
        <v>7.0000000000000007E-2</v>
      </c>
      <c r="X20" s="769"/>
      <c r="Y20" s="65"/>
    </row>
    <row r="21" spans="3:25" ht="15">
      <c r="C21" s="489" t="s">
        <v>681</v>
      </c>
      <c r="D21" s="487">
        <f>'Income Statement'!L46</f>
        <v>274</v>
      </c>
      <c r="E21" s="487">
        <f>'Income Statement'!M46</f>
        <v>1043</v>
      </c>
      <c r="F21" s="487">
        <f>'Income Statement'!N46</f>
        <v>-1197</v>
      </c>
      <c r="G21" s="487">
        <f t="shared" ref="G21:L21" si="20">G31*G19</f>
        <v>573.96148534523047</v>
      </c>
      <c r="H21" s="487">
        <f t="shared" si="20"/>
        <v>607.98543211275512</v>
      </c>
      <c r="I21" s="487">
        <f t="shared" si="20"/>
        <v>637.23420270275517</v>
      </c>
      <c r="J21" s="487">
        <f t="shared" si="20"/>
        <v>654.51861014438248</v>
      </c>
      <c r="K21" s="487">
        <f t="shared" si="20"/>
        <v>682.70198786765195</v>
      </c>
      <c r="L21" s="488">
        <f t="shared" si="20"/>
        <v>715.5703313141945</v>
      </c>
      <c r="M21" s="65"/>
      <c r="N21" s="309" t="s">
        <v>714</v>
      </c>
      <c r="O21" s="507"/>
      <c r="P21" s="65"/>
      <c r="Q21" s="510" t="s">
        <v>721</v>
      </c>
      <c r="R21" s="77"/>
      <c r="S21" s="525">
        <f>'Key Stats'!D40</f>
        <v>0</v>
      </c>
      <c r="T21" s="65"/>
      <c r="U21" s="511" t="s">
        <v>714</v>
      </c>
      <c r="V21" s="77"/>
      <c r="W21" s="522">
        <f>(W19*(1+W23))/(W20-W23)</f>
        <v>95627.599813294932</v>
      </c>
      <c r="X21" s="769"/>
      <c r="Y21" s="65"/>
    </row>
    <row r="22" spans="3:25" ht="15">
      <c r="C22" s="478"/>
      <c r="D22" s="505"/>
      <c r="E22" s="505"/>
      <c r="F22" s="505"/>
      <c r="G22" s="505"/>
      <c r="H22" s="505"/>
      <c r="I22" s="505"/>
      <c r="J22" s="505"/>
      <c r="K22" s="505"/>
      <c r="L22" s="506"/>
      <c r="M22" s="65"/>
      <c r="N22" s="510" t="s">
        <v>715</v>
      </c>
      <c r="O22" s="525">
        <f>L19+L15</f>
        <v>4313.4189144948732</v>
      </c>
      <c r="P22" s="65"/>
      <c r="Q22" s="510" t="s">
        <v>722</v>
      </c>
      <c r="R22" s="77"/>
      <c r="S22" s="525">
        <f>'Key Stats'!D41</f>
        <v>0</v>
      </c>
      <c r="T22" s="65"/>
      <c r="U22" s="510"/>
      <c r="V22" s="77"/>
      <c r="W22" s="513"/>
      <c r="X22" s="769"/>
      <c r="Y22" s="65"/>
    </row>
    <row r="23" spans="3:25" ht="15">
      <c r="C23" s="489" t="s">
        <v>682</v>
      </c>
      <c r="D23" s="487">
        <f>D19-D21</f>
        <v>1901</v>
      </c>
      <c r="E23" s="487">
        <f t="shared" ref="E23:L23" si="21">E19-E21</f>
        <v>1254</v>
      </c>
      <c r="F23" s="487">
        <f t="shared" si="21"/>
        <v>3734</v>
      </c>
      <c r="G23" s="487">
        <f t="shared" si="21"/>
        <v>2159.188444870153</v>
      </c>
      <c r="H23" s="487">
        <f t="shared" si="21"/>
        <v>2287.183292233698</v>
      </c>
      <c r="I23" s="487">
        <f t="shared" si="21"/>
        <v>2397.214381596079</v>
      </c>
      <c r="J23" s="487">
        <f t="shared" si="21"/>
        <v>2462.2366762574393</v>
      </c>
      <c r="K23" s="487">
        <f t="shared" si="21"/>
        <v>2568.2598591211672</v>
      </c>
      <c r="L23" s="488">
        <f t="shared" si="21"/>
        <v>2691.9074368486367</v>
      </c>
      <c r="M23" s="65"/>
      <c r="N23" s="510" t="s">
        <v>716</v>
      </c>
      <c r="O23" s="643">
        <f>O24/O22</f>
        <v>22.169791923512602</v>
      </c>
      <c r="P23" s="65"/>
      <c r="Q23" s="510" t="s">
        <v>723</v>
      </c>
      <c r="R23" s="77"/>
      <c r="S23" s="525">
        <f>'Key Stats'!D38</f>
        <v>1758</v>
      </c>
      <c r="T23" s="65"/>
      <c r="U23" s="584" t="s">
        <v>726</v>
      </c>
      <c r="V23" s="585"/>
      <c r="W23" s="639">
        <v>0.05</v>
      </c>
      <c r="X23" s="769"/>
      <c r="Y23" s="65"/>
    </row>
    <row r="24" spans="3:25" ht="15" customHeight="1">
      <c r="C24" s="486"/>
      <c r="D24" s="65"/>
      <c r="E24" s="65"/>
      <c r="F24" s="65"/>
      <c r="G24" s="65"/>
      <c r="H24" s="65"/>
      <c r="I24" s="65"/>
      <c r="J24" s="65"/>
      <c r="K24" s="65"/>
      <c r="L24" s="311"/>
      <c r="M24" s="65"/>
      <c r="N24" s="511" t="s">
        <v>714</v>
      </c>
      <c r="O24" s="525">
        <f>W21</f>
        <v>95627.599813294932</v>
      </c>
      <c r="P24" s="65"/>
      <c r="Q24" s="510"/>
      <c r="R24" s="77"/>
      <c r="S24" s="513"/>
      <c r="T24" s="65"/>
      <c r="U24" s="640" t="s">
        <v>583</v>
      </c>
      <c r="V24" s="306"/>
      <c r="W24" s="524">
        <f>O29</f>
        <v>77281.765687484614</v>
      </c>
      <c r="X24" s="769"/>
      <c r="Y24" s="65"/>
    </row>
    <row r="25" spans="3:25" ht="15" customHeight="1">
      <c r="C25" s="490" t="s">
        <v>685</v>
      </c>
      <c r="D25" s="328"/>
      <c r="E25" s="328"/>
      <c r="F25" s="328"/>
      <c r="G25" s="328"/>
      <c r="H25" s="328"/>
      <c r="I25" s="328"/>
      <c r="J25" s="328"/>
      <c r="K25" s="328"/>
      <c r="L25" s="507"/>
      <c r="M25" s="65"/>
      <c r="N25" s="510" t="s">
        <v>711</v>
      </c>
      <c r="O25" s="528">
        <f>W15</f>
        <v>0.71298617948366838</v>
      </c>
      <c r="P25" s="65"/>
      <c r="Q25" s="510" t="s">
        <v>576</v>
      </c>
      <c r="R25" s="77"/>
      <c r="S25" s="525">
        <f>S19-S20-S21-S22+S23</f>
        <v>70568.765687484614</v>
      </c>
      <c r="T25" s="65"/>
      <c r="U25" s="308" t="s">
        <v>730</v>
      </c>
      <c r="V25" s="77"/>
      <c r="W25" s="526">
        <f>'Key Stats'!K21</f>
        <v>3211</v>
      </c>
      <c r="X25" s="770" t="s">
        <v>734</v>
      </c>
      <c r="Y25" s="65"/>
    </row>
    <row r="26" spans="3:25" ht="15">
      <c r="C26" s="491" t="s">
        <v>686</v>
      </c>
      <c r="D26" s="492"/>
      <c r="E26" s="493">
        <f>(E6/D6)-1</f>
        <v>9.8807947019867504E-2</v>
      </c>
      <c r="F26" s="493">
        <f>(F6/E6)-1</f>
        <v>9.2976534876245687E-2</v>
      </c>
      <c r="G26" s="493">
        <f>'Key Stats'!L16</f>
        <v>8.7837553961368275E-2</v>
      </c>
      <c r="H26" s="493">
        <f>'Key Stats'!M16</f>
        <v>6.7635578921451819E-2</v>
      </c>
      <c r="I26" s="493">
        <f>'Key Stats'!N16</f>
        <v>6.4975904937107601E-2</v>
      </c>
      <c r="J26" s="494">
        <f>AVERAGE(H26:I26)</f>
        <v>6.630574192927971E-2</v>
      </c>
      <c r="K26" s="494">
        <f t="shared" ref="K26:L26" si="22">AVERAGE(I26:J26)</f>
        <v>6.5640823433193662E-2</v>
      </c>
      <c r="L26" s="495">
        <f t="shared" si="22"/>
        <v>6.5973282681236686E-2</v>
      </c>
      <c r="M26" s="65"/>
      <c r="N26" s="511" t="s">
        <v>717</v>
      </c>
      <c r="O26" s="525">
        <f>O25*O24</f>
        <v>68181.157044074309</v>
      </c>
      <c r="P26" s="65"/>
      <c r="Q26" s="510"/>
      <c r="R26" s="77"/>
      <c r="S26" s="525"/>
      <c r="T26" s="65"/>
      <c r="U26" s="510" t="s">
        <v>728</v>
      </c>
      <c r="V26" s="77"/>
      <c r="W26" s="533">
        <f>W24/W25</f>
        <v>24.067818650727066</v>
      </c>
      <c r="X26" s="770"/>
      <c r="Y26" s="65"/>
    </row>
    <row r="27" spans="3:25" ht="15">
      <c r="C27" s="491" t="s">
        <v>687</v>
      </c>
      <c r="D27" s="492">
        <f>D10/D6</f>
        <v>0.33739514348785871</v>
      </c>
      <c r="E27" s="492">
        <f>E10/E6</f>
        <v>0.34265509482481515</v>
      </c>
      <c r="F27" s="492">
        <f>F10/F6</f>
        <v>0.34284243805602527</v>
      </c>
      <c r="G27" s="493">
        <f>1-'Key Stats'!L19</f>
        <v>0.33817138650000012</v>
      </c>
      <c r="H27" s="493">
        <f>1-'Key Stats'!M19</f>
        <v>0.33617138649999978</v>
      </c>
      <c r="I27" s="493">
        <f>1-'Key Stats'!N19</f>
        <v>0.33562851533333349</v>
      </c>
      <c r="J27" s="494">
        <f>AVERAGE(D27:I27)</f>
        <v>0.33881066078367211</v>
      </c>
      <c r="K27" s="494">
        <f t="shared" ref="K27:L27" si="23">AVERAGE(E27:J27)</f>
        <v>0.33904658033297436</v>
      </c>
      <c r="L27" s="495">
        <f t="shared" si="23"/>
        <v>0.33844516125100088</v>
      </c>
      <c r="M27" s="65"/>
      <c r="N27" s="511" t="s">
        <v>718</v>
      </c>
      <c r="O27" s="544">
        <f>O26/O29</f>
        <v>0.88224119153524849</v>
      </c>
      <c r="P27" s="65"/>
      <c r="Q27" s="510" t="s">
        <v>724</v>
      </c>
      <c r="R27" s="77"/>
      <c r="S27" s="525">
        <f>'Key Stats'!D36</f>
        <v>373.81008500000002</v>
      </c>
      <c r="T27" s="65"/>
      <c r="U27" s="308"/>
      <c r="V27" s="77"/>
      <c r="W27" s="509"/>
      <c r="X27" s="770"/>
      <c r="Y27" s="65"/>
    </row>
    <row r="28" spans="3:25" ht="15">
      <c r="C28" s="491" t="s">
        <v>16</v>
      </c>
      <c r="D28" s="492">
        <f>D13/D6</f>
        <v>0.36529801324503314</v>
      </c>
      <c r="E28" s="492">
        <f>E13/E6</f>
        <v>0.36579877852780457</v>
      </c>
      <c r="F28" s="492">
        <f>F13/F6</f>
        <v>0.37489890449231672</v>
      </c>
      <c r="G28" s="494">
        <f>AVERAGE($D$28:$F$28)</f>
        <v>0.36866523208838481</v>
      </c>
      <c r="H28" s="494">
        <f t="shared" ref="H28:L28" si="24">AVERAGE($D$28:$F$28)</f>
        <v>0.36866523208838481</v>
      </c>
      <c r="I28" s="494">
        <f t="shared" si="24"/>
        <v>0.36866523208838481</v>
      </c>
      <c r="J28" s="494">
        <f t="shared" si="24"/>
        <v>0.36866523208838481</v>
      </c>
      <c r="K28" s="494">
        <f t="shared" si="24"/>
        <v>0.36866523208838481</v>
      </c>
      <c r="L28" s="495">
        <f t="shared" si="24"/>
        <v>0.36866523208838481</v>
      </c>
      <c r="M28" s="65"/>
      <c r="N28" s="511"/>
      <c r="O28" s="520"/>
      <c r="P28" s="65"/>
      <c r="Q28" s="510"/>
      <c r="R28" s="77"/>
      <c r="S28" s="513"/>
      <c r="T28" s="65"/>
      <c r="U28" s="308" t="s">
        <v>731</v>
      </c>
      <c r="V28" s="77"/>
      <c r="W28" s="642">
        <f>L19+L15</f>
        <v>4313.4189144948732</v>
      </c>
      <c r="X28" s="770"/>
      <c r="Y28" s="65"/>
    </row>
    <row r="29" spans="3:25" ht="15">
      <c r="C29" s="491" t="s">
        <v>17</v>
      </c>
      <c r="D29" s="492">
        <f>D14/D6</f>
        <v>6.3134657836644598E-2</v>
      </c>
      <c r="E29" s="492">
        <f>E14/E6</f>
        <v>6.3243330118932822E-2</v>
      </c>
      <c r="F29" s="492">
        <f>F14/F6</f>
        <v>6.3377692816704648E-2</v>
      </c>
      <c r="G29" s="494">
        <f>AVERAGE($D$29:$F$29)</f>
        <v>6.325189359076068E-2</v>
      </c>
      <c r="H29" s="494">
        <f t="shared" ref="H29:L29" si="25">AVERAGE($D$29:$F$29)</f>
        <v>6.325189359076068E-2</v>
      </c>
      <c r="I29" s="494">
        <f t="shared" si="25"/>
        <v>6.325189359076068E-2</v>
      </c>
      <c r="J29" s="494">
        <f t="shared" si="25"/>
        <v>6.325189359076068E-2</v>
      </c>
      <c r="K29" s="494">
        <f t="shared" si="25"/>
        <v>6.325189359076068E-2</v>
      </c>
      <c r="L29" s="495">
        <f t="shared" si="25"/>
        <v>6.325189359076068E-2</v>
      </c>
      <c r="M29" s="65"/>
      <c r="N29" s="511" t="s">
        <v>583</v>
      </c>
      <c r="O29" s="525">
        <f>O26+O19</f>
        <v>77281.765687484614</v>
      </c>
      <c r="P29" s="65"/>
      <c r="Q29" s="510" t="s">
        <v>725</v>
      </c>
      <c r="R29" s="77"/>
      <c r="S29" s="579">
        <f>S25/S27</f>
        <v>188.78240186453132</v>
      </c>
      <c r="T29" s="65"/>
      <c r="U29" s="584" t="s">
        <v>729</v>
      </c>
      <c r="V29" s="585"/>
      <c r="W29" s="641">
        <f>W26</f>
        <v>24.067818650727066</v>
      </c>
      <c r="X29" s="770"/>
      <c r="Y29" s="65"/>
    </row>
    <row r="30" spans="3:25" ht="15">
      <c r="C30" s="491" t="s">
        <v>671</v>
      </c>
      <c r="D30" s="492">
        <f>D16/D6</f>
        <v>2.2075055187637971E-2</v>
      </c>
      <c r="E30" s="492">
        <f>E16/E6</f>
        <v>2.1938283510125361E-2</v>
      </c>
      <c r="F30" s="492">
        <f>F16/F6</f>
        <v>9.852216748768473E-3</v>
      </c>
      <c r="G30" s="494">
        <f>AVERAGE($D$30:$F$30)</f>
        <v>1.7955185148843936E-2</v>
      </c>
      <c r="H30" s="494">
        <f t="shared" ref="H30:L30" si="26">AVERAGE($D$30:$F$30)</f>
        <v>1.7955185148843936E-2</v>
      </c>
      <c r="I30" s="494">
        <f t="shared" si="26"/>
        <v>1.7955185148843936E-2</v>
      </c>
      <c r="J30" s="494">
        <f t="shared" si="26"/>
        <v>1.7955185148843936E-2</v>
      </c>
      <c r="K30" s="494">
        <f t="shared" si="26"/>
        <v>1.7955185148843936E-2</v>
      </c>
      <c r="L30" s="495">
        <f t="shared" si="26"/>
        <v>1.7955185148843936E-2</v>
      </c>
      <c r="M30" s="65"/>
      <c r="N30" s="309"/>
      <c r="O30" s="507"/>
      <c r="P30" s="65"/>
      <c r="Q30" s="309"/>
      <c r="R30" s="328"/>
      <c r="S30" s="507"/>
      <c r="T30" s="65"/>
      <c r="U30" s="512" t="s">
        <v>714</v>
      </c>
      <c r="V30" s="328"/>
      <c r="W30" s="523">
        <f>(W28*W29)/((1+W20)^5)</f>
        <v>74018.363762501467</v>
      </c>
      <c r="X30" s="770"/>
      <c r="Y30" s="65"/>
    </row>
    <row r="31" spans="3:25" ht="15">
      <c r="C31" s="496" t="s">
        <v>688</v>
      </c>
      <c r="D31" s="497">
        <f>D21/D19</f>
        <v>0.12597701149425286</v>
      </c>
      <c r="E31" s="497">
        <f>E21/E19</f>
        <v>0.45407052677405313</v>
      </c>
      <c r="F31" s="497">
        <f>F21/F19</f>
        <v>-0.47181710681907763</v>
      </c>
      <c r="G31" s="498">
        <v>0.21</v>
      </c>
      <c r="H31" s="498">
        <v>0.21</v>
      </c>
      <c r="I31" s="498">
        <v>0.21</v>
      </c>
      <c r="J31" s="498">
        <v>0.21</v>
      </c>
      <c r="K31" s="498">
        <v>0.21</v>
      </c>
      <c r="L31" s="499">
        <v>0.21</v>
      </c>
      <c r="M31" s="65"/>
      <c r="N31" s="65"/>
      <c r="O31" s="65"/>
      <c r="P31" s="65"/>
      <c r="Q31" s="65"/>
      <c r="R31" s="65"/>
      <c r="S31" s="65"/>
      <c r="T31" s="65"/>
      <c r="U31" s="65"/>
      <c r="V31" s="65"/>
      <c r="W31" s="65"/>
      <c r="X31" s="534"/>
      <c r="Y31" s="65"/>
    </row>
    <row r="32" spans="3:25" ht="15">
      <c r="C32" s="65"/>
      <c r="D32" s="65"/>
      <c r="E32" s="65"/>
      <c r="F32" s="65"/>
      <c r="G32" s="65"/>
      <c r="H32" s="65"/>
      <c r="I32" s="65"/>
      <c r="J32" s="65"/>
      <c r="K32" s="65"/>
      <c r="L32" s="65"/>
      <c r="M32" s="65"/>
      <c r="N32" s="65"/>
      <c r="O32" s="65"/>
      <c r="P32" s="65"/>
      <c r="Q32" s="65"/>
      <c r="R32" s="65"/>
      <c r="S32" s="65"/>
      <c r="T32" s="65"/>
      <c r="U32" s="65"/>
      <c r="V32" s="65"/>
      <c r="W32" s="65"/>
      <c r="X32" s="65"/>
      <c r="Y32" s="65"/>
    </row>
    <row r="33" spans="3:25" ht="15">
      <c r="C33" s="65"/>
      <c r="D33" s="746" t="s">
        <v>683</v>
      </c>
      <c r="E33" s="747"/>
      <c r="F33" s="747"/>
      <c r="G33" s="747"/>
      <c r="H33" s="765" t="s">
        <v>684</v>
      </c>
      <c r="I33" s="766"/>
      <c r="J33" s="766"/>
      <c r="K33" s="766"/>
      <c r="L33" s="767"/>
      <c r="M33" s="65"/>
      <c r="N33" s="65"/>
      <c r="O33" s="65"/>
      <c r="P33" s="65"/>
      <c r="Q33" s="65"/>
      <c r="R33" s="65"/>
      <c r="S33" s="65"/>
      <c r="T33" s="65"/>
      <c r="U33" s="65"/>
      <c r="V33" s="65"/>
      <c r="W33" s="65"/>
      <c r="X33" s="65"/>
      <c r="Y33" s="65"/>
    </row>
    <row r="34" spans="3:25" ht="15">
      <c r="C34" s="763" t="s">
        <v>689</v>
      </c>
      <c r="D34" s="351" t="s">
        <v>672</v>
      </c>
      <c r="E34" s="351" t="s">
        <v>673</v>
      </c>
      <c r="F34" s="351" t="s">
        <v>674</v>
      </c>
      <c r="G34" s="351" t="s">
        <v>675</v>
      </c>
      <c r="H34" s="351" t="s">
        <v>676</v>
      </c>
      <c r="I34" s="351" t="s">
        <v>677</v>
      </c>
      <c r="J34" s="351" t="s">
        <v>678</v>
      </c>
      <c r="K34" s="351" t="s">
        <v>679</v>
      </c>
      <c r="L34" s="471" t="s">
        <v>680</v>
      </c>
      <c r="M34" s="65"/>
      <c r="N34" s="762" t="s">
        <v>283</v>
      </c>
      <c r="O34" s="757" t="s">
        <v>583</v>
      </c>
      <c r="P34" s="757"/>
      <c r="Q34" s="757"/>
      <c r="R34" s="757"/>
      <c r="S34" s="757"/>
      <c r="T34" s="758"/>
      <c r="U34" s="65"/>
      <c r="V34" s="768" t="s">
        <v>740</v>
      </c>
      <c r="W34" s="768"/>
      <c r="X34" s="65"/>
      <c r="Y34" s="65"/>
    </row>
    <row r="35" spans="3:25" ht="15">
      <c r="C35" s="764"/>
      <c r="D35" s="300">
        <v>42735</v>
      </c>
      <c r="E35" s="300">
        <v>43100</v>
      </c>
      <c r="F35" s="300">
        <v>43465</v>
      </c>
      <c r="G35" s="300">
        <v>43830</v>
      </c>
      <c r="H35" s="300">
        <v>44196</v>
      </c>
      <c r="I35" s="300">
        <v>44561</v>
      </c>
      <c r="J35" s="300">
        <v>44926</v>
      </c>
      <c r="K35" s="300">
        <v>45291</v>
      </c>
      <c r="L35" s="508">
        <v>45657</v>
      </c>
      <c r="M35" s="65"/>
      <c r="N35" s="762"/>
      <c r="O35" s="759" t="s">
        <v>726</v>
      </c>
      <c r="P35" s="760"/>
      <c r="Q35" s="760"/>
      <c r="R35" s="760"/>
      <c r="S35" s="760"/>
      <c r="T35" s="761"/>
      <c r="U35" s="65"/>
      <c r="V35" s="552" t="s">
        <v>283</v>
      </c>
      <c r="W35" s="578">
        <v>0.15</v>
      </c>
      <c r="X35" s="65"/>
      <c r="Y35" s="65"/>
    </row>
    <row r="36" spans="3:25" ht="15">
      <c r="C36" s="478" t="s">
        <v>690</v>
      </c>
      <c r="D36" s="539">
        <f>-'Cash Flow'!L21</f>
        <v>490</v>
      </c>
      <c r="E36" s="539">
        <f>-'Cash Flow'!M21</f>
        <v>598</v>
      </c>
      <c r="F36" s="539">
        <f>-'Cash Flow'!N21</f>
        <v>572</v>
      </c>
      <c r="G36" s="540">
        <f>G40*G41</f>
        <v>657.80663211105332</v>
      </c>
      <c r="H36" s="540">
        <f t="shared" ref="H36:L36" si="27">H40*H41</f>
        <v>702.29776449225483</v>
      </c>
      <c r="I36" s="540">
        <f t="shared" si="27"/>
        <v>747.93019727544686</v>
      </c>
      <c r="J36" s="540">
        <f t="shared" si="27"/>
        <v>797.52226391710781</v>
      </c>
      <c r="K36" s="540">
        <f t="shared" si="27"/>
        <v>849.87228202693166</v>
      </c>
      <c r="L36" s="635">
        <f t="shared" si="27"/>
        <v>905.94114633204219</v>
      </c>
      <c r="M36" s="65"/>
      <c r="N36" s="762"/>
      <c r="O36" s="581">
        <f>S19</f>
        <v>77281.765687484614</v>
      </c>
      <c r="P36" s="547">
        <f>$Q$36-$W$36</f>
        <v>4.7E-2</v>
      </c>
      <c r="Q36" s="547">
        <f>$R$36-$W$36</f>
        <v>4.8500000000000001E-2</v>
      </c>
      <c r="R36" s="565">
        <v>0.05</v>
      </c>
      <c r="S36" s="547">
        <f>$R$36+$W$36</f>
        <v>5.1500000000000004E-2</v>
      </c>
      <c r="T36" s="554">
        <f>$S$36+$W$36</f>
        <v>5.3000000000000005E-2</v>
      </c>
      <c r="U36" s="65"/>
      <c r="V36" s="553" t="s">
        <v>741</v>
      </c>
      <c r="W36" s="577">
        <f>0.0015</f>
        <v>1.5E-3</v>
      </c>
      <c r="X36" s="65"/>
      <c r="Y36" s="65"/>
    </row>
    <row r="37" spans="3:25" ht="15">
      <c r="C37" s="478" t="s">
        <v>359</v>
      </c>
      <c r="D37" s="539">
        <f>D15</f>
        <v>227</v>
      </c>
      <c r="E37" s="539">
        <f>E15</f>
        <v>271</v>
      </c>
      <c r="F37" s="539">
        <f>F15</f>
        <v>306</v>
      </c>
      <c r="G37" s="540">
        <f>G36*G42</f>
        <v>402.88739530811017</v>
      </c>
      <c r="H37" s="540">
        <f t="shared" ref="H37:L37" si="28">H36*H42</f>
        <v>484.56908692239489</v>
      </c>
      <c r="I37" s="540">
        <f t="shared" si="28"/>
        <v>574.02335070615584</v>
      </c>
      <c r="J37" s="540">
        <f t="shared" si="28"/>
        <v>673.89701787867489</v>
      </c>
      <c r="K37" s="540">
        <f t="shared" si="28"/>
        <v>784.00222753416813</v>
      </c>
      <c r="L37" s="636">
        <f t="shared" si="28"/>
        <v>905.94114633204197</v>
      </c>
      <c r="M37" s="65"/>
      <c r="N37" s="762"/>
      <c r="O37" s="562">
        <f>$O$38+$W$35</f>
        <v>7.3000000000000007</v>
      </c>
      <c r="P37" s="356">
        <f t="dataTable" ref="P37:T41" dt2D="1" dtr="1" r1="W23" r2="O13"/>
        <v>66511.098095454843</v>
      </c>
      <c r="Q37" s="356">
        <v>70609.875766117882</v>
      </c>
      <c r="R37" s="356">
        <v>75323.470087380381</v>
      </c>
      <c r="S37" s="356">
        <v>80801.431055334106</v>
      </c>
      <c r="T37" s="548">
        <v>87246.091017632571</v>
      </c>
      <c r="U37" s="65"/>
      <c r="V37" s="65"/>
      <c r="W37" s="65"/>
      <c r="X37" s="65"/>
      <c r="Y37" s="65"/>
    </row>
    <row r="38" spans="3:25" ht="15" customHeight="1">
      <c r="C38" s="478"/>
      <c r="D38" s="65"/>
      <c r="E38" s="65"/>
      <c r="F38" s="65"/>
      <c r="G38" s="65"/>
      <c r="H38" s="65"/>
      <c r="I38" s="65"/>
      <c r="J38" s="65"/>
      <c r="K38" s="65"/>
      <c r="L38" s="509"/>
      <c r="M38" s="65"/>
      <c r="N38" s="762"/>
      <c r="O38" s="562">
        <f>$O$39+$W$35</f>
        <v>7.15</v>
      </c>
      <c r="P38" s="356">
        <v>67358.730256527066</v>
      </c>
      <c r="Q38" s="356">
        <v>71515.249805989268</v>
      </c>
      <c r="R38" s="356">
        <v>76295.247287870763</v>
      </c>
      <c r="S38" s="356">
        <v>81850.379496543901</v>
      </c>
      <c r="T38" s="548">
        <v>88385.829153806379</v>
      </c>
      <c r="U38" s="65"/>
      <c r="V38" s="65"/>
      <c r="W38" s="65"/>
      <c r="X38" s="65"/>
      <c r="Y38" s="65"/>
    </row>
    <row r="39" spans="3:25" ht="15">
      <c r="C39" s="500" t="s">
        <v>685</v>
      </c>
      <c r="D39" s="328"/>
      <c r="E39" s="328"/>
      <c r="F39" s="328"/>
      <c r="G39" s="328"/>
      <c r="H39" s="328"/>
      <c r="I39" s="328"/>
      <c r="J39" s="328"/>
      <c r="K39" s="328"/>
      <c r="L39" s="477"/>
      <c r="M39" s="65"/>
      <c r="N39" s="762"/>
      <c r="O39" s="564">
        <v>7</v>
      </c>
      <c r="P39" s="356">
        <v>68219.17711143996</v>
      </c>
      <c r="Q39" s="356">
        <v>72434.334588670026</v>
      </c>
      <c r="R39" s="549">
        <v>77281.765687484614</v>
      </c>
      <c r="S39" s="356">
        <v>82915.266694215097</v>
      </c>
      <c r="T39" s="548">
        <v>89542.914937427413</v>
      </c>
      <c r="U39" s="65"/>
      <c r="V39" s="65"/>
      <c r="W39" s="65"/>
      <c r="X39" s="65"/>
      <c r="Y39" s="65"/>
    </row>
    <row r="40" spans="3:25" ht="15">
      <c r="C40" s="491" t="s">
        <v>11</v>
      </c>
      <c r="D40" s="472">
        <f t="shared" ref="D40:L40" si="29">D6</f>
        <v>11325</v>
      </c>
      <c r="E40" s="472">
        <f t="shared" si="29"/>
        <v>12444</v>
      </c>
      <c r="F40" s="472">
        <f t="shared" si="29"/>
        <v>13601</v>
      </c>
      <c r="G40" s="472">
        <f t="shared" si="29"/>
        <v>14795.678571428571</v>
      </c>
      <c r="H40" s="472">
        <f t="shared" si="29"/>
        <v>15796.392857142861</v>
      </c>
      <c r="I40" s="472">
        <f t="shared" si="29"/>
        <v>16822.777777777781</v>
      </c>
      <c r="J40" s="472">
        <f t="shared" si="29"/>
        <v>17938.224539644736</v>
      </c>
      <c r="K40" s="472">
        <f t="shared" si="29"/>
        <v>19115.704369356539</v>
      </c>
      <c r="L40" s="473">
        <f t="shared" si="29"/>
        <v>20376.830137367051</v>
      </c>
      <c r="M40" s="65"/>
      <c r="N40" s="762"/>
      <c r="O40" s="562">
        <f>$O$39-$W$35</f>
        <v>6.85</v>
      </c>
      <c r="P40" s="356">
        <v>69092.653799235777</v>
      </c>
      <c r="Q40" s="356">
        <v>73367.360443756028</v>
      </c>
      <c r="R40" s="356">
        <v>78283.273084954315</v>
      </c>
      <c r="S40" s="356">
        <v>83996.360749049636</v>
      </c>
      <c r="T40" s="548">
        <v>90717.640353867639</v>
      </c>
      <c r="U40" s="65"/>
      <c r="V40" s="65"/>
      <c r="W40" s="65"/>
      <c r="X40" s="65"/>
      <c r="Y40" s="65"/>
    </row>
    <row r="41" spans="3:25" ht="15">
      <c r="C41" s="491" t="s">
        <v>692</v>
      </c>
      <c r="D41" s="474">
        <f>D36/D40</f>
        <v>4.3267108167770421E-2</v>
      </c>
      <c r="E41" s="474">
        <f t="shared" ref="E41:F41" si="30">E36/E40</f>
        <v>4.8055287688846031E-2</v>
      </c>
      <c r="F41" s="474">
        <f t="shared" si="30"/>
        <v>4.2055731196235568E-2</v>
      </c>
      <c r="G41" s="475">
        <f>AVERAGE($D$41:$F$41)</f>
        <v>4.4459375684284007E-2</v>
      </c>
      <c r="H41" s="475">
        <f t="shared" ref="H41:L41" si="31">AVERAGE($D$41:$F$41)</f>
        <v>4.4459375684284007E-2</v>
      </c>
      <c r="I41" s="475">
        <f t="shared" si="31"/>
        <v>4.4459375684284007E-2</v>
      </c>
      <c r="J41" s="475">
        <f t="shared" si="31"/>
        <v>4.4459375684284007E-2</v>
      </c>
      <c r="K41" s="475">
        <f t="shared" si="31"/>
        <v>4.4459375684284007E-2</v>
      </c>
      <c r="L41" s="637">
        <f t="shared" si="31"/>
        <v>4.4459375684284007E-2</v>
      </c>
      <c r="M41" s="65"/>
      <c r="N41" s="762"/>
      <c r="O41" s="563">
        <f>$O$40-$W$35</f>
        <v>6.6999999999999993</v>
      </c>
      <c r="P41" s="550">
        <v>69979.379398473189</v>
      </c>
      <c r="Q41" s="550">
        <v>74314.561919736589</v>
      </c>
      <c r="R41" s="550">
        <v>79300.021819189496</v>
      </c>
      <c r="S41" s="550">
        <v>85093.934675310433</v>
      </c>
      <c r="T41" s="551">
        <v>91910.30274133505</v>
      </c>
      <c r="U41" s="65"/>
      <c r="V41" s="65"/>
      <c r="W41" s="65"/>
      <c r="X41" s="65"/>
      <c r="Y41" s="65"/>
    </row>
    <row r="42" spans="3:25" ht="15">
      <c r="C42" s="491" t="s">
        <v>691</v>
      </c>
      <c r="D42" s="474">
        <f>D37/D36</f>
        <v>0.46326530612244898</v>
      </c>
      <c r="E42" s="474">
        <f t="shared" ref="E42:F42" si="32">E37/E36</f>
        <v>0.45317725752508359</v>
      </c>
      <c r="F42" s="474">
        <f t="shared" si="32"/>
        <v>0.534965034965035</v>
      </c>
      <c r="G42" s="648">
        <f t="shared" ref="G42:L42" si="33">F42+$D$43</f>
        <v>0.61247086247086246</v>
      </c>
      <c r="H42" s="648">
        <f t="shared" si="33"/>
        <v>0.68997668997668993</v>
      </c>
      <c r="I42" s="648">
        <f t="shared" si="33"/>
        <v>0.76748251748251739</v>
      </c>
      <c r="J42" s="648">
        <f t="shared" si="33"/>
        <v>0.84498834498834485</v>
      </c>
      <c r="K42" s="648">
        <f t="shared" si="33"/>
        <v>0.92249417249417232</v>
      </c>
      <c r="L42" s="649">
        <f t="shared" si="33"/>
        <v>0.99999999999999978</v>
      </c>
      <c r="M42" s="65"/>
      <c r="N42" s="65"/>
      <c r="O42" s="65"/>
      <c r="P42" s="65"/>
      <c r="Q42" s="65"/>
      <c r="R42" s="65"/>
      <c r="S42" s="65"/>
      <c r="T42" s="65"/>
      <c r="U42" s="65"/>
      <c r="V42" s="65"/>
      <c r="W42" s="65"/>
      <c r="X42" s="65"/>
      <c r="Y42" s="474"/>
    </row>
    <row r="43" spans="3:25" ht="15">
      <c r="C43" s="501" t="s">
        <v>693</v>
      </c>
      <c r="D43" s="476">
        <f>(1-F42)/6</f>
        <v>7.7505827505827504E-2</v>
      </c>
      <c r="E43" s="328"/>
      <c r="F43" s="328"/>
      <c r="G43" s="328"/>
      <c r="H43" s="328"/>
      <c r="I43" s="328"/>
      <c r="J43" s="328"/>
      <c r="K43" s="328"/>
      <c r="L43" s="477"/>
      <c r="M43" s="65"/>
      <c r="N43" s="65"/>
      <c r="O43" s="772"/>
      <c r="P43" s="772"/>
      <c r="Q43" s="772"/>
      <c r="R43" s="772"/>
      <c r="S43" s="772"/>
      <c r="T43" s="772"/>
      <c r="U43" s="65"/>
      <c r="V43" s="65"/>
      <c r="W43" s="65"/>
      <c r="X43" s="65"/>
      <c r="Y43" s="474"/>
    </row>
    <row r="44" spans="3:25" ht="15">
      <c r="C44" s="65"/>
      <c r="D44" s="65"/>
      <c r="E44" s="65"/>
      <c r="F44" s="65"/>
      <c r="G44" s="65"/>
      <c r="H44" s="65"/>
      <c r="I44" s="65"/>
      <c r="J44" s="65"/>
      <c r="K44" s="65"/>
      <c r="L44" s="65"/>
      <c r="M44" s="65"/>
      <c r="N44" s="762" t="s">
        <v>283</v>
      </c>
      <c r="O44" s="757" t="s">
        <v>576</v>
      </c>
      <c r="P44" s="757"/>
      <c r="Q44" s="757"/>
      <c r="R44" s="757"/>
      <c r="S44" s="757"/>
      <c r="T44" s="758"/>
      <c r="U44" s="65"/>
      <c r="V44" s="65"/>
      <c r="W44" s="65"/>
      <c r="X44" s="65"/>
      <c r="Y44" s="474"/>
    </row>
    <row r="45" spans="3:25" ht="15">
      <c r="C45" s="65"/>
      <c r="D45" s="746" t="s">
        <v>683</v>
      </c>
      <c r="E45" s="747"/>
      <c r="F45" s="747"/>
      <c r="G45" s="747"/>
      <c r="H45" s="765" t="s">
        <v>684</v>
      </c>
      <c r="I45" s="766"/>
      <c r="J45" s="766"/>
      <c r="K45" s="766"/>
      <c r="L45" s="767"/>
      <c r="M45" s="65"/>
      <c r="N45" s="762"/>
      <c r="O45" s="759" t="s">
        <v>726</v>
      </c>
      <c r="P45" s="760"/>
      <c r="Q45" s="760"/>
      <c r="R45" s="760"/>
      <c r="S45" s="760"/>
      <c r="T45" s="761"/>
      <c r="U45" s="65"/>
      <c r="V45" s="65"/>
      <c r="W45" s="65"/>
      <c r="X45" s="65"/>
      <c r="Y45" s="474"/>
    </row>
    <row r="46" spans="3:25" ht="15">
      <c r="C46" s="763" t="s">
        <v>694</v>
      </c>
      <c r="D46" s="351" t="s">
        <v>672</v>
      </c>
      <c r="E46" s="351" t="s">
        <v>673</v>
      </c>
      <c r="F46" s="351" t="s">
        <v>674</v>
      </c>
      <c r="G46" s="351" t="s">
        <v>675</v>
      </c>
      <c r="H46" s="351" t="s">
        <v>676</v>
      </c>
      <c r="I46" s="351" t="s">
        <v>677</v>
      </c>
      <c r="J46" s="351" t="s">
        <v>678</v>
      </c>
      <c r="K46" s="351" t="s">
        <v>679</v>
      </c>
      <c r="L46" s="471" t="s">
        <v>680</v>
      </c>
      <c r="M46" s="65"/>
      <c r="N46" s="762"/>
      <c r="O46" s="581">
        <f>S25</f>
        <v>70568.765687484614</v>
      </c>
      <c r="P46" s="547">
        <f>$Q$36-$W$36</f>
        <v>4.7E-2</v>
      </c>
      <c r="Q46" s="547">
        <f>$R$36-$W$36</f>
        <v>4.8500000000000001E-2</v>
      </c>
      <c r="R46" s="565">
        <v>0.05</v>
      </c>
      <c r="S46" s="547">
        <f>$R$36+$W$36</f>
        <v>5.1500000000000004E-2</v>
      </c>
      <c r="T46" s="554">
        <f>$S$36+$W$36</f>
        <v>5.3000000000000005E-2</v>
      </c>
      <c r="U46" s="65"/>
      <c r="V46" s="65"/>
      <c r="W46" s="65"/>
      <c r="X46" s="65"/>
      <c r="Y46" s="65"/>
    </row>
    <row r="47" spans="3:25" ht="15" customHeight="1">
      <c r="C47" s="764"/>
      <c r="D47" s="300">
        <v>42735</v>
      </c>
      <c r="E47" s="300">
        <v>43100</v>
      </c>
      <c r="F47" s="300">
        <v>43465</v>
      </c>
      <c r="G47" s="300">
        <v>43830</v>
      </c>
      <c r="H47" s="300">
        <v>44196</v>
      </c>
      <c r="I47" s="300">
        <v>44561</v>
      </c>
      <c r="J47" s="300">
        <v>44926</v>
      </c>
      <c r="K47" s="300">
        <v>45291</v>
      </c>
      <c r="L47" s="508">
        <v>45657</v>
      </c>
      <c r="M47" s="65"/>
      <c r="N47" s="762"/>
      <c r="O47" s="562">
        <f>$O$38+$W$35</f>
        <v>7.3000000000000007</v>
      </c>
      <c r="P47" s="356">
        <f t="dataTable" ref="P47:T51" dt2D="1" dtr="1" r1="W23" r2="O13" ca="1"/>
        <v>59798.098095454843</v>
      </c>
      <c r="Q47" s="356">
        <v>63896.875766117882</v>
      </c>
      <c r="R47" s="356">
        <v>68610.470087380381</v>
      </c>
      <c r="S47" s="356">
        <v>74088.431055334106</v>
      </c>
      <c r="T47" s="548">
        <v>80533.091017632571</v>
      </c>
      <c r="U47" s="65"/>
      <c r="V47" s="65"/>
      <c r="W47" s="65"/>
      <c r="X47" s="65"/>
      <c r="Y47" s="65"/>
    </row>
    <row r="48" spans="3:25" ht="15" customHeight="1">
      <c r="C48" s="510" t="s">
        <v>695</v>
      </c>
      <c r="D48" s="542">
        <f>'Balance Sheet'!L20</f>
        <v>1967</v>
      </c>
      <c r="E48" s="542">
        <f>'Balance Sheet'!M20</f>
        <v>2198</v>
      </c>
      <c r="F48" s="542">
        <f>'Balance Sheet'!N20</f>
        <v>2332</v>
      </c>
      <c r="G48" s="515">
        <f>G64*(G62/G70)</f>
        <v>2573.3424569896838</v>
      </c>
      <c r="H48" s="515">
        <f t="shared" ref="H48:L48" si="34">H64*(H62/H70)</f>
        <v>2747.3919638313319</v>
      </c>
      <c r="I48" s="515">
        <f t="shared" si="34"/>
        <v>2925.9062428982102</v>
      </c>
      <c r="J48" s="515">
        <f t="shared" si="34"/>
        <v>3119.9106271490873</v>
      </c>
      <c r="K48" s="515">
        <f t="shared" si="34"/>
        <v>3324.704129753125</v>
      </c>
      <c r="L48" s="521">
        <f t="shared" si="34"/>
        <v>3544.045775136804</v>
      </c>
      <c r="M48" s="65"/>
      <c r="N48" s="762"/>
      <c r="O48" s="562">
        <f>$O$39+$W$35</f>
        <v>7.15</v>
      </c>
      <c r="P48" s="356">
        <v>60645.730256527066</v>
      </c>
      <c r="Q48" s="356">
        <v>64802.249805989268</v>
      </c>
      <c r="R48" s="356">
        <v>69582.247287870763</v>
      </c>
      <c r="S48" s="356">
        <v>75137.379496543901</v>
      </c>
      <c r="T48" s="548">
        <v>81672.829153806379</v>
      </c>
      <c r="U48" s="65"/>
      <c r="V48" s="65"/>
      <c r="W48" s="65"/>
      <c r="X48" s="65"/>
      <c r="Y48" s="65"/>
    </row>
    <row r="49" spans="3:25" ht="15">
      <c r="C49" s="510" t="s">
        <v>150</v>
      </c>
      <c r="D49" s="542">
        <f>'Balance Sheet'!L23</f>
        <v>2030</v>
      </c>
      <c r="E49" s="542">
        <f>'Balance Sheet'!M23</f>
        <v>2465</v>
      </c>
      <c r="F49" s="542">
        <f>'Balance Sheet'!N23</f>
        <v>2955</v>
      </c>
      <c r="G49" s="515">
        <f>G65*(G63/G70)</f>
        <v>2907.1565210871086</v>
      </c>
      <c r="H49" s="515">
        <f t="shared" ref="H49:L49" si="35">H65*(H63/H70)</f>
        <v>3085.4274589184374</v>
      </c>
      <c r="I49" s="515">
        <f t="shared" si="35"/>
        <v>3280.5996080879254</v>
      </c>
      <c r="J49" s="515">
        <f t="shared" si="35"/>
        <v>3531.2884323716362</v>
      </c>
      <c r="K49" s="515">
        <f t="shared" si="35"/>
        <v>3765.7054121718847</v>
      </c>
      <c r="L49" s="522">
        <f t="shared" si="35"/>
        <v>4007.0208597163696</v>
      </c>
      <c r="M49" s="65"/>
      <c r="N49" s="762"/>
      <c r="O49" s="564">
        <v>7</v>
      </c>
      <c r="P49" s="356">
        <v>61506.17711143996</v>
      </c>
      <c r="Q49" s="356">
        <v>65721.334588670026</v>
      </c>
      <c r="R49" s="549">
        <v>70568.765687484614</v>
      </c>
      <c r="S49" s="356">
        <v>76202.266694215097</v>
      </c>
      <c r="T49" s="548">
        <v>82829.914937427413</v>
      </c>
      <c r="U49" s="65"/>
      <c r="V49" s="65"/>
      <c r="W49" s="65"/>
      <c r="X49" s="65"/>
      <c r="Y49" s="65"/>
    </row>
    <row r="50" spans="3:25" ht="15">
      <c r="C50" s="309" t="s">
        <v>65</v>
      </c>
      <c r="D50" s="343">
        <f>'Balance Sheet'!L26</f>
        <v>0</v>
      </c>
      <c r="E50" s="343">
        <f>'Balance Sheet'!M26</f>
        <v>0</v>
      </c>
      <c r="F50" s="343">
        <f>'Balance Sheet'!N26</f>
        <v>0</v>
      </c>
      <c r="G50" s="343">
        <f>G66*G62</f>
        <v>0</v>
      </c>
      <c r="H50" s="343">
        <f t="shared" ref="H50:L50" si="36">H66*H62</f>
        <v>0</v>
      </c>
      <c r="I50" s="343">
        <f t="shared" si="36"/>
        <v>0</v>
      </c>
      <c r="J50" s="343">
        <f t="shared" si="36"/>
        <v>0</v>
      </c>
      <c r="K50" s="343">
        <f t="shared" si="36"/>
        <v>0</v>
      </c>
      <c r="L50" s="523">
        <f t="shared" si="36"/>
        <v>0</v>
      </c>
      <c r="M50" s="65"/>
      <c r="N50" s="762"/>
      <c r="O50" s="562">
        <f>$O$39-$W$35</f>
        <v>6.85</v>
      </c>
      <c r="P50" s="356">
        <v>62379.653799235777</v>
      </c>
      <c r="Q50" s="356">
        <v>66654.360443756028</v>
      </c>
      <c r="R50" s="356">
        <v>71570.273084954315</v>
      </c>
      <c r="S50" s="356">
        <v>77283.360749049636</v>
      </c>
      <c r="T50" s="548">
        <v>84004.640353867639</v>
      </c>
      <c r="U50" s="65"/>
      <c r="V50" s="65"/>
      <c r="W50" s="65"/>
      <c r="X50" s="65"/>
      <c r="Y50" s="65"/>
    </row>
    <row r="51" spans="3:25" ht="15">
      <c r="C51" s="511" t="s">
        <v>696</v>
      </c>
      <c r="D51" s="515">
        <f>SUM(D48:D50)</f>
        <v>3997</v>
      </c>
      <c r="E51" s="515">
        <f t="shared" ref="E51:L51" si="37">SUM(E48:E50)</f>
        <v>4663</v>
      </c>
      <c r="F51" s="515">
        <f t="shared" si="37"/>
        <v>5287</v>
      </c>
      <c r="G51" s="515">
        <f t="shared" si="37"/>
        <v>5480.4989780767919</v>
      </c>
      <c r="H51" s="515">
        <f t="shared" si="37"/>
        <v>5832.8194227497697</v>
      </c>
      <c r="I51" s="515">
        <f t="shared" si="37"/>
        <v>6206.5058509861356</v>
      </c>
      <c r="J51" s="515">
        <f t="shared" si="37"/>
        <v>6651.1990595207235</v>
      </c>
      <c r="K51" s="515">
        <f t="shared" si="37"/>
        <v>7090.4095419250098</v>
      </c>
      <c r="L51" s="524">
        <f t="shared" si="37"/>
        <v>7551.066634853174</v>
      </c>
      <c r="M51" s="65"/>
      <c r="N51" s="762"/>
      <c r="O51" s="563">
        <f>$O$40-$W$35</f>
        <v>6.6999999999999993</v>
      </c>
      <c r="P51" s="550">
        <v>63266.379398473189</v>
      </c>
      <c r="Q51" s="550">
        <v>67601.561919736589</v>
      </c>
      <c r="R51" s="550">
        <v>72587.021819189496</v>
      </c>
      <c r="S51" s="550">
        <v>78380.934675310433</v>
      </c>
      <c r="T51" s="551">
        <v>85197.30274133505</v>
      </c>
      <c r="U51" s="65"/>
      <c r="V51" s="65"/>
      <c r="W51" s="65"/>
      <c r="X51" s="65"/>
      <c r="Y51" s="65"/>
    </row>
    <row r="52" spans="3:25" ht="15">
      <c r="C52" s="510"/>
      <c r="D52" s="65"/>
      <c r="E52" s="65"/>
      <c r="F52" s="65"/>
      <c r="G52" s="65"/>
      <c r="H52" s="65"/>
      <c r="I52" s="65"/>
      <c r="J52" s="65"/>
      <c r="K52" s="65"/>
      <c r="L52" s="509"/>
      <c r="M52" s="65"/>
      <c r="N52" s="546"/>
      <c r="O52" s="65"/>
      <c r="P52" s="65"/>
      <c r="Q52" s="65"/>
      <c r="R52" s="65"/>
      <c r="S52" s="65"/>
      <c r="T52" s="65"/>
      <c r="U52" s="65"/>
      <c r="V52" s="65"/>
      <c r="W52" s="65"/>
      <c r="X52" s="65"/>
      <c r="Y52" s="65"/>
    </row>
    <row r="53" spans="3:25" ht="15">
      <c r="C53" s="510" t="s">
        <v>151</v>
      </c>
      <c r="D53" s="542">
        <f>'Balance Sheet'!L39</f>
        <v>437</v>
      </c>
      <c r="E53" s="542">
        <f>'Balance Sheet'!M39</f>
        <v>487</v>
      </c>
      <c r="F53" s="542">
        <f>'Balance Sheet'!N39</f>
        <v>646</v>
      </c>
      <c r="G53" s="515">
        <f>G67*(G63/G70)</f>
        <v>612.28758815660126</v>
      </c>
      <c r="H53" s="515">
        <f t="shared" ref="H53:L53" si="38">H67*(H63/H70)</f>
        <v>649.83392657058619</v>
      </c>
      <c r="I53" s="515">
        <f t="shared" si="38"/>
        <v>690.93989510840663</v>
      </c>
      <c r="J53" s="515">
        <f t="shared" si="38"/>
        <v>743.73844740000789</v>
      </c>
      <c r="K53" s="515">
        <f t="shared" si="38"/>
        <v>793.109922978893</v>
      </c>
      <c r="L53" s="522">
        <f t="shared" si="38"/>
        <v>843.93431178981677</v>
      </c>
      <c r="M53" s="65"/>
      <c r="N53" s="762" t="s">
        <v>283</v>
      </c>
      <c r="O53" s="757" t="s">
        <v>739</v>
      </c>
      <c r="P53" s="757"/>
      <c r="Q53" s="757"/>
      <c r="R53" s="757"/>
      <c r="S53" s="757"/>
      <c r="T53" s="758"/>
      <c r="U53" s="65"/>
      <c r="V53" s="65"/>
      <c r="W53" s="65"/>
      <c r="X53" s="65"/>
      <c r="Y53" s="65"/>
    </row>
    <row r="54" spans="3:25" ht="15">
      <c r="C54" s="510" t="s">
        <v>697</v>
      </c>
      <c r="D54" s="542">
        <f>'Balance Sheet'!L37</f>
        <v>767</v>
      </c>
      <c r="E54" s="542">
        <f>'Balance Sheet'!M37</f>
        <v>838</v>
      </c>
      <c r="F54" s="542">
        <f>'Balance Sheet'!N37</f>
        <v>917</v>
      </c>
      <c r="G54" s="515">
        <f>G62*G68</f>
        <v>998.65638659261458</v>
      </c>
      <c r="H54" s="515">
        <f t="shared" ref="H54:L54" si="39">H62*H68</f>
        <v>1066.2010894434111</v>
      </c>
      <c r="I54" s="515">
        <f t="shared" si="39"/>
        <v>1135.4784700749269</v>
      </c>
      <c r="J54" s="515">
        <f t="shared" si="39"/>
        <v>1210.7672124779683</v>
      </c>
      <c r="K54" s="515">
        <f t="shared" si="39"/>
        <v>1290.2429692909348</v>
      </c>
      <c r="L54" s="522">
        <f t="shared" si="39"/>
        <v>1375.364533431444</v>
      </c>
      <c r="M54" s="65"/>
      <c r="N54" s="762"/>
      <c r="O54" s="759" t="s">
        <v>726</v>
      </c>
      <c r="P54" s="760"/>
      <c r="Q54" s="760"/>
      <c r="R54" s="760"/>
      <c r="S54" s="760"/>
      <c r="T54" s="761"/>
      <c r="U54" s="65"/>
      <c r="V54" s="65"/>
      <c r="W54" s="65"/>
      <c r="X54" s="65"/>
      <c r="Y54" s="65"/>
    </row>
    <row r="55" spans="3:25" ht="15">
      <c r="C55" s="309" t="s">
        <v>76</v>
      </c>
      <c r="D55" s="543">
        <f>'Balance Sheet'!L41</f>
        <v>1981</v>
      </c>
      <c r="E55" s="543">
        <f>'Balance Sheet'!M41</f>
        <v>1807</v>
      </c>
      <c r="F55" s="543">
        <f>'Balance Sheet'!N41</f>
        <v>1713</v>
      </c>
      <c r="G55" s="343">
        <f>G69*G62</f>
        <v>2200.0182829434925</v>
      </c>
      <c r="H55" s="343">
        <f t="shared" ref="H55:L55" si="40">H69*H62</f>
        <v>2348.8177931481541</v>
      </c>
      <c r="I55" s="343">
        <f t="shared" si="40"/>
        <v>2501.4343547903354</v>
      </c>
      <c r="J55" s="343">
        <f t="shared" si="40"/>
        <v>2667.2938155720976</v>
      </c>
      <c r="K55" s="343">
        <f t="shared" si="40"/>
        <v>2842.3771779645153</v>
      </c>
      <c r="L55" s="523">
        <f t="shared" si="40"/>
        <v>3029.8981310130644</v>
      </c>
      <c r="M55" s="65"/>
      <c r="N55" s="762"/>
      <c r="O55" s="582">
        <f>W26</f>
        <v>24.067818650727066</v>
      </c>
      <c r="P55" s="547">
        <f>$Q$36-$W$36</f>
        <v>4.7E-2</v>
      </c>
      <c r="Q55" s="547">
        <f>$R$36-$W$36</f>
        <v>4.8500000000000001E-2</v>
      </c>
      <c r="R55" s="565">
        <v>0.05</v>
      </c>
      <c r="S55" s="547">
        <f>$R$36+$W$36</f>
        <v>5.1500000000000004E-2</v>
      </c>
      <c r="T55" s="554">
        <f>$S$36+$W$36</f>
        <v>5.3000000000000005E-2</v>
      </c>
      <c r="U55" s="65"/>
      <c r="V55" s="65"/>
      <c r="W55" s="65"/>
      <c r="X55" s="65"/>
      <c r="Y55" s="65"/>
    </row>
    <row r="56" spans="3:25" ht="15">
      <c r="C56" s="511" t="s">
        <v>698</v>
      </c>
      <c r="D56" s="515">
        <f>SUM(D53:D55)</f>
        <v>3185</v>
      </c>
      <c r="E56" s="515">
        <f t="shared" ref="E56:F56" si="41">SUM(E53:E55)</f>
        <v>3132</v>
      </c>
      <c r="F56" s="515">
        <f t="shared" si="41"/>
        <v>3276</v>
      </c>
      <c r="G56" s="515">
        <f t="shared" ref="G56" si="42">SUM(G53:G55)</f>
        <v>3810.9622576927086</v>
      </c>
      <c r="H56" s="515">
        <f t="shared" ref="H56" si="43">SUM(H53:H55)</f>
        <v>4064.8528091621515</v>
      </c>
      <c r="I56" s="515">
        <f t="shared" ref="I56" si="44">SUM(I53:I55)</f>
        <v>4327.8527199736691</v>
      </c>
      <c r="J56" s="515">
        <f t="shared" ref="J56" si="45">SUM(J53:J55)</f>
        <v>4621.7994754500742</v>
      </c>
      <c r="K56" s="515">
        <f t="shared" ref="K56" si="46">SUM(K53:K55)</f>
        <v>4925.7300702343437</v>
      </c>
      <c r="L56" s="524">
        <f t="shared" ref="L56" si="47">SUM(L53:L55)</f>
        <v>5249.1969762343251</v>
      </c>
      <c r="M56" s="65"/>
      <c r="N56" s="762"/>
      <c r="O56" s="562">
        <f>$O$38+$W$35</f>
        <v>7.3000000000000007</v>
      </c>
      <c r="P56" s="357">
        <f t="dataTable" ref="P56:T60" dt2D="1" dtr="1" r1="W23" r2="O13" ca="1"/>
        <v>20.713515445485783</v>
      </c>
      <c r="Q56" s="357">
        <v>21.989995567149762</v>
      </c>
      <c r="R56" s="357">
        <v>23.45794770706334</v>
      </c>
      <c r="S56" s="357">
        <v>25.163946139935877</v>
      </c>
      <c r="T56" s="566">
        <v>27.171003119785915</v>
      </c>
      <c r="U56" s="65"/>
      <c r="V56" s="65"/>
      <c r="W56" s="65"/>
      <c r="X56" s="65"/>
      <c r="Y56" s="65"/>
    </row>
    <row r="57" spans="3:25" ht="15" customHeight="1">
      <c r="C57" s="510"/>
      <c r="D57" s="515"/>
      <c r="E57" s="515"/>
      <c r="F57" s="515"/>
      <c r="G57" s="515"/>
      <c r="H57" s="515"/>
      <c r="I57" s="515"/>
      <c r="J57" s="515"/>
      <c r="K57" s="515"/>
      <c r="L57" s="526"/>
      <c r="M57" s="65"/>
      <c r="N57" s="762"/>
      <c r="O57" s="562">
        <f>$O$39+$W$35</f>
        <v>7.15</v>
      </c>
      <c r="P57" s="357">
        <v>20.97749307272721</v>
      </c>
      <c r="Q57" s="357">
        <v>22.271955716595848</v>
      </c>
      <c r="R57" s="357">
        <v>23.760587757044771</v>
      </c>
      <c r="S57" s="357">
        <v>25.490619587836779</v>
      </c>
      <c r="T57" s="566">
        <v>27.525951153474423</v>
      </c>
      <c r="U57" s="65"/>
      <c r="V57" s="65"/>
      <c r="W57" s="65"/>
      <c r="X57" s="65"/>
      <c r="Y57" s="65"/>
    </row>
    <row r="58" spans="3:25" ht="15">
      <c r="C58" s="511" t="s">
        <v>699</v>
      </c>
      <c r="D58" s="515">
        <f>D51-D56</f>
        <v>812</v>
      </c>
      <c r="E58" s="515">
        <f t="shared" ref="E58:L58" si="48">E51-E56</f>
        <v>1531</v>
      </c>
      <c r="F58" s="515">
        <f t="shared" si="48"/>
        <v>2011</v>
      </c>
      <c r="G58" s="515">
        <f t="shared" si="48"/>
        <v>1669.5367203840833</v>
      </c>
      <c r="H58" s="515">
        <f t="shared" si="48"/>
        <v>1767.9666135876182</v>
      </c>
      <c r="I58" s="515">
        <f t="shared" si="48"/>
        <v>1878.6531310124665</v>
      </c>
      <c r="J58" s="515">
        <f t="shared" si="48"/>
        <v>2029.3995840706493</v>
      </c>
      <c r="K58" s="515">
        <f t="shared" si="48"/>
        <v>2164.6794716906661</v>
      </c>
      <c r="L58" s="522">
        <f t="shared" si="48"/>
        <v>2301.8696586188489</v>
      </c>
      <c r="M58" s="65"/>
      <c r="N58" s="762"/>
      <c r="O58" s="564">
        <v>7</v>
      </c>
      <c r="P58" s="357">
        <v>21.245461573167226</v>
      </c>
      <c r="Q58" s="357">
        <v>22.558185795288079</v>
      </c>
      <c r="R58" s="567">
        <v>24.067818650727066</v>
      </c>
      <c r="S58" s="357">
        <v>25.822256834075084</v>
      </c>
      <c r="T58" s="566">
        <v>27.88630175566098</v>
      </c>
      <c r="U58" s="65"/>
      <c r="V58" s="65"/>
      <c r="W58" s="65"/>
      <c r="X58" s="65"/>
      <c r="Y58" s="65"/>
    </row>
    <row r="59" spans="3:25" ht="15">
      <c r="C59" s="511" t="s">
        <v>621</v>
      </c>
      <c r="D59" s="515"/>
      <c r="E59" s="515">
        <f>E58-D58</f>
        <v>719</v>
      </c>
      <c r="F59" s="515">
        <f t="shared" ref="F59:L59" si="49">F58-E58</f>
        <v>480</v>
      </c>
      <c r="G59" s="515">
        <f t="shared" si="49"/>
        <v>-341.46327961591669</v>
      </c>
      <c r="H59" s="621">
        <f t="shared" si="49"/>
        <v>98.429893203534903</v>
      </c>
      <c r="I59" s="515">
        <f t="shared" si="49"/>
        <v>110.68651742484826</v>
      </c>
      <c r="J59" s="515">
        <f t="shared" si="49"/>
        <v>150.74645305818285</v>
      </c>
      <c r="K59" s="515">
        <f t="shared" si="49"/>
        <v>135.27988762001678</v>
      </c>
      <c r="L59" s="522">
        <f t="shared" si="49"/>
        <v>137.19018692818281</v>
      </c>
      <c r="M59" s="65"/>
      <c r="N59" s="762"/>
      <c r="O59" s="562">
        <f>$O$39-$W$35</f>
        <v>6.85</v>
      </c>
      <c r="P59" s="357">
        <v>21.51748794744185</v>
      </c>
      <c r="Q59" s="357">
        <v>22.848757534648406</v>
      </c>
      <c r="R59" s="357">
        <v>24.379717559935944</v>
      </c>
      <c r="S59" s="357">
        <v>26.158941373107954</v>
      </c>
      <c r="T59" s="566">
        <v>28.252145859192662</v>
      </c>
      <c r="U59" s="65"/>
      <c r="V59" s="65"/>
      <c r="W59" s="65"/>
      <c r="X59" s="65"/>
      <c r="Y59" s="65"/>
    </row>
    <row r="60" spans="3:25" ht="15">
      <c r="C60" s="510"/>
      <c r="D60" s="65"/>
      <c r="E60" s="65"/>
      <c r="F60" s="65"/>
      <c r="G60" s="65"/>
      <c r="H60" s="65"/>
      <c r="I60" s="65"/>
      <c r="J60" s="65"/>
      <c r="K60" s="65"/>
      <c r="L60" s="509"/>
      <c r="M60" s="65"/>
      <c r="N60" s="762"/>
      <c r="O60" s="563">
        <f>$O$40-$W$35</f>
        <v>6.6999999999999993</v>
      </c>
      <c r="P60" s="568">
        <v>21.793640423068574</v>
      </c>
      <c r="Q60" s="568">
        <v>23.143743979986482</v>
      </c>
      <c r="R60" s="568">
        <v>24.696363070442072</v>
      </c>
      <c r="S60" s="568">
        <v>26.500758229620192</v>
      </c>
      <c r="T60" s="569">
        <v>28.623576063947382</v>
      </c>
      <c r="U60" s="65"/>
      <c r="V60" s="65"/>
      <c r="W60" s="65"/>
      <c r="X60" s="65"/>
      <c r="Y60" s="65"/>
    </row>
    <row r="61" spans="3:25" ht="15">
      <c r="C61" s="309" t="s">
        <v>685</v>
      </c>
      <c r="D61" s="328"/>
      <c r="E61" s="328"/>
      <c r="F61" s="328"/>
      <c r="G61" s="328"/>
      <c r="H61" s="328"/>
      <c r="I61" s="328"/>
      <c r="J61" s="328"/>
      <c r="K61" s="328"/>
      <c r="L61" s="477"/>
      <c r="M61" s="65"/>
      <c r="N61" s="546"/>
      <c r="O61" s="65"/>
      <c r="Q61" s="65"/>
      <c r="R61" s="65"/>
      <c r="S61" s="65"/>
      <c r="U61" s="65"/>
      <c r="V61" s="65"/>
      <c r="W61" s="65"/>
      <c r="X61" s="65"/>
      <c r="Y61" s="65"/>
    </row>
    <row r="62" spans="3:25" ht="15" customHeight="1">
      <c r="C62" s="511" t="s">
        <v>11</v>
      </c>
      <c r="D62" s="472">
        <f t="shared" ref="D62:L62" si="50">D6</f>
        <v>11325</v>
      </c>
      <c r="E62" s="472">
        <f t="shared" si="50"/>
        <v>12444</v>
      </c>
      <c r="F62" s="472">
        <f t="shared" si="50"/>
        <v>13601</v>
      </c>
      <c r="G62" s="472">
        <f t="shared" si="50"/>
        <v>14795.678571428571</v>
      </c>
      <c r="H62" s="472">
        <f t="shared" si="50"/>
        <v>15796.392857142861</v>
      </c>
      <c r="I62" s="472">
        <f t="shared" si="50"/>
        <v>16822.777777777781</v>
      </c>
      <c r="J62" s="472">
        <f t="shared" si="50"/>
        <v>17938.224539644736</v>
      </c>
      <c r="K62" s="472">
        <f t="shared" si="50"/>
        <v>19115.704369356539</v>
      </c>
      <c r="L62" s="473">
        <f t="shared" si="50"/>
        <v>20376.830137367051</v>
      </c>
      <c r="M62" s="65"/>
      <c r="N62" s="762" t="s">
        <v>283</v>
      </c>
      <c r="O62" s="757" t="s">
        <v>725</v>
      </c>
      <c r="P62" s="757"/>
      <c r="Q62" s="757"/>
      <c r="R62" s="757"/>
      <c r="S62" s="757"/>
      <c r="T62" s="758"/>
      <c r="U62" s="65"/>
      <c r="V62" s="65"/>
      <c r="W62" s="65"/>
      <c r="X62" s="65"/>
      <c r="Y62" s="65"/>
    </row>
    <row r="63" spans="3:25" ht="15">
      <c r="C63" s="511" t="s">
        <v>687</v>
      </c>
      <c r="D63" s="472">
        <f t="shared" ref="D63:L63" si="51">D10</f>
        <v>3821</v>
      </c>
      <c r="E63" s="472">
        <f t="shared" si="51"/>
        <v>4264</v>
      </c>
      <c r="F63" s="472">
        <f t="shared" si="51"/>
        <v>4663</v>
      </c>
      <c r="G63" s="472">
        <f t="shared" si="51"/>
        <v>5003.4751367083409</v>
      </c>
      <c r="H63" s="472">
        <f t="shared" si="51"/>
        <v>5310.295288484409</v>
      </c>
      <c r="I63" s="472">
        <f t="shared" si="51"/>
        <v>5646.2039293381513</v>
      </c>
      <c r="J63" s="472">
        <f t="shared" si="51"/>
        <v>6077.6617095629153</v>
      </c>
      <c r="K63" s="472">
        <f t="shared" si="51"/>
        <v>6481.114197086431</v>
      </c>
      <c r="L63" s="514">
        <f t="shared" si="51"/>
        <v>6896.439561625446</v>
      </c>
      <c r="M63" s="65"/>
      <c r="N63" s="762"/>
      <c r="O63" s="759" t="s">
        <v>726</v>
      </c>
      <c r="P63" s="760"/>
      <c r="Q63" s="760"/>
      <c r="R63" s="760"/>
      <c r="S63" s="760"/>
      <c r="T63" s="761"/>
      <c r="U63" s="65"/>
      <c r="V63" s="65"/>
      <c r="W63" s="65"/>
      <c r="X63" s="65"/>
      <c r="Y63" s="65"/>
    </row>
    <row r="64" spans="3:25" ht="15">
      <c r="C64" s="511" t="s">
        <v>700</v>
      </c>
      <c r="D64" s="515">
        <f>(D48/D62)*D70</f>
        <v>63.395584988962469</v>
      </c>
      <c r="E64" s="515">
        <f t="shared" ref="E64:F64" si="52">(E48/E62)*E70</f>
        <v>64.470427515268398</v>
      </c>
      <c r="F64" s="515">
        <f t="shared" si="52"/>
        <v>62.582163076244392</v>
      </c>
      <c r="G64" s="516">
        <f>AVERAGE($D$64:$F$64)</f>
        <v>63.482725193491753</v>
      </c>
      <c r="H64" s="516">
        <f t="shared" ref="H64:L64" si="53">AVERAGE($D$64:$F$64)</f>
        <v>63.482725193491753</v>
      </c>
      <c r="I64" s="516">
        <f t="shared" si="53"/>
        <v>63.482725193491753</v>
      </c>
      <c r="J64" s="516">
        <f t="shared" si="53"/>
        <v>63.482725193491753</v>
      </c>
      <c r="K64" s="516">
        <f t="shared" si="53"/>
        <v>63.482725193491753</v>
      </c>
      <c r="L64" s="435">
        <f t="shared" si="53"/>
        <v>63.482725193491753</v>
      </c>
      <c r="M64" s="65"/>
      <c r="N64" s="762"/>
      <c r="O64" s="583">
        <f>S29</f>
        <v>188.78240186453132</v>
      </c>
      <c r="P64" s="547">
        <f>$Q$36-$W$36</f>
        <v>4.7E-2</v>
      </c>
      <c r="Q64" s="547">
        <f>$R$36-$W$36</f>
        <v>4.8500000000000001E-2</v>
      </c>
      <c r="R64" s="565">
        <v>0.05</v>
      </c>
      <c r="S64" s="547">
        <f>$R$36+$W$36</f>
        <v>5.1500000000000004E-2</v>
      </c>
      <c r="T64" s="554">
        <f>$S$36+$W$36</f>
        <v>5.3000000000000005E-2</v>
      </c>
      <c r="U64" s="65"/>
      <c r="V64" s="65"/>
      <c r="W64" s="65"/>
      <c r="X64" s="65"/>
      <c r="Y64" s="65"/>
    </row>
    <row r="65" spans="3:25" ht="15">
      <c r="C65" s="511" t="s">
        <v>701</v>
      </c>
      <c r="D65" s="515">
        <f>(D49/D63)*D70</f>
        <v>193.91520544360114</v>
      </c>
      <c r="E65" s="515">
        <f t="shared" ref="E65:F65" si="54">(E49/E63)*E70</f>
        <v>211.0049249530957</v>
      </c>
      <c r="F65" s="515">
        <f t="shared" si="54"/>
        <v>231.30495389234397</v>
      </c>
      <c r="G65" s="516">
        <f>AVERAGE($D$65:$F$65)</f>
        <v>212.07502809634693</v>
      </c>
      <c r="H65" s="516">
        <f t="shared" ref="H65:L65" si="55">AVERAGE($D$65:$F$65)</f>
        <v>212.07502809634693</v>
      </c>
      <c r="I65" s="516">
        <f t="shared" si="55"/>
        <v>212.07502809634693</v>
      </c>
      <c r="J65" s="516">
        <f t="shared" si="55"/>
        <v>212.07502809634693</v>
      </c>
      <c r="K65" s="516">
        <f t="shared" si="55"/>
        <v>212.07502809634693</v>
      </c>
      <c r="L65" s="435">
        <f t="shared" si="55"/>
        <v>212.07502809634693</v>
      </c>
      <c r="M65" s="65"/>
      <c r="N65" s="762"/>
      <c r="O65" s="574">
        <f>$O$38+$W$35</f>
        <v>7.3000000000000007</v>
      </c>
      <c r="P65" s="369">
        <f t="dataTable" ref="P65:T69" dt2D="1" dtr="1" r1="W23" r2="O13" ca="1"/>
        <v>159.96919423791053</v>
      </c>
      <c r="Q65" s="369">
        <v>170.93406071727006</v>
      </c>
      <c r="R65" s="369">
        <v>183.54365716853354</v>
      </c>
      <c r="S65" s="369">
        <v>198.19805304432626</v>
      </c>
      <c r="T65" s="570">
        <v>215.43851878055287</v>
      </c>
      <c r="U65" s="65"/>
      <c r="V65" s="65"/>
      <c r="W65" s="65"/>
      <c r="X65" s="65"/>
      <c r="Y65" s="65"/>
    </row>
    <row r="66" spans="3:25" ht="15" customHeight="1">
      <c r="C66" s="511" t="s">
        <v>702</v>
      </c>
      <c r="D66" s="474">
        <f>D50/D62</f>
        <v>0</v>
      </c>
      <c r="E66" s="474">
        <f t="shared" ref="E66:F66" si="56">E50/E62</f>
        <v>0</v>
      </c>
      <c r="F66" s="474">
        <f t="shared" si="56"/>
        <v>0</v>
      </c>
      <c r="G66" s="475">
        <f>F66</f>
        <v>0</v>
      </c>
      <c r="H66" s="475">
        <f t="shared" ref="H66:L66" si="57">G66</f>
        <v>0</v>
      </c>
      <c r="I66" s="475">
        <f t="shared" si="57"/>
        <v>0</v>
      </c>
      <c r="J66" s="475">
        <f t="shared" si="57"/>
        <v>0</v>
      </c>
      <c r="K66" s="475">
        <f t="shared" si="57"/>
        <v>0</v>
      </c>
      <c r="L66" s="391">
        <f t="shared" si="57"/>
        <v>0</v>
      </c>
      <c r="M66" s="65"/>
      <c r="N66" s="762"/>
      <c r="O66" s="574">
        <f>$O$39+$W$35</f>
        <v>7.15</v>
      </c>
      <c r="P66" s="369">
        <v>162.23674183784277</v>
      </c>
      <c r="Q66" s="369">
        <v>173.35607680565724</v>
      </c>
      <c r="R66" s="369">
        <v>186.1433120186438</v>
      </c>
      <c r="S66" s="369">
        <v>201.00415294184452</v>
      </c>
      <c r="T66" s="570">
        <v>218.48749520443349</v>
      </c>
      <c r="U66" s="65"/>
      <c r="V66" s="65"/>
      <c r="W66" s="65"/>
      <c r="X66" s="65"/>
      <c r="Y66" s="65"/>
    </row>
    <row r="67" spans="3:25" ht="15">
      <c r="C67" s="511" t="s">
        <v>703</v>
      </c>
      <c r="D67" s="515">
        <f>(D53/D63)*D70</f>
        <v>41.74430777283434</v>
      </c>
      <c r="E67" s="515">
        <f t="shared" ref="E67:F67" si="58">(E53/E63)*E70</f>
        <v>41.687382739212005</v>
      </c>
      <c r="F67" s="515">
        <f t="shared" si="58"/>
        <v>50.5661591250268</v>
      </c>
      <c r="G67" s="516">
        <f>AVERAGE($D$67:$F$67)</f>
        <v>44.665949879024389</v>
      </c>
      <c r="H67" s="516">
        <f t="shared" ref="H67:L67" si="59">AVERAGE($D$67:$F$67)</f>
        <v>44.665949879024389</v>
      </c>
      <c r="I67" s="516">
        <f t="shared" si="59"/>
        <v>44.665949879024389</v>
      </c>
      <c r="J67" s="516">
        <f t="shared" si="59"/>
        <v>44.665949879024389</v>
      </c>
      <c r="K67" s="516">
        <f t="shared" si="59"/>
        <v>44.665949879024389</v>
      </c>
      <c r="L67" s="435">
        <f t="shared" si="59"/>
        <v>44.665949879024389</v>
      </c>
      <c r="M67" s="65"/>
      <c r="N67" s="762"/>
      <c r="O67" s="575">
        <v>7</v>
      </c>
      <c r="P67" s="369">
        <v>164.53857073288955</v>
      </c>
      <c r="Q67" s="369">
        <v>175.81477125923456</v>
      </c>
      <c r="R67" s="571">
        <v>188.78240186453132</v>
      </c>
      <c r="S67" s="369">
        <v>203.85289148690327</v>
      </c>
      <c r="T67" s="570">
        <v>221.58287927792909</v>
      </c>
      <c r="U67" s="65"/>
      <c r="V67" s="65"/>
      <c r="W67" s="65"/>
      <c r="X67" s="65"/>
      <c r="Y67" s="65"/>
    </row>
    <row r="68" spans="3:25" ht="15">
      <c r="C68" s="511" t="s">
        <v>704</v>
      </c>
      <c r="D68" s="474">
        <f>D54/D62</f>
        <v>6.7726269315673285E-2</v>
      </c>
      <c r="E68" s="474">
        <f t="shared" ref="E68:F68" si="60">E54/E62</f>
        <v>6.7341690774670518E-2</v>
      </c>
      <c r="F68" s="474">
        <f t="shared" si="60"/>
        <v>6.7421513124034993E-2</v>
      </c>
      <c r="G68" s="475">
        <f>AVERAGE($D$68:$F$68)</f>
        <v>6.7496491071459594E-2</v>
      </c>
      <c r="H68" s="475">
        <f t="shared" ref="H68:L68" si="61">AVERAGE($D$68:$F$68)</f>
        <v>6.7496491071459594E-2</v>
      </c>
      <c r="I68" s="475">
        <f t="shared" si="61"/>
        <v>6.7496491071459594E-2</v>
      </c>
      <c r="J68" s="475">
        <f t="shared" si="61"/>
        <v>6.7496491071459594E-2</v>
      </c>
      <c r="K68" s="475">
        <f t="shared" si="61"/>
        <v>6.7496491071459594E-2</v>
      </c>
      <c r="L68" s="391">
        <f t="shared" si="61"/>
        <v>6.7496491071459594E-2</v>
      </c>
      <c r="M68" s="65"/>
      <c r="N68" s="762"/>
      <c r="O68" s="574">
        <f>$O$39-$W$35</f>
        <v>6.85</v>
      </c>
      <c r="P68" s="369">
        <v>166.87525645338266</v>
      </c>
      <c r="Q68" s="369">
        <v>178.31076024542256</v>
      </c>
      <c r="R68" s="369">
        <v>191.4615896062684</v>
      </c>
      <c r="S68" s="369">
        <v>206.74498589049472</v>
      </c>
      <c r="T68" s="570">
        <v>224.72545210723149</v>
      </c>
      <c r="U68" s="65"/>
      <c r="V68" s="65"/>
      <c r="W68" s="65"/>
      <c r="X68" s="65"/>
      <c r="Y68" s="65"/>
    </row>
    <row r="69" spans="3:25" ht="15">
      <c r="C69" s="511" t="s">
        <v>705</v>
      </c>
      <c r="D69" s="474">
        <f>D55/D62</f>
        <v>0.17492273730684327</v>
      </c>
      <c r="E69" s="474">
        <f t="shared" ref="E69:F69" si="62">E55/E62</f>
        <v>0.14521054323368693</v>
      </c>
      <c r="F69" s="474">
        <f t="shared" si="62"/>
        <v>0.12594662157194325</v>
      </c>
      <c r="G69" s="475">
        <f>AVERAGE($D$69:$F$69)</f>
        <v>0.14869330070415782</v>
      </c>
      <c r="H69" s="475">
        <f t="shared" ref="H69:L69" si="63">AVERAGE($D$69:$F$69)</f>
        <v>0.14869330070415782</v>
      </c>
      <c r="I69" s="475">
        <f t="shared" si="63"/>
        <v>0.14869330070415782</v>
      </c>
      <c r="J69" s="475">
        <f t="shared" si="63"/>
        <v>0.14869330070415782</v>
      </c>
      <c r="K69" s="475">
        <f t="shared" si="63"/>
        <v>0.14869330070415782</v>
      </c>
      <c r="L69" s="391">
        <f t="shared" si="63"/>
        <v>0.14869330070415782</v>
      </c>
      <c r="M69" s="65"/>
      <c r="N69" s="762"/>
      <c r="O69" s="576">
        <f>$O$40-$W$35</f>
        <v>6.6999999999999993</v>
      </c>
      <c r="P69" s="572">
        <v>169.24738506847183</v>
      </c>
      <c r="Q69" s="572">
        <v>180.84467121783669</v>
      </c>
      <c r="R69" s="572">
        <v>194.18155028960626</v>
      </c>
      <c r="S69" s="572">
        <v>209.68116650814926</v>
      </c>
      <c r="T69" s="573">
        <v>227.91600911819981</v>
      </c>
      <c r="U69" s="65"/>
      <c r="V69" s="65"/>
      <c r="W69" s="65"/>
      <c r="X69" s="65"/>
      <c r="Y69" s="65"/>
    </row>
    <row r="70" spans="3:25" ht="15">
      <c r="C70" s="512" t="s">
        <v>706</v>
      </c>
      <c r="D70" s="517">
        <v>365</v>
      </c>
      <c r="E70" s="517">
        <v>365</v>
      </c>
      <c r="F70" s="517">
        <v>365</v>
      </c>
      <c r="G70" s="517">
        <v>365</v>
      </c>
      <c r="H70" s="517">
        <v>365</v>
      </c>
      <c r="I70" s="517">
        <v>365</v>
      </c>
      <c r="J70" s="517">
        <v>365</v>
      </c>
      <c r="K70" s="517">
        <v>365</v>
      </c>
      <c r="L70" s="518">
        <v>365</v>
      </c>
      <c r="M70" s="65"/>
      <c r="N70" s="546"/>
      <c r="U70" s="65"/>
      <c r="V70" s="65"/>
      <c r="W70" s="65"/>
      <c r="X70" s="65"/>
      <c r="Y70" s="65"/>
    </row>
    <row r="71" spans="3:25" ht="15">
      <c r="N71" s="546"/>
      <c r="U71" s="65"/>
      <c r="V71" s="65"/>
      <c r="W71" s="65"/>
      <c r="X71" s="65"/>
    </row>
    <row r="72" spans="3:25" ht="15">
      <c r="N72" s="546"/>
      <c r="U72" s="65"/>
      <c r="V72" s="65"/>
      <c r="W72" s="65"/>
    </row>
    <row r="73" spans="3:25" ht="15">
      <c r="N73" s="546"/>
      <c r="U73" s="65"/>
      <c r="V73" s="65"/>
      <c r="W73" s="65"/>
    </row>
    <row r="74" spans="3:25" ht="15">
      <c r="N74" s="65"/>
    </row>
  </sheetData>
  <mergeCells count="31">
    <mergeCell ref="C46:C47"/>
    <mergeCell ref="D33:G33"/>
    <mergeCell ref="H33:L33"/>
    <mergeCell ref="O44:T44"/>
    <mergeCell ref="O45:T45"/>
    <mergeCell ref="O43:T43"/>
    <mergeCell ref="N44:N51"/>
    <mergeCell ref="C34:C35"/>
    <mergeCell ref="D45:G45"/>
    <mergeCell ref="H45:L45"/>
    <mergeCell ref="N34:N41"/>
    <mergeCell ref="V34:W34"/>
    <mergeCell ref="O34:T34"/>
    <mergeCell ref="O35:T35"/>
    <mergeCell ref="U18:W18"/>
    <mergeCell ref="X19:X24"/>
    <mergeCell ref="X25:X30"/>
    <mergeCell ref="N18:O18"/>
    <mergeCell ref="Q18:S18"/>
    <mergeCell ref="C4:C5"/>
    <mergeCell ref="D3:G3"/>
    <mergeCell ref="H3:L3"/>
    <mergeCell ref="O3:R3"/>
    <mergeCell ref="S3:W3"/>
    <mergeCell ref="N4:N5"/>
    <mergeCell ref="O53:T53"/>
    <mergeCell ref="O54:T54"/>
    <mergeCell ref="O62:T62"/>
    <mergeCell ref="O63:T63"/>
    <mergeCell ref="N53:N60"/>
    <mergeCell ref="N62:N69"/>
  </mergeCells>
  <conditionalFormatting sqref="Q38:S40">
    <cfRule type="colorScale" priority="9">
      <colorScale>
        <cfvo type="min"/>
        <cfvo type="max"/>
        <color rgb="FFFFEF9C"/>
        <color rgb="FF63BE7B"/>
      </colorScale>
    </cfRule>
  </conditionalFormatting>
  <conditionalFormatting sqref="Q48:S50">
    <cfRule type="colorScale" priority="3">
      <colorScale>
        <cfvo type="min"/>
        <cfvo type="max"/>
        <color rgb="FFFFEF9C"/>
        <color rgb="FF63BE7B"/>
      </colorScale>
    </cfRule>
  </conditionalFormatting>
  <conditionalFormatting sqref="Q57:S59">
    <cfRule type="colorScale" priority="2">
      <colorScale>
        <cfvo type="min"/>
        <cfvo type="max"/>
        <color rgb="FFFFEF9C"/>
        <color rgb="FF63BE7B"/>
      </colorScale>
    </cfRule>
  </conditionalFormatting>
  <conditionalFormatting sqref="Q66:S68">
    <cfRule type="colorScale" priority="1">
      <colorScale>
        <cfvo type="min"/>
        <cfvo type="max"/>
        <color rgb="FFFFEF9C"/>
        <color rgb="FF63BE7B"/>
      </colorScale>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2:T61"/>
  <sheetViews>
    <sheetView showGridLines="0" workbookViewId="0">
      <selection activeCell="L36" sqref="L36"/>
    </sheetView>
  </sheetViews>
  <sheetFormatPr defaultColWidth="8.85546875" defaultRowHeight="11.25"/>
  <cols>
    <col min="2" max="2" width="11.7109375" customWidth="1"/>
    <col min="3" max="3" width="7.42578125" customWidth="1"/>
    <col min="4" max="4" width="27.7109375" customWidth="1"/>
    <col min="5" max="5" width="9.28515625" bestFit="1" customWidth="1"/>
    <col min="6" max="6" width="9.42578125" bestFit="1" customWidth="1"/>
    <col min="7" max="7" width="10.28515625" bestFit="1" customWidth="1"/>
    <col min="8" max="8" width="9.42578125" bestFit="1" customWidth="1"/>
    <col min="9" max="9" width="9.28515625" bestFit="1" customWidth="1"/>
    <col min="17" max="17" width="13.42578125" bestFit="1" customWidth="1"/>
  </cols>
  <sheetData>
    <row r="2" spans="1:20" ht="12.75">
      <c r="A2" s="622"/>
      <c r="B2" s="622"/>
      <c r="C2" s="622"/>
      <c r="D2" s="622"/>
      <c r="E2" s="622"/>
      <c r="F2" s="622"/>
      <c r="G2" s="622"/>
      <c r="H2" s="622"/>
      <c r="I2" s="622"/>
      <c r="J2" s="622"/>
      <c r="K2" s="622"/>
      <c r="L2" s="622"/>
      <c r="M2" s="622"/>
      <c r="N2" s="622"/>
      <c r="O2" s="622"/>
      <c r="P2" s="622"/>
      <c r="Q2" s="622"/>
      <c r="R2" s="622"/>
      <c r="S2" s="622"/>
      <c r="T2" s="622"/>
    </row>
    <row r="3" spans="1:20" ht="12.75">
      <c r="A3" s="622"/>
      <c r="B3" s="622"/>
      <c r="C3" s="622"/>
      <c r="D3" s="622"/>
      <c r="E3" s="622"/>
      <c r="F3" s="622"/>
      <c r="G3" s="622"/>
      <c r="H3" s="622"/>
      <c r="I3" s="773" t="s">
        <v>774</v>
      </c>
      <c r="J3" s="774"/>
      <c r="K3" s="774"/>
      <c r="L3" s="774"/>
      <c r="M3" s="774"/>
      <c r="N3" s="774"/>
      <c r="O3" s="774"/>
      <c r="P3" s="774"/>
      <c r="Q3" s="775"/>
    </row>
    <row r="4" spans="1:20" ht="12.75" customHeight="1">
      <c r="A4" s="622"/>
      <c r="B4" s="622"/>
      <c r="C4" s="683"/>
      <c r="D4" s="682"/>
      <c r="E4" s="776" t="s">
        <v>683</v>
      </c>
      <c r="F4" s="777"/>
      <c r="G4" s="777"/>
      <c r="H4" s="777"/>
      <c r="I4" s="776" t="s">
        <v>775</v>
      </c>
      <c r="J4" s="777"/>
      <c r="K4" s="777"/>
      <c r="L4" s="777"/>
      <c r="M4" s="778" t="s">
        <v>776</v>
      </c>
      <c r="N4" s="779"/>
      <c r="O4" s="779"/>
      <c r="P4" s="779"/>
      <c r="Q4" s="681" t="s">
        <v>777</v>
      </c>
    </row>
    <row r="5" spans="1:20" ht="12.75">
      <c r="A5" s="622"/>
      <c r="B5" s="622"/>
      <c r="C5" s="743" t="s">
        <v>738</v>
      </c>
      <c r="D5" s="801" t="s">
        <v>766</v>
      </c>
      <c r="E5" s="656" t="s">
        <v>765</v>
      </c>
      <c r="F5" s="656" t="s">
        <v>672</v>
      </c>
      <c r="G5" s="656" t="s">
        <v>673</v>
      </c>
      <c r="H5" s="656" t="s">
        <v>674</v>
      </c>
      <c r="I5" s="656" t="s">
        <v>675</v>
      </c>
      <c r="J5" s="656" t="s">
        <v>676</v>
      </c>
      <c r="K5" s="656" t="s">
        <v>677</v>
      </c>
      <c r="L5" s="656" t="s">
        <v>678</v>
      </c>
      <c r="M5" s="656" t="s">
        <v>679</v>
      </c>
      <c r="N5" s="656" t="s">
        <v>680</v>
      </c>
      <c r="O5" s="656" t="s">
        <v>772</v>
      </c>
      <c r="P5" s="680" t="s">
        <v>773</v>
      </c>
      <c r="Q5" s="680" t="s">
        <v>778</v>
      </c>
    </row>
    <row r="6" spans="1:20" ht="12.75">
      <c r="A6" s="622"/>
      <c r="B6" s="622"/>
      <c r="C6" s="744"/>
      <c r="D6" s="657" t="s">
        <v>768</v>
      </c>
      <c r="E6" s="658">
        <f>_xll.BDH($D$5,"EQY_DPS","FY 2015","FY 2018","Dir=H","Per=Y","Dts=H","cols=4;rows=1")</f>
        <v>1.415</v>
      </c>
      <c r="F6" s="658">
        <v>1.52</v>
      </c>
      <c r="G6" s="658">
        <v>1.7</v>
      </c>
      <c r="H6" s="658">
        <v>1.88</v>
      </c>
      <c r="I6" s="676">
        <f>H6*(1+I7)</f>
        <v>2.2559999999999998</v>
      </c>
      <c r="J6" s="676">
        <f t="shared" ref="J6:L6" si="0">I6*(1+J7)</f>
        <v>2.7071999999999998</v>
      </c>
      <c r="K6" s="676">
        <f t="shared" si="0"/>
        <v>3.2486399999999995</v>
      </c>
      <c r="L6" s="676">
        <f t="shared" si="0"/>
        <v>3.8983679999999992</v>
      </c>
      <c r="M6" s="677">
        <f>L6*(1+M7)</f>
        <v>4.4831231999999988</v>
      </c>
      <c r="N6" s="676">
        <f t="shared" ref="N6:P6" si="1">M6*(1+N7)</f>
        <v>5.1555916799999979</v>
      </c>
      <c r="O6" s="676">
        <f t="shared" si="1"/>
        <v>5.9289304319999969</v>
      </c>
      <c r="P6" s="679">
        <f t="shared" si="1"/>
        <v>6.8182699967999962</v>
      </c>
      <c r="Q6" s="679">
        <f>P6/($E$15-$E$13)</f>
        <v>309.92136349090902</v>
      </c>
    </row>
    <row r="7" spans="1:20" ht="12.75">
      <c r="A7" s="622"/>
      <c r="B7" s="622"/>
      <c r="C7" s="744"/>
      <c r="D7" s="670" t="s">
        <v>762</v>
      </c>
      <c r="E7" s="671"/>
      <c r="F7" s="672">
        <f>(F6/E6)-1</f>
        <v>7.4204946996466514E-2</v>
      </c>
      <c r="G7" s="672">
        <f t="shared" ref="G7:H7" si="2">(G6/F6)-1</f>
        <v>0.11842105263157898</v>
      </c>
      <c r="H7" s="672">
        <f t="shared" si="2"/>
        <v>0.10588235294117654</v>
      </c>
      <c r="I7" s="673">
        <v>0.2</v>
      </c>
      <c r="J7" s="673">
        <v>0.2</v>
      </c>
      <c r="K7" s="673">
        <v>0.2</v>
      </c>
      <c r="L7" s="673">
        <v>0.2</v>
      </c>
      <c r="M7" s="674">
        <v>0.15</v>
      </c>
      <c r="N7" s="673">
        <v>0.15</v>
      </c>
      <c r="O7" s="673">
        <v>0.15</v>
      </c>
      <c r="P7" s="675">
        <v>0.15</v>
      </c>
      <c r="Q7" s="659"/>
      <c r="R7" s="622"/>
      <c r="S7" s="622"/>
      <c r="T7" s="622"/>
    </row>
    <row r="8" spans="1:20" ht="12.75">
      <c r="A8" s="622"/>
      <c r="B8" s="622"/>
      <c r="C8" s="744"/>
      <c r="D8" s="662" t="s">
        <v>781</v>
      </c>
      <c r="E8" s="693">
        <f>_xll.BDH($D$5,"RETURN_COM_EQY","FY 2015","FY 2018","Dir=H","Per=Y","Days=A","Dts=H","cols=4;rows=1")</f>
        <v>16.8245</v>
      </c>
      <c r="F8" s="693">
        <v>18.238199999999999</v>
      </c>
      <c r="G8" s="693">
        <v>10.452999999999999</v>
      </c>
      <c r="H8" s="693">
        <v>32.752600000000001</v>
      </c>
      <c r="I8" s="673"/>
      <c r="J8" s="673"/>
      <c r="K8" s="673"/>
      <c r="L8" s="673"/>
      <c r="M8" s="674"/>
      <c r="N8" s="673"/>
      <c r="O8" s="673"/>
      <c r="P8" s="675"/>
      <c r="Q8" s="659"/>
      <c r="R8" s="622"/>
      <c r="S8" s="622"/>
      <c r="T8" s="622"/>
    </row>
    <row r="9" spans="1:20" ht="12.75">
      <c r="A9" s="622"/>
      <c r="B9" s="622"/>
      <c r="C9" s="744"/>
      <c r="D9" s="662" t="s">
        <v>782</v>
      </c>
      <c r="E9" s="693">
        <f>_xll.BDH($D$5,"DVD_PAYOUT_RATIO","FY 2015","FY 2018","Dir=H","Per=Y","Dts=H","cols=4;rows=1")</f>
        <v>36.2057</v>
      </c>
      <c r="F9" s="693">
        <v>34.486899999999999</v>
      </c>
      <c r="G9" s="693">
        <v>62.352899999999998</v>
      </c>
      <c r="H9" s="693">
        <v>19.786100000000001</v>
      </c>
      <c r="I9" s="673"/>
      <c r="J9" s="673"/>
      <c r="K9" s="673"/>
      <c r="L9" s="673"/>
      <c r="M9" s="674"/>
      <c r="N9" s="673"/>
      <c r="O9" s="673"/>
      <c r="P9" s="675"/>
      <c r="Q9" s="659"/>
      <c r="R9" s="622"/>
      <c r="S9" s="622"/>
      <c r="T9" s="622"/>
    </row>
    <row r="10" spans="1:20" ht="12.75">
      <c r="A10" s="622"/>
      <c r="B10" s="622"/>
      <c r="C10" s="744"/>
      <c r="D10" s="662"/>
      <c r="E10" s="671"/>
      <c r="F10" s="692"/>
      <c r="G10" s="692"/>
      <c r="H10" s="692"/>
      <c r="I10" s="673"/>
      <c r="J10" s="673"/>
      <c r="K10" s="673"/>
      <c r="L10" s="673"/>
      <c r="M10" s="674"/>
      <c r="N10" s="673"/>
      <c r="O10" s="673"/>
      <c r="P10" s="675"/>
      <c r="Q10" s="659"/>
      <c r="R10" s="622"/>
      <c r="S10" s="622"/>
      <c r="T10" s="622"/>
    </row>
    <row r="11" spans="1:20" ht="12.75">
      <c r="A11" s="622"/>
      <c r="B11" s="622"/>
      <c r="C11" s="745"/>
      <c r="D11" s="662" t="s">
        <v>652</v>
      </c>
      <c r="E11" s="671"/>
      <c r="F11" s="672"/>
      <c r="G11" s="672"/>
      <c r="H11" s="672"/>
      <c r="I11" s="684">
        <v>1</v>
      </c>
      <c r="J11" s="684">
        <v>2</v>
      </c>
      <c r="K11" s="684">
        <v>3</v>
      </c>
      <c r="L11" s="684">
        <v>4</v>
      </c>
      <c r="M11" s="685">
        <v>5</v>
      </c>
      <c r="N11" s="684">
        <v>6</v>
      </c>
      <c r="O11" s="684">
        <v>7</v>
      </c>
      <c r="P11" s="686">
        <v>8</v>
      </c>
      <c r="Q11" s="687">
        <v>8</v>
      </c>
      <c r="R11" s="622"/>
      <c r="S11" s="622"/>
      <c r="T11" s="622"/>
    </row>
    <row r="12" spans="1:20" ht="12.75">
      <c r="A12" s="622"/>
      <c r="B12" s="622"/>
      <c r="C12" s="622"/>
      <c r="D12" s="662" t="s">
        <v>783</v>
      </c>
      <c r="E12" s="606"/>
      <c r="F12" s="661"/>
      <c r="G12" s="661"/>
      <c r="H12" s="661"/>
      <c r="I12" s="676">
        <f t="shared" ref="I12:Q12" si="3">I6/(1+$E$15)^I11</f>
        <v>2.0471869328493644</v>
      </c>
      <c r="J12" s="676">
        <f t="shared" si="3"/>
        <v>2.2292416691644621</v>
      </c>
      <c r="K12" s="676">
        <f t="shared" si="3"/>
        <v>2.4274863911046767</v>
      </c>
      <c r="L12" s="679">
        <f t="shared" si="3"/>
        <v>2.6433608614569981</v>
      </c>
      <c r="M12" s="676">
        <f t="shared" si="3"/>
        <v>2.7584981766565764</v>
      </c>
      <c r="N12" s="676">
        <f t="shared" si="3"/>
        <v>2.8786505473276427</v>
      </c>
      <c r="O12" s="676">
        <f t="shared" si="3"/>
        <v>3.0040364150878296</v>
      </c>
      <c r="P12" s="679">
        <f t="shared" si="3"/>
        <v>3.1348837362531796</v>
      </c>
      <c r="Q12" s="678">
        <f t="shared" si="3"/>
        <v>142.49471528423547</v>
      </c>
      <c r="R12" s="622"/>
      <c r="S12" s="622"/>
      <c r="T12" s="622"/>
    </row>
    <row r="13" spans="1:20" ht="12.75">
      <c r="A13" s="622"/>
      <c r="B13" s="622"/>
      <c r="C13" s="622"/>
      <c r="D13" s="662" t="s">
        <v>770</v>
      </c>
      <c r="E13" s="663">
        <v>0.08</v>
      </c>
      <c r="F13" s="661"/>
      <c r="G13" s="661"/>
      <c r="H13" s="661"/>
      <c r="I13" s="606"/>
      <c r="J13" s="606"/>
      <c r="K13" s="606"/>
      <c r="L13" s="659"/>
      <c r="M13" s="657"/>
      <c r="N13" s="606"/>
      <c r="O13" s="606"/>
      <c r="P13" s="660"/>
      <c r="Q13" s="659"/>
      <c r="R13" s="622"/>
      <c r="S13" s="622"/>
      <c r="T13" s="622"/>
    </row>
    <row r="14" spans="1:20" ht="12.75">
      <c r="A14" s="622"/>
      <c r="B14" s="622"/>
      <c r="C14" s="622"/>
      <c r="D14" s="662" t="s">
        <v>790</v>
      </c>
      <c r="E14" s="663">
        <f>(AVERAGE($E$8:$H$8)/100)*((100-AVERAGE($E$9:$H$9))/100)</f>
        <v>0.12090906551074999</v>
      </c>
      <c r="F14" s="661"/>
      <c r="G14" s="661"/>
      <c r="H14" s="661"/>
      <c r="I14" s="606"/>
      <c r="J14" s="606"/>
      <c r="K14" s="606"/>
      <c r="L14" s="659"/>
      <c r="M14" s="657"/>
      <c r="N14" s="606"/>
      <c r="O14" s="606"/>
      <c r="P14" s="660"/>
      <c r="Q14" s="659"/>
      <c r="R14" s="622"/>
      <c r="S14" s="622"/>
      <c r="T14" s="622"/>
    </row>
    <row r="15" spans="1:20" ht="12.75">
      <c r="A15" s="622"/>
      <c r="B15" s="622"/>
      <c r="C15" s="622"/>
      <c r="D15" s="657" t="s">
        <v>771</v>
      </c>
      <c r="E15" s="663">
        <v>0.10199999999999999</v>
      </c>
      <c r="F15" s="606"/>
      <c r="G15" s="606"/>
      <c r="H15" s="606"/>
      <c r="I15" s="606"/>
      <c r="J15" s="606"/>
      <c r="K15" s="606"/>
      <c r="L15" s="659"/>
      <c r="M15" s="657"/>
      <c r="N15" s="606"/>
      <c r="O15" s="606"/>
      <c r="P15" s="660"/>
      <c r="Q15" s="659"/>
      <c r="R15" s="622"/>
      <c r="S15" s="622"/>
      <c r="T15" s="622"/>
    </row>
    <row r="16" spans="1:20" ht="12.75">
      <c r="A16" s="622"/>
      <c r="B16" s="622"/>
      <c r="C16" s="622"/>
      <c r="D16" s="657"/>
      <c r="E16" s="606"/>
      <c r="F16" s="606"/>
      <c r="G16" s="606"/>
      <c r="H16" s="606"/>
      <c r="I16" s="606"/>
      <c r="J16" s="606"/>
      <c r="K16" s="606"/>
      <c r="L16" s="659"/>
      <c r="M16" s="657"/>
      <c r="N16" s="606"/>
      <c r="O16" s="606"/>
      <c r="P16" s="660"/>
      <c r="Q16" s="659"/>
      <c r="R16" s="622"/>
      <c r="S16" s="622"/>
      <c r="T16" s="622"/>
    </row>
    <row r="17" spans="1:20" ht="12.75" customHeight="1">
      <c r="A17" s="622"/>
      <c r="B17" s="622"/>
      <c r="C17" s="711"/>
      <c r="D17" s="664" t="s">
        <v>769</v>
      </c>
      <c r="E17" s="665">
        <f>SUM(I12:Q12)</f>
        <v>163.6180600141362</v>
      </c>
      <c r="F17" s="666"/>
      <c r="G17" s="610"/>
      <c r="H17" s="610"/>
      <c r="I17" s="610"/>
      <c r="J17" s="610"/>
      <c r="K17" s="610"/>
      <c r="L17" s="667"/>
      <c r="M17" s="664"/>
      <c r="N17" s="610"/>
      <c r="O17" s="610"/>
      <c r="P17" s="668"/>
      <c r="Q17" s="667"/>
      <c r="R17" s="622"/>
      <c r="S17" s="622"/>
      <c r="T17" s="622"/>
    </row>
    <row r="18" spans="1:20" ht="12.75">
      <c r="A18" s="622"/>
      <c r="B18" s="622"/>
      <c r="C18" s="711"/>
      <c r="D18" s="622"/>
      <c r="E18" s="622"/>
      <c r="F18" s="669"/>
      <c r="G18" s="622"/>
      <c r="H18" s="622"/>
      <c r="I18" s="622"/>
      <c r="J18" s="622"/>
      <c r="K18" s="622"/>
      <c r="L18" s="622"/>
      <c r="M18" s="622"/>
      <c r="N18" s="622"/>
      <c r="O18" s="622"/>
      <c r="P18" s="622"/>
      <c r="Q18" s="622"/>
      <c r="R18" s="622"/>
      <c r="S18" s="622"/>
      <c r="T18" s="622"/>
    </row>
    <row r="19" spans="1:20" ht="12.75">
      <c r="A19" s="622"/>
      <c r="B19" s="622"/>
      <c r="C19" s="711"/>
      <c r="D19" s="622"/>
      <c r="E19" s="622"/>
      <c r="F19" s="622"/>
      <c r="G19" s="622"/>
      <c r="H19" s="622"/>
      <c r="I19" s="622"/>
      <c r="J19" s="622"/>
      <c r="K19" s="622"/>
      <c r="L19" s="622"/>
      <c r="M19" s="622"/>
      <c r="N19" s="622"/>
      <c r="O19" s="622"/>
      <c r="P19" s="622"/>
      <c r="Q19" s="622"/>
      <c r="R19" s="622"/>
      <c r="S19" s="622"/>
      <c r="T19" s="622"/>
    </row>
    <row r="20" spans="1:20" ht="15">
      <c r="A20" s="622"/>
      <c r="B20" s="622"/>
      <c r="C20" s="711"/>
      <c r="D20" s="757" t="s">
        <v>780</v>
      </c>
      <c r="E20" s="757"/>
      <c r="F20" s="757"/>
      <c r="G20" s="757"/>
      <c r="H20" s="757"/>
      <c r="I20" s="758"/>
      <c r="J20" s="622"/>
      <c r="K20" s="622"/>
      <c r="L20" s="622"/>
      <c r="M20" s="622"/>
      <c r="N20" s="622"/>
      <c r="O20" s="622"/>
      <c r="P20" s="622"/>
      <c r="Q20" s="622"/>
      <c r="R20" s="622"/>
      <c r="S20" s="622"/>
      <c r="T20" s="622"/>
    </row>
    <row r="21" spans="1:20" ht="15">
      <c r="A21" s="622"/>
      <c r="B21" s="622"/>
      <c r="C21" s="780" t="s">
        <v>771</v>
      </c>
      <c r="D21" s="759" t="s">
        <v>770</v>
      </c>
      <c r="E21" s="760"/>
      <c r="F21" s="760"/>
      <c r="G21" s="760"/>
      <c r="H21" s="760"/>
      <c r="I21" s="761"/>
      <c r="J21" s="622"/>
      <c r="K21" s="622"/>
      <c r="L21" s="622"/>
      <c r="M21" s="622"/>
      <c r="N21" s="622"/>
      <c r="O21" s="622"/>
      <c r="P21" s="622"/>
      <c r="Q21" s="622"/>
      <c r="R21" s="622"/>
      <c r="S21" s="622"/>
      <c r="T21" s="622"/>
    </row>
    <row r="22" spans="1:20" ht="15">
      <c r="A22" s="622"/>
      <c r="B22" s="622"/>
      <c r="C22" s="780"/>
      <c r="D22" s="583">
        <f>E17</f>
        <v>163.6180600141362</v>
      </c>
      <c r="E22" s="547">
        <f>F22-E31</f>
        <v>7.6999999999999999E-2</v>
      </c>
      <c r="F22" s="547">
        <f>G22-E31</f>
        <v>7.85E-2</v>
      </c>
      <c r="G22" s="565">
        <v>0.08</v>
      </c>
      <c r="H22" s="547">
        <f>G22+E31</f>
        <v>8.1500000000000003E-2</v>
      </c>
      <c r="I22" s="554">
        <f>H22+F31</f>
        <v>8.1500000000000003E-2</v>
      </c>
      <c r="J22" s="622"/>
      <c r="K22" s="622"/>
      <c r="L22" s="622"/>
      <c r="M22" s="622"/>
      <c r="N22" s="622"/>
      <c r="O22" s="622"/>
      <c r="P22" s="622"/>
      <c r="Q22" s="622"/>
      <c r="R22" s="622"/>
      <c r="S22" s="622"/>
      <c r="T22" s="622"/>
    </row>
    <row r="23" spans="1:20" ht="15">
      <c r="A23" s="622"/>
      <c r="B23" s="622"/>
      <c r="C23" s="780"/>
      <c r="D23" s="688">
        <f>D24+$E$30</f>
        <v>0.105</v>
      </c>
      <c r="E23" s="369">
        <f t="dataTable" ref="E23:I27" dt2D="1" dtr="1" r1="E13" r2="E15"/>
        <v>130.40090362942038</v>
      </c>
      <c r="F23" s="369">
        <v>136.60192637668814</v>
      </c>
      <c r="G23" s="369">
        <v>143.54707185362804</v>
      </c>
      <c r="H23" s="369">
        <v>151.37883164677305</v>
      </c>
      <c r="I23" s="570">
        <v>151.37883164677305</v>
      </c>
      <c r="J23" s="622"/>
      <c r="K23" s="622"/>
      <c r="L23" s="622"/>
      <c r="M23" s="622"/>
      <c r="N23" s="622"/>
      <c r="O23" s="622"/>
      <c r="P23" s="622"/>
      <c r="Q23" s="622"/>
      <c r="R23" s="622"/>
      <c r="S23" s="622"/>
      <c r="T23" s="622"/>
    </row>
    <row r="24" spans="1:20" ht="15">
      <c r="A24" s="622"/>
      <c r="B24" s="622"/>
      <c r="C24" s="780"/>
      <c r="D24" s="688">
        <f>D25+$E$30</f>
        <v>0.10349999999999999</v>
      </c>
      <c r="E24" s="369">
        <v>138.00296296280544</v>
      </c>
      <c r="F24" s="369">
        <v>145.02399365163467</v>
      </c>
      <c r="G24" s="369">
        <v>152.94132613052722</v>
      </c>
      <c r="H24" s="369">
        <v>161.9382948565414</v>
      </c>
      <c r="I24" s="570">
        <v>161.9382948565414</v>
      </c>
      <c r="J24" s="622"/>
      <c r="K24" s="622"/>
      <c r="L24" s="622"/>
      <c r="M24" s="622" t="s">
        <v>767</v>
      </c>
      <c r="N24" s="622"/>
      <c r="O24" s="622"/>
      <c r="P24" s="622"/>
      <c r="Q24" s="622"/>
      <c r="R24" s="622"/>
      <c r="S24" s="622"/>
      <c r="T24" s="622"/>
    </row>
    <row r="25" spans="1:20" ht="15">
      <c r="A25" s="622"/>
      <c r="B25" s="622"/>
      <c r="C25" s="780"/>
      <c r="D25" s="689">
        <v>0.10199999999999999</v>
      </c>
      <c r="E25" s="369">
        <v>146.51869418002795</v>
      </c>
      <c r="F25" s="369">
        <v>154.52265265556798</v>
      </c>
      <c r="G25" s="571">
        <v>163.6180600141362</v>
      </c>
      <c r="H25" s="369">
        <v>174.04450259590956</v>
      </c>
      <c r="I25" s="570">
        <v>174.04450259590956</v>
      </c>
      <c r="J25" s="622"/>
      <c r="K25" s="622"/>
      <c r="L25" s="622"/>
      <c r="M25" s="622"/>
      <c r="N25" s="622"/>
      <c r="O25" s="622"/>
      <c r="P25" s="622"/>
      <c r="Q25" s="622"/>
      <c r="R25" s="622"/>
      <c r="S25" s="622"/>
      <c r="T25" s="622"/>
    </row>
    <row r="26" spans="1:20" ht="15">
      <c r="A26" s="622"/>
      <c r="B26" s="622"/>
      <c r="C26" s="780"/>
      <c r="D26" s="688">
        <f>D25-$E$30</f>
        <v>0.10049999999999999</v>
      </c>
      <c r="E26" s="369">
        <v>156.12306629325997</v>
      </c>
      <c r="F26" s="369">
        <v>165.31812562114408</v>
      </c>
      <c r="G26" s="369">
        <v>175.85880338725516</v>
      </c>
      <c r="H26" s="369">
        <v>188.06379869538375</v>
      </c>
      <c r="I26" s="570">
        <v>188.06379869538375</v>
      </c>
      <c r="J26" s="622"/>
      <c r="K26" s="622"/>
      <c r="L26" s="622"/>
      <c r="M26" s="622"/>
      <c r="N26" s="622"/>
      <c r="O26" s="622"/>
      <c r="P26" s="622"/>
      <c r="Q26" s="622"/>
      <c r="R26" s="622"/>
      <c r="S26" s="622"/>
      <c r="T26" s="622"/>
    </row>
    <row r="27" spans="1:20" ht="15">
      <c r="A27" s="622"/>
      <c r="B27" s="622"/>
      <c r="C27" s="780"/>
      <c r="D27" s="690">
        <f>D26-$E$30</f>
        <v>9.8999999999999991E-2</v>
      </c>
      <c r="E27" s="572">
        <v>167.03876721040763</v>
      </c>
      <c r="F27" s="572">
        <v>177.69509013404289</v>
      </c>
      <c r="G27" s="572">
        <v>190.03399036140996</v>
      </c>
      <c r="H27" s="572">
        <v>204.48813062775429</v>
      </c>
      <c r="I27" s="573">
        <v>204.48813062775429</v>
      </c>
      <c r="J27" s="622"/>
      <c r="K27" s="622"/>
      <c r="L27" s="622"/>
      <c r="M27" s="622"/>
      <c r="N27" s="622"/>
      <c r="O27" s="622"/>
      <c r="P27" s="622"/>
      <c r="Q27" s="622"/>
      <c r="R27" s="622"/>
      <c r="S27" s="622"/>
      <c r="T27" s="622"/>
    </row>
    <row r="28" spans="1:20" ht="12.75">
      <c r="A28" s="622"/>
      <c r="B28" s="622"/>
      <c r="C28" s="622"/>
      <c r="D28" s="622"/>
      <c r="E28" s="622"/>
      <c r="F28" s="622"/>
      <c r="G28" s="622"/>
      <c r="H28" s="622"/>
      <c r="I28" s="622"/>
      <c r="J28" s="622"/>
      <c r="K28" s="622"/>
      <c r="L28" s="622"/>
      <c r="M28" s="622"/>
      <c r="N28" s="622"/>
      <c r="O28" s="622"/>
      <c r="P28" s="622"/>
      <c r="Q28" s="622"/>
      <c r="R28" s="622"/>
      <c r="S28" s="622"/>
      <c r="T28" s="622"/>
    </row>
    <row r="29" spans="1:20" ht="15">
      <c r="A29" s="622"/>
      <c r="B29" s="622"/>
      <c r="C29" s="622"/>
      <c r="D29" s="768" t="s">
        <v>740</v>
      </c>
      <c r="E29" s="768"/>
      <c r="F29" s="622"/>
      <c r="G29" s="622"/>
      <c r="H29" s="622"/>
      <c r="I29" s="622"/>
      <c r="J29" s="622"/>
      <c r="K29" s="622"/>
      <c r="L29" s="622"/>
      <c r="M29" s="622"/>
      <c r="N29" s="622"/>
      <c r="O29" s="622"/>
      <c r="P29" s="622"/>
      <c r="Q29" s="622"/>
      <c r="R29" s="622"/>
      <c r="S29" s="622"/>
      <c r="T29" s="622"/>
    </row>
    <row r="30" spans="1:20" ht="15">
      <c r="A30" s="622"/>
      <c r="B30" s="622"/>
      <c r="C30" s="622"/>
      <c r="D30" s="552" t="s">
        <v>771</v>
      </c>
      <c r="E30" s="691">
        <v>1.5E-3</v>
      </c>
      <c r="F30" s="622"/>
      <c r="G30" s="622"/>
      <c r="H30" s="622"/>
      <c r="I30" s="622"/>
      <c r="J30" s="622"/>
      <c r="K30" s="622"/>
      <c r="L30" s="622"/>
      <c r="M30" s="622"/>
      <c r="N30" s="622"/>
      <c r="O30" s="622"/>
      <c r="P30" s="622"/>
      <c r="Q30" s="622"/>
      <c r="R30" s="622"/>
      <c r="S30" s="622"/>
      <c r="T30" s="622"/>
    </row>
    <row r="31" spans="1:20" ht="15">
      <c r="A31" s="622"/>
      <c r="B31" s="622"/>
      <c r="C31" s="622"/>
      <c r="D31" s="553" t="s">
        <v>770</v>
      </c>
      <c r="E31" s="577">
        <f>0.0015</f>
        <v>1.5E-3</v>
      </c>
      <c r="F31" s="622"/>
      <c r="G31" s="622"/>
      <c r="H31" s="622"/>
      <c r="I31" s="622"/>
      <c r="J31" s="622"/>
      <c r="K31" s="622"/>
      <c r="L31" s="622"/>
      <c r="M31" s="622"/>
      <c r="N31" s="622"/>
      <c r="O31" s="622"/>
      <c r="P31" s="622"/>
      <c r="Q31" s="622"/>
      <c r="R31" s="622"/>
      <c r="S31" s="622"/>
      <c r="T31" s="622"/>
    </row>
    <row r="32" spans="1:20" ht="12.75">
      <c r="A32" s="622"/>
      <c r="B32" s="622"/>
      <c r="C32" s="622"/>
      <c r="D32" s="622"/>
      <c r="E32" s="622"/>
      <c r="F32" s="622"/>
      <c r="G32" s="622"/>
      <c r="H32" s="622"/>
      <c r="I32" s="622"/>
      <c r="J32" s="622"/>
      <c r="K32" s="622"/>
      <c r="L32" s="622"/>
      <c r="M32" s="622"/>
      <c r="N32" s="622"/>
      <c r="O32" s="622"/>
      <c r="P32" s="622"/>
      <c r="Q32" s="622"/>
      <c r="R32" s="622"/>
      <c r="S32" s="622"/>
      <c r="T32" s="622"/>
    </row>
    <row r="33" spans="1:20" ht="12.75">
      <c r="A33" s="622"/>
      <c r="B33" s="622"/>
      <c r="C33" s="622"/>
      <c r="D33" s="622"/>
      <c r="E33" s="622"/>
      <c r="F33" s="622"/>
      <c r="G33" s="622"/>
      <c r="H33" s="622"/>
      <c r="I33" s="622"/>
      <c r="J33" s="622"/>
      <c r="K33" s="622"/>
      <c r="L33" s="622"/>
      <c r="M33" s="622"/>
      <c r="N33" s="622"/>
      <c r="O33" s="622"/>
      <c r="P33" s="622"/>
      <c r="Q33" s="622"/>
      <c r="R33" s="622"/>
      <c r="S33" s="622"/>
      <c r="T33" s="622"/>
    </row>
    <row r="34" spans="1:20" ht="12.75">
      <c r="A34" s="622"/>
      <c r="B34" s="622"/>
      <c r="C34" s="622"/>
      <c r="D34" s="622"/>
      <c r="E34" s="622"/>
      <c r="F34" s="622"/>
      <c r="G34" s="622"/>
      <c r="H34" s="622"/>
      <c r="I34" s="622"/>
      <c r="J34" s="622"/>
      <c r="K34" s="622"/>
      <c r="L34" s="622"/>
      <c r="M34" s="622"/>
      <c r="N34" s="622"/>
      <c r="O34" s="622"/>
      <c r="P34" s="622"/>
      <c r="Q34" s="622"/>
      <c r="R34" s="622"/>
      <c r="S34" s="622"/>
      <c r="T34" s="622"/>
    </row>
    <row r="35" spans="1:20" ht="12.75">
      <c r="A35" s="622"/>
      <c r="B35" s="622"/>
      <c r="C35" s="622"/>
      <c r="D35" s="622"/>
      <c r="E35" s="622"/>
      <c r="F35" s="622"/>
      <c r="G35" s="622"/>
      <c r="H35" s="622"/>
      <c r="I35" s="622"/>
      <c r="J35" s="622"/>
      <c r="K35" s="622"/>
      <c r="L35" s="622"/>
      <c r="M35" s="622"/>
      <c r="N35" s="622"/>
      <c r="O35" s="622"/>
      <c r="P35" s="622"/>
      <c r="Q35" s="622"/>
      <c r="R35" s="622"/>
      <c r="S35" s="622"/>
      <c r="T35" s="622"/>
    </row>
    <row r="36" spans="1:20" ht="12.75">
      <c r="A36" s="622"/>
      <c r="B36" s="622"/>
      <c r="C36" s="622"/>
      <c r="D36" s="622"/>
      <c r="E36" s="622"/>
      <c r="F36" s="622"/>
      <c r="G36" s="622"/>
      <c r="H36" s="622"/>
      <c r="I36" s="622"/>
      <c r="J36" s="622"/>
      <c r="K36" s="622"/>
      <c r="L36" s="622"/>
      <c r="M36" s="622"/>
      <c r="N36" s="622"/>
      <c r="O36" s="622"/>
      <c r="P36" s="622"/>
      <c r="Q36" s="622"/>
      <c r="R36" s="622"/>
      <c r="S36" s="622"/>
      <c r="T36" s="622"/>
    </row>
    <row r="37" spans="1:20" ht="12.75">
      <c r="A37" s="622"/>
      <c r="B37" s="622"/>
      <c r="C37" s="622"/>
      <c r="D37" s="622"/>
      <c r="E37" s="622"/>
      <c r="F37" s="622"/>
      <c r="G37" s="622"/>
      <c r="H37" s="622"/>
      <c r="I37" s="622"/>
      <c r="J37" s="622"/>
      <c r="K37" s="622"/>
      <c r="L37" s="622"/>
      <c r="M37" s="622"/>
      <c r="N37" s="622"/>
      <c r="O37" s="622"/>
      <c r="P37" s="622"/>
      <c r="Q37" s="622"/>
      <c r="R37" s="622"/>
      <c r="S37" s="622"/>
      <c r="T37" s="622"/>
    </row>
    <row r="38" spans="1:20" ht="12.75">
      <c r="A38" s="622"/>
      <c r="B38" s="622"/>
      <c r="C38" s="622"/>
      <c r="D38" s="622"/>
      <c r="E38" s="622"/>
      <c r="F38" s="622"/>
      <c r="G38" s="622"/>
      <c r="H38" s="622"/>
      <c r="I38" s="622"/>
      <c r="J38" s="622"/>
      <c r="K38" s="622"/>
      <c r="L38" s="622"/>
      <c r="M38" s="622"/>
      <c r="N38" s="622"/>
      <c r="O38" s="622"/>
      <c r="P38" s="622"/>
      <c r="Q38" s="622"/>
      <c r="R38" s="622"/>
      <c r="S38" s="622"/>
      <c r="T38" s="622"/>
    </row>
    <row r="39" spans="1:20" ht="12.75">
      <c r="A39" s="622"/>
      <c r="B39" s="622"/>
      <c r="C39" s="622"/>
      <c r="D39" s="622"/>
      <c r="E39" s="622"/>
      <c r="F39" s="622"/>
      <c r="G39" s="622"/>
      <c r="H39" s="622"/>
      <c r="I39" s="622"/>
      <c r="J39" s="622"/>
      <c r="K39" s="622"/>
      <c r="L39" s="622"/>
      <c r="M39" s="622"/>
      <c r="N39" s="622"/>
      <c r="O39" s="622"/>
      <c r="P39" s="622"/>
      <c r="Q39" s="622"/>
      <c r="R39" s="622"/>
      <c r="S39" s="622"/>
      <c r="T39" s="622"/>
    </row>
    <row r="40" spans="1:20" ht="12.75">
      <c r="A40" s="622"/>
      <c r="B40" s="622"/>
      <c r="C40" s="622"/>
      <c r="D40" s="622"/>
      <c r="E40" s="622"/>
      <c r="F40" s="622"/>
      <c r="G40" s="622"/>
      <c r="H40" s="622"/>
      <c r="I40" s="622"/>
      <c r="J40" s="622"/>
      <c r="K40" s="622"/>
      <c r="L40" s="622"/>
      <c r="M40" s="622"/>
      <c r="N40" s="622"/>
      <c r="O40" s="622"/>
      <c r="P40" s="622"/>
      <c r="Q40" s="622"/>
      <c r="R40" s="622"/>
      <c r="S40" s="622"/>
      <c r="T40" s="622"/>
    </row>
    <row r="41" spans="1:20" ht="12.75">
      <c r="A41" s="622"/>
      <c r="B41" s="622"/>
      <c r="C41" s="622"/>
      <c r="D41" s="622"/>
      <c r="E41" s="622"/>
      <c r="F41" s="622"/>
      <c r="G41" s="622"/>
      <c r="H41" s="622"/>
      <c r="I41" s="622"/>
      <c r="J41" s="622"/>
      <c r="K41" s="622"/>
      <c r="L41" s="622"/>
      <c r="M41" s="622"/>
      <c r="N41" s="622"/>
      <c r="O41" s="622"/>
      <c r="P41" s="622"/>
      <c r="Q41" s="622"/>
      <c r="R41" s="622"/>
      <c r="S41" s="622"/>
      <c r="T41" s="622"/>
    </row>
    <row r="42" spans="1:20" ht="12.75">
      <c r="A42" s="622"/>
      <c r="B42" s="622"/>
      <c r="C42" s="622"/>
      <c r="D42" s="622"/>
      <c r="E42" s="622"/>
      <c r="F42" s="622"/>
      <c r="G42" s="622"/>
      <c r="H42" s="622"/>
      <c r="I42" s="622"/>
      <c r="J42" s="622"/>
      <c r="K42" s="622"/>
      <c r="L42" s="622"/>
      <c r="M42" s="622"/>
      <c r="N42" s="622"/>
      <c r="O42" s="622"/>
      <c r="P42" s="622"/>
      <c r="Q42" s="622"/>
      <c r="R42" s="622"/>
      <c r="S42" s="622"/>
      <c r="T42" s="622"/>
    </row>
    <row r="43" spans="1:20" ht="12.75">
      <c r="A43" s="622"/>
      <c r="B43" s="622"/>
      <c r="C43" s="622"/>
      <c r="D43" s="622"/>
      <c r="E43" s="622"/>
      <c r="F43" s="622"/>
      <c r="G43" s="622"/>
      <c r="H43" s="622"/>
      <c r="I43" s="622"/>
      <c r="J43" s="622"/>
      <c r="K43" s="622"/>
      <c r="L43" s="622"/>
      <c r="M43" s="622"/>
      <c r="N43" s="622"/>
      <c r="O43" s="622"/>
      <c r="P43" s="622"/>
      <c r="Q43" s="622"/>
      <c r="R43" s="622"/>
      <c r="S43" s="622"/>
      <c r="T43" s="622"/>
    </row>
    <row r="44" spans="1:20" ht="12.75">
      <c r="A44" s="622"/>
      <c r="B44" s="622"/>
      <c r="C44" s="622"/>
      <c r="D44" s="622"/>
      <c r="E44" s="622"/>
      <c r="F44" s="622"/>
      <c r="G44" s="622"/>
      <c r="H44" s="622"/>
      <c r="I44" s="622"/>
      <c r="J44" s="622"/>
      <c r="K44" s="622"/>
      <c r="L44" s="622"/>
      <c r="M44" s="622"/>
      <c r="N44" s="622"/>
      <c r="O44" s="622"/>
      <c r="P44" s="622"/>
      <c r="Q44" s="622"/>
      <c r="R44" s="622"/>
      <c r="S44" s="622"/>
      <c r="T44" s="622"/>
    </row>
    <row r="45" spans="1:20" ht="12.75">
      <c r="A45" s="622"/>
      <c r="B45" s="622"/>
      <c r="C45" s="622"/>
      <c r="D45" s="622"/>
      <c r="E45" s="622"/>
      <c r="F45" s="622"/>
      <c r="G45" s="622"/>
      <c r="H45" s="622"/>
      <c r="I45" s="622"/>
      <c r="J45" s="622"/>
      <c r="K45" s="622"/>
      <c r="L45" s="622"/>
      <c r="M45" s="622"/>
      <c r="N45" s="622"/>
      <c r="O45" s="622"/>
      <c r="P45" s="622"/>
      <c r="Q45" s="622"/>
      <c r="R45" s="622"/>
      <c r="S45" s="622"/>
      <c r="T45" s="622"/>
    </row>
    <row r="46" spans="1:20" ht="12.75">
      <c r="A46" s="622"/>
      <c r="B46" s="622"/>
      <c r="C46" s="622"/>
      <c r="D46" s="622"/>
      <c r="E46" s="622"/>
      <c r="F46" s="622"/>
      <c r="G46" s="622"/>
      <c r="H46" s="622"/>
      <c r="I46" s="622"/>
      <c r="J46" s="622"/>
      <c r="K46" s="622"/>
      <c r="L46" s="622"/>
      <c r="M46" s="622"/>
      <c r="N46" s="622"/>
      <c r="O46" s="622"/>
      <c r="P46" s="622"/>
      <c r="Q46" s="622"/>
      <c r="R46" s="622"/>
      <c r="S46" s="622"/>
      <c r="T46" s="622"/>
    </row>
    <row r="47" spans="1:20" ht="12.75">
      <c r="A47" s="622"/>
      <c r="B47" s="622"/>
      <c r="C47" s="622"/>
      <c r="D47" s="622"/>
      <c r="E47" s="622"/>
      <c r="F47" s="622"/>
      <c r="G47" s="622"/>
      <c r="H47" s="622"/>
      <c r="I47" s="622"/>
      <c r="J47" s="622"/>
      <c r="K47" s="622"/>
      <c r="L47" s="622"/>
      <c r="M47" s="622"/>
      <c r="N47" s="622"/>
      <c r="O47" s="622"/>
      <c r="P47" s="622"/>
      <c r="Q47" s="622"/>
      <c r="R47" s="622"/>
      <c r="S47" s="622"/>
      <c r="T47" s="622"/>
    </row>
    <row r="48" spans="1:20" ht="12.75">
      <c r="A48" s="622"/>
      <c r="B48" s="622"/>
      <c r="C48" s="622"/>
      <c r="D48" s="622"/>
      <c r="E48" s="622"/>
      <c r="F48" s="622"/>
      <c r="G48" s="622"/>
      <c r="H48" s="622"/>
      <c r="I48" s="622"/>
      <c r="J48" s="622"/>
      <c r="K48" s="622"/>
      <c r="L48" s="622"/>
      <c r="M48" s="622"/>
      <c r="N48" s="622"/>
      <c r="O48" s="622"/>
      <c r="P48" s="622"/>
      <c r="Q48" s="622"/>
      <c r="R48" s="622"/>
      <c r="S48" s="622"/>
      <c r="T48" s="622"/>
    </row>
    <row r="49" spans="1:20" ht="12.75">
      <c r="A49" s="622"/>
      <c r="B49" s="622"/>
      <c r="C49" s="622"/>
      <c r="D49" s="622"/>
      <c r="E49" s="622"/>
      <c r="F49" s="622"/>
      <c r="G49" s="622"/>
      <c r="H49" s="622"/>
      <c r="I49" s="622"/>
      <c r="J49" s="622"/>
      <c r="K49" s="622"/>
      <c r="L49" s="622"/>
      <c r="M49" s="622"/>
      <c r="N49" s="622"/>
      <c r="O49" s="622"/>
      <c r="P49" s="622"/>
      <c r="Q49" s="622"/>
      <c r="R49" s="622"/>
      <c r="S49" s="622"/>
      <c r="T49" s="622"/>
    </row>
    <row r="50" spans="1:20" ht="12.75">
      <c r="A50" s="622"/>
      <c r="B50" s="622"/>
      <c r="C50" s="622"/>
      <c r="D50" s="622"/>
      <c r="E50" s="622"/>
      <c r="F50" s="622"/>
      <c r="G50" s="622"/>
      <c r="H50" s="622"/>
      <c r="I50" s="622"/>
      <c r="J50" s="622"/>
      <c r="K50" s="622"/>
      <c r="L50" s="622"/>
      <c r="M50" s="622"/>
      <c r="N50" s="622"/>
      <c r="O50" s="622"/>
      <c r="P50" s="622"/>
      <c r="Q50" s="622"/>
      <c r="R50" s="622"/>
      <c r="S50" s="622"/>
      <c r="T50" s="622"/>
    </row>
    <row r="51" spans="1:20" ht="12.75">
      <c r="A51" s="622"/>
      <c r="B51" s="622"/>
      <c r="C51" s="622"/>
      <c r="D51" s="622"/>
      <c r="E51" s="622"/>
      <c r="F51" s="622"/>
      <c r="G51" s="622"/>
      <c r="H51" s="622"/>
      <c r="I51" s="622"/>
      <c r="J51" s="622"/>
      <c r="K51" s="622"/>
      <c r="L51" s="622"/>
      <c r="M51" s="622"/>
      <c r="N51" s="622"/>
      <c r="O51" s="622"/>
      <c r="P51" s="622"/>
      <c r="Q51" s="622"/>
      <c r="R51" s="622"/>
      <c r="S51" s="622"/>
      <c r="T51" s="622"/>
    </row>
    <row r="52" spans="1:20" ht="12.75">
      <c r="A52" s="622"/>
      <c r="B52" s="622"/>
      <c r="C52" s="622"/>
      <c r="D52" s="622"/>
      <c r="E52" s="622"/>
      <c r="F52" s="622"/>
      <c r="G52" s="622"/>
      <c r="H52" s="622"/>
      <c r="I52" s="622"/>
      <c r="J52" s="622"/>
      <c r="K52" s="622"/>
      <c r="L52" s="622"/>
      <c r="M52" s="622"/>
      <c r="N52" s="622"/>
      <c r="O52" s="622"/>
      <c r="P52" s="622"/>
      <c r="Q52" s="622"/>
      <c r="R52" s="622"/>
      <c r="S52" s="622"/>
      <c r="T52" s="622"/>
    </row>
    <row r="53" spans="1:20" ht="12.75">
      <c r="A53" s="622"/>
      <c r="B53" s="622"/>
      <c r="C53" s="622"/>
      <c r="D53" s="622"/>
      <c r="E53" s="622"/>
      <c r="F53" s="622"/>
      <c r="G53" s="622"/>
      <c r="H53" s="622"/>
      <c r="I53" s="622"/>
      <c r="J53" s="622"/>
      <c r="K53" s="622"/>
      <c r="L53" s="622"/>
      <c r="M53" s="622"/>
      <c r="N53" s="622"/>
      <c r="O53" s="622"/>
      <c r="P53" s="622"/>
      <c r="Q53" s="622"/>
      <c r="R53" s="622"/>
      <c r="S53" s="622"/>
      <c r="T53" s="622"/>
    </row>
    <row r="54" spans="1:20" ht="12.75">
      <c r="A54" s="622"/>
      <c r="B54" s="622"/>
      <c r="C54" s="622"/>
      <c r="D54" s="622"/>
      <c r="E54" s="622"/>
      <c r="F54" s="622"/>
      <c r="G54" s="622"/>
      <c r="H54" s="622"/>
      <c r="I54" s="622"/>
      <c r="J54" s="622"/>
      <c r="K54" s="622"/>
      <c r="L54" s="622"/>
      <c r="M54" s="622"/>
      <c r="N54" s="622"/>
      <c r="O54" s="622"/>
      <c r="P54" s="622"/>
      <c r="Q54" s="622"/>
      <c r="R54" s="622"/>
      <c r="S54" s="622"/>
      <c r="T54" s="622"/>
    </row>
    <row r="55" spans="1:20" ht="12.75">
      <c r="A55" s="622"/>
      <c r="B55" s="622"/>
      <c r="C55" s="622"/>
      <c r="D55" s="622"/>
      <c r="E55" s="622"/>
      <c r="F55" s="622"/>
      <c r="G55" s="622"/>
      <c r="H55" s="622"/>
      <c r="I55" s="622"/>
      <c r="J55" s="622"/>
      <c r="K55" s="622"/>
      <c r="L55" s="622"/>
      <c r="M55" s="622"/>
      <c r="N55" s="622"/>
      <c r="O55" s="622"/>
      <c r="P55" s="622"/>
      <c r="Q55" s="622"/>
      <c r="R55" s="622"/>
      <c r="S55" s="622"/>
      <c r="T55" s="622"/>
    </row>
    <row r="56" spans="1:20" ht="12.75">
      <c r="A56" s="622"/>
      <c r="B56" s="622"/>
      <c r="C56" s="622"/>
      <c r="D56" s="622"/>
      <c r="E56" s="622"/>
      <c r="F56" s="622"/>
      <c r="G56" s="622"/>
      <c r="H56" s="622"/>
      <c r="I56" s="622"/>
      <c r="J56" s="622"/>
      <c r="K56" s="622"/>
      <c r="L56" s="622"/>
      <c r="M56" s="622"/>
      <c r="N56" s="622"/>
      <c r="O56" s="622"/>
      <c r="P56" s="622"/>
      <c r="Q56" s="622"/>
      <c r="R56" s="622"/>
      <c r="S56" s="622"/>
      <c r="T56" s="622"/>
    </row>
    <row r="57" spans="1:20" ht="12.75">
      <c r="D57" s="622"/>
      <c r="E57" s="622"/>
      <c r="F57" s="622"/>
      <c r="G57" s="622"/>
      <c r="H57" s="622"/>
      <c r="I57" s="622"/>
      <c r="J57" s="622"/>
      <c r="K57" s="622"/>
      <c r="L57" s="622"/>
      <c r="M57" s="622"/>
      <c r="N57" s="622"/>
      <c r="O57" s="622"/>
      <c r="P57" s="622"/>
      <c r="Q57" s="622"/>
    </row>
    <row r="58" spans="1:20" ht="12.75">
      <c r="D58" s="622"/>
      <c r="E58" s="622"/>
      <c r="F58" s="622"/>
      <c r="G58" s="622"/>
      <c r="H58" s="622"/>
      <c r="I58" s="622"/>
      <c r="J58" s="622"/>
      <c r="K58" s="622"/>
      <c r="L58" s="622"/>
      <c r="M58" s="622"/>
      <c r="N58" s="622"/>
      <c r="O58" s="622"/>
      <c r="P58" s="622"/>
      <c r="Q58" s="622"/>
    </row>
    <row r="59" spans="1:20" ht="12.75">
      <c r="D59" s="622"/>
      <c r="E59" s="622"/>
      <c r="F59" s="622"/>
      <c r="G59" s="622"/>
      <c r="H59" s="622"/>
      <c r="I59" s="622"/>
      <c r="J59" s="622"/>
      <c r="K59" s="622"/>
      <c r="L59" s="622"/>
      <c r="M59" s="622"/>
      <c r="N59" s="622"/>
      <c r="O59" s="622"/>
      <c r="P59" s="622"/>
      <c r="Q59" s="622"/>
    </row>
    <row r="60" spans="1:20" ht="12.75">
      <c r="D60" s="622"/>
      <c r="E60" s="622"/>
      <c r="F60" s="622"/>
      <c r="G60" s="622"/>
      <c r="H60" s="622"/>
      <c r="I60" s="622"/>
      <c r="J60" s="622"/>
      <c r="K60" s="622"/>
      <c r="L60" s="622"/>
      <c r="M60" s="622"/>
      <c r="N60" s="622"/>
      <c r="O60" s="622"/>
      <c r="P60" s="622"/>
      <c r="Q60" s="622"/>
    </row>
    <row r="61" spans="1:20" ht="12.75">
      <c r="D61" s="622"/>
      <c r="E61" s="622"/>
      <c r="F61" s="622"/>
      <c r="G61" s="622"/>
      <c r="H61" s="622"/>
      <c r="I61" s="622"/>
      <c r="J61" s="622"/>
      <c r="K61" s="622"/>
      <c r="L61" s="622"/>
      <c r="M61" s="622"/>
      <c r="N61" s="622"/>
      <c r="O61" s="622"/>
      <c r="P61" s="622"/>
      <c r="Q61" s="622"/>
    </row>
  </sheetData>
  <mergeCells count="9">
    <mergeCell ref="D29:E29"/>
    <mergeCell ref="I3:Q3"/>
    <mergeCell ref="C5:C11"/>
    <mergeCell ref="D20:I20"/>
    <mergeCell ref="D21:I21"/>
    <mergeCell ref="E4:H4"/>
    <mergeCell ref="I4:L4"/>
    <mergeCell ref="M4:P4"/>
    <mergeCell ref="C21:C27"/>
  </mergeCells>
  <conditionalFormatting sqref="F24:H26">
    <cfRule type="colorScale" priority="1">
      <colorScale>
        <cfvo type="min"/>
        <cfvo type="max"/>
        <color rgb="FFFFEF9C"/>
        <color rgb="FF63BE7B"/>
      </colorScale>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5:AB68"/>
  <sheetViews>
    <sheetView showGridLines="0" zoomScale="87" zoomScaleNormal="87" workbookViewId="0">
      <selection activeCell="M85" sqref="M85"/>
    </sheetView>
  </sheetViews>
  <sheetFormatPr defaultColWidth="8.85546875" defaultRowHeight="11.25"/>
  <cols>
    <col min="3" max="3" width="34" bestFit="1" customWidth="1"/>
    <col min="4" max="4" width="9.140625" customWidth="1"/>
    <col min="5" max="5" width="17.7109375" bestFit="1" customWidth="1"/>
    <col min="7" max="7" width="17.7109375" bestFit="1" customWidth="1"/>
    <col min="10" max="10" width="19.42578125" bestFit="1" customWidth="1"/>
    <col min="12" max="12" width="8.140625" bestFit="1" customWidth="1"/>
  </cols>
  <sheetData>
    <row r="35" spans="25:25">
      <c r="Y35" t="s">
        <v>789</v>
      </c>
    </row>
    <row r="57" spans="3:19" ht="12.75">
      <c r="I57" s="622"/>
      <c r="J57" s="622"/>
      <c r="K57" s="622"/>
      <c r="L57" s="622"/>
      <c r="M57" s="622"/>
      <c r="N57" s="622"/>
      <c r="O57" s="622"/>
      <c r="P57" s="622"/>
      <c r="Q57" s="622"/>
      <c r="R57" s="622"/>
      <c r="S57" s="622"/>
    </row>
    <row r="58" spans="3:19" ht="12.75">
      <c r="C58" s="604" t="s">
        <v>757</v>
      </c>
      <c r="D58" s="604"/>
      <c r="E58" s="293" t="s">
        <v>749</v>
      </c>
      <c r="F58" s="293" t="s">
        <v>745</v>
      </c>
      <c r="G58" s="293" t="s">
        <v>750</v>
      </c>
      <c r="H58" s="293" t="s">
        <v>353</v>
      </c>
      <c r="I58" s="622"/>
      <c r="J58" s="781" t="s">
        <v>788</v>
      </c>
      <c r="K58" s="782"/>
      <c r="L58" s="783"/>
      <c r="M58" s="622"/>
      <c r="N58" s="622"/>
      <c r="O58" s="622"/>
      <c r="P58" s="622"/>
      <c r="Q58" s="622"/>
      <c r="R58" s="622"/>
      <c r="S58" s="622"/>
    </row>
    <row r="59" spans="3:19" ht="12.75">
      <c r="C59" s="605" t="s">
        <v>756</v>
      </c>
      <c r="D59" s="606"/>
      <c r="E59" s="607">
        <f>'Public Comparables'!E34</f>
        <v>185.45178418890978</v>
      </c>
      <c r="F59" s="608">
        <f>G59-E59</f>
        <v>17.179846819809597</v>
      </c>
      <c r="G59" s="607">
        <f>'Public Comparables'!F34</f>
        <v>202.63163100871938</v>
      </c>
      <c r="H59" s="614" t="s">
        <v>535</v>
      </c>
      <c r="I59" s="622"/>
      <c r="J59" s="657" t="s">
        <v>784</v>
      </c>
      <c r="K59" s="606"/>
      <c r="L59" s="679">
        <f>H60</f>
        <v>187.07499999999999</v>
      </c>
      <c r="M59" s="622"/>
      <c r="N59" s="622"/>
      <c r="O59" s="622"/>
      <c r="P59" s="622"/>
      <c r="Q59" s="622"/>
      <c r="R59" s="622"/>
      <c r="S59" s="622"/>
    </row>
    <row r="60" spans="3:19" ht="12.75">
      <c r="C60" s="605" t="s">
        <v>754</v>
      </c>
      <c r="D60" s="606"/>
      <c r="E60" s="607">
        <f>'Precedent Transactions'!E32</f>
        <v>157.54970024731762</v>
      </c>
      <c r="F60" s="608">
        <f t="shared" ref="F60:F61" si="0">G60-E60</f>
        <v>17.474962994688696</v>
      </c>
      <c r="G60" s="607">
        <f>'Precedent Transactions'!F32</f>
        <v>175.02466324200631</v>
      </c>
      <c r="H60" s="620">
        <f>_xll.BDP(H59,H66)</f>
        <v>187.07499999999999</v>
      </c>
      <c r="I60" s="622"/>
      <c r="J60" s="657" t="s">
        <v>787</v>
      </c>
      <c r="K60" s="606"/>
      <c r="L60" s="679"/>
      <c r="M60" s="622"/>
      <c r="N60" s="622"/>
      <c r="O60" s="622"/>
      <c r="P60" s="622"/>
      <c r="Q60" s="622"/>
      <c r="R60" s="622"/>
      <c r="S60" s="622"/>
    </row>
    <row r="61" spans="3:19" ht="12.75">
      <c r="C61" s="605" t="s">
        <v>755</v>
      </c>
      <c r="D61" s="606"/>
      <c r="E61" s="607">
        <f>'Discounted Cash Flow Valuation'!Q66</f>
        <v>173.35607680565724</v>
      </c>
      <c r="F61" s="608">
        <f t="shared" si="0"/>
        <v>33.388909084837479</v>
      </c>
      <c r="G61" s="607">
        <f>'Discounted Cash Flow Valuation'!S68</f>
        <v>206.74498589049472</v>
      </c>
      <c r="H61" s="603"/>
      <c r="I61" s="622"/>
      <c r="J61" s="605" t="s">
        <v>785</v>
      </c>
      <c r="K61" s="606"/>
      <c r="L61" s="679">
        <f>AVERAGE(E59:E62)</f>
        <v>165.34538872337984</v>
      </c>
      <c r="M61" s="622"/>
      <c r="N61" s="622"/>
      <c r="O61" s="622"/>
      <c r="P61" s="622"/>
      <c r="Q61" s="622"/>
      <c r="R61" s="622"/>
      <c r="S61" s="622"/>
    </row>
    <row r="62" spans="3:19" ht="12.75">
      <c r="C62" s="605" t="s">
        <v>779</v>
      </c>
      <c r="D62" s="606"/>
      <c r="E62" s="607">
        <f>'Multi-Stage GGM'!F24</f>
        <v>145.02399365163467</v>
      </c>
      <c r="F62" s="608">
        <f>G62-E62</f>
        <v>43.039805043749084</v>
      </c>
      <c r="G62" s="607">
        <f>'Multi-Stage GGM'!H26</f>
        <v>188.06379869538375</v>
      </c>
      <c r="H62" s="603"/>
      <c r="I62" s="622"/>
      <c r="J62" s="605" t="s">
        <v>786</v>
      </c>
      <c r="K62" s="606"/>
      <c r="L62" s="679">
        <f>AVERAGE(G59:G62)</f>
        <v>193.11626970915106</v>
      </c>
      <c r="M62" s="622"/>
      <c r="N62" s="622"/>
      <c r="O62" s="622"/>
      <c r="P62" s="622"/>
      <c r="Q62" s="622"/>
      <c r="R62" s="622"/>
      <c r="S62" s="622"/>
    </row>
    <row r="63" spans="3:19" ht="12.75">
      <c r="C63" s="609" t="s">
        <v>748</v>
      </c>
      <c r="D63" s="610"/>
      <c r="E63" s="611">
        <f>_xll.BDP($H$59,E64)</f>
        <v>144.75</v>
      </c>
      <c r="F63" s="633">
        <f>G63-E63</f>
        <v>55.099999999999994</v>
      </c>
      <c r="G63" s="611">
        <f>_xll.BDP($H$59,$G$64)</f>
        <v>199.85</v>
      </c>
      <c r="H63" s="613"/>
      <c r="I63" s="622"/>
      <c r="J63" s="664"/>
      <c r="K63" s="610"/>
      <c r="L63" s="667"/>
      <c r="M63" s="622"/>
      <c r="N63" s="622"/>
      <c r="O63" s="622"/>
      <c r="P63" s="622"/>
      <c r="Q63" s="622"/>
      <c r="R63" s="622"/>
      <c r="S63" s="622"/>
    </row>
    <row r="64" spans="3:19" ht="12.75" hidden="1">
      <c r="E64" s="612" t="s">
        <v>752</v>
      </c>
      <c r="G64" s="612" t="s">
        <v>753</v>
      </c>
      <c r="I64" s="622"/>
      <c r="J64" s="622"/>
      <c r="K64" s="622"/>
      <c r="L64" s="622"/>
      <c r="M64" s="622"/>
      <c r="N64" s="622"/>
      <c r="O64" s="622"/>
      <c r="P64" s="622"/>
      <c r="Q64" s="622"/>
      <c r="R64" s="622"/>
      <c r="S64" s="622"/>
    </row>
    <row r="65" spans="5:28" ht="12.75">
      <c r="I65" s="622"/>
      <c r="J65" s="622"/>
      <c r="K65" s="622"/>
      <c r="L65" s="622"/>
      <c r="M65" s="622"/>
      <c r="N65" s="622"/>
      <c r="O65" s="622"/>
      <c r="P65" s="622"/>
      <c r="Q65" s="622"/>
      <c r="R65" s="622"/>
      <c r="S65" s="622"/>
    </row>
    <row r="66" spans="5:28" hidden="1">
      <c r="H66" t="s">
        <v>536</v>
      </c>
    </row>
    <row r="68" spans="5:28" ht="12.75">
      <c r="E68" s="616"/>
      <c r="G68" s="616"/>
      <c r="Y68" s="776"/>
      <c r="Z68" s="777"/>
      <c r="AA68" s="777"/>
      <c r="AB68" s="777"/>
    </row>
  </sheetData>
  <mergeCells count="2">
    <mergeCell ref="J58:L58"/>
    <mergeCell ref="Y68:AB68"/>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65:AF135"/>
  <sheetViews>
    <sheetView showGridLines="0" topLeftCell="A31" zoomScale="77" zoomScaleNormal="77" workbookViewId="0">
      <selection activeCell="AA46" sqref="AA46"/>
    </sheetView>
  </sheetViews>
  <sheetFormatPr defaultColWidth="8.85546875" defaultRowHeight="11.25"/>
  <sheetData>
    <row r="65" spans="32:32">
      <c r="AF65" t="s">
        <v>871</v>
      </c>
    </row>
    <row r="96" spans="3:26" ht="12.75">
      <c r="C96" s="784" t="s">
        <v>836</v>
      </c>
      <c r="D96" s="785"/>
      <c r="E96" s="785"/>
      <c r="F96" s="785"/>
      <c r="G96" s="785"/>
      <c r="H96" s="785"/>
      <c r="I96" s="785"/>
      <c r="J96" s="785"/>
      <c r="K96" s="785"/>
      <c r="L96" s="785"/>
      <c r="M96" s="785"/>
      <c r="N96" s="785"/>
      <c r="O96" s="785"/>
      <c r="P96" s="785"/>
      <c r="Q96" s="785"/>
      <c r="R96" s="785"/>
      <c r="S96" s="785"/>
      <c r="T96" s="785"/>
      <c r="U96" s="785"/>
      <c r="V96" s="785"/>
      <c r="W96" s="785"/>
      <c r="X96" s="785"/>
      <c r="Y96" s="785"/>
      <c r="Z96" s="786"/>
    </row>
    <row r="97" spans="3:26" ht="18.75" customHeight="1">
      <c r="C97" s="787" t="s">
        <v>834</v>
      </c>
      <c r="D97" s="788"/>
      <c r="E97" s="788"/>
      <c r="F97" s="788"/>
      <c r="G97" s="788"/>
      <c r="H97" s="788"/>
      <c r="I97" s="788"/>
      <c r="J97" s="789"/>
      <c r="K97" s="787" t="s">
        <v>837</v>
      </c>
      <c r="L97" s="788"/>
      <c r="M97" s="788"/>
      <c r="N97" s="788"/>
      <c r="O97" s="788"/>
      <c r="P97" s="788"/>
      <c r="Q97" s="788"/>
      <c r="R97" s="789"/>
      <c r="S97" s="787" t="s">
        <v>838</v>
      </c>
      <c r="T97" s="788"/>
      <c r="U97" s="788"/>
      <c r="V97" s="788"/>
      <c r="W97" s="788"/>
      <c r="X97" s="788"/>
      <c r="Y97" s="788"/>
      <c r="Z97" s="789"/>
    </row>
    <row r="98" spans="3:26" ht="12.75">
      <c r="C98" s="605" t="s">
        <v>839</v>
      </c>
      <c r="D98" s="701"/>
      <c r="E98" s="701"/>
      <c r="F98" s="701"/>
      <c r="G98" s="701"/>
      <c r="H98" s="701"/>
      <c r="I98" s="701"/>
      <c r="J98" s="701"/>
      <c r="K98" s="705"/>
      <c r="L98" s="701"/>
      <c r="M98" s="701"/>
      <c r="N98" s="701"/>
      <c r="O98" s="701"/>
      <c r="P98" s="701"/>
      <c r="Q98" s="701"/>
      <c r="R98" s="701"/>
      <c r="S98" s="705"/>
      <c r="T98" s="701"/>
      <c r="U98" s="701"/>
      <c r="V98" s="701"/>
      <c r="W98" s="701"/>
      <c r="X98" s="701"/>
      <c r="Y98" s="701"/>
      <c r="Z98" s="708"/>
    </row>
    <row r="99" spans="3:26" ht="12.75">
      <c r="C99" s="605" t="s">
        <v>840</v>
      </c>
      <c r="D99" s="701"/>
      <c r="E99" s="701"/>
      <c r="F99" s="701"/>
      <c r="G99" s="701"/>
      <c r="H99" s="701"/>
      <c r="I99" s="701"/>
      <c r="J99" s="701"/>
      <c r="K99" s="705" t="s">
        <v>858</v>
      </c>
      <c r="L99" s="701"/>
      <c r="M99" s="701"/>
      <c r="N99" s="701"/>
      <c r="O99" s="701"/>
      <c r="P99" s="701"/>
      <c r="Q99" s="701"/>
      <c r="R99" s="701"/>
      <c r="S99" s="705" t="s">
        <v>859</v>
      </c>
      <c r="T99" s="701"/>
      <c r="U99" s="701"/>
      <c r="V99" s="701"/>
      <c r="W99" s="701"/>
      <c r="X99" s="701"/>
      <c r="Y99" s="701"/>
      <c r="Z99" s="703"/>
    </row>
    <row r="100" spans="3:26" ht="12.75">
      <c r="C100" s="605" t="s">
        <v>841</v>
      </c>
      <c r="D100" s="701"/>
      <c r="E100" s="701"/>
      <c r="F100" s="701"/>
      <c r="G100" s="701"/>
      <c r="H100" s="701"/>
      <c r="I100" s="701"/>
      <c r="J100" s="701"/>
      <c r="K100" s="705" t="s">
        <v>850</v>
      </c>
      <c r="L100" s="701"/>
      <c r="M100" s="701"/>
      <c r="N100" s="701"/>
      <c r="O100" s="701"/>
      <c r="P100" s="701"/>
      <c r="Q100" s="701"/>
      <c r="R100" s="701"/>
      <c r="S100" s="705" t="s">
        <v>851</v>
      </c>
      <c r="T100" s="701"/>
      <c r="U100" s="701"/>
      <c r="V100" s="701"/>
      <c r="W100" s="701"/>
      <c r="X100" s="701"/>
      <c r="Y100" s="701"/>
      <c r="Z100" s="703"/>
    </row>
    <row r="101" spans="3:26" ht="12.75">
      <c r="C101" s="605" t="s">
        <v>842</v>
      </c>
      <c r="D101" s="701"/>
      <c r="E101" s="701"/>
      <c r="F101" s="701"/>
      <c r="G101" s="701"/>
      <c r="H101" s="701"/>
      <c r="I101" s="701"/>
      <c r="J101" s="701"/>
      <c r="K101" s="705" t="s">
        <v>854</v>
      </c>
      <c r="L101" s="701"/>
      <c r="M101" s="701"/>
      <c r="N101" s="701"/>
      <c r="O101" s="701"/>
      <c r="P101" s="701"/>
      <c r="Q101" s="701"/>
      <c r="R101" s="701"/>
      <c r="S101" s="705" t="s">
        <v>855</v>
      </c>
      <c r="T101" s="701"/>
      <c r="U101" s="701"/>
      <c r="V101" s="701"/>
      <c r="W101" s="701"/>
      <c r="X101" s="701"/>
      <c r="Y101" s="701"/>
      <c r="Z101" s="703"/>
    </row>
    <row r="102" spans="3:26" ht="12.75">
      <c r="C102" s="605" t="s">
        <v>843</v>
      </c>
      <c r="D102" s="701"/>
      <c r="E102" s="701"/>
      <c r="F102" s="701"/>
      <c r="G102" s="701"/>
      <c r="H102" s="701"/>
      <c r="I102" s="701"/>
      <c r="J102" s="701"/>
      <c r="K102" s="705" t="s">
        <v>856</v>
      </c>
      <c r="L102" s="701"/>
      <c r="M102" s="701"/>
      <c r="N102" s="701"/>
      <c r="O102" s="701"/>
      <c r="P102" s="701"/>
      <c r="Q102" s="701"/>
      <c r="R102" s="701"/>
      <c r="S102" s="705" t="s">
        <v>857</v>
      </c>
      <c r="T102" s="701"/>
      <c r="U102" s="701"/>
      <c r="V102" s="701"/>
      <c r="W102" s="701"/>
      <c r="X102" s="701"/>
      <c r="Y102" s="701"/>
      <c r="Z102" s="703"/>
    </row>
    <row r="103" spans="3:26" ht="12.75">
      <c r="C103" s="605" t="s">
        <v>844</v>
      </c>
      <c r="D103" s="701"/>
      <c r="E103" s="701"/>
      <c r="F103" s="701"/>
      <c r="G103" s="701"/>
      <c r="H103" s="701"/>
      <c r="I103" s="701"/>
      <c r="J103" s="701"/>
      <c r="K103" s="705" t="s">
        <v>852</v>
      </c>
      <c r="L103" s="701"/>
      <c r="M103" s="701"/>
      <c r="N103" s="701"/>
      <c r="O103" s="701"/>
      <c r="P103" s="701"/>
      <c r="Q103" s="701"/>
      <c r="R103" s="701"/>
      <c r="S103" s="705" t="s">
        <v>853</v>
      </c>
      <c r="T103" s="701"/>
      <c r="U103" s="701"/>
      <c r="V103" s="701"/>
      <c r="W103" s="701"/>
      <c r="X103" s="701"/>
      <c r="Y103" s="701"/>
      <c r="Z103" s="703"/>
    </row>
    <row r="104" spans="3:26" ht="12.75">
      <c r="C104" s="605" t="s">
        <v>807</v>
      </c>
      <c r="D104" s="701"/>
      <c r="E104" s="701"/>
      <c r="F104" s="701"/>
      <c r="G104" s="701"/>
      <c r="H104" s="701"/>
      <c r="I104" s="701"/>
      <c r="J104" s="701"/>
      <c r="K104" s="705" t="s">
        <v>860</v>
      </c>
      <c r="L104" s="701"/>
      <c r="M104" s="701"/>
      <c r="N104" s="701"/>
      <c r="O104" s="701"/>
      <c r="P104" s="701"/>
      <c r="Q104" s="701"/>
      <c r="R104" s="701"/>
      <c r="S104" s="705" t="s">
        <v>861</v>
      </c>
      <c r="T104" s="701"/>
      <c r="U104" s="701"/>
      <c r="V104" s="701"/>
      <c r="W104" s="701"/>
      <c r="X104" s="701"/>
      <c r="Y104" s="701"/>
      <c r="Z104" s="703"/>
    </row>
    <row r="105" spans="3:26" ht="12.75">
      <c r="C105" s="605" t="s">
        <v>845</v>
      </c>
      <c r="D105" s="701"/>
      <c r="E105" s="701"/>
      <c r="F105" s="701"/>
      <c r="G105" s="701"/>
      <c r="H105" s="701"/>
      <c r="I105" s="701"/>
      <c r="J105" s="701"/>
      <c r="K105" s="705" t="s">
        <v>872</v>
      </c>
      <c r="L105" s="701"/>
      <c r="M105" s="701"/>
      <c r="N105" s="701"/>
      <c r="O105" s="701"/>
      <c r="P105" s="701"/>
      <c r="Q105" s="701"/>
      <c r="R105" s="701"/>
      <c r="S105" s="705" t="s">
        <v>862</v>
      </c>
      <c r="T105" s="701"/>
      <c r="U105" s="701"/>
      <c r="V105" s="701"/>
      <c r="W105" s="701"/>
      <c r="X105" s="701"/>
      <c r="Y105" s="701"/>
      <c r="Z105" s="703"/>
    </row>
    <row r="106" spans="3:26" ht="12.75">
      <c r="C106" s="605" t="s">
        <v>846</v>
      </c>
      <c r="D106" s="701"/>
      <c r="E106" s="701"/>
      <c r="F106" s="701"/>
      <c r="G106" s="701"/>
      <c r="H106" s="701"/>
      <c r="I106" s="701"/>
      <c r="J106" s="701"/>
      <c r="K106" s="705" t="s">
        <v>863</v>
      </c>
      <c r="L106" s="701"/>
      <c r="M106" s="701"/>
      <c r="N106" s="701"/>
      <c r="O106" s="701"/>
      <c r="P106" s="701"/>
      <c r="Q106" s="701"/>
      <c r="R106" s="701"/>
      <c r="S106" s="705" t="s">
        <v>864</v>
      </c>
      <c r="T106" s="701"/>
      <c r="U106" s="701"/>
      <c r="V106" s="701"/>
      <c r="W106" s="701"/>
      <c r="X106" s="701"/>
      <c r="Y106" s="701"/>
      <c r="Z106" s="703"/>
    </row>
    <row r="107" spans="3:26" ht="12.75">
      <c r="C107" s="605" t="s">
        <v>847</v>
      </c>
      <c r="D107" s="701"/>
      <c r="E107" s="701"/>
      <c r="F107" s="701"/>
      <c r="G107" s="701"/>
      <c r="H107" s="701"/>
      <c r="I107" s="701"/>
      <c r="J107" s="701"/>
      <c r="K107" s="705" t="s">
        <v>866</v>
      </c>
      <c r="L107" s="701"/>
      <c r="M107" s="701"/>
      <c r="N107" s="701"/>
      <c r="O107" s="701"/>
      <c r="P107" s="701"/>
      <c r="Q107" s="701"/>
      <c r="R107" s="701"/>
      <c r="S107" s="705" t="s">
        <v>865</v>
      </c>
      <c r="T107" s="701"/>
      <c r="U107" s="701"/>
      <c r="V107" s="701"/>
      <c r="W107" s="701"/>
      <c r="X107" s="701"/>
      <c r="Y107" s="701"/>
      <c r="Z107" s="703"/>
    </row>
    <row r="108" spans="3:26" ht="12.75">
      <c r="C108" s="605" t="s">
        <v>848</v>
      </c>
      <c r="D108" s="701"/>
      <c r="E108" s="701"/>
      <c r="F108" s="701"/>
      <c r="G108" s="701"/>
      <c r="H108" s="701"/>
      <c r="I108" s="701"/>
      <c r="J108" s="701"/>
      <c r="K108" s="705" t="s">
        <v>867</v>
      </c>
      <c r="L108" s="701"/>
      <c r="M108" s="701"/>
      <c r="N108" s="701"/>
      <c r="O108" s="701"/>
      <c r="P108" s="701"/>
      <c r="Q108" s="701"/>
      <c r="R108" s="701"/>
      <c r="S108" s="705" t="s">
        <v>868</v>
      </c>
      <c r="T108" s="701"/>
      <c r="U108" s="701"/>
      <c r="V108" s="701"/>
      <c r="W108" s="701"/>
      <c r="X108" s="701"/>
      <c r="Y108" s="701"/>
      <c r="Z108" s="703"/>
    </row>
    <row r="109" spans="3:26" ht="12.75">
      <c r="C109" s="605" t="s">
        <v>877</v>
      </c>
      <c r="D109" s="701"/>
      <c r="E109" s="701"/>
      <c r="F109" s="701"/>
      <c r="G109" s="701"/>
      <c r="H109" s="701"/>
      <c r="I109" s="701"/>
      <c r="J109" s="701"/>
      <c r="K109" s="705" t="s">
        <v>878</v>
      </c>
      <c r="L109" s="701"/>
      <c r="M109" s="701"/>
      <c r="N109" s="701"/>
      <c r="O109" s="701"/>
      <c r="P109" s="701"/>
      <c r="Q109" s="701"/>
      <c r="R109" s="701"/>
      <c r="S109" s="705" t="s">
        <v>879</v>
      </c>
      <c r="T109" s="701"/>
      <c r="U109" s="701"/>
      <c r="V109" s="701"/>
      <c r="W109" s="701"/>
      <c r="X109" s="701"/>
      <c r="Y109" s="701"/>
      <c r="Z109" s="710"/>
    </row>
    <row r="110" spans="3:26" ht="12.75">
      <c r="C110" s="605" t="s">
        <v>880</v>
      </c>
      <c r="D110" s="701"/>
      <c r="E110" s="701"/>
      <c r="F110" s="701"/>
      <c r="G110" s="701"/>
      <c r="H110" s="701"/>
      <c r="I110" s="701"/>
      <c r="J110" s="701"/>
      <c r="K110" s="705" t="s">
        <v>881</v>
      </c>
      <c r="L110" s="701"/>
      <c r="M110" s="701"/>
      <c r="N110" s="701"/>
      <c r="O110" s="701"/>
      <c r="P110" s="701"/>
      <c r="Q110" s="701"/>
      <c r="R110" s="701"/>
      <c r="S110" s="705" t="s">
        <v>882</v>
      </c>
      <c r="T110" s="701"/>
      <c r="U110" s="701"/>
      <c r="V110" s="701"/>
      <c r="W110" s="701"/>
      <c r="X110" s="701"/>
      <c r="Y110" s="701"/>
      <c r="Z110" s="710"/>
    </row>
    <row r="111" spans="3:26" ht="12.75">
      <c r="C111" s="605" t="s">
        <v>874</v>
      </c>
      <c r="D111" s="701"/>
      <c r="E111" s="701"/>
      <c r="F111" s="701"/>
      <c r="G111" s="701"/>
      <c r="H111" s="701"/>
      <c r="I111" s="701"/>
      <c r="J111" s="701"/>
      <c r="K111" s="705" t="s">
        <v>875</v>
      </c>
      <c r="L111" s="701"/>
      <c r="M111" s="701"/>
      <c r="N111" s="701"/>
      <c r="O111" s="701"/>
      <c r="P111" s="701"/>
      <c r="Q111" s="701"/>
      <c r="R111" s="701"/>
      <c r="S111" s="705" t="s">
        <v>876</v>
      </c>
      <c r="T111" s="701"/>
      <c r="U111" s="701"/>
      <c r="V111" s="701"/>
      <c r="W111" s="701"/>
      <c r="X111" s="701"/>
      <c r="Y111" s="701"/>
      <c r="Z111" s="708"/>
    </row>
    <row r="112" spans="3:26" ht="12.75">
      <c r="C112" s="707" t="s">
        <v>849</v>
      </c>
      <c r="D112" s="702"/>
      <c r="E112" s="702"/>
      <c r="F112" s="702"/>
      <c r="G112" s="702"/>
      <c r="H112" s="702"/>
      <c r="I112" s="702"/>
      <c r="J112" s="702"/>
      <c r="K112" s="706" t="s">
        <v>870</v>
      </c>
      <c r="L112" s="702"/>
      <c r="M112" s="702"/>
      <c r="N112" s="702"/>
      <c r="O112" s="702"/>
      <c r="P112" s="702"/>
      <c r="Q112" s="702"/>
      <c r="R112" s="702"/>
      <c r="S112" s="706" t="s">
        <v>869</v>
      </c>
      <c r="T112" s="702"/>
      <c r="U112" s="702"/>
      <c r="V112" s="702"/>
      <c r="W112" s="702"/>
      <c r="X112" s="702"/>
      <c r="Y112" s="702"/>
      <c r="Z112" s="704"/>
    </row>
    <row r="113" spans="3:26" ht="12.75">
      <c r="C113" s="628"/>
      <c r="D113" s="628"/>
      <c r="E113" s="628"/>
      <c r="F113" s="628"/>
      <c r="G113" s="628"/>
      <c r="H113" s="628"/>
      <c r="I113" s="628"/>
      <c r="J113" s="628"/>
      <c r="K113" s="628"/>
      <c r="L113" s="628"/>
      <c r="M113" s="628"/>
      <c r="N113" s="628"/>
      <c r="O113" s="628"/>
      <c r="P113" s="628"/>
      <c r="Q113" s="628"/>
      <c r="R113" s="628"/>
      <c r="S113" s="628"/>
      <c r="T113" s="628"/>
      <c r="U113" s="628"/>
      <c r="V113" s="628"/>
      <c r="W113" s="628"/>
      <c r="X113" s="628"/>
      <c r="Y113" s="628"/>
      <c r="Z113" s="628"/>
    </row>
    <row r="114" spans="3:26" ht="12.75">
      <c r="C114" s="628"/>
      <c r="D114" s="628"/>
      <c r="E114" s="628"/>
      <c r="F114" s="628"/>
      <c r="G114" s="628"/>
      <c r="H114" s="628"/>
      <c r="I114" s="628"/>
      <c r="J114" s="628"/>
      <c r="K114" s="628"/>
      <c r="L114" s="628"/>
      <c r="M114" s="628"/>
      <c r="N114" s="628"/>
      <c r="O114" s="628"/>
      <c r="P114" s="628"/>
      <c r="Q114" s="628"/>
      <c r="R114" s="628"/>
      <c r="S114" s="628"/>
      <c r="T114" s="628"/>
      <c r="U114" s="628"/>
      <c r="V114" s="628"/>
      <c r="W114" s="628"/>
      <c r="X114" s="628"/>
      <c r="Y114" s="628"/>
      <c r="Z114" s="628"/>
    </row>
    <row r="115" spans="3:26" ht="12.75">
      <c r="C115" s="628"/>
      <c r="D115" s="628"/>
      <c r="E115" s="628"/>
      <c r="F115" s="628"/>
      <c r="G115" s="628"/>
      <c r="H115" s="628"/>
      <c r="I115" s="628"/>
      <c r="J115" s="628"/>
      <c r="K115" s="628"/>
      <c r="L115" s="628"/>
      <c r="M115" s="628"/>
      <c r="N115" s="628"/>
      <c r="O115" s="628"/>
      <c r="P115" s="628"/>
      <c r="Q115" s="628"/>
      <c r="R115" s="628"/>
      <c r="S115" s="628"/>
      <c r="T115" s="628"/>
      <c r="U115" s="628"/>
      <c r="V115" s="628"/>
      <c r="W115" s="628"/>
      <c r="X115" s="628"/>
      <c r="Y115" s="628"/>
      <c r="Z115" s="628"/>
    </row>
    <row r="116" spans="3:26" ht="12.75">
      <c r="C116" s="628"/>
      <c r="D116" s="628"/>
      <c r="E116" s="628"/>
      <c r="F116" s="628"/>
      <c r="G116" s="628"/>
      <c r="H116" s="628"/>
      <c r="I116" s="628"/>
      <c r="J116" s="628"/>
      <c r="K116" s="628"/>
      <c r="L116" s="628"/>
      <c r="M116" s="628"/>
      <c r="N116" s="628"/>
      <c r="O116" s="628"/>
      <c r="P116" s="628"/>
      <c r="Q116" s="628"/>
      <c r="R116" s="628"/>
      <c r="S116" s="628"/>
      <c r="T116" s="628"/>
      <c r="U116" s="628"/>
      <c r="V116" s="628"/>
      <c r="W116" s="628"/>
      <c r="X116" s="628"/>
      <c r="Y116" s="628"/>
      <c r="Z116" s="628"/>
    </row>
    <row r="117" spans="3:26" ht="12.75">
      <c r="C117" s="628"/>
      <c r="D117" s="628"/>
      <c r="E117" s="628"/>
      <c r="F117" s="628"/>
      <c r="G117" s="628"/>
      <c r="H117" s="628"/>
      <c r="I117" s="628"/>
      <c r="J117" s="628"/>
      <c r="K117" s="628"/>
      <c r="L117" s="628"/>
      <c r="M117" s="628"/>
      <c r="N117" s="628"/>
      <c r="O117" s="628"/>
      <c r="P117" s="628"/>
      <c r="Q117" s="628"/>
      <c r="R117" s="628"/>
      <c r="S117" s="628"/>
      <c r="T117" s="628"/>
      <c r="U117" s="628"/>
      <c r="V117" s="628"/>
      <c r="W117" s="628"/>
      <c r="X117" s="628"/>
      <c r="Y117" s="628"/>
      <c r="Z117" s="628"/>
    </row>
    <row r="118" spans="3:26" ht="12.75">
      <c r="C118" s="628"/>
      <c r="D118" s="628"/>
      <c r="E118" s="628"/>
      <c r="F118" s="628"/>
      <c r="G118" s="628"/>
      <c r="H118" s="628" t="s">
        <v>873</v>
      </c>
      <c r="I118" s="628"/>
      <c r="J118" s="628"/>
      <c r="K118" s="628"/>
      <c r="L118" s="628"/>
      <c r="M118" s="628"/>
      <c r="N118" s="628"/>
      <c r="O118" s="628"/>
      <c r="P118" s="628"/>
      <c r="Q118" s="628"/>
      <c r="R118" s="628"/>
      <c r="S118" s="628"/>
      <c r="T118" s="628"/>
      <c r="U118" s="628"/>
      <c r="V118" s="628"/>
      <c r="W118" s="628"/>
      <c r="X118" s="628"/>
      <c r="Y118" s="628"/>
      <c r="Z118" s="628"/>
    </row>
    <row r="119" spans="3:26" ht="12.75">
      <c r="C119" s="628"/>
      <c r="D119" s="628"/>
      <c r="E119" s="628"/>
      <c r="F119" s="628"/>
      <c r="G119" s="628"/>
      <c r="H119" s="628"/>
      <c r="I119" s="628"/>
      <c r="J119" s="628"/>
      <c r="K119" s="628"/>
      <c r="L119" s="628"/>
      <c r="M119" s="628"/>
      <c r="N119" s="628"/>
      <c r="O119" s="628"/>
      <c r="P119" s="628"/>
      <c r="Q119" s="628"/>
      <c r="R119" s="628"/>
      <c r="S119" s="628"/>
      <c r="T119" s="628"/>
      <c r="U119" s="628"/>
      <c r="V119" s="628"/>
      <c r="W119" s="628"/>
      <c r="X119" s="628"/>
      <c r="Y119" s="628"/>
      <c r="Z119" s="628"/>
    </row>
    <row r="120" spans="3:26" ht="12.75">
      <c r="C120" s="628"/>
      <c r="D120" s="628"/>
      <c r="E120" s="628"/>
      <c r="F120" s="628"/>
      <c r="G120" s="628"/>
      <c r="H120" s="628"/>
      <c r="I120" s="628"/>
      <c r="J120" s="628"/>
      <c r="K120" s="628"/>
      <c r="L120" s="628"/>
      <c r="M120" s="628"/>
      <c r="N120" s="628"/>
      <c r="O120" s="628"/>
      <c r="P120" s="628"/>
      <c r="Q120" s="628"/>
      <c r="R120" s="628"/>
      <c r="S120" s="628"/>
      <c r="T120" s="628"/>
      <c r="U120" s="628"/>
      <c r="V120" s="628"/>
      <c r="W120" s="628"/>
      <c r="X120" s="628"/>
      <c r="Y120" s="628"/>
      <c r="Z120" s="628"/>
    </row>
    <row r="121" spans="3:26" ht="12.75">
      <c r="C121" s="628"/>
      <c r="D121" s="628"/>
      <c r="E121" s="628"/>
      <c r="F121" s="628"/>
      <c r="G121" s="628"/>
      <c r="H121" s="628"/>
      <c r="I121" s="628"/>
      <c r="J121" s="628"/>
      <c r="K121" s="628"/>
      <c r="L121" s="628"/>
      <c r="M121" s="628"/>
      <c r="N121" s="628"/>
      <c r="O121" s="628"/>
      <c r="P121" s="628"/>
      <c r="Q121" s="628"/>
      <c r="R121" s="628"/>
      <c r="S121" s="628"/>
      <c r="T121" s="628"/>
      <c r="U121" s="628"/>
      <c r="V121" s="628"/>
      <c r="W121" s="628"/>
      <c r="X121" s="628"/>
      <c r="Y121" s="628"/>
      <c r="Z121" s="628"/>
    </row>
    <row r="122" spans="3:26" ht="12.75">
      <c r="C122" s="628"/>
      <c r="D122" s="628"/>
      <c r="E122" s="628"/>
      <c r="F122" s="628"/>
      <c r="G122" s="628"/>
      <c r="H122" s="628"/>
      <c r="I122" s="628"/>
      <c r="J122" s="628"/>
      <c r="K122" s="628"/>
      <c r="L122" s="628"/>
      <c r="M122" s="628"/>
      <c r="N122" s="628"/>
      <c r="O122" s="628"/>
      <c r="P122" s="628"/>
      <c r="Q122" s="628"/>
      <c r="R122" s="628"/>
      <c r="S122" s="628"/>
      <c r="T122" s="628"/>
      <c r="U122" s="628"/>
      <c r="V122" s="628"/>
      <c r="W122" s="628"/>
      <c r="X122" s="628"/>
      <c r="Y122" s="628"/>
      <c r="Z122" s="628"/>
    </row>
    <row r="123" spans="3:26" ht="12.75">
      <c r="C123" s="628"/>
      <c r="D123" s="628"/>
      <c r="E123" s="628"/>
      <c r="F123" s="628"/>
      <c r="G123" s="628"/>
      <c r="H123" s="628"/>
      <c r="I123" s="628"/>
      <c r="J123" s="628"/>
      <c r="K123" s="628"/>
      <c r="L123" s="628"/>
      <c r="M123" s="628"/>
      <c r="N123" s="628"/>
      <c r="O123" s="628"/>
      <c r="P123" s="628"/>
      <c r="Q123" s="628"/>
      <c r="R123" s="628"/>
      <c r="S123" s="628"/>
      <c r="T123" s="628"/>
      <c r="U123" s="628"/>
      <c r="V123" s="628"/>
      <c r="W123" s="628"/>
      <c r="X123" s="628"/>
      <c r="Y123" s="628"/>
      <c r="Z123" s="628"/>
    </row>
    <row r="124" spans="3:26" ht="12.75">
      <c r="C124" s="628"/>
      <c r="D124" s="628"/>
      <c r="E124" s="628"/>
      <c r="F124" s="628"/>
      <c r="G124" s="628"/>
      <c r="H124" s="628"/>
      <c r="I124" s="628"/>
      <c r="J124" s="628"/>
      <c r="K124" s="628"/>
      <c r="L124" s="628"/>
      <c r="M124" s="628"/>
      <c r="N124" s="628"/>
      <c r="O124" s="628"/>
      <c r="P124" s="628"/>
      <c r="Q124" s="628"/>
      <c r="R124" s="628"/>
      <c r="S124" s="628"/>
      <c r="T124" s="628"/>
      <c r="U124" s="628"/>
      <c r="V124" s="628"/>
      <c r="W124" s="628"/>
      <c r="X124" s="628"/>
      <c r="Y124" s="628"/>
      <c r="Z124" s="628"/>
    </row>
    <row r="125" spans="3:26" ht="12.75">
      <c r="C125" s="628"/>
      <c r="D125" s="628"/>
      <c r="E125" s="628"/>
      <c r="F125" s="628"/>
      <c r="G125" s="628"/>
      <c r="H125" s="628"/>
      <c r="I125" s="628"/>
      <c r="J125" s="628"/>
      <c r="K125" s="628"/>
      <c r="L125" s="628"/>
      <c r="M125" s="628"/>
      <c r="N125" s="628"/>
      <c r="O125" s="628"/>
      <c r="P125" s="628"/>
      <c r="Q125" s="628"/>
      <c r="R125" s="628"/>
      <c r="S125" s="628"/>
      <c r="T125" s="628"/>
      <c r="U125" s="628"/>
      <c r="V125" s="628"/>
      <c r="W125" s="628"/>
      <c r="X125" s="628"/>
      <c r="Y125" s="628"/>
      <c r="Z125" s="628"/>
    </row>
    <row r="126" spans="3:26" ht="12.75">
      <c r="C126" s="628"/>
      <c r="D126" s="628"/>
      <c r="E126" s="628"/>
      <c r="F126" s="628"/>
      <c r="G126" s="628"/>
      <c r="H126" s="628"/>
      <c r="I126" s="628"/>
      <c r="J126" s="628"/>
      <c r="K126" s="628"/>
      <c r="L126" s="628"/>
      <c r="M126" s="628"/>
      <c r="N126" s="628"/>
      <c r="O126" s="628"/>
      <c r="P126" s="628"/>
      <c r="Q126" s="628"/>
      <c r="R126" s="628"/>
      <c r="S126" s="628"/>
      <c r="T126" s="628"/>
      <c r="U126" s="628"/>
      <c r="V126" s="628"/>
      <c r="W126" s="628"/>
      <c r="X126" s="628"/>
      <c r="Y126" s="628"/>
      <c r="Z126" s="628"/>
    </row>
    <row r="127" spans="3:26" ht="12.75">
      <c r="C127" s="628"/>
      <c r="D127" s="628"/>
      <c r="E127" s="628"/>
      <c r="F127" s="628"/>
      <c r="G127" s="628"/>
      <c r="H127" s="628"/>
      <c r="I127" s="628"/>
      <c r="J127" s="628"/>
      <c r="K127" s="628"/>
      <c r="L127" s="628"/>
      <c r="M127" s="628"/>
      <c r="N127" s="628"/>
      <c r="O127" s="628"/>
      <c r="P127" s="628"/>
      <c r="Q127" s="628"/>
      <c r="R127" s="628"/>
      <c r="S127" s="628"/>
      <c r="T127" s="628"/>
      <c r="U127" s="628"/>
      <c r="V127" s="628"/>
      <c r="W127" s="628"/>
      <c r="X127" s="628"/>
      <c r="Y127" s="628"/>
      <c r="Z127" s="628"/>
    </row>
    <row r="128" spans="3:26" ht="12.75">
      <c r="C128" s="628"/>
      <c r="D128" s="628"/>
      <c r="E128" s="628"/>
      <c r="F128" s="628"/>
      <c r="G128" s="628"/>
      <c r="H128" s="628"/>
      <c r="I128" s="628"/>
      <c r="J128" s="628"/>
      <c r="K128" s="628"/>
      <c r="L128" s="628"/>
      <c r="M128" s="628"/>
      <c r="N128" s="628"/>
      <c r="O128" s="628"/>
      <c r="P128" s="628"/>
      <c r="Q128" s="628"/>
      <c r="R128" s="628"/>
      <c r="S128" s="628"/>
      <c r="T128" s="628"/>
      <c r="U128" s="628"/>
      <c r="V128" s="628"/>
      <c r="W128" s="628"/>
      <c r="X128" s="628"/>
      <c r="Y128" s="628"/>
      <c r="Z128" s="628"/>
    </row>
    <row r="129" spans="3:26" ht="12.75">
      <c r="C129" s="700"/>
      <c r="D129" s="700"/>
      <c r="E129" s="700"/>
      <c r="F129" s="700"/>
      <c r="G129" s="700"/>
      <c r="H129" s="700"/>
      <c r="I129" s="700"/>
      <c r="J129" s="700"/>
      <c r="K129" s="700"/>
      <c r="L129" s="700"/>
      <c r="M129" s="700"/>
      <c r="N129" s="700"/>
      <c r="O129" s="700"/>
      <c r="P129" s="700"/>
      <c r="Q129" s="700"/>
      <c r="R129" s="700"/>
      <c r="S129" s="700"/>
      <c r="T129" s="700"/>
      <c r="U129" s="700"/>
      <c r="V129" s="700"/>
      <c r="W129" s="700"/>
      <c r="X129" s="700"/>
      <c r="Y129" s="700"/>
      <c r="Z129" s="700"/>
    </row>
    <row r="130" spans="3:26" ht="12.75">
      <c r="C130" s="700"/>
      <c r="D130" s="700"/>
      <c r="E130" s="700"/>
      <c r="F130" s="700"/>
      <c r="G130" s="700"/>
      <c r="H130" s="700"/>
      <c r="I130" s="700"/>
      <c r="J130" s="700"/>
      <c r="K130" s="700"/>
      <c r="L130" s="700"/>
      <c r="M130" s="700"/>
      <c r="N130" s="700"/>
      <c r="O130" s="700"/>
      <c r="P130" s="700"/>
      <c r="Q130" s="700"/>
      <c r="R130" s="700"/>
      <c r="S130" s="700"/>
      <c r="T130" s="700"/>
      <c r="U130" s="700"/>
      <c r="V130" s="700"/>
      <c r="W130" s="700"/>
      <c r="X130" s="700"/>
      <c r="Y130" s="700"/>
      <c r="Z130" s="700"/>
    </row>
    <row r="131" spans="3:26" ht="12.75">
      <c r="C131" s="700"/>
      <c r="D131" s="700"/>
      <c r="E131" s="700"/>
      <c r="F131" s="700"/>
      <c r="G131" s="700"/>
      <c r="H131" s="700"/>
      <c r="I131" s="700"/>
      <c r="J131" s="700"/>
      <c r="K131" s="700"/>
      <c r="L131" s="700"/>
      <c r="M131" s="700"/>
      <c r="N131" s="700"/>
      <c r="O131" s="700"/>
      <c r="P131" s="700"/>
      <c r="Q131" s="700"/>
      <c r="R131" s="700"/>
      <c r="S131" s="700"/>
      <c r="T131" s="700"/>
      <c r="U131" s="700"/>
      <c r="V131" s="700"/>
      <c r="W131" s="700"/>
      <c r="X131" s="700"/>
      <c r="Y131" s="700"/>
      <c r="Z131" s="700"/>
    </row>
    <row r="132" spans="3:26" ht="12.75">
      <c r="C132" s="700"/>
      <c r="D132" s="700"/>
      <c r="E132" s="700"/>
      <c r="F132" s="700"/>
      <c r="G132" s="700"/>
      <c r="H132" s="700"/>
      <c r="I132" s="700"/>
      <c r="J132" s="700"/>
      <c r="K132" s="700"/>
      <c r="L132" s="700"/>
      <c r="M132" s="700"/>
      <c r="N132" s="700"/>
      <c r="O132" s="700"/>
      <c r="P132" s="700"/>
      <c r="Q132" s="700"/>
      <c r="R132" s="700"/>
      <c r="S132" s="700"/>
      <c r="T132" s="700"/>
      <c r="U132" s="700"/>
      <c r="V132" s="700"/>
      <c r="W132" s="700"/>
      <c r="X132" s="700"/>
      <c r="Y132" s="700"/>
      <c r="Z132" s="700"/>
    </row>
    <row r="133" spans="3:26" ht="12.75">
      <c r="C133" s="700"/>
      <c r="D133" s="700"/>
      <c r="E133" s="700"/>
      <c r="F133" s="700"/>
      <c r="G133" s="700"/>
      <c r="H133" s="700"/>
      <c r="I133" s="700"/>
      <c r="J133" s="700"/>
      <c r="K133" s="700"/>
      <c r="L133" s="700"/>
      <c r="M133" s="700"/>
      <c r="N133" s="700"/>
      <c r="O133" s="700"/>
      <c r="P133" s="700"/>
      <c r="Q133" s="700"/>
      <c r="R133" s="700"/>
      <c r="S133" s="700"/>
      <c r="T133" s="700"/>
      <c r="U133" s="700"/>
      <c r="V133" s="700"/>
      <c r="W133" s="700"/>
      <c r="X133" s="700"/>
      <c r="Y133" s="700"/>
      <c r="Z133" s="700"/>
    </row>
    <row r="134" spans="3:26" ht="12.75">
      <c r="C134" s="700"/>
      <c r="D134" s="700"/>
      <c r="E134" s="700"/>
      <c r="F134" s="700"/>
      <c r="G134" s="700"/>
      <c r="H134" s="700"/>
      <c r="I134" s="700"/>
      <c r="J134" s="700"/>
      <c r="K134" s="700"/>
      <c r="L134" s="700"/>
      <c r="M134" s="700"/>
      <c r="N134" s="700"/>
      <c r="O134" s="700"/>
      <c r="P134" s="700"/>
      <c r="Q134" s="700"/>
      <c r="R134" s="700"/>
      <c r="S134" s="700"/>
      <c r="T134" s="700"/>
      <c r="U134" s="700"/>
      <c r="V134" s="700"/>
      <c r="W134" s="700"/>
      <c r="X134" s="700"/>
      <c r="Y134" s="700"/>
      <c r="Z134" s="700"/>
    </row>
    <row r="135" spans="3:26" ht="12.75">
      <c r="C135" s="700"/>
      <c r="D135" s="700"/>
      <c r="E135" s="700"/>
      <c r="F135" s="700"/>
      <c r="G135" s="700"/>
      <c r="H135" s="700"/>
      <c r="I135" s="700"/>
      <c r="J135" s="700"/>
      <c r="K135" s="700"/>
      <c r="L135" s="700"/>
      <c r="M135" s="700"/>
      <c r="N135" s="700"/>
      <c r="O135" s="700"/>
      <c r="P135" s="700"/>
      <c r="Q135" s="700"/>
      <c r="R135" s="700"/>
      <c r="S135" s="700"/>
      <c r="T135" s="700"/>
      <c r="U135" s="700"/>
      <c r="V135" s="700"/>
      <c r="W135" s="700"/>
      <c r="X135" s="700"/>
      <c r="Y135" s="700"/>
      <c r="Z135" s="700"/>
    </row>
  </sheetData>
  <mergeCells count="4">
    <mergeCell ref="C96:Z96"/>
    <mergeCell ref="C97:J97"/>
    <mergeCell ref="K97:R97"/>
    <mergeCell ref="S97:Z97"/>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CC92"/>
  <sheetViews>
    <sheetView showGridLines="0" topLeftCell="C1" zoomScaleNormal="100" workbookViewId="0">
      <selection activeCell="D6" sqref="D6"/>
    </sheetView>
  </sheetViews>
  <sheetFormatPr defaultColWidth="8.85546875" defaultRowHeight="11.25"/>
  <cols>
    <col min="4" max="4" width="11.140625" bestFit="1" customWidth="1"/>
    <col min="7" max="11" width="9.42578125" bestFit="1" customWidth="1"/>
    <col min="12" max="18" width="9.28515625" bestFit="1" customWidth="1"/>
    <col min="19" max="26" width="9.42578125" bestFit="1" customWidth="1"/>
  </cols>
  <sheetData>
    <row r="3" spans="3:81" ht="12.75" customHeight="1">
      <c r="C3" s="784" t="s">
        <v>833</v>
      </c>
      <c r="D3" s="785"/>
      <c r="F3" s="657" t="s">
        <v>834</v>
      </c>
      <c r="G3" s="622"/>
      <c r="H3" s="622"/>
      <c r="I3" s="622"/>
      <c r="J3" s="622"/>
      <c r="K3" s="622"/>
      <c r="L3" s="622"/>
      <c r="M3" s="622"/>
      <c r="N3" s="622"/>
      <c r="O3" s="622"/>
      <c r="P3" s="622"/>
      <c r="Q3" s="622"/>
      <c r="R3" s="622"/>
      <c r="S3" s="622"/>
      <c r="T3" s="622"/>
      <c r="U3" s="622"/>
      <c r="V3" s="622"/>
      <c r="W3" s="622"/>
      <c r="X3" s="622"/>
      <c r="Y3" s="622"/>
      <c r="Z3" s="622"/>
    </row>
    <row r="4" spans="3:81" ht="12.75">
      <c r="C4" s="699" t="s">
        <v>353</v>
      </c>
      <c r="D4" s="709" t="s">
        <v>766</v>
      </c>
      <c r="F4" s="657"/>
      <c r="G4" s="622"/>
      <c r="H4" s="622"/>
      <c r="I4" s="622"/>
      <c r="J4" s="622"/>
      <c r="K4" s="622"/>
      <c r="L4" s="622"/>
      <c r="M4" s="622"/>
      <c r="N4" s="622"/>
      <c r="O4" s="622"/>
      <c r="P4" s="622"/>
      <c r="Q4" s="622"/>
      <c r="R4" s="622"/>
      <c r="S4" s="622"/>
      <c r="T4" s="622"/>
      <c r="U4" s="622"/>
      <c r="V4" s="622"/>
      <c r="W4" s="622"/>
      <c r="X4" s="622"/>
      <c r="Y4" s="622"/>
      <c r="Z4" s="622"/>
    </row>
    <row r="5" spans="3:81" ht="12.75">
      <c r="C5" s="697" t="s">
        <v>791</v>
      </c>
      <c r="D5" s="696">
        <f>D6-30</f>
        <v>43550</v>
      </c>
      <c r="F5" s="657" t="s">
        <v>792</v>
      </c>
      <c r="G5" s="669">
        <f>_xll.BTH($D$4,$F$6,$D$5,$D$6,"ATR","MAType=Exponential","TAPeriod=5","DSHigh=PX_HIGH","DSLow=PX_LOW","DSClose=PX_LAST","Dir=H","Dts=S","cols=22;rows=2")</f>
        <v>43550</v>
      </c>
      <c r="H5" s="669">
        <v>43551</v>
      </c>
      <c r="I5" s="669">
        <v>43552</v>
      </c>
      <c r="J5" s="669">
        <v>43553</v>
      </c>
      <c r="K5" s="669">
        <v>43556</v>
      </c>
      <c r="L5" s="669">
        <v>43557</v>
      </c>
      <c r="M5" s="669">
        <v>43558</v>
      </c>
      <c r="N5" s="669">
        <v>43559</v>
      </c>
      <c r="O5" s="669">
        <v>43560</v>
      </c>
      <c r="P5" s="669">
        <v>43563</v>
      </c>
      <c r="Q5" s="669">
        <v>43564</v>
      </c>
      <c r="R5" s="669">
        <v>43565</v>
      </c>
      <c r="S5" s="669">
        <v>43566</v>
      </c>
      <c r="T5" s="669">
        <v>43567</v>
      </c>
      <c r="U5" s="669">
        <v>43570</v>
      </c>
      <c r="V5" s="669">
        <v>43571</v>
      </c>
      <c r="W5" s="669">
        <v>43572</v>
      </c>
      <c r="X5" s="669">
        <v>43573</v>
      </c>
      <c r="Y5" s="669">
        <v>43577</v>
      </c>
      <c r="Z5" s="669">
        <v>43578</v>
      </c>
      <c r="AA5" s="694">
        <v>43579</v>
      </c>
      <c r="AB5" s="694">
        <v>43580</v>
      </c>
      <c r="AC5" s="694"/>
      <c r="AD5" s="694"/>
      <c r="AE5" s="694"/>
      <c r="AF5" s="694"/>
      <c r="AG5" s="694"/>
      <c r="AH5" s="694"/>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c r="BH5" s="694"/>
      <c r="BI5" s="694"/>
      <c r="BJ5" s="694"/>
      <c r="BK5" s="694"/>
      <c r="BL5" s="694"/>
      <c r="BM5" s="694"/>
      <c r="BN5" s="694"/>
      <c r="BO5" s="694"/>
      <c r="BP5" s="694"/>
      <c r="BQ5" s="694"/>
      <c r="BR5" s="694"/>
      <c r="BS5" s="694"/>
      <c r="BT5" s="694"/>
      <c r="BU5" s="694"/>
      <c r="BV5" s="694"/>
      <c r="BW5" s="694"/>
      <c r="BX5" s="694"/>
      <c r="BY5" s="694"/>
      <c r="BZ5" s="694"/>
      <c r="CA5" s="694"/>
      <c r="CB5" s="694"/>
      <c r="CC5" s="694"/>
    </row>
    <row r="6" spans="3:81" ht="12.75">
      <c r="C6" s="698" t="s">
        <v>793</v>
      </c>
      <c r="D6" s="695">
        <f>_xll.BToday()</f>
        <v>43580</v>
      </c>
      <c r="F6" s="657" t="s">
        <v>794</v>
      </c>
      <c r="G6" s="622">
        <v>2.5150777518996414</v>
      </c>
      <c r="H6" s="622">
        <v>2.7467185012664306</v>
      </c>
      <c r="I6" s="622">
        <v>2.5211456675109516</v>
      </c>
      <c r="J6" s="622">
        <v>2.3507637783406317</v>
      </c>
      <c r="K6" s="622">
        <v>3.0321758522270819</v>
      </c>
      <c r="L6" s="622">
        <v>2.5514505681513802</v>
      </c>
      <c r="M6" s="622">
        <v>2.6309670454342511</v>
      </c>
      <c r="N6" s="622">
        <v>2.4639780302894994</v>
      </c>
      <c r="O6" s="622">
        <v>2.4059853535263303</v>
      </c>
      <c r="P6" s="622">
        <v>2.6873235690175536</v>
      </c>
      <c r="Q6" s="622">
        <v>2.5182157126783715</v>
      </c>
      <c r="R6" s="622">
        <v>2.6788104751189143</v>
      </c>
      <c r="S6" s="622">
        <v>2.3058736500792771</v>
      </c>
      <c r="T6" s="622">
        <v>2.8205824333861829</v>
      </c>
      <c r="U6" s="622">
        <v>2.3803882889241219</v>
      </c>
      <c r="V6" s="622">
        <v>3.913592192616087</v>
      </c>
      <c r="W6" s="622">
        <v>5.7757281284107247</v>
      </c>
      <c r="X6" s="622">
        <v>5.8471520856071528</v>
      </c>
      <c r="Y6" s="622">
        <v>5.3131013904047704</v>
      </c>
      <c r="Z6" s="622">
        <v>5.3120675936031816</v>
      </c>
      <c r="AA6">
        <v>5.8613783957354482</v>
      </c>
      <c r="AB6">
        <v>5.3125855971569669</v>
      </c>
    </row>
    <row r="7" spans="3:81" ht="12.75">
      <c r="F7" s="657"/>
      <c r="G7" s="622"/>
      <c r="H7" s="622"/>
      <c r="I7" s="622"/>
      <c r="J7" s="622"/>
      <c r="K7" s="622"/>
      <c r="L7" s="622"/>
      <c r="M7" s="622"/>
      <c r="N7" s="622"/>
      <c r="O7" s="622"/>
      <c r="P7" s="622"/>
      <c r="Q7" s="622"/>
      <c r="R7" s="622"/>
      <c r="S7" s="622"/>
      <c r="T7" s="622"/>
      <c r="U7" s="622"/>
      <c r="V7" s="622"/>
      <c r="W7" s="622"/>
      <c r="X7" s="622"/>
      <c r="Y7" s="622"/>
      <c r="Z7" s="622"/>
    </row>
    <row r="8" spans="3:81" ht="12.75">
      <c r="F8" s="657" t="s">
        <v>792</v>
      </c>
      <c r="G8" s="669">
        <f>_xll.BTH($D$4,$F$9:$F$13,$D$5,$D$6,"BOLL","TAPeriod=20","UPPERBAND=2","LOWERBAND=2","DSClose=PX_LAST","Dir=H","Dts=S","cols=22;rows=6")</f>
        <v>43550</v>
      </c>
      <c r="H8" s="669">
        <v>43551</v>
      </c>
      <c r="I8" s="669">
        <v>43552</v>
      </c>
      <c r="J8" s="669">
        <v>43553</v>
      </c>
      <c r="K8" s="669">
        <v>43556</v>
      </c>
      <c r="L8" s="669">
        <v>43557</v>
      </c>
      <c r="M8" s="669">
        <v>43558</v>
      </c>
      <c r="N8" s="669">
        <v>43559</v>
      </c>
      <c r="O8" s="669">
        <v>43560</v>
      </c>
      <c r="P8" s="669">
        <v>43563</v>
      </c>
      <c r="Q8" s="669">
        <v>43564</v>
      </c>
      <c r="R8" s="669">
        <v>43565</v>
      </c>
      <c r="S8" s="669">
        <v>43566</v>
      </c>
      <c r="T8" s="669">
        <v>43567</v>
      </c>
      <c r="U8" s="669">
        <v>43570</v>
      </c>
      <c r="V8" s="669">
        <v>43571</v>
      </c>
      <c r="W8" s="669">
        <v>43572</v>
      </c>
      <c r="X8" s="669">
        <v>43573</v>
      </c>
      <c r="Y8" s="669">
        <v>43577</v>
      </c>
      <c r="Z8" s="669">
        <v>43578</v>
      </c>
      <c r="AA8" s="694">
        <v>43579</v>
      </c>
      <c r="AB8" s="694">
        <v>43580</v>
      </c>
      <c r="AC8" s="694"/>
      <c r="AD8" s="694"/>
      <c r="AE8" s="694"/>
      <c r="AF8" s="694"/>
      <c r="AG8" s="694"/>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c r="BK8" s="694"/>
      <c r="BL8" s="694"/>
      <c r="BM8" s="694"/>
      <c r="BN8" s="694"/>
      <c r="BO8" s="694"/>
      <c r="BP8" s="694"/>
      <c r="BQ8" s="694"/>
      <c r="BR8" s="694"/>
      <c r="BS8" s="694"/>
      <c r="BT8" s="694"/>
      <c r="BU8" s="694"/>
      <c r="BV8" s="694"/>
      <c r="BW8" s="694"/>
      <c r="BX8" s="694"/>
      <c r="BY8" s="694"/>
      <c r="BZ8" s="694"/>
      <c r="CA8" s="694"/>
      <c r="CB8" s="694"/>
      <c r="CC8" s="694"/>
    </row>
    <row r="9" spans="3:81" ht="12.75">
      <c r="F9" s="657" t="s">
        <v>795</v>
      </c>
      <c r="G9" s="622">
        <v>191.99349999999998</v>
      </c>
      <c r="H9" s="622">
        <v>192.46499999999997</v>
      </c>
      <c r="I9" s="622">
        <v>192.84549999999996</v>
      </c>
      <c r="J9" s="622">
        <v>193.14249999999998</v>
      </c>
      <c r="K9" s="622">
        <v>193.41399999999996</v>
      </c>
      <c r="L9" s="622">
        <v>193.67599999999999</v>
      </c>
      <c r="M9" s="622">
        <v>194.00099999999998</v>
      </c>
      <c r="N9" s="622">
        <v>194.33349999999999</v>
      </c>
      <c r="O9" s="622">
        <v>194.73399999999998</v>
      </c>
      <c r="P9" s="622">
        <v>195.06</v>
      </c>
      <c r="Q9" s="622">
        <v>195.31849999999997</v>
      </c>
      <c r="R9" s="622">
        <v>195.5335</v>
      </c>
      <c r="S9" s="622">
        <v>195.63249999999999</v>
      </c>
      <c r="T9" s="622">
        <v>195.56399999999999</v>
      </c>
      <c r="U9" s="622">
        <v>195.55599999999998</v>
      </c>
      <c r="V9" s="622">
        <v>195.202</v>
      </c>
      <c r="W9" s="622">
        <v>194.35699999999997</v>
      </c>
      <c r="X9" s="622">
        <v>193.46999999999997</v>
      </c>
      <c r="Y9" s="622">
        <v>192.85599999999999</v>
      </c>
      <c r="Z9" s="622">
        <v>192.44549999999998</v>
      </c>
      <c r="AA9">
        <v>191.89349999999999</v>
      </c>
      <c r="AB9">
        <v>191.43247500000001</v>
      </c>
    </row>
    <row r="10" spans="3:81" ht="12.75">
      <c r="F10" s="657" t="s">
        <v>796</v>
      </c>
      <c r="G10" s="622">
        <v>198.86418926673298</v>
      </c>
      <c r="H10" s="622">
        <v>199.12826196393326</v>
      </c>
      <c r="I10" s="622">
        <v>199.4305845856374</v>
      </c>
      <c r="J10" s="622">
        <v>200.00255794436168</v>
      </c>
      <c r="K10" s="622">
        <v>200.29093652726266</v>
      </c>
      <c r="L10" s="622">
        <v>200.39959546671273</v>
      </c>
      <c r="M10" s="622">
        <v>200.27480554368717</v>
      </c>
      <c r="N10" s="622">
        <v>199.74643367777583</v>
      </c>
      <c r="O10" s="622">
        <v>199.06189278979966</v>
      </c>
      <c r="P10" s="622">
        <v>198.58521205035953</v>
      </c>
      <c r="Q10" s="622">
        <v>198.26738639998217</v>
      </c>
      <c r="R10" s="622">
        <v>198.02869758736659</v>
      </c>
      <c r="S10" s="622">
        <v>197.92194425570923</v>
      </c>
      <c r="T10" s="622">
        <v>198.10778772699294</v>
      </c>
      <c r="U10" s="622">
        <v>198.12557117044847</v>
      </c>
      <c r="V10" s="622">
        <v>199.01375340230715</v>
      </c>
      <c r="W10" s="622">
        <v>201.81987370923557</v>
      </c>
      <c r="X10" s="622">
        <v>202.93774524372088</v>
      </c>
      <c r="Y10" s="622">
        <v>203.51082313321061</v>
      </c>
      <c r="Z10" s="622">
        <v>203.34196084744949</v>
      </c>
      <c r="AA10">
        <v>203.11136124891905</v>
      </c>
      <c r="AB10">
        <v>202.66236928033499</v>
      </c>
    </row>
    <row r="11" spans="3:81" ht="12.75">
      <c r="F11" s="657" t="s">
        <v>797</v>
      </c>
      <c r="G11" s="622">
        <v>185.12281073326699</v>
      </c>
      <c r="H11" s="622">
        <v>185.80173803606669</v>
      </c>
      <c r="I11" s="622">
        <v>186.26041541436251</v>
      </c>
      <c r="J11" s="622">
        <v>186.28244205563828</v>
      </c>
      <c r="K11" s="622">
        <v>186.53706347273726</v>
      </c>
      <c r="L11" s="622">
        <v>186.95240453328725</v>
      </c>
      <c r="M11" s="622">
        <v>187.72719445631279</v>
      </c>
      <c r="N11" s="622">
        <v>188.92056632222415</v>
      </c>
      <c r="O11" s="622">
        <v>190.4061072102003</v>
      </c>
      <c r="P11" s="622">
        <v>191.53478794964047</v>
      </c>
      <c r="Q11" s="622">
        <v>192.36961360001777</v>
      </c>
      <c r="R11" s="622">
        <v>193.03830241263341</v>
      </c>
      <c r="S11" s="622">
        <v>193.34305574429075</v>
      </c>
      <c r="T11" s="622">
        <v>193.02021227300705</v>
      </c>
      <c r="U11" s="622">
        <v>192.9864288295515</v>
      </c>
      <c r="V11" s="622">
        <v>191.39024659769285</v>
      </c>
      <c r="W11" s="622">
        <v>186.89412629076438</v>
      </c>
      <c r="X11" s="622">
        <v>184.00225475627906</v>
      </c>
      <c r="Y11" s="622">
        <v>182.20117686678938</v>
      </c>
      <c r="Z11" s="622">
        <v>181.54903915255048</v>
      </c>
      <c r="AA11">
        <v>180.67563875108092</v>
      </c>
      <c r="AB11">
        <v>180.20258071966504</v>
      </c>
    </row>
    <row r="12" spans="3:81" ht="12.75">
      <c r="F12" s="657" t="s">
        <v>798</v>
      </c>
      <c r="G12" s="622">
        <v>7.1572102875701482</v>
      </c>
      <c r="H12" s="622">
        <v>6.9241285053732167</v>
      </c>
      <c r="I12" s="622">
        <v>6.8293889000650241</v>
      </c>
      <c r="J12" s="622">
        <v>7.1036234328143211</v>
      </c>
      <c r="K12" s="622">
        <v>7.1111052222307602</v>
      </c>
      <c r="L12" s="622">
        <v>6.9431374736288829</v>
      </c>
      <c r="M12" s="622">
        <v>6.4678074274742805</v>
      </c>
      <c r="N12" s="622">
        <v>5.5707674464524546</v>
      </c>
      <c r="O12" s="622">
        <v>4.444927737117994</v>
      </c>
      <c r="P12" s="622">
        <v>3.6144899521783325</v>
      </c>
      <c r="Q12" s="622">
        <v>3.0195669124862219</v>
      </c>
      <c r="R12" s="622">
        <v>2.5521944703762682</v>
      </c>
      <c r="S12" s="622">
        <v>2.3405561506490402</v>
      </c>
      <c r="T12" s="622">
        <v>2.6014887474105111</v>
      </c>
      <c r="U12" s="622">
        <v>2.6279645425847162</v>
      </c>
      <c r="V12" s="622">
        <v>3.9054450285418665</v>
      </c>
      <c r="W12" s="622">
        <v>7.6795522767233448</v>
      </c>
      <c r="X12" s="622">
        <v>9.7873006085914245</v>
      </c>
      <c r="Y12" s="622">
        <v>11.049511690806209</v>
      </c>
      <c r="Z12" s="622">
        <v>11.324204356505613</v>
      </c>
      <c r="AA12">
        <v>11.691757405976821</v>
      </c>
      <c r="AB12">
        <v>11.732486121108735</v>
      </c>
    </row>
    <row r="13" spans="3:81" ht="12.75">
      <c r="F13" s="657" t="s">
        <v>799</v>
      </c>
      <c r="G13" s="622">
        <v>0.79738646599740315</v>
      </c>
      <c r="H13" s="622">
        <v>0.78026813445251875</v>
      </c>
      <c r="I13" s="622">
        <v>0.74863006370047025</v>
      </c>
      <c r="J13" s="622">
        <v>0.81905707178449605</v>
      </c>
      <c r="K13" s="622">
        <v>0.69529044577856336</v>
      </c>
      <c r="L13" s="622">
        <v>0.61110127069634945</v>
      </c>
      <c r="M13" s="622">
        <v>0.56686531756186187</v>
      </c>
      <c r="N13" s="622">
        <v>0.44240646227018127</v>
      </c>
      <c r="O13" s="622">
        <v>0.55845801000346051</v>
      </c>
      <c r="P13" s="622">
        <v>0.5964480987648183</v>
      </c>
      <c r="Q13" s="622">
        <v>0.61046542857737074</v>
      </c>
      <c r="R13" s="622">
        <v>0.62153346153241462</v>
      </c>
      <c r="S13" s="622">
        <v>0.43393593243302842</v>
      </c>
      <c r="T13" s="622">
        <v>-6.8836772284661382E-2</v>
      </c>
      <c r="U13" s="622">
        <v>8.4366445155285186E-2</v>
      </c>
      <c r="V13" s="622">
        <v>-0.30828943397418113</v>
      </c>
      <c r="W13" s="622">
        <v>-0.44581528175464286</v>
      </c>
      <c r="X13" s="622">
        <v>-0.19763178348936677</v>
      </c>
      <c r="Y13" s="622">
        <v>-1.9323111362139266E-3</v>
      </c>
      <c r="Z13" s="622">
        <v>0.24828983112971287</v>
      </c>
      <c r="AA13">
        <v>0.19452733244225187</v>
      </c>
      <c r="AB13">
        <v>0.30173566692440928</v>
      </c>
    </row>
    <row r="14" spans="3:81" ht="12.75">
      <c r="F14" s="657"/>
      <c r="G14" s="622"/>
      <c r="H14" s="622"/>
      <c r="I14" s="622"/>
      <c r="J14" s="622"/>
      <c r="K14" s="622"/>
      <c r="L14" s="622"/>
      <c r="M14" s="622"/>
      <c r="N14" s="622"/>
      <c r="O14" s="622"/>
      <c r="P14" s="622"/>
      <c r="Q14" s="622"/>
      <c r="R14" s="622"/>
      <c r="S14" s="622"/>
      <c r="T14" s="622"/>
      <c r="U14" s="622"/>
      <c r="V14" s="622"/>
      <c r="W14" s="622"/>
      <c r="X14" s="622"/>
      <c r="Y14" s="622"/>
      <c r="Z14" s="622"/>
    </row>
    <row r="15" spans="3:81" ht="12.75">
      <c r="F15" s="657" t="s">
        <v>792</v>
      </c>
      <c r="G15" s="669">
        <f>_xll.BTH($D$4,$F$16,$D$5,$D$6,"CMCI","TAPeriod=13","DSHigh=PX_HIGH","DSLow=PX_LOW","DSClose=PX_LAST","Dir=H","Dts=S","cols=22;rows=2")</f>
        <v>43550</v>
      </c>
      <c r="H15" s="669">
        <v>43551</v>
      </c>
      <c r="I15" s="669">
        <v>43552</v>
      </c>
      <c r="J15" s="669">
        <v>43553</v>
      </c>
      <c r="K15" s="669">
        <v>43556</v>
      </c>
      <c r="L15" s="669">
        <v>43557</v>
      </c>
      <c r="M15" s="669">
        <v>43558</v>
      </c>
      <c r="N15" s="669">
        <v>43559</v>
      </c>
      <c r="O15" s="669">
        <v>43560</v>
      </c>
      <c r="P15" s="669">
        <v>43563</v>
      </c>
      <c r="Q15" s="669">
        <v>43564</v>
      </c>
      <c r="R15" s="669">
        <v>43565</v>
      </c>
      <c r="S15" s="669">
        <v>43566</v>
      </c>
      <c r="T15" s="669">
        <v>43567</v>
      </c>
      <c r="U15" s="669">
        <v>43570</v>
      </c>
      <c r="V15" s="669">
        <v>43571</v>
      </c>
      <c r="W15" s="669">
        <v>43572</v>
      </c>
      <c r="X15" s="669">
        <v>43573</v>
      </c>
      <c r="Y15" s="669">
        <v>43577</v>
      </c>
      <c r="Z15" s="669">
        <v>43578</v>
      </c>
      <c r="AA15" s="694">
        <v>43579</v>
      </c>
      <c r="AB15" s="694">
        <v>43580</v>
      </c>
      <c r="AC15" s="694"/>
      <c r="AD15" s="694"/>
      <c r="AE15" s="694"/>
      <c r="AF15" s="694"/>
      <c r="AG15" s="694"/>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c r="BI15" s="694"/>
      <c r="BJ15" s="694"/>
      <c r="BK15" s="694"/>
      <c r="BL15" s="694"/>
      <c r="BM15" s="694"/>
      <c r="BN15" s="694"/>
      <c r="BO15" s="694"/>
      <c r="BP15" s="694"/>
      <c r="BQ15" s="694"/>
      <c r="BR15" s="694"/>
      <c r="BS15" s="694"/>
      <c r="BT15" s="694"/>
      <c r="BU15" s="694"/>
      <c r="BV15" s="694"/>
      <c r="BW15" s="694"/>
      <c r="BX15" s="694"/>
      <c r="BY15" s="694"/>
      <c r="BZ15" s="694"/>
      <c r="CA15" s="694"/>
      <c r="CB15" s="694"/>
      <c r="CC15" s="694"/>
    </row>
    <row r="16" spans="3:81" ht="12.75">
      <c r="F16" s="657" t="s">
        <v>800</v>
      </c>
      <c r="G16" s="622">
        <v>74.242793728345518</v>
      </c>
      <c r="H16" s="622">
        <v>46.988576521992726</v>
      </c>
      <c r="I16" s="622">
        <v>42.03825648940515</v>
      </c>
      <c r="J16" s="622">
        <v>95.070344299785901</v>
      </c>
      <c r="K16" s="622">
        <v>91.22883472329562</v>
      </c>
      <c r="L16" s="622">
        <v>-17.974454165461669</v>
      </c>
      <c r="M16" s="622">
        <v>-42.017988572678298</v>
      </c>
      <c r="N16" s="622">
        <v>-131.576859124252</v>
      </c>
      <c r="O16" s="622">
        <v>-64.999040923220505</v>
      </c>
      <c r="P16" s="622">
        <v>-69.749185981277904</v>
      </c>
      <c r="Q16" s="622">
        <v>17.67612677860426</v>
      </c>
      <c r="R16" s="622">
        <v>64.043701358648349</v>
      </c>
      <c r="S16" s="622">
        <v>-26.368864573943707</v>
      </c>
      <c r="T16" s="622">
        <v>-161.41316842532237</v>
      </c>
      <c r="U16" s="622">
        <v>-163.08103452510952</v>
      </c>
      <c r="V16" s="622">
        <v>-236.25364355668657</v>
      </c>
      <c r="W16" s="622">
        <v>-316.81878267811857</v>
      </c>
      <c r="X16" s="622">
        <v>-240.73478239480664</v>
      </c>
      <c r="Y16" s="622">
        <v>-133.23422057119748</v>
      </c>
      <c r="Z16" s="622">
        <v>-67.269653092445097</v>
      </c>
      <c r="AA16">
        <v>-57.131450448347792</v>
      </c>
      <c r="AB16">
        <v>-38.722410220692076</v>
      </c>
    </row>
    <row r="17" spans="6:81" ht="12.75">
      <c r="F17" s="657"/>
      <c r="G17" s="622"/>
      <c r="H17" s="622"/>
      <c r="I17" s="622"/>
      <c r="J17" s="622"/>
      <c r="K17" s="622"/>
      <c r="L17" s="622"/>
      <c r="M17" s="622"/>
      <c r="N17" s="622"/>
      <c r="O17" s="622"/>
      <c r="P17" s="622"/>
      <c r="Q17" s="622"/>
      <c r="R17" s="622"/>
      <c r="S17" s="622"/>
      <c r="T17" s="622"/>
      <c r="U17" s="622"/>
      <c r="V17" s="622"/>
      <c r="W17" s="622"/>
      <c r="X17" s="622"/>
      <c r="Y17" s="622"/>
      <c r="Z17" s="622"/>
    </row>
    <row r="18" spans="6:81" ht="12.75">
      <c r="F18" s="657" t="s">
        <v>792</v>
      </c>
      <c r="G18" s="669">
        <f>_xll.BTH($D$4,$F$19,$D$5,$D$6,"EMAVG","TAPeriod=5","DSClose=PX_LAST","Dir=H","Dts=S","cols=22;rows=2")</f>
        <v>43550</v>
      </c>
      <c r="H18" s="669">
        <v>43551</v>
      </c>
      <c r="I18" s="669">
        <v>43552</v>
      </c>
      <c r="J18" s="669">
        <v>43553</v>
      </c>
      <c r="K18" s="669">
        <v>43556</v>
      </c>
      <c r="L18" s="669">
        <v>43557</v>
      </c>
      <c r="M18" s="669">
        <v>43558</v>
      </c>
      <c r="N18" s="669">
        <v>43559</v>
      </c>
      <c r="O18" s="669">
        <v>43560</v>
      </c>
      <c r="P18" s="669">
        <v>43563</v>
      </c>
      <c r="Q18" s="669">
        <v>43564</v>
      </c>
      <c r="R18" s="669">
        <v>43565</v>
      </c>
      <c r="S18" s="669">
        <v>43566</v>
      </c>
      <c r="T18" s="669">
        <v>43567</v>
      </c>
      <c r="U18" s="669">
        <v>43570</v>
      </c>
      <c r="V18" s="669">
        <v>43571</v>
      </c>
      <c r="W18" s="669">
        <v>43572</v>
      </c>
      <c r="X18" s="669">
        <v>43573</v>
      </c>
      <c r="Y18" s="669">
        <v>43577</v>
      </c>
      <c r="Z18" s="669">
        <v>43578</v>
      </c>
      <c r="AA18" s="694">
        <v>43579</v>
      </c>
      <c r="AB18" s="694">
        <v>43580</v>
      </c>
      <c r="AC18" s="694"/>
      <c r="AD18" s="694"/>
      <c r="AE18" s="694"/>
      <c r="AF18" s="694"/>
      <c r="AG18" s="694"/>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c r="BH18" s="694"/>
      <c r="BI18" s="694"/>
      <c r="BJ18" s="694"/>
      <c r="BK18" s="694"/>
      <c r="BL18" s="694"/>
      <c r="BM18" s="694"/>
      <c r="BN18" s="694"/>
      <c r="BO18" s="694"/>
      <c r="BP18" s="694"/>
      <c r="BQ18" s="694"/>
      <c r="BR18" s="694"/>
      <c r="BS18" s="694"/>
      <c r="BT18" s="694"/>
      <c r="BU18" s="694"/>
      <c r="BV18" s="694"/>
      <c r="BW18" s="694"/>
      <c r="BX18" s="694"/>
      <c r="BY18" s="694"/>
      <c r="BZ18" s="694"/>
      <c r="CA18" s="694"/>
      <c r="CB18" s="694"/>
      <c r="CC18" s="694"/>
    </row>
    <row r="19" spans="6:81" ht="12.75">
      <c r="F19" s="657" t="s">
        <v>812</v>
      </c>
      <c r="G19" s="622">
        <v>195.59189510727316</v>
      </c>
      <c r="H19" s="622">
        <v>195.79459673818212</v>
      </c>
      <c r="I19" s="622">
        <v>195.90306449212144</v>
      </c>
      <c r="J19" s="622">
        <v>196.44204299474765</v>
      </c>
      <c r="K19" s="622">
        <v>196.32802866316513</v>
      </c>
      <c r="L19" s="622">
        <v>195.94201910877678</v>
      </c>
      <c r="M19" s="622">
        <v>195.57467940585119</v>
      </c>
      <c r="N19" s="622">
        <v>194.9531196039008</v>
      </c>
      <c r="O19" s="622">
        <v>195.04874640260056</v>
      </c>
      <c r="P19" s="622">
        <v>195.27916426840039</v>
      </c>
      <c r="Q19" s="622">
        <v>195.50944284560026</v>
      </c>
      <c r="R19" s="622">
        <v>195.71962856373352</v>
      </c>
      <c r="S19" s="622">
        <v>195.58975237582234</v>
      </c>
      <c r="T19" s="622">
        <v>194.61650158388159</v>
      </c>
      <c r="U19" s="622">
        <v>194.21766772258775</v>
      </c>
      <c r="V19" s="622">
        <v>192.49177848172516</v>
      </c>
      <c r="W19" s="622">
        <v>188.40785232115013</v>
      </c>
      <c r="X19" s="622">
        <v>185.69190154743342</v>
      </c>
      <c r="Y19" s="622">
        <v>184.51460103162231</v>
      </c>
      <c r="Z19" s="622">
        <v>185.32973402108155</v>
      </c>
      <c r="AA19">
        <v>185.23315601405437</v>
      </c>
      <c r="AB19">
        <v>185.81527067603628</v>
      </c>
    </row>
    <row r="20" spans="6:81" ht="12.75">
      <c r="F20" s="657"/>
      <c r="G20" s="622"/>
      <c r="H20" s="622"/>
      <c r="I20" s="622"/>
      <c r="J20" s="622"/>
      <c r="K20" s="622"/>
      <c r="L20" s="622"/>
      <c r="M20" s="622"/>
      <c r="N20" s="622"/>
      <c r="O20" s="622"/>
      <c r="P20" s="622"/>
      <c r="Q20" s="622"/>
      <c r="R20" s="622"/>
      <c r="S20" s="622"/>
      <c r="T20" s="622"/>
      <c r="U20" s="622"/>
      <c r="V20" s="622"/>
      <c r="W20" s="622"/>
      <c r="X20" s="622"/>
      <c r="Y20" s="622"/>
      <c r="Z20" s="622"/>
    </row>
    <row r="21" spans="6:81" ht="12.75">
      <c r="F21" s="657" t="s">
        <v>792</v>
      </c>
      <c r="G21" s="669">
        <f>_xll.BTH($D$4,$F$22,$D$5,$D$6,"FG","Sens=5","DSHigh=PX_HIGH","DSLow=PX_LOW","DSClose=PX_LAST","Dir=H","Dts=S","cols=22;rows=2")</f>
        <v>43550</v>
      </c>
      <c r="H21" s="669">
        <v>43551</v>
      </c>
      <c r="I21" s="669">
        <v>43552</v>
      </c>
      <c r="J21" s="669">
        <v>43553</v>
      </c>
      <c r="K21" s="669">
        <v>43556</v>
      </c>
      <c r="L21" s="669">
        <v>43557</v>
      </c>
      <c r="M21" s="669">
        <v>43558</v>
      </c>
      <c r="N21" s="669">
        <v>43559</v>
      </c>
      <c r="O21" s="669">
        <v>43560</v>
      </c>
      <c r="P21" s="669">
        <v>43563</v>
      </c>
      <c r="Q21" s="669">
        <v>43564</v>
      </c>
      <c r="R21" s="669">
        <v>43565</v>
      </c>
      <c r="S21" s="669">
        <v>43566</v>
      </c>
      <c r="T21" s="669">
        <v>43567</v>
      </c>
      <c r="U21" s="669">
        <v>43570</v>
      </c>
      <c r="V21" s="669">
        <v>43571</v>
      </c>
      <c r="W21" s="669">
        <v>43572</v>
      </c>
      <c r="X21" s="669">
        <v>43573</v>
      </c>
      <c r="Y21" s="669">
        <v>43577</v>
      </c>
      <c r="Z21" s="669">
        <v>43578</v>
      </c>
      <c r="AA21" s="694">
        <v>43579</v>
      </c>
      <c r="AB21" s="694">
        <v>43580</v>
      </c>
      <c r="AC21" s="694"/>
      <c r="AD21" s="694"/>
      <c r="AE21" s="694"/>
      <c r="AF21" s="694"/>
      <c r="AG21" s="694"/>
      <c r="AH21" s="694"/>
      <c r="AI21" s="694"/>
      <c r="AJ21" s="694"/>
      <c r="AK21" s="694"/>
      <c r="AL21" s="694"/>
      <c r="AM21" s="694"/>
      <c r="AN21" s="694"/>
      <c r="AO21" s="694"/>
      <c r="AP21" s="694"/>
      <c r="AQ21" s="694"/>
      <c r="AR21" s="694"/>
      <c r="AS21" s="694"/>
      <c r="AT21" s="694"/>
      <c r="AU21" s="694"/>
      <c r="AV21" s="694"/>
      <c r="AW21" s="694"/>
      <c r="AX21" s="694"/>
      <c r="AY21" s="694"/>
      <c r="AZ21" s="694"/>
      <c r="BA21" s="694"/>
      <c r="BB21" s="694"/>
      <c r="BC21" s="694"/>
      <c r="BD21" s="694"/>
      <c r="BE21" s="694"/>
      <c r="BF21" s="694"/>
      <c r="BG21" s="694"/>
      <c r="BH21" s="694"/>
      <c r="BI21" s="694"/>
      <c r="BJ21" s="694"/>
      <c r="BK21" s="694"/>
      <c r="BL21" s="694"/>
      <c r="BM21" s="694"/>
      <c r="BN21" s="694"/>
      <c r="BO21" s="694"/>
      <c r="BP21" s="694"/>
      <c r="BQ21" s="694"/>
      <c r="BR21" s="694"/>
      <c r="BS21" s="694"/>
      <c r="BT21" s="694"/>
      <c r="BU21" s="694"/>
      <c r="BV21" s="694"/>
      <c r="BW21" s="694"/>
      <c r="BX21" s="694"/>
      <c r="BY21" s="694"/>
      <c r="BZ21" s="694"/>
      <c r="CA21" s="694"/>
      <c r="CB21" s="694"/>
      <c r="CC21" s="694"/>
    </row>
    <row r="22" spans="6:81" ht="12.75">
      <c r="F22" s="657" t="s">
        <v>805</v>
      </c>
      <c r="G22" s="622">
        <v>8.008243076923101</v>
      </c>
      <c r="H22" s="622">
        <v>9.7121164102564492</v>
      </c>
      <c r="I22" s="622">
        <v>9.1507743589744024</v>
      </c>
      <c r="J22" s="622">
        <v>9.0234528205128655</v>
      </c>
      <c r="K22" s="622">
        <v>6.3616748717949037</v>
      </c>
      <c r="L22" s="622">
        <v>3.8385225641026111</v>
      </c>
      <c r="M22" s="622">
        <v>0.83234205128211158</v>
      </c>
      <c r="N22" s="622">
        <v>-1.5654307692307015</v>
      </c>
      <c r="O22" s="622">
        <v>-1.7077933333332851</v>
      </c>
      <c r="P22" s="622">
        <v>6.9408205128247857E-2</v>
      </c>
      <c r="Q22" s="622">
        <v>2.1939635897436389</v>
      </c>
      <c r="R22" s="622">
        <v>4.3560061538462023</v>
      </c>
      <c r="S22" s="622">
        <v>4.3430639487179832</v>
      </c>
      <c r="T22" s="622">
        <v>2.0156907179487575</v>
      </c>
      <c r="U22" s="622">
        <v>0.95884282051284941</v>
      </c>
      <c r="V22" s="622">
        <v>-2.606715641025616</v>
      </c>
      <c r="W22" s="622">
        <v>-8.8098949230769108</v>
      </c>
      <c r="X22" s="622">
        <v>-9.4139820512820194</v>
      </c>
      <c r="Y22" s="622">
        <v>-6.3483410256410053</v>
      </c>
      <c r="Z22" s="622">
        <v>-1.1446076923076731</v>
      </c>
      <c r="AA22">
        <v>-1.9233692307692039</v>
      </c>
      <c r="AB22">
        <v>-1.0741282051281758</v>
      </c>
    </row>
    <row r="23" spans="6:81" ht="12.75">
      <c r="F23" s="657"/>
      <c r="G23" s="622"/>
      <c r="H23" s="622"/>
      <c r="I23" s="622"/>
      <c r="J23" s="622"/>
      <c r="K23" s="622"/>
      <c r="L23" s="622"/>
      <c r="M23" s="622"/>
      <c r="N23" s="622"/>
      <c r="O23" s="622"/>
      <c r="P23" s="622"/>
      <c r="Q23" s="622"/>
      <c r="R23" s="622"/>
      <c r="S23" s="622"/>
      <c r="T23" s="622"/>
      <c r="U23" s="622"/>
      <c r="V23" s="622"/>
      <c r="W23" s="622"/>
      <c r="X23" s="622"/>
      <c r="Y23" s="622"/>
      <c r="Z23" s="622"/>
    </row>
    <row r="24" spans="6:81" ht="12.75">
      <c r="F24" s="657" t="s">
        <v>792</v>
      </c>
      <c r="G24" s="669">
        <f>_xll.BTH($D$4,$F$25,$D$5,$D$6,"HURST","TAPeriod=25","DSClose=PX_LAST","Dir=H","Dts=S","cols=22;rows=2")</f>
        <v>43550</v>
      </c>
      <c r="H24" s="669">
        <v>43551</v>
      </c>
      <c r="I24" s="669">
        <v>43552</v>
      </c>
      <c r="J24" s="669">
        <v>43553</v>
      </c>
      <c r="K24" s="669">
        <v>43556</v>
      </c>
      <c r="L24" s="669">
        <v>43557</v>
      </c>
      <c r="M24" s="669">
        <v>43558</v>
      </c>
      <c r="N24" s="669">
        <v>43559</v>
      </c>
      <c r="O24" s="669">
        <v>43560</v>
      </c>
      <c r="P24" s="669">
        <v>43563</v>
      </c>
      <c r="Q24" s="669">
        <v>43564</v>
      </c>
      <c r="R24" s="669">
        <v>43565</v>
      </c>
      <c r="S24" s="669">
        <v>43566</v>
      </c>
      <c r="T24" s="669">
        <v>43567</v>
      </c>
      <c r="U24" s="669">
        <v>43570</v>
      </c>
      <c r="V24" s="669">
        <v>43571</v>
      </c>
      <c r="W24" s="669">
        <v>43572</v>
      </c>
      <c r="X24" s="669">
        <v>43573</v>
      </c>
      <c r="Y24" s="669">
        <v>43577</v>
      </c>
      <c r="Z24" s="669">
        <v>43578</v>
      </c>
      <c r="AA24" s="694">
        <v>43579</v>
      </c>
      <c r="AB24" s="694">
        <v>43580</v>
      </c>
      <c r="AC24" s="694"/>
      <c r="AD24" s="694"/>
      <c r="AE24" s="694"/>
      <c r="AF24" s="694"/>
      <c r="AG24" s="694"/>
      <c r="AH24" s="694"/>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c r="BH24" s="694"/>
      <c r="BI24" s="694"/>
      <c r="BJ24" s="694"/>
      <c r="BK24" s="694"/>
      <c r="BL24" s="694"/>
      <c r="BM24" s="694"/>
      <c r="BN24" s="694"/>
      <c r="BO24" s="694"/>
      <c r="BP24" s="694"/>
      <c r="BQ24" s="694"/>
      <c r="BR24" s="694"/>
      <c r="BS24" s="694"/>
      <c r="BT24" s="694"/>
      <c r="BU24" s="694"/>
      <c r="BV24" s="694"/>
      <c r="BW24" s="694"/>
      <c r="BX24" s="694"/>
      <c r="BY24" s="694"/>
      <c r="BZ24" s="694"/>
      <c r="CA24" s="694"/>
      <c r="CB24" s="694"/>
      <c r="CC24" s="694"/>
    </row>
    <row r="25" spans="6:81" ht="12.75">
      <c r="F25" s="657" t="s">
        <v>806</v>
      </c>
      <c r="G25" s="622">
        <v>0.4493847661368347</v>
      </c>
      <c r="H25" s="622">
        <v>0.53285217531092566</v>
      </c>
      <c r="I25" s="622">
        <v>0.52060188495701731</v>
      </c>
      <c r="J25" s="622">
        <v>0.49302962692169999</v>
      </c>
      <c r="K25" s="622">
        <v>0.50733663949794117</v>
      </c>
      <c r="L25" s="622">
        <v>0.51650821502835842</v>
      </c>
      <c r="M25" s="622">
        <v>0.56523065631612079</v>
      </c>
      <c r="N25" s="622">
        <v>0.68880848406655215</v>
      </c>
      <c r="O25" s="622">
        <v>0.77636405128118802</v>
      </c>
      <c r="P25" s="622">
        <v>0.71193095692171249</v>
      </c>
      <c r="Q25" s="622">
        <v>0.71347431959103669</v>
      </c>
      <c r="R25" s="622">
        <v>0.71353203219313088</v>
      </c>
      <c r="S25" s="622">
        <v>0.70589600979682432</v>
      </c>
      <c r="T25" s="622">
        <v>0.71270466948133926</v>
      </c>
      <c r="U25" s="622">
        <v>0.67308498853945231</v>
      </c>
      <c r="V25" s="622">
        <v>0.50450353892666389</v>
      </c>
      <c r="W25" s="622">
        <v>0.7140280804992114</v>
      </c>
      <c r="X25" s="622">
        <v>0.67466600079295203</v>
      </c>
      <c r="Y25" s="622">
        <v>0.66282889990343108</v>
      </c>
      <c r="Z25" s="622">
        <v>0.63806511384394571</v>
      </c>
      <c r="AA25">
        <v>0.59385675704826857</v>
      </c>
      <c r="AB25">
        <v>0.56819104944110743</v>
      </c>
    </row>
    <row r="26" spans="6:81" ht="12.75">
      <c r="F26" s="657"/>
      <c r="G26" s="622"/>
      <c r="H26" s="622"/>
      <c r="I26" s="622"/>
      <c r="J26" s="622"/>
      <c r="K26" s="622"/>
      <c r="L26" s="622"/>
      <c r="M26" s="622"/>
      <c r="N26" s="622"/>
      <c r="O26" s="622"/>
      <c r="P26" s="622"/>
      <c r="Q26" s="622"/>
      <c r="R26" s="622"/>
      <c r="S26" s="622"/>
      <c r="T26" s="622"/>
      <c r="U26" s="622"/>
      <c r="V26" s="622"/>
      <c r="W26" s="622"/>
      <c r="X26" s="622"/>
      <c r="Y26" s="622"/>
      <c r="Z26" s="622"/>
    </row>
    <row r="27" spans="6:81" ht="12.75">
      <c r="F27" s="657" t="s">
        <v>792</v>
      </c>
      <c r="G27" s="669">
        <f>_xll.BTH($D$4,$F$28:$F$29,$D$5,$D$6,"MOM","MomPeriod=10","MAPeriod=5","Current=PX_LAST","Previous=PX_LAST","Dir=H","Dts=S","cols=22;rows=3")</f>
        <v>43550</v>
      </c>
      <c r="H27" s="669">
        <v>43551</v>
      </c>
      <c r="I27" s="669">
        <v>43552</v>
      </c>
      <c r="J27" s="669">
        <v>43553</v>
      </c>
      <c r="K27" s="669">
        <v>43556</v>
      </c>
      <c r="L27" s="669">
        <v>43557</v>
      </c>
      <c r="M27" s="669">
        <v>43558</v>
      </c>
      <c r="N27" s="669">
        <v>43559</v>
      </c>
      <c r="O27" s="669">
        <v>43560</v>
      </c>
      <c r="P27" s="669">
        <v>43563</v>
      </c>
      <c r="Q27" s="669">
        <v>43564</v>
      </c>
      <c r="R27" s="669">
        <v>43565</v>
      </c>
      <c r="S27" s="669">
        <v>43566</v>
      </c>
      <c r="T27" s="669">
        <v>43567</v>
      </c>
      <c r="U27" s="669">
        <v>43570</v>
      </c>
      <c r="V27" s="669">
        <v>43571</v>
      </c>
      <c r="W27" s="669">
        <v>43572</v>
      </c>
      <c r="X27" s="669">
        <v>43573</v>
      </c>
      <c r="Y27" s="669">
        <v>43577</v>
      </c>
      <c r="Z27" s="669">
        <v>43578</v>
      </c>
      <c r="AA27" s="694">
        <v>43579</v>
      </c>
      <c r="AB27" s="694">
        <v>43580</v>
      </c>
      <c r="AC27" s="694"/>
      <c r="AD27" s="694"/>
      <c r="AE27" s="694"/>
      <c r="AF27" s="694"/>
      <c r="AG27" s="694"/>
      <c r="AH27" s="694"/>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694"/>
      <c r="BK27" s="694"/>
      <c r="BL27" s="694"/>
      <c r="BM27" s="694"/>
      <c r="BN27" s="694"/>
      <c r="BO27" s="694"/>
      <c r="BP27" s="694"/>
      <c r="BQ27" s="694"/>
      <c r="BR27" s="694"/>
      <c r="BS27" s="694"/>
      <c r="BT27" s="694"/>
      <c r="BU27" s="694"/>
      <c r="BV27" s="694"/>
      <c r="BW27" s="694"/>
      <c r="BX27" s="694"/>
      <c r="BY27" s="694"/>
      <c r="BZ27" s="694"/>
      <c r="CA27" s="694"/>
      <c r="CB27" s="694"/>
      <c r="CC27" s="694"/>
    </row>
    <row r="28" spans="6:81" ht="12.75">
      <c r="F28" s="657" t="s">
        <v>823</v>
      </c>
      <c r="G28" s="622">
        <v>5.2800000000000011</v>
      </c>
      <c r="H28" s="622">
        <v>4.3599999999999852</v>
      </c>
      <c r="I28" s="622">
        <v>2.7700000000000102</v>
      </c>
      <c r="J28" s="622">
        <v>3.4800000000000182</v>
      </c>
      <c r="K28" s="622">
        <v>2.5199999999999818</v>
      </c>
      <c r="L28" s="622">
        <v>-0.95000000000001705</v>
      </c>
      <c r="M28" s="622">
        <v>-2.2999999999999829</v>
      </c>
      <c r="N28" s="622">
        <v>-4.289999999999992</v>
      </c>
      <c r="O28" s="622">
        <v>0.80000000000001137</v>
      </c>
      <c r="P28" s="622">
        <v>0.5700000000000216</v>
      </c>
      <c r="Q28" s="622">
        <v>-0.11000000000001364</v>
      </c>
      <c r="R28" s="622">
        <v>-6.0000000000002274E-2</v>
      </c>
      <c r="S28" s="622">
        <v>-0.78999999999999204</v>
      </c>
      <c r="T28" s="622">
        <v>-4.8500000000000227</v>
      </c>
      <c r="U28" s="622">
        <v>-2.6800000000000068</v>
      </c>
      <c r="V28" s="622">
        <v>-6.1299999999999955</v>
      </c>
      <c r="W28" s="622">
        <v>-14.599999999999994</v>
      </c>
      <c r="X28" s="622">
        <v>-13.450000000000017</v>
      </c>
      <c r="Y28" s="622">
        <v>-13.080000000000013</v>
      </c>
      <c r="Z28" s="622">
        <v>-8.7800000000000011</v>
      </c>
      <c r="AA28">
        <v>-10.930000000000007</v>
      </c>
      <c r="AB28">
        <v>-9.1604999999999848</v>
      </c>
    </row>
    <row r="29" spans="6:81" ht="12.75">
      <c r="F29" s="657" t="s">
        <v>824</v>
      </c>
      <c r="G29" s="622">
        <v>7.6359999999999957</v>
      </c>
      <c r="H29" s="622">
        <v>6.7479999999999958</v>
      </c>
      <c r="I29" s="622">
        <v>5.113999999999999</v>
      </c>
      <c r="J29" s="622">
        <v>4.3680000000000003</v>
      </c>
      <c r="K29" s="622">
        <v>3.6819999999999995</v>
      </c>
      <c r="L29" s="622">
        <v>2.4359999999999955</v>
      </c>
      <c r="M29" s="622">
        <v>1.1040000000000021</v>
      </c>
      <c r="N29" s="622">
        <v>-0.30799999999999839</v>
      </c>
      <c r="O29" s="622">
        <v>-0.84399999999999975</v>
      </c>
      <c r="P29" s="622">
        <v>-1.2339999999999918</v>
      </c>
      <c r="Q29" s="622">
        <v>-1.0659999999999912</v>
      </c>
      <c r="R29" s="622">
        <v>-0.617999999999995</v>
      </c>
      <c r="S29" s="622">
        <v>8.2000000000004999E-2</v>
      </c>
      <c r="T29" s="622">
        <v>-1.0480000000000018</v>
      </c>
      <c r="U29" s="622">
        <v>-1.6980000000000075</v>
      </c>
      <c r="V29" s="622">
        <v>-2.9020000000000037</v>
      </c>
      <c r="W29" s="622">
        <v>-5.8100000000000023</v>
      </c>
      <c r="X29" s="622">
        <v>-8.3420000000000076</v>
      </c>
      <c r="Y29" s="622">
        <v>-9.9880000000000049</v>
      </c>
      <c r="Z29" s="622">
        <v>-11.208000000000004</v>
      </c>
      <c r="AA29">
        <v>-12.168000000000006</v>
      </c>
      <c r="AB29">
        <v>-11.080100000000005</v>
      </c>
    </row>
    <row r="30" spans="6:81" ht="12.75">
      <c r="F30" s="657"/>
      <c r="G30" s="622"/>
      <c r="H30" s="622"/>
      <c r="I30" s="622"/>
      <c r="J30" s="622"/>
      <c r="K30" s="622"/>
      <c r="L30" s="622"/>
      <c r="M30" s="622"/>
      <c r="N30" s="622"/>
      <c r="O30" s="622"/>
      <c r="P30" s="622"/>
      <c r="Q30" s="622"/>
      <c r="R30" s="622"/>
      <c r="S30" s="622"/>
      <c r="T30" s="622"/>
      <c r="U30" s="622"/>
      <c r="V30" s="622"/>
      <c r="W30" s="622"/>
      <c r="X30" s="622"/>
      <c r="Y30" s="622"/>
      <c r="Z30" s="622"/>
    </row>
    <row r="31" spans="6:81" ht="12.75">
      <c r="F31" s="657" t="s">
        <v>792</v>
      </c>
      <c r="G31" s="669">
        <f>_xll.BTH($D$4,$F$32,$D$5,$D$6,"RSI","TAPeriod=14","DSClose=PX_LAST","Dir=H","Dts=S","cols=22;rows=2")</f>
        <v>43550</v>
      </c>
      <c r="H31" s="669">
        <v>43551</v>
      </c>
      <c r="I31" s="669">
        <v>43552</v>
      </c>
      <c r="J31" s="669">
        <v>43553</v>
      </c>
      <c r="K31" s="669">
        <v>43556</v>
      </c>
      <c r="L31" s="669">
        <v>43557</v>
      </c>
      <c r="M31" s="669">
        <v>43558</v>
      </c>
      <c r="N31" s="669">
        <v>43559</v>
      </c>
      <c r="O31" s="669">
        <v>43560</v>
      </c>
      <c r="P31" s="669">
        <v>43563</v>
      </c>
      <c r="Q31" s="669">
        <v>43564</v>
      </c>
      <c r="R31" s="669">
        <v>43565</v>
      </c>
      <c r="S31" s="669">
        <v>43566</v>
      </c>
      <c r="T31" s="669">
        <v>43567</v>
      </c>
      <c r="U31" s="669">
        <v>43570</v>
      </c>
      <c r="V31" s="669">
        <v>43571</v>
      </c>
      <c r="W31" s="669">
        <v>43572</v>
      </c>
      <c r="X31" s="669">
        <v>43573</v>
      </c>
      <c r="Y31" s="669">
        <v>43577</v>
      </c>
      <c r="Z31" s="669">
        <v>43578</v>
      </c>
      <c r="AA31" s="694">
        <v>43579</v>
      </c>
      <c r="AB31" s="694">
        <v>43580</v>
      </c>
      <c r="AC31" s="694"/>
      <c r="AD31" s="694"/>
      <c r="AE31" s="694"/>
      <c r="AF31" s="694"/>
      <c r="AG31" s="694"/>
      <c r="AH31" s="694"/>
      <c r="AI31" s="694"/>
      <c r="AJ31" s="694"/>
      <c r="AK31" s="694"/>
      <c r="AL31" s="694"/>
      <c r="AM31" s="694"/>
      <c r="AN31" s="694"/>
      <c r="AO31" s="694"/>
      <c r="AP31" s="694"/>
      <c r="AQ31" s="694"/>
      <c r="AR31" s="694"/>
      <c r="AS31" s="694"/>
      <c r="AT31" s="694"/>
      <c r="AU31" s="694"/>
      <c r="AV31" s="694"/>
      <c r="AW31" s="694"/>
      <c r="AX31" s="694"/>
      <c r="AY31" s="694"/>
      <c r="AZ31" s="694"/>
      <c r="BA31" s="694"/>
      <c r="BB31" s="694"/>
      <c r="BC31" s="694"/>
      <c r="BD31" s="694"/>
      <c r="BE31" s="694"/>
      <c r="BF31" s="694"/>
      <c r="BG31" s="694"/>
      <c r="BH31" s="694"/>
      <c r="BI31" s="694"/>
      <c r="BJ31" s="694"/>
      <c r="BK31" s="694"/>
      <c r="BL31" s="694"/>
      <c r="BM31" s="694"/>
      <c r="BN31" s="694"/>
      <c r="BO31" s="694"/>
      <c r="BP31" s="694"/>
      <c r="BQ31" s="694"/>
      <c r="BR31" s="694"/>
      <c r="BS31" s="694"/>
      <c r="BT31" s="694"/>
      <c r="BU31" s="694"/>
      <c r="BV31" s="694"/>
      <c r="BW31" s="694"/>
      <c r="BX31" s="694"/>
      <c r="BY31" s="694"/>
      <c r="BZ31" s="694"/>
      <c r="CA31" s="694"/>
      <c r="CB31" s="694"/>
      <c r="CC31" s="694"/>
    </row>
    <row r="32" spans="6:81" ht="12.75">
      <c r="F32" s="657" t="s">
        <v>810</v>
      </c>
      <c r="G32" s="622">
        <v>66.080931337350989</v>
      </c>
      <c r="H32" s="622">
        <v>66.296084635594795</v>
      </c>
      <c r="I32" s="622">
        <v>65.995537851024764</v>
      </c>
      <c r="J32" s="622">
        <v>68.672105051005502</v>
      </c>
      <c r="K32" s="622">
        <v>63.23526476804475</v>
      </c>
      <c r="L32" s="622">
        <v>59.890953226663591</v>
      </c>
      <c r="M32" s="622">
        <v>58.704543291988088</v>
      </c>
      <c r="N32" s="622">
        <v>54.708093881202096</v>
      </c>
      <c r="O32" s="622">
        <v>58.798044851976364</v>
      </c>
      <c r="P32" s="622">
        <v>60.067131481170868</v>
      </c>
      <c r="Q32" s="622">
        <v>60.667295245385311</v>
      </c>
      <c r="R32" s="622">
        <v>61.132275114859837</v>
      </c>
      <c r="S32" s="622">
        <v>57.636080805935244</v>
      </c>
      <c r="T32" s="622">
        <v>47.939849446133785</v>
      </c>
      <c r="U32" s="622">
        <v>50.46997118861043</v>
      </c>
      <c r="V32" s="622">
        <v>38.654863726198577</v>
      </c>
      <c r="W32" s="622">
        <v>25.658355573847231</v>
      </c>
      <c r="X32" s="622">
        <v>25.719482065068533</v>
      </c>
      <c r="Y32" s="622">
        <v>31.483199324502465</v>
      </c>
      <c r="Z32" s="622">
        <v>43.426244474855302</v>
      </c>
      <c r="AA32">
        <v>40.393250965724164</v>
      </c>
      <c r="AB32">
        <v>44.60230176013534</v>
      </c>
    </row>
    <row r="33" spans="6:81" ht="12.75">
      <c r="F33" s="657"/>
      <c r="G33" s="622"/>
      <c r="H33" s="669"/>
      <c r="I33" s="669"/>
      <c r="J33" s="669"/>
      <c r="K33" s="669"/>
      <c r="L33" s="669"/>
      <c r="M33" s="669"/>
      <c r="N33" s="669"/>
      <c r="O33" s="669"/>
      <c r="P33" s="669"/>
      <c r="Q33" s="669"/>
      <c r="R33" s="669"/>
      <c r="S33" s="669"/>
      <c r="T33" s="669"/>
      <c r="U33" s="669"/>
      <c r="V33" s="669"/>
      <c r="W33" s="669"/>
      <c r="X33" s="669"/>
      <c r="Y33" s="669"/>
      <c r="Z33" s="669"/>
      <c r="AA33" s="694"/>
      <c r="AB33" s="694"/>
      <c r="AC33" s="694"/>
    </row>
    <row r="34" spans="6:81" ht="12.75">
      <c r="F34" s="657" t="s">
        <v>792</v>
      </c>
      <c r="G34" s="669">
        <f>_xll.BTH($D$4,$F$35,$D$5,$D$6,"SMAVG","TAPeriod=5","DSClose=PX_LAST","Dir=H","Dts=S","cols=22;rows=2")</f>
        <v>43550</v>
      </c>
      <c r="H34" s="669">
        <v>43551</v>
      </c>
      <c r="I34" s="669">
        <v>43552</v>
      </c>
      <c r="J34" s="669">
        <v>43553</v>
      </c>
      <c r="K34" s="669">
        <v>43556</v>
      </c>
      <c r="L34" s="669">
        <v>43557</v>
      </c>
      <c r="M34" s="669">
        <v>43558</v>
      </c>
      <c r="N34" s="669">
        <v>43559</v>
      </c>
      <c r="O34" s="669">
        <v>43560</v>
      </c>
      <c r="P34" s="669">
        <v>43563</v>
      </c>
      <c r="Q34" s="669">
        <v>43564</v>
      </c>
      <c r="R34" s="669">
        <v>43565</v>
      </c>
      <c r="S34" s="669">
        <v>43566</v>
      </c>
      <c r="T34" s="669">
        <v>43567</v>
      </c>
      <c r="U34" s="669">
        <v>43570</v>
      </c>
      <c r="V34" s="669">
        <v>43571</v>
      </c>
      <c r="W34" s="669">
        <v>43572</v>
      </c>
      <c r="X34" s="669">
        <v>43573</v>
      </c>
      <c r="Y34" s="669">
        <v>43577</v>
      </c>
      <c r="Z34" s="669">
        <v>43578</v>
      </c>
      <c r="AA34" s="694">
        <v>43579</v>
      </c>
      <c r="AB34" s="694">
        <v>43580</v>
      </c>
      <c r="AC34" s="694"/>
      <c r="AD34" s="694"/>
      <c r="AE34" s="694"/>
      <c r="AF34" s="694"/>
      <c r="AG34" s="694"/>
      <c r="AH34" s="694"/>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c r="BH34" s="694"/>
      <c r="BI34" s="694"/>
      <c r="BJ34" s="694"/>
      <c r="BK34" s="694"/>
      <c r="BL34" s="694"/>
      <c r="BM34" s="694"/>
      <c r="BN34" s="694"/>
      <c r="BO34" s="694"/>
      <c r="BP34" s="694"/>
      <c r="BQ34" s="694"/>
      <c r="BR34" s="694"/>
      <c r="BS34" s="694"/>
      <c r="BT34" s="694"/>
      <c r="BU34" s="694"/>
      <c r="BV34" s="694"/>
      <c r="BW34" s="694"/>
      <c r="BX34" s="694"/>
      <c r="BY34" s="694"/>
      <c r="BZ34" s="694"/>
      <c r="CA34" s="694"/>
      <c r="CB34" s="694"/>
      <c r="CC34" s="694"/>
    </row>
    <row r="35" spans="6:81" ht="12.75">
      <c r="F35" s="657" t="s">
        <v>811</v>
      </c>
      <c r="G35" s="622">
        <v>196.166</v>
      </c>
      <c r="H35" s="622">
        <v>195.97800000000001</v>
      </c>
      <c r="I35" s="622">
        <v>195.60200000000003</v>
      </c>
      <c r="J35" s="622">
        <v>196.21800000000002</v>
      </c>
      <c r="K35" s="622">
        <v>196.404</v>
      </c>
      <c r="L35" s="622">
        <v>196.22200000000001</v>
      </c>
      <c r="M35" s="622">
        <v>195.95</v>
      </c>
      <c r="N35" s="622">
        <v>195.46800000000002</v>
      </c>
      <c r="O35" s="622">
        <v>195.012</v>
      </c>
      <c r="P35" s="622">
        <v>194.94</v>
      </c>
      <c r="Q35" s="622">
        <v>195.1</v>
      </c>
      <c r="R35" s="622">
        <v>195.36</v>
      </c>
      <c r="S35" s="622">
        <v>195.68400000000003</v>
      </c>
      <c r="T35" s="622">
        <v>195.17000000000002</v>
      </c>
      <c r="U35" s="622">
        <v>194.70599999999999</v>
      </c>
      <c r="V35" s="622">
        <v>193.32</v>
      </c>
      <c r="W35" s="622">
        <v>190.14</v>
      </c>
      <c r="X35" s="622">
        <v>187.126</v>
      </c>
      <c r="Y35" s="622">
        <v>185.024</v>
      </c>
      <c r="Z35" s="622">
        <v>183.732</v>
      </c>
      <c r="AA35">
        <v>182.93199999999999</v>
      </c>
      <c r="AB35">
        <v>184.2799</v>
      </c>
    </row>
    <row r="36" spans="6:81" ht="12.75">
      <c r="F36" s="657"/>
      <c r="G36" s="622"/>
      <c r="H36" s="622"/>
      <c r="I36" s="622"/>
      <c r="J36" s="622"/>
      <c r="K36" s="622"/>
      <c r="L36" s="622"/>
      <c r="M36" s="622"/>
      <c r="N36" s="622"/>
      <c r="O36" s="622"/>
      <c r="P36" s="622"/>
      <c r="Q36" s="622"/>
      <c r="R36" s="622"/>
      <c r="S36" s="622"/>
      <c r="T36" s="622"/>
      <c r="U36" s="622"/>
      <c r="V36" s="622"/>
      <c r="W36" s="622"/>
      <c r="X36" s="622"/>
      <c r="Y36" s="622"/>
      <c r="Z36" s="622"/>
    </row>
    <row r="37" spans="6:81" ht="12.75">
      <c r="F37" s="657" t="s">
        <v>792</v>
      </c>
      <c r="G37" s="669">
        <f>_xll.BTH($D$4,$F$38:$F$41,$D$5,$D$6,"TAS","PeriodK=20","PeriodD=5","PeriodDS=5","PeriodDSS=3","DSHigh=PX_HIGH","DSLow=PX_LOW","DSClose=PX_LAST","Dir=H","Dts=S","cols=22;rows=5")</f>
        <v>43550</v>
      </c>
      <c r="H37" s="669">
        <v>43551</v>
      </c>
      <c r="I37" s="669">
        <v>43552</v>
      </c>
      <c r="J37" s="669">
        <v>43553</v>
      </c>
      <c r="K37" s="669">
        <v>43556</v>
      </c>
      <c r="L37" s="669">
        <v>43557</v>
      </c>
      <c r="M37" s="669">
        <v>43558</v>
      </c>
      <c r="N37" s="669">
        <v>43559</v>
      </c>
      <c r="O37" s="669">
        <v>43560</v>
      </c>
      <c r="P37" s="669">
        <v>43563</v>
      </c>
      <c r="Q37" s="669">
        <v>43564</v>
      </c>
      <c r="R37" s="669">
        <v>43565</v>
      </c>
      <c r="S37" s="669">
        <v>43566</v>
      </c>
      <c r="T37" s="669">
        <v>43567</v>
      </c>
      <c r="U37" s="669">
        <v>43570</v>
      </c>
      <c r="V37" s="669">
        <v>43571</v>
      </c>
      <c r="W37" s="669">
        <v>43572</v>
      </c>
      <c r="X37" s="669">
        <v>43573</v>
      </c>
      <c r="Y37" s="669">
        <v>43577</v>
      </c>
      <c r="Z37" s="669">
        <v>43578</v>
      </c>
      <c r="AA37" s="694">
        <v>43579</v>
      </c>
      <c r="AB37" s="694">
        <v>43580</v>
      </c>
      <c r="AC37" s="694"/>
      <c r="AD37" s="694"/>
      <c r="AE37" s="694"/>
      <c r="AF37" s="694"/>
      <c r="AG37" s="694"/>
      <c r="AH37" s="694"/>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c r="BH37" s="694"/>
      <c r="BI37" s="694"/>
      <c r="BJ37" s="694"/>
      <c r="BK37" s="694"/>
      <c r="BL37" s="694"/>
      <c r="BM37" s="694"/>
      <c r="BN37" s="694"/>
      <c r="BO37" s="694"/>
      <c r="BP37" s="694"/>
      <c r="BQ37" s="694"/>
      <c r="BR37" s="694"/>
      <c r="BS37" s="694"/>
      <c r="BT37" s="694"/>
      <c r="BU37" s="694"/>
      <c r="BV37" s="694"/>
      <c r="BW37" s="694"/>
      <c r="BX37" s="694"/>
      <c r="BY37" s="694"/>
      <c r="BZ37" s="694"/>
      <c r="CA37" s="694"/>
      <c r="CB37" s="694"/>
      <c r="CC37" s="694"/>
    </row>
    <row r="38" spans="6:81" ht="12.75">
      <c r="F38" s="657" t="s">
        <v>813</v>
      </c>
      <c r="G38" s="622">
        <v>81.484049930651949</v>
      </c>
      <c r="H38" s="622">
        <v>82.111539810592689</v>
      </c>
      <c r="I38" s="622">
        <v>81.550333216415311</v>
      </c>
      <c r="J38" s="622">
        <v>91.371448614521285</v>
      </c>
      <c r="K38" s="622">
        <v>75.577987626180374</v>
      </c>
      <c r="L38" s="622">
        <v>69.521328557473069</v>
      </c>
      <c r="M38" s="622">
        <v>67.372191468577043</v>
      </c>
      <c r="N38" s="622">
        <v>60.0130250732661</v>
      </c>
      <c r="O38" s="622">
        <v>63.383637807784091</v>
      </c>
      <c r="P38" s="622">
        <v>60.931558935361288</v>
      </c>
      <c r="Q38" s="622">
        <v>55.909090909090878</v>
      </c>
      <c r="R38" s="622">
        <v>57.502863688430558</v>
      </c>
      <c r="S38" s="622">
        <v>38.503401360544423</v>
      </c>
      <c r="T38" s="622">
        <v>2.3129251700678588</v>
      </c>
      <c r="U38" s="622">
        <v>13.691275167785012</v>
      </c>
      <c r="V38" s="622">
        <v>9.6153846153846558</v>
      </c>
      <c r="W38" s="622">
        <v>1.2090680100756128</v>
      </c>
      <c r="X38" s="622">
        <v>21.671331467412994</v>
      </c>
      <c r="Y38" s="622">
        <v>29.268292682926813</v>
      </c>
      <c r="Z38" s="622">
        <v>48.460615753698555</v>
      </c>
      <c r="AA38">
        <v>40.783686525389811</v>
      </c>
      <c r="AB38">
        <v>48.53858456617354</v>
      </c>
    </row>
    <row r="39" spans="6:81" ht="12.75">
      <c r="F39" s="657" t="s">
        <v>814</v>
      </c>
      <c r="G39" s="622">
        <v>82.226803122712369</v>
      </c>
      <c r="H39" s="622">
        <v>80.859131675084882</v>
      </c>
      <c r="I39" s="622">
        <v>78.198711015691202</v>
      </c>
      <c r="J39" s="622">
        <v>82.389267039213166</v>
      </c>
      <c r="K39" s="622">
        <v>82.419071839672327</v>
      </c>
      <c r="L39" s="622">
        <v>80.02652756503656</v>
      </c>
      <c r="M39" s="622">
        <v>77.07865789663343</v>
      </c>
      <c r="N39" s="622">
        <v>72.771196268003578</v>
      </c>
      <c r="O39" s="622">
        <v>67.173634106656138</v>
      </c>
      <c r="P39" s="622">
        <v>64.244348368492325</v>
      </c>
      <c r="Q39" s="622">
        <v>61.521900838815888</v>
      </c>
      <c r="R39" s="622">
        <v>59.548035282786579</v>
      </c>
      <c r="S39" s="622">
        <v>55.246110540242256</v>
      </c>
      <c r="T39" s="622">
        <v>43.031968012699004</v>
      </c>
      <c r="U39" s="622">
        <v>33.583911259183751</v>
      </c>
      <c r="V39" s="622">
        <v>24.325170000442501</v>
      </c>
      <c r="W39" s="622">
        <v>13.066410864771512</v>
      </c>
      <c r="X39" s="622">
        <v>9.699996886145227</v>
      </c>
      <c r="Y39" s="622">
        <v>15.091070388717018</v>
      </c>
      <c r="Z39" s="622">
        <v>22.044938505899729</v>
      </c>
      <c r="AA39">
        <v>28.278598887900756</v>
      </c>
      <c r="AB39">
        <v>37.74450219912034</v>
      </c>
    </row>
    <row r="40" spans="6:81" ht="12.75">
      <c r="F40" s="657" t="s">
        <v>815</v>
      </c>
      <c r="G40" s="622">
        <v>88.560741610856269</v>
      </c>
      <c r="H40" s="622">
        <v>85.969962567351729</v>
      </c>
      <c r="I40" s="622">
        <v>83.053001931433116</v>
      </c>
      <c r="J40" s="622">
        <v>81.871153406293445</v>
      </c>
      <c r="K40" s="622">
        <v>81.218596938474775</v>
      </c>
      <c r="L40" s="622">
        <v>80.778541826939644</v>
      </c>
      <c r="M40" s="622">
        <v>80.022447071249331</v>
      </c>
      <c r="N40" s="622">
        <v>78.936944121711818</v>
      </c>
      <c r="O40" s="622">
        <v>75.893817535200412</v>
      </c>
      <c r="P40" s="622">
        <v>72.258872840964415</v>
      </c>
      <c r="Q40" s="622">
        <v>68.557947495720271</v>
      </c>
      <c r="R40" s="622">
        <v>65.051822972950902</v>
      </c>
      <c r="S40" s="622">
        <v>61.546805827398636</v>
      </c>
      <c r="T40" s="622">
        <v>56.718472608607208</v>
      </c>
      <c r="U40" s="622">
        <v>50.586385186745503</v>
      </c>
      <c r="V40" s="622">
        <v>43.147039019070817</v>
      </c>
      <c r="W40" s="622">
        <v>33.850714135467804</v>
      </c>
      <c r="X40" s="622">
        <v>24.7414914046484</v>
      </c>
      <c r="Y40" s="622">
        <v>19.153311879852001</v>
      </c>
      <c r="Z40" s="622">
        <v>16.8455173291952</v>
      </c>
      <c r="AA40">
        <v>17.63620310668685</v>
      </c>
      <c r="AB40">
        <v>22.571821373556617</v>
      </c>
    </row>
    <row r="41" spans="6:81" ht="12.75">
      <c r="F41" s="657" t="s">
        <v>816</v>
      </c>
      <c r="G41" s="622">
        <v>90.32495787667564</v>
      </c>
      <c r="H41" s="622">
        <v>88.455450760378611</v>
      </c>
      <c r="I41" s="622">
        <v>85.861235369880376</v>
      </c>
      <c r="J41" s="622">
        <v>83.631372635026096</v>
      </c>
      <c r="K41" s="622">
        <v>82.047584092067112</v>
      </c>
      <c r="L41" s="622">
        <v>81.289430723902626</v>
      </c>
      <c r="M41" s="622">
        <v>80.673195278887903</v>
      </c>
      <c r="N41" s="622">
        <v>79.912644339966931</v>
      </c>
      <c r="O41" s="622">
        <v>78.284402909387182</v>
      </c>
      <c r="P41" s="622">
        <v>75.696544832625548</v>
      </c>
      <c r="Q41" s="622">
        <v>72.236879290628366</v>
      </c>
      <c r="R41" s="622">
        <v>68.622881103211853</v>
      </c>
      <c r="S41" s="622">
        <v>65.052192098689929</v>
      </c>
      <c r="T41" s="622">
        <v>61.105700469652248</v>
      </c>
      <c r="U41" s="622">
        <v>56.283887874250446</v>
      </c>
      <c r="V41" s="622">
        <v>50.150632271474507</v>
      </c>
      <c r="W41" s="622">
        <v>42.528046113761377</v>
      </c>
      <c r="X41" s="622">
        <v>33.913081519729005</v>
      </c>
      <c r="Y41" s="622">
        <v>25.91517247332273</v>
      </c>
      <c r="Z41" s="622">
        <v>20.246773537898534</v>
      </c>
      <c r="AA41">
        <v>17.878344105244683</v>
      </c>
      <c r="AB41">
        <v>19.01784726981289</v>
      </c>
    </row>
    <row r="42" spans="6:81" ht="12.75">
      <c r="F42" s="657"/>
      <c r="G42" s="622"/>
      <c r="H42" s="622"/>
      <c r="I42" s="622"/>
      <c r="J42" s="622"/>
      <c r="K42" s="622"/>
      <c r="L42" s="622"/>
      <c r="M42" s="622"/>
      <c r="N42" s="622"/>
      <c r="O42" s="622"/>
      <c r="P42" s="622"/>
      <c r="Q42" s="622"/>
      <c r="R42" s="622"/>
      <c r="S42" s="622"/>
      <c r="T42" s="622"/>
      <c r="U42" s="622"/>
      <c r="V42" s="622"/>
      <c r="W42" s="622"/>
      <c r="X42" s="622"/>
      <c r="Y42" s="622"/>
      <c r="Z42" s="622"/>
    </row>
    <row r="43" spans="6:81" ht="12.75">
      <c r="F43" s="657" t="s">
        <v>792</v>
      </c>
      <c r="G43" s="669">
        <f>_xll.BTH($D$4,$F$44,$D$5,$D$6,"VMAVG","TAPeriod=20","DSClose=PX_LAST","Dir=H","Dts=S","cols=22;rows=2")</f>
        <v>43550</v>
      </c>
      <c r="H43" s="669">
        <v>43551</v>
      </c>
      <c r="I43" s="669">
        <v>43552</v>
      </c>
      <c r="J43" s="669">
        <v>43553</v>
      </c>
      <c r="K43" s="669">
        <v>43556</v>
      </c>
      <c r="L43" s="669">
        <v>43557</v>
      </c>
      <c r="M43" s="669">
        <v>43558</v>
      </c>
      <c r="N43" s="669">
        <v>43559</v>
      </c>
      <c r="O43" s="669">
        <v>43560</v>
      </c>
      <c r="P43" s="669">
        <v>43563</v>
      </c>
      <c r="Q43" s="669">
        <v>43564</v>
      </c>
      <c r="R43" s="669">
        <v>43565</v>
      </c>
      <c r="S43" s="669">
        <v>43566</v>
      </c>
      <c r="T43" s="669">
        <v>43567</v>
      </c>
      <c r="U43" s="669">
        <v>43570</v>
      </c>
      <c r="V43" s="669">
        <v>43571</v>
      </c>
      <c r="W43" s="669">
        <v>43572</v>
      </c>
      <c r="X43" s="669">
        <v>43573</v>
      </c>
      <c r="Y43" s="669">
        <v>43577</v>
      </c>
      <c r="Z43" s="669">
        <v>43578</v>
      </c>
      <c r="AA43" s="694">
        <v>43579</v>
      </c>
      <c r="AB43" s="694">
        <v>43580</v>
      </c>
      <c r="AC43" s="694"/>
      <c r="AD43" s="694"/>
      <c r="AE43" s="694"/>
      <c r="AF43" s="694"/>
      <c r="AG43" s="694"/>
      <c r="AH43" s="694"/>
      <c r="AI43" s="694"/>
      <c r="AJ43" s="694"/>
      <c r="AK43" s="694"/>
      <c r="AL43" s="694"/>
      <c r="AM43" s="694"/>
      <c r="AN43" s="694"/>
      <c r="AO43" s="694"/>
      <c r="AP43" s="694"/>
      <c r="AQ43" s="694"/>
      <c r="AR43" s="694"/>
      <c r="AS43" s="694"/>
      <c r="AT43" s="694"/>
      <c r="AU43" s="694"/>
      <c r="AV43" s="694"/>
      <c r="AW43" s="694"/>
      <c r="AX43" s="694"/>
      <c r="AY43" s="694"/>
      <c r="AZ43" s="694"/>
      <c r="BA43" s="694"/>
      <c r="BB43" s="694"/>
      <c r="BC43" s="694"/>
      <c r="BD43" s="694"/>
      <c r="BE43" s="694"/>
      <c r="BF43" s="694"/>
      <c r="BG43" s="694"/>
      <c r="BH43" s="694"/>
      <c r="BI43" s="694"/>
      <c r="BJ43" s="694"/>
      <c r="BK43" s="694"/>
      <c r="BL43" s="694"/>
      <c r="BM43" s="694"/>
      <c r="BN43" s="694"/>
      <c r="BO43" s="694"/>
      <c r="BP43" s="694"/>
      <c r="BQ43" s="694"/>
      <c r="BR43" s="694"/>
      <c r="BS43" s="694"/>
      <c r="BT43" s="694"/>
      <c r="BU43" s="694"/>
      <c r="BV43" s="694"/>
      <c r="BW43" s="694"/>
      <c r="BX43" s="694"/>
      <c r="BY43" s="694"/>
      <c r="BZ43" s="694"/>
      <c r="CA43" s="694"/>
      <c r="CB43" s="694"/>
      <c r="CC43" s="694"/>
    </row>
    <row r="44" spans="6:81" ht="12.75">
      <c r="F44" s="657" t="s">
        <v>818</v>
      </c>
      <c r="G44" s="622">
        <v>189.92479631775998</v>
      </c>
      <c r="H44" s="622">
        <v>190.46950849605332</v>
      </c>
      <c r="I44" s="622">
        <v>191.02893520315627</v>
      </c>
      <c r="J44" s="622">
        <v>191.92438486469609</v>
      </c>
      <c r="K44" s="622">
        <v>192.49220231085582</v>
      </c>
      <c r="L44" s="622">
        <v>192.79572031196102</v>
      </c>
      <c r="M44" s="622">
        <v>193.01121667397808</v>
      </c>
      <c r="N44" s="622">
        <v>193.0864953004737</v>
      </c>
      <c r="O44" s="622">
        <v>193.28592183496369</v>
      </c>
      <c r="P44" s="622">
        <v>193.4426214640489</v>
      </c>
      <c r="Q44" s="622">
        <v>193.57825611812731</v>
      </c>
      <c r="R44" s="622">
        <v>193.71479318626666</v>
      </c>
      <c r="S44" s="622">
        <v>193.78153882963088</v>
      </c>
      <c r="T44" s="622">
        <v>193.7324787833964</v>
      </c>
      <c r="U44" s="622">
        <v>193.71776162457445</v>
      </c>
      <c r="V44" s="622">
        <v>193.5140059558322</v>
      </c>
      <c r="W44" s="622">
        <v>192.67828090725166</v>
      </c>
      <c r="X44" s="622">
        <v>191.48812886106589</v>
      </c>
      <c r="Y44" s="622">
        <v>190.58713883786373</v>
      </c>
      <c r="Z44" s="622">
        <v>190.23615645927907</v>
      </c>
      <c r="AA44">
        <v>189.79161914054694</v>
      </c>
      <c r="AB44">
        <v>189.48797969968084</v>
      </c>
    </row>
    <row r="45" spans="6:81" ht="12.75">
      <c r="F45" s="657"/>
      <c r="G45" s="622"/>
      <c r="H45" s="622"/>
      <c r="I45" s="622"/>
      <c r="J45" s="622"/>
      <c r="K45" s="622"/>
      <c r="L45" s="622"/>
      <c r="M45" s="622"/>
      <c r="N45" s="622"/>
      <c r="O45" s="622"/>
      <c r="P45" s="622"/>
      <c r="Q45" s="622"/>
      <c r="R45" s="622"/>
      <c r="S45" s="622"/>
      <c r="T45" s="622"/>
      <c r="U45" s="622"/>
      <c r="V45" s="622"/>
      <c r="W45" s="622"/>
      <c r="X45" s="622"/>
      <c r="Y45" s="622"/>
      <c r="Z45" s="622"/>
    </row>
    <row r="46" spans="6:81" ht="12.75">
      <c r="F46" s="657" t="s">
        <v>792</v>
      </c>
      <c r="G46" s="669">
        <f>_xll.BTH($D$4,$F$47,$D$5,$D$6,"WMAVG","TAPeriod=5","DSClose=PX_LAST","Dir=H","Dts=S","cols=22;rows=2")</f>
        <v>43550</v>
      </c>
      <c r="H46" s="669">
        <v>43551</v>
      </c>
      <c r="I46" s="669">
        <v>43552</v>
      </c>
      <c r="J46" s="669">
        <v>43553</v>
      </c>
      <c r="K46" s="669">
        <v>43556</v>
      </c>
      <c r="L46" s="669">
        <v>43557</v>
      </c>
      <c r="M46" s="669">
        <v>43558</v>
      </c>
      <c r="N46" s="669">
        <v>43559</v>
      </c>
      <c r="O46" s="669">
        <v>43560</v>
      </c>
      <c r="P46" s="669">
        <v>43563</v>
      </c>
      <c r="Q46" s="669">
        <v>43564</v>
      </c>
      <c r="R46" s="669">
        <v>43565</v>
      </c>
      <c r="S46" s="669">
        <v>43566</v>
      </c>
      <c r="T46" s="669">
        <v>43567</v>
      </c>
      <c r="U46" s="669">
        <v>43570</v>
      </c>
      <c r="V46" s="669">
        <v>43571</v>
      </c>
      <c r="W46" s="669">
        <v>43572</v>
      </c>
      <c r="X46" s="669">
        <v>43573</v>
      </c>
      <c r="Y46" s="669">
        <v>43577</v>
      </c>
      <c r="Z46" s="669">
        <v>43578</v>
      </c>
      <c r="AA46" s="694">
        <v>43579</v>
      </c>
      <c r="AB46" s="694">
        <v>43580</v>
      </c>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4"/>
      <c r="BW46" s="694"/>
      <c r="BX46" s="694"/>
      <c r="BY46" s="694"/>
      <c r="BZ46" s="694"/>
      <c r="CA46" s="694"/>
      <c r="CB46" s="694"/>
      <c r="CC46" s="694"/>
    </row>
    <row r="47" spans="6:81" ht="12.75">
      <c r="F47" s="657" t="s">
        <v>832</v>
      </c>
      <c r="G47" s="622">
        <v>195.83599999999998</v>
      </c>
      <c r="H47" s="622">
        <v>195.84733333333332</v>
      </c>
      <c r="I47" s="622">
        <v>195.89466666666667</v>
      </c>
      <c r="J47" s="622">
        <v>196.53399999999999</v>
      </c>
      <c r="K47" s="622">
        <v>196.49466666666666</v>
      </c>
      <c r="L47" s="622">
        <v>196.08333333333334</v>
      </c>
      <c r="M47" s="622">
        <v>195.62266666666667</v>
      </c>
      <c r="N47" s="622">
        <v>194.87600000000003</v>
      </c>
      <c r="O47" s="622">
        <v>194.8</v>
      </c>
      <c r="P47" s="622">
        <v>195.04266666666669</v>
      </c>
      <c r="Q47" s="622">
        <v>195.386</v>
      </c>
      <c r="R47" s="622">
        <v>195.73266666666666</v>
      </c>
      <c r="S47" s="622">
        <v>195.72266666666667</v>
      </c>
      <c r="T47" s="622">
        <v>194.71799999999999</v>
      </c>
      <c r="U47" s="622">
        <v>194.13466666666667</v>
      </c>
      <c r="V47" s="622">
        <v>192.24599999999998</v>
      </c>
      <c r="W47" s="622">
        <v>187.886</v>
      </c>
      <c r="X47" s="622">
        <v>184.5926666666667</v>
      </c>
      <c r="Y47" s="622">
        <v>182.93733333333333</v>
      </c>
      <c r="Z47" s="622">
        <v>183.58266666666668</v>
      </c>
      <c r="AA47">
        <v>184.01866666666666</v>
      </c>
      <c r="AB47">
        <v>185.36783333333332</v>
      </c>
    </row>
    <row r="48" spans="6:81" ht="12.75">
      <c r="F48" s="657"/>
      <c r="G48" s="622"/>
      <c r="H48" s="622"/>
      <c r="I48" s="622"/>
      <c r="J48" s="622"/>
      <c r="K48" s="622"/>
      <c r="L48" s="622"/>
      <c r="M48" s="622"/>
      <c r="N48" s="622"/>
      <c r="O48" s="622"/>
      <c r="P48" s="622"/>
      <c r="Q48" s="622"/>
      <c r="R48" s="622"/>
      <c r="S48" s="622"/>
      <c r="T48" s="622"/>
      <c r="U48" s="622"/>
      <c r="V48" s="622"/>
      <c r="W48" s="622"/>
      <c r="X48" s="622"/>
      <c r="Y48" s="622"/>
      <c r="Z48" s="622"/>
    </row>
    <row r="49" spans="6:81" ht="12.75">
      <c r="F49" s="657" t="s">
        <v>792</v>
      </c>
      <c r="G49" s="669">
        <f>_xll.BTH($D$4,$F$50,$D$5,$D$6,"WLPR","TAPeriod=14","DSHigh=PX_HIGH","DSLow=PX_LOW","DSClose=PX_LAST","Dir=H","Dts=S","cols=22;rows=2")</f>
        <v>43550</v>
      </c>
      <c r="H49" s="669">
        <v>43551</v>
      </c>
      <c r="I49" s="669">
        <v>43552</v>
      </c>
      <c r="J49" s="669">
        <v>43553</v>
      </c>
      <c r="K49" s="669">
        <v>43556</v>
      </c>
      <c r="L49" s="669">
        <v>43557</v>
      </c>
      <c r="M49" s="669">
        <v>43558</v>
      </c>
      <c r="N49" s="669">
        <v>43559</v>
      </c>
      <c r="O49" s="669">
        <v>43560</v>
      </c>
      <c r="P49" s="669">
        <v>43563</v>
      </c>
      <c r="Q49" s="669">
        <v>43564</v>
      </c>
      <c r="R49" s="669">
        <v>43565</v>
      </c>
      <c r="S49" s="669">
        <v>43566</v>
      </c>
      <c r="T49" s="669">
        <v>43567</v>
      </c>
      <c r="U49" s="669">
        <v>43570</v>
      </c>
      <c r="V49" s="669">
        <v>43571</v>
      </c>
      <c r="W49" s="669">
        <v>43572</v>
      </c>
      <c r="X49" s="669">
        <v>43573</v>
      </c>
      <c r="Y49" s="669">
        <v>43577</v>
      </c>
      <c r="Z49" s="669">
        <v>43578</v>
      </c>
      <c r="AA49" s="694">
        <v>43579</v>
      </c>
      <c r="AB49" s="694">
        <v>43580</v>
      </c>
      <c r="AC49" s="694"/>
      <c r="AD49" s="694"/>
      <c r="AE49" s="694"/>
      <c r="AF49" s="694"/>
      <c r="AG49" s="694"/>
      <c r="AH49" s="694"/>
      <c r="AI49" s="694"/>
      <c r="AJ49" s="694"/>
      <c r="AK49" s="694"/>
      <c r="AL49" s="694"/>
      <c r="AM49" s="694"/>
      <c r="AN49" s="694"/>
      <c r="AO49" s="694"/>
      <c r="AP49" s="694"/>
      <c r="AQ49" s="694"/>
      <c r="AR49" s="694"/>
      <c r="AS49" s="694"/>
      <c r="AT49" s="694"/>
      <c r="AU49" s="694"/>
      <c r="AV49" s="694"/>
      <c r="AW49" s="694"/>
      <c r="AX49" s="694"/>
      <c r="AY49" s="694"/>
      <c r="AZ49" s="694"/>
      <c r="BA49" s="694"/>
      <c r="BB49" s="694"/>
      <c r="BC49" s="694"/>
      <c r="BD49" s="694"/>
      <c r="BE49" s="694"/>
      <c r="BF49" s="694"/>
      <c r="BG49" s="694"/>
      <c r="BH49" s="694"/>
      <c r="BI49" s="694"/>
      <c r="BJ49" s="694"/>
      <c r="BK49" s="694"/>
      <c r="BL49" s="694"/>
      <c r="BM49" s="694"/>
      <c r="BN49" s="694"/>
      <c r="BO49" s="694"/>
      <c r="BP49" s="694"/>
      <c r="BQ49" s="694"/>
      <c r="BR49" s="694"/>
      <c r="BS49" s="694"/>
      <c r="BT49" s="694"/>
      <c r="BU49" s="694"/>
      <c r="BV49" s="694"/>
      <c r="BW49" s="694"/>
      <c r="BX49" s="694"/>
      <c r="BY49" s="694"/>
      <c r="BZ49" s="694"/>
      <c r="CA49" s="694"/>
      <c r="CB49" s="694"/>
      <c r="CC49" s="694"/>
    </row>
    <row r="50" spans="6:81" ht="12.75">
      <c r="F50" s="657" t="s">
        <v>819</v>
      </c>
      <c r="G50" s="622">
        <v>-18.730270080673368</v>
      </c>
      <c r="H50" s="622">
        <v>-17.888460189407311</v>
      </c>
      <c r="I50" s="622">
        <v>-22.889469103568263</v>
      </c>
      <c r="J50" s="622">
        <v>-13.05732484076424</v>
      </c>
      <c r="K50" s="622">
        <v>-42.613636363636445</v>
      </c>
      <c r="L50" s="622">
        <v>-53.608247422680556</v>
      </c>
      <c r="M50" s="622">
        <v>-68.163265306122383</v>
      </c>
      <c r="N50" s="622">
        <v>-83.537414965986272</v>
      </c>
      <c r="O50" s="622">
        <v>-70.167427701674129</v>
      </c>
      <c r="P50" s="622">
        <v>-58.2152974504247</v>
      </c>
      <c r="Q50" s="622">
        <v>-54.957507082152887</v>
      </c>
      <c r="R50" s="622">
        <v>-52.549575070821632</v>
      </c>
      <c r="S50" s="622">
        <v>-64.022662889518131</v>
      </c>
      <c r="T50" s="622">
        <v>-97.953615279672874</v>
      </c>
      <c r="U50" s="622">
        <v>-86.308724832214992</v>
      </c>
      <c r="V50" s="622">
        <v>-90.384615384615344</v>
      </c>
      <c r="W50" s="622">
        <v>-98.790931989924388</v>
      </c>
      <c r="X50" s="622">
        <v>-78.328668532587002</v>
      </c>
      <c r="Y50" s="622">
        <v>-68.16006959547633</v>
      </c>
      <c r="Z50" s="622">
        <v>-47.281426707264032</v>
      </c>
      <c r="AA50">
        <v>-55.632883862549001</v>
      </c>
      <c r="AB50">
        <v>-47.196607220530694</v>
      </c>
    </row>
    <row r="51" spans="6:81" ht="12.75">
      <c r="F51" s="657"/>
      <c r="G51" s="622"/>
      <c r="H51" s="622"/>
      <c r="I51" s="622"/>
      <c r="J51" s="622"/>
      <c r="K51" s="622"/>
      <c r="L51" s="622"/>
      <c r="M51" s="622"/>
      <c r="N51" s="622"/>
      <c r="O51" s="622"/>
      <c r="P51" s="622"/>
      <c r="Q51" s="622"/>
      <c r="R51" s="622"/>
      <c r="S51" s="622"/>
      <c r="T51" s="622"/>
      <c r="U51" s="622"/>
      <c r="V51" s="622"/>
      <c r="W51" s="622"/>
      <c r="X51" s="622"/>
      <c r="Y51" s="622"/>
      <c r="Z51" s="622"/>
    </row>
    <row r="52" spans="6:81" ht="12.75">
      <c r="F52" s="657" t="s">
        <v>792</v>
      </c>
      <c r="G52" s="669">
        <f>_xll.BTH($D$4,$F$53:$F$56,$D$5,$D$6,"DMI","TAPeriod=14","DSHigh=PX_HIGH","DSLow=PX_LOW","DSClose=PX_LAST","Dir=H","Dts=S","cols=22;rows=5")</f>
        <v>43550</v>
      </c>
      <c r="H52" s="669">
        <v>43551</v>
      </c>
      <c r="I52" s="669">
        <v>43552</v>
      </c>
      <c r="J52" s="669">
        <v>43553</v>
      </c>
      <c r="K52" s="669">
        <v>43556</v>
      </c>
      <c r="L52" s="669">
        <v>43557</v>
      </c>
      <c r="M52" s="669">
        <v>43558</v>
      </c>
      <c r="N52" s="669">
        <v>43559</v>
      </c>
      <c r="O52" s="669">
        <v>43560</v>
      </c>
      <c r="P52" s="669">
        <v>43563</v>
      </c>
      <c r="Q52" s="669">
        <v>43564</v>
      </c>
      <c r="R52" s="669">
        <v>43565</v>
      </c>
      <c r="S52" s="669">
        <v>43566</v>
      </c>
      <c r="T52" s="669">
        <v>43567</v>
      </c>
      <c r="U52" s="669">
        <v>43570</v>
      </c>
      <c r="V52" s="669">
        <v>43571</v>
      </c>
      <c r="W52" s="669">
        <v>43572</v>
      </c>
      <c r="X52" s="669">
        <v>43573</v>
      </c>
      <c r="Y52" s="669">
        <v>43577</v>
      </c>
      <c r="Z52" s="669">
        <v>43578</v>
      </c>
      <c r="AA52" s="694">
        <v>43579</v>
      </c>
      <c r="AB52" s="694">
        <v>43580</v>
      </c>
      <c r="AC52" s="694"/>
      <c r="AD52" s="694"/>
      <c r="AE52" s="694"/>
      <c r="AF52" s="694"/>
      <c r="AG52" s="694"/>
      <c r="AH52" s="694"/>
      <c r="AI52" s="694"/>
      <c r="AJ52" s="694"/>
      <c r="AK52" s="694"/>
      <c r="AL52" s="694"/>
      <c r="AM52" s="694"/>
      <c r="AN52" s="694"/>
      <c r="AO52" s="694"/>
      <c r="AP52" s="694"/>
      <c r="AQ52" s="694"/>
      <c r="AR52" s="694"/>
      <c r="AS52" s="694"/>
      <c r="AT52" s="694"/>
      <c r="AU52" s="694"/>
      <c r="AV52" s="694"/>
      <c r="AW52" s="694"/>
      <c r="AX52" s="694"/>
      <c r="AY52" s="694"/>
      <c r="AZ52" s="694"/>
      <c r="BA52" s="694"/>
      <c r="BB52" s="694"/>
      <c r="BC52" s="694"/>
      <c r="BD52" s="694"/>
      <c r="BE52" s="694"/>
      <c r="BF52" s="694"/>
      <c r="BG52" s="694"/>
      <c r="BH52" s="694"/>
      <c r="BI52" s="694"/>
      <c r="BJ52" s="694"/>
      <c r="BK52" s="694"/>
      <c r="BL52" s="694"/>
      <c r="BM52" s="694"/>
      <c r="BN52" s="694"/>
      <c r="BO52" s="694"/>
      <c r="BP52" s="694"/>
      <c r="BQ52" s="694"/>
      <c r="BR52" s="694"/>
      <c r="BS52" s="694"/>
      <c r="BT52" s="694"/>
      <c r="BU52" s="694"/>
      <c r="BV52" s="694"/>
      <c r="BW52" s="694"/>
      <c r="BX52" s="694"/>
      <c r="BY52" s="694"/>
      <c r="BZ52" s="694"/>
      <c r="CA52" s="694"/>
      <c r="CB52" s="694"/>
      <c r="CC52" s="694"/>
    </row>
    <row r="53" spans="6:81" ht="12.75">
      <c r="F53" s="657" t="s">
        <v>801</v>
      </c>
      <c r="G53" s="622">
        <v>33.705014246288819</v>
      </c>
      <c r="H53" s="622">
        <v>30.904136789614295</v>
      </c>
      <c r="I53" s="622">
        <v>29.217973314566542</v>
      </c>
      <c r="J53" s="622">
        <v>31.507815924536303</v>
      </c>
      <c r="K53" s="622">
        <v>33.035059135528932</v>
      </c>
      <c r="L53" s="622">
        <v>31.644767159109044</v>
      </c>
      <c r="M53" s="622">
        <v>29.313508352687212</v>
      </c>
      <c r="N53" s="622">
        <v>27.63942283772338</v>
      </c>
      <c r="O53" s="622">
        <v>27.414783224480271</v>
      </c>
      <c r="P53" s="622">
        <v>25.041067919107302</v>
      </c>
      <c r="Q53" s="622">
        <v>25.322172349456189</v>
      </c>
      <c r="R53" s="622">
        <v>26.339412821901409</v>
      </c>
      <c r="S53" s="622">
        <v>25.206792372286223</v>
      </c>
      <c r="T53" s="622">
        <v>22.621441991603689</v>
      </c>
      <c r="U53" s="622">
        <v>21.688104657073588</v>
      </c>
      <c r="V53" s="622">
        <v>17.972172485347716</v>
      </c>
      <c r="W53" s="622">
        <v>14.364749283509662</v>
      </c>
      <c r="X53" s="622">
        <v>12.64172724454076</v>
      </c>
      <c r="Y53" s="622">
        <v>17.231865715720101</v>
      </c>
      <c r="Z53" s="622">
        <v>22.441086151712518</v>
      </c>
      <c r="AA53">
        <v>22.437665574136325</v>
      </c>
      <c r="AB53">
        <v>20.742249567051822</v>
      </c>
    </row>
    <row r="54" spans="6:81" ht="12.75">
      <c r="F54" s="657" t="s">
        <v>802</v>
      </c>
      <c r="G54" s="622">
        <v>16.747285226872659</v>
      </c>
      <c r="H54" s="622">
        <v>19.989500377032403</v>
      </c>
      <c r="I54" s="622">
        <v>18.898851392087046</v>
      </c>
      <c r="J54" s="622">
        <v>17.878778293708848</v>
      </c>
      <c r="K54" s="622">
        <v>15.862646016328197</v>
      </c>
      <c r="L54" s="622">
        <v>16.849359320681216</v>
      </c>
      <c r="M54" s="622">
        <v>17.562034924803559</v>
      </c>
      <c r="N54" s="622">
        <v>18.6236013428679</v>
      </c>
      <c r="O54" s="622">
        <v>17.468535108545272</v>
      </c>
      <c r="P54" s="622">
        <v>18.593537289639393</v>
      </c>
      <c r="Q54" s="622">
        <v>17.499037240741139</v>
      </c>
      <c r="R54" s="622">
        <v>16.094953717855915</v>
      </c>
      <c r="S54" s="622">
        <v>15.761196468630187</v>
      </c>
      <c r="T54" s="622">
        <v>19.952251461201982</v>
      </c>
      <c r="U54" s="622">
        <v>19.459113909468009</v>
      </c>
      <c r="V54" s="622">
        <v>27.195587494394502</v>
      </c>
      <c r="W54" s="622">
        <v>38.407364867496433</v>
      </c>
      <c r="X54" s="622">
        <v>44.133224497400754</v>
      </c>
      <c r="Y54" s="622">
        <v>40.431936490053545</v>
      </c>
      <c r="Z54" s="622">
        <v>36.327748774998483</v>
      </c>
      <c r="AA54">
        <v>31.774872099261923</v>
      </c>
      <c r="AB54">
        <v>29.373925949041702</v>
      </c>
    </row>
    <row r="55" spans="6:81" ht="12.75">
      <c r="F55" s="657" t="s">
        <v>803</v>
      </c>
      <c r="G55" s="622">
        <v>34.488614230024339</v>
      </c>
      <c r="H55" s="622">
        <v>33.556997101356558</v>
      </c>
      <c r="I55" s="622">
        <v>32.691924053307901</v>
      </c>
      <c r="J55" s="622">
        <v>32.327974760799727</v>
      </c>
      <c r="K55" s="622">
        <v>32.527337803482347</v>
      </c>
      <c r="L55" s="622">
        <v>32.383220129928432</v>
      </c>
      <c r="M55" s="622">
        <v>31.860812936773932</v>
      </c>
      <c r="N55" s="622">
        <v>30.977053451958632</v>
      </c>
      <c r="O55" s="622">
        <v>30.347280593598459</v>
      </c>
      <c r="P55" s="622">
        <v>29.235059584504015</v>
      </c>
      <c r="Q55" s="622">
        <v>28.451791020243707</v>
      </c>
      <c r="R55" s="622">
        <v>28.143941117686044</v>
      </c>
      <c r="S55" s="622">
        <v>27.780519610901166</v>
      </c>
      <c r="T55" s="622">
        <v>26.244023716436615</v>
      </c>
      <c r="U55" s="622">
        <v>24.756387136267595</v>
      </c>
      <c r="V55" s="622">
        <v>24.446670250785445</v>
      </c>
      <c r="W55" s="622">
        <v>25.954716556838139</v>
      </c>
      <c r="X55" s="622">
        <v>28.062753758212864</v>
      </c>
      <c r="Y55" s="622">
        <v>28.932080997095689</v>
      </c>
      <c r="Z55" s="622">
        <v>28.553310720706136</v>
      </c>
      <c r="AA55">
        <v>27.744026681317155</v>
      </c>
      <c r="AB55">
        <v>26.992548644741678</v>
      </c>
    </row>
    <row r="56" spans="6:81" ht="12.75">
      <c r="F56" s="657" t="s">
        <v>804</v>
      </c>
      <c r="G56" s="622">
        <v>36.522044644765948</v>
      </c>
      <c r="H56" s="622">
        <v>35.371731309351247</v>
      </c>
      <c r="I56" s="622">
        <v>33.840438918409085</v>
      </c>
      <c r="J56" s="622">
        <v>32.993442486078585</v>
      </c>
      <c r="K56" s="622">
        <v>32.736165173279744</v>
      </c>
      <c r="L56" s="622">
        <v>32.560701762972784</v>
      </c>
      <c r="M56" s="622">
        <v>32.254759545275967</v>
      </c>
      <c r="N56" s="622">
        <v>31.952827814952581</v>
      </c>
      <c r="O56" s="622">
        <v>31.660167220179886</v>
      </c>
      <c r="P56" s="622">
        <v>31.333163624039869</v>
      </c>
      <c r="Q56" s="622">
        <v>31.422328154939478</v>
      </c>
      <c r="R56" s="622">
        <v>31.714859244331137</v>
      </c>
      <c r="S56" s="622">
        <v>31.487632388309049</v>
      </c>
      <c r="T56" s="622">
        <v>30.400057613542565</v>
      </c>
      <c r="U56" s="622">
        <v>29.622500683145965</v>
      </c>
      <c r="V56" s="622">
        <v>29.001833676071001</v>
      </c>
      <c r="W56" s="622">
        <v>29.323320305073018</v>
      </c>
      <c r="X56" s="622">
        <v>30.195364259506295</v>
      </c>
      <c r="Y56" s="622">
        <v>30.729709400289018</v>
      </c>
      <c r="Z56" s="622">
        <v>30.468265425317284</v>
      </c>
      <c r="AA56">
        <v>29.802419809045546</v>
      </c>
      <c r="AB56">
        <v>28.984801048350157</v>
      </c>
    </row>
    <row r="57" spans="6:81" ht="12.75">
      <c r="F57" s="657"/>
      <c r="G57" s="622"/>
      <c r="H57" s="669"/>
      <c r="I57" s="669"/>
      <c r="J57" s="669"/>
      <c r="K57" s="669"/>
      <c r="L57" s="669"/>
      <c r="M57" s="669"/>
      <c r="N57" s="669"/>
      <c r="O57" s="669"/>
      <c r="P57" s="669"/>
      <c r="Q57" s="669"/>
      <c r="R57" s="669"/>
      <c r="S57" s="669"/>
      <c r="T57" s="669"/>
      <c r="U57" s="669"/>
      <c r="V57" s="669"/>
      <c r="W57" s="669"/>
      <c r="X57" s="669"/>
      <c r="Y57" s="669"/>
      <c r="Z57" s="669"/>
      <c r="AA57" s="694"/>
      <c r="AB57" s="694"/>
      <c r="AC57" s="694"/>
    </row>
    <row r="58" spans="6:81" ht="12.75">
      <c r="F58" s="657" t="s">
        <v>792</v>
      </c>
      <c r="G58" s="669">
        <f>_xll.BTH($D$4,$F$59,$D$5,$D$6,"TMAVG","TAPeriod=5","DSClose=PX_LAST","Dir=H","Dts=S","cols=22;rows=2")</f>
        <v>43550</v>
      </c>
      <c r="H58" s="669">
        <v>43551</v>
      </c>
      <c r="I58" s="669">
        <v>43552</v>
      </c>
      <c r="J58" s="669">
        <v>43553</v>
      </c>
      <c r="K58" s="669">
        <v>43556</v>
      </c>
      <c r="L58" s="669">
        <v>43557</v>
      </c>
      <c r="M58" s="669">
        <v>43558</v>
      </c>
      <c r="N58" s="669">
        <v>43559</v>
      </c>
      <c r="O58" s="669">
        <v>43560</v>
      </c>
      <c r="P58" s="669">
        <v>43563</v>
      </c>
      <c r="Q58" s="669">
        <v>43564</v>
      </c>
      <c r="R58" s="669">
        <v>43565</v>
      </c>
      <c r="S58" s="669">
        <v>43566</v>
      </c>
      <c r="T58" s="669">
        <v>43567</v>
      </c>
      <c r="U58" s="669">
        <v>43570</v>
      </c>
      <c r="V58" s="669">
        <v>43571</v>
      </c>
      <c r="W58" s="669">
        <v>43572</v>
      </c>
      <c r="X58" s="669">
        <v>43573</v>
      </c>
      <c r="Y58" s="669">
        <v>43577</v>
      </c>
      <c r="Z58" s="669">
        <v>43578</v>
      </c>
      <c r="AA58" s="694">
        <v>43579</v>
      </c>
      <c r="AB58" s="694">
        <v>43580</v>
      </c>
      <c r="AC58" s="694"/>
      <c r="AD58" s="694"/>
      <c r="AE58" s="694"/>
      <c r="AF58" s="694"/>
      <c r="AG58" s="694"/>
      <c r="AH58" s="694"/>
      <c r="AI58" s="694"/>
      <c r="AJ58" s="694"/>
      <c r="AK58" s="694"/>
      <c r="AL58" s="694"/>
      <c r="AM58" s="694"/>
      <c r="AN58" s="694"/>
      <c r="AO58" s="694"/>
      <c r="AP58" s="694"/>
      <c r="AQ58" s="694"/>
      <c r="AR58" s="694"/>
      <c r="AS58" s="694"/>
      <c r="AT58" s="694"/>
      <c r="AU58" s="694"/>
      <c r="AV58" s="694"/>
      <c r="AW58" s="694"/>
      <c r="AX58" s="694"/>
      <c r="AY58" s="694"/>
      <c r="AZ58" s="694"/>
      <c r="BA58" s="694"/>
      <c r="BB58" s="694"/>
      <c r="BC58" s="694"/>
      <c r="BD58" s="694"/>
      <c r="BE58" s="694"/>
      <c r="BF58" s="694"/>
      <c r="BG58" s="694"/>
      <c r="BH58" s="694"/>
      <c r="BI58" s="694"/>
      <c r="BJ58" s="694"/>
      <c r="BK58" s="694"/>
      <c r="BL58" s="694"/>
      <c r="BM58" s="694"/>
      <c r="BN58" s="694"/>
      <c r="BO58" s="694"/>
      <c r="BP58" s="694"/>
      <c r="BQ58" s="694"/>
      <c r="BR58" s="694"/>
      <c r="BS58" s="694"/>
      <c r="BT58" s="694"/>
      <c r="BU58" s="694"/>
      <c r="BV58" s="694"/>
      <c r="BW58" s="694"/>
      <c r="BX58" s="694"/>
      <c r="BY58" s="694"/>
      <c r="BZ58" s="694"/>
      <c r="CA58" s="694"/>
      <c r="CB58" s="694"/>
      <c r="CC58" s="694"/>
    </row>
    <row r="59" spans="6:81" ht="12.75">
      <c r="F59" s="657" t="s">
        <v>817</v>
      </c>
      <c r="G59" s="622">
        <v>195.87555555555554</v>
      </c>
      <c r="H59" s="622">
        <v>195.63888888888889</v>
      </c>
      <c r="I59" s="622">
        <v>195.72666666666666</v>
      </c>
      <c r="J59" s="622">
        <v>196.18777777777777</v>
      </c>
      <c r="K59" s="622">
        <v>196.44222222222223</v>
      </c>
      <c r="L59" s="622">
        <v>196.48555555555558</v>
      </c>
      <c r="M59" s="622">
        <v>196.07111111111109</v>
      </c>
      <c r="N59" s="622">
        <v>195.40222222222224</v>
      </c>
      <c r="O59" s="622">
        <v>194.84666666666669</v>
      </c>
      <c r="P59" s="622">
        <v>194.6888888888889</v>
      </c>
      <c r="Q59" s="622">
        <v>195.04777777777778</v>
      </c>
      <c r="R59" s="622">
        <v>195.49888888888893</v>
      </c>
      <c r="S59" s="622">
        <v>195.80444444444444</v>
      </c>
      <c r="T59" s="622">
        <v>195.49222222222224</v>
      </c>
      <c r="U59" s="622">
        <v>194.77777777777777</v>
      </c>
      <c r="V59" s="622">
        <v>193.40999999999997</v>
      </c>
      <c r="W59" s="622">
        <v>191.02777777777774</v>
      </c>
      <c r="X59" s="622">
        <v>187.48555555555558</v>
      </c>
      <c r="Y59" s="622">
        <v>183.87777777777779</v>
      </c>
      <c r="Z59" s="622">
        <v>182.39777777777778</v>
      </c>
      <c r="AA59">
        <v>182.91111111111113</v>
      </c>
      <c r="AB59">
        <v>184.72438888888888</v>
      </c>
    </row>
    <row r="60" spans="6:81" ht="12.75">
      <c r="F60" s="657"/>
      <c r="G60" s="622"/>
      <c r="H60" s="622"/>
      <c r="I60" s="622"/>
      <c r="J60" s="622"/>
      <c r="K60" s="622"/>
      <c r="L60" s="622"/>
      <c r="M60" s="622"/>
      <c r="N60" s="622"/>
      <c r="O60" s="622"/>
      <c r="P60" s="622"/>
      <c r="Q60" s="622"/>
      <c r="R60" s="622"/>
      <c r="S60" s="622"/>
      <c r="T60" s="622"/>
      <c r="U60" s="622"/>
      <c r="V60" s="622"/>
      <c r="W60" s="622"/>
      <c r="X60" s="622"/>
      <c r="Y60" s="622"/>
      <c r="Z60" s="622"/>
    </row>
    <row r="61" spans="6:81" ht="12.75">
      <c r="F61" s="657" t="s">
        <v>792</v>
      </c>
      <c r="G61" s="669">
        <f>_xll.BTH($D$4,$F$62:$F$64,$D$5,$D$6,"MACD","MAPeriod1=12","MAPeriod2=26","SIGPeriod=9","DSClose=PX_LAST","Dir=H","Dts=S","cols=22;rows=4")</f>
        <v>43550</v>
      </c>
      <c r="H61" s="669">
        <v>43551</v>
      </c>
      <c r="I61" s="669">
        <v>43552</v>
      </c>
      <c r="J61" s="669">
        <v>43553</v>
      </c>
      <c r="K61" s="669">
        <v>43556</v>
      </c>
      <c r="L61" s="669">
        <v>43557</v>
      </c>
      <c r="M61" s="669">
        <v>43558</v>
      </c>
      <c r="N61" s="669">
        <v>43559</v>
      </c>
      <c r="O61" s="669">
        <v>43560</v>
      </c>
      <c r="P61" s="669">
        <v>43563</v>
      </c>
      <c r="Q61" s="669">
        <v>43564</v>
      </c>
      <c r="R61" s="669">
        <v>43565</v>
      </c>
      <c r="S61" s="669">
        <v>43566</v>
      </c>
      <c r="T61" s="669">
        <v>43567</v>
      </c>
      <c r="U61" s="669">
        <v>43570</v>
      </c>
      <c r="V61" s="669">
        <v>43571</v>
      </c>
      <c r="W61" s="669">
        <v>43572</v>
      </c>
      <c r="X61" s="669">
        <v>43573</v>
      </c>
      <c r="Y61" s="669">
        <v>43577</v>
      </c>
      <c r="Z61" s="669">
        <v>43578</v>
      </c>
      <c r="AA61" s="694">
        <v>43579</v>
      </c>
      <c r="AB61" s="694">
        <v>43580</v>
      </c>
      <c r="AC61" s="694"/>
      <c r="AD61" s="694"/>
      <c r="AE61" s="694"/>
      <c r="AF61" s="694"/>
      <c r="AG61" s="694"/>
      <c r="AH61" s="694"/>
      <c r="AI61" s="694"/>
      <c r="AJ61" s="694"/>
      <c r="AK61" s="694"/>
      <c r="AL61" s="694"/>
      <c r="AM61" s="694"/>
      <c r="AN61" s="694"/>
      <c r="AO61" s="694"/>
      <c r="AP61" s="694"/>
      <c r="AQ61" s="694"/>
      <c r="AR61" s="694"/>
      <c r="AS61" s="694"/>
      <c r="AT61" s="694"/>
      <c r="AU61" s="694"/>
      <c r="AV61" s="694"/>
      <c r="AW61" s="694"/>
      <c r="AX61" s="694"/>
      <c r="AY61" s="694"/>
      <c r="AZ61" s="694"/>
      <c r="BA61" s="694"/>
      <c r="BB61" s="694"/>
      <c r="BC61" s="694"/>
      <c r="BD61" s="694"/>
      <c r="BE61" s="694"/>
      <c r="BF61" s="694"/>
      <c r="BG61" s="694"/>
      <c r="BH61" s="694"/>
      <c r="BI61" s="694"/>
      <c r="BJ61" s="694"/>
      <c r="BK61" s="694"/>
      <c r="BL61" s="694"/>
      <c r="BM61" s="694"/>
      <c r="BN61" s="694"/>
      <c r="BO61" s="694"/>
      <c r="BP61" s="694"/>
      <c r="BQ61" s="694"/>
      <c r="BR61" s="694"/>
      <c r="BS61" s="694"/>
      <c r="BT61" s="694"/>
      <c r="BU61" s="694"/>
      <c r="BV61" s="694"/>
      <c r="BW61" s="694"/>
      <c r="BX61" s="694"/>
      <c r="BY61" s="694"/>
      <c r="BZ61" s="694"/>
      <c r="CA61" s="694"/>
      <c r="CB61" s="694"/>
      <c r="CC61" s="694"/>
    </row>
    <row r="62" spans="6:81" ht="12.75">
      <c r="F62" s="657" t="s">
        <v>807</v>
      </c>
      <c r="G62" s="622">
        <v>3.7720429705375125</v>
      </c>
      <c r="H62" s="622">
        <v>3.6612518593391883</v>
      </c>
      <c r="I62" s="622">
        <v>3.5263442723964715</v>
      </c>
      <c r="J62" s="622">
        <v>3.4921420971861323</v>
      </c>
      <c r="K62" s="622">
        <v>3.3122726767542474</v>
      </c>
      <c r="L62" s="622">
        <v>3.0594146102990294</v>
      </c>
      <c r="M62" s="622">
        <v>2.8001165284860008</v>
      </c>
      <c r="N62" s="622">
        <v>2.4749101506724855</v>
      </c>
      <c r="O62" s="622">
        <v>2.3139660067938337</v>
      </c>
      <c r="P62" s="622">
        <v>2.2013862244753568</v>
      </c>
      <c r="Q62" s="622">
        <v>2.1064432471662542</v>
      </c>
      <c r="R62" s="622">
        <v>2.0216139259449619</v>
      </c>
      <c r="S62" s="622">
        <v>1.8674984870856122</v>
      </c>
      <c r="T62" s="622">
        <v>1.5132770066449837</v>
      </c>
      <c r="U62" s="622">
        <v>1.2783367925488278</v>
      </c>
      <c r="V62" s="622">
        <v>0.73029717418233986</v>
      </c>
      <c r="W62" s="622">
        <v>-0.40939537210687149</v>
      </c>
      <c r="X62" s="622">
        <v>-1.2960559668108829</v>
      </c>
      <c r="Y62" s="622">
        <v>-1.8243962507891069</v>
      </c>
      <c r="Z62" s="622">
        <v>-1.8346412453499568</v>
      </c>
      <c r="AA62">
        <v>-1.974922751113013</v>
      </c>
      <c r="AB62">
        <v>-1.9076057228519971</v>
      </c>
    </row>
    <row r="63" spans="6:81" ht="12.75">
      <c r="F63" s="657" t="s">
        <v>808</v>
      </c>
      <c r="G63" s="622">
        <v>3.9727128226761281</v>
      </c>
      <c r="H63" s="622">
        <v>3.9104206300087405</v>
      </c>
      <c r="I63" s="622">
        <v>3.8336053584862868</v>
      </c>
      <c r="J63" s="622">
        <v>3.7653127062262564</v>
      </c>
      <c r="K63" s="622">
        <v>3.6747047003318549</v>
      </c>
      <c r="L63" s="622">
        <v>3.5516466823252899</v>
      </c>
      <c r="M63" s="622">
        <v>3.4013406515574323</v>
      </c>
      <c r="N63" s="622">
        <v>3.2160545513804433</v>
      </c>
      <c r="O63" s="622">
        <v>3.0356368424631217</v>
      </c>
      <c r="P63" s="622">
        <v>2.8687867188655689</v>
      </c>
      <c r="Q63" s="622">
        <v>2.7163180245257061</v>
      </c>
      <c r="R63" s="622">
        <v>2.5773772048095576</v>
      </c>
      <c r="S63" s="622">
        <v>2.4354014612647688</v>
      </c>
      <c r="T63" s="622">
        <v>2.250976570340812</v>
      </c>
      <c r="U63" s="622">
        <v>2.0564486147824153</v>
      </c>
      <c r="V63" s="622">
        <v>1.7912183266624002</v>
      </c>
      <c r="W63" s="622">
        <v>1.3510955869085461</v>
      </c>
      <c r="X63" s="622">
        <v>0.82166527616466034</v>
      </c>
      <c r="Y63" s="622">
        <v>0.29245297077390686</v>
      </c>
      <c r="Z63" s="622">
        <v>-0.13296587245086589</v>
      </c>
      <c r="AA63">
        <v>-0.5013572481832953</v>
      </c>
      <c r="AB63">
        <v>-0.78260694311703571</v>
      </c>
    </row>
    <row r="64" spans="6:81" ht="12.75">
      <c r="F64" s="657" t="s">
        <v>809</v>
      </c>
      <c r="G64" s="622">
        <v>-0.20066985213861566</v>
      </c>
      <c r="H64" s="622">
        <v>-0.24916877066955223</v>
      </c>
      <c r="I64" s="622">
        <v>-0.30726108608981528</v>
      </c>
      <c r="J64" s="622">
        <v>-0.27317060904012402</v>
      </c>
      <c r="K64" s="622">
        <v>-0.36243202357760751</v>
      </c>
      <c r="L64" s="622">
        <v>-0.49223207202626051</v>
      </c>
      <c r="M64" s="622">
        <v>-0.60122412307143147</v>
      </c>
      <c r="N64" s="622">
        <v>-0.74114440070795773</v>
      </c>
      <c r="O64" s="622">
        <v>-0.72167083566928802</v>
      </c>
      <c r="P64" s="622">
        <v>-0.6674004943902121</v>
      </c>
      <c r="Q64" s="622">
        <v>-0.60987477735945195</v>
      </c>
      <c r="R64" s="622">
        <v>-0.55576327886459564</v>
      </c>
      <c r="S64" s="622">
        <v>-0.56790297417915658</v>
      </c>
      <c r="T64" s="622">
        <v>-0.73769956369582834</v>
      </c>
      <c r="U64" s="622">
        <v>-0.77811182223358744</v>
      </c>
      <c r="V64" s="622">
        <v>-1.0609211524800604</v>
      </c>
      <c r="W64" s="622">
        <v>-1.7604909590154176</v>
      </c>
      <c r="X64" s="622">
        <v>-2.1177212429755432</v>
      </c>
      <c r="Y64" s="622">
        <v>-2.1168492215630139</v>
      </c>
      <c r="Z64" s="622">
        <v>-1.701675372899091</v>
      </c>
      <c r="AA64">
        <v>-1.4735655029297177</v>
      </c>
      <c r="AB64">
        <v>-1.1249987797349614</v>
      </c>
    </row>
    <row r="65" spans="6:81" ht="12.75">
      <c r="F65" s="657"/>
      <c r="G65" s="622"/>
      <c r="H65" s="622"/>
      <c r="I65" s="622"/>
      <c r="J65" s="622"/>
      <c r="K65" s="622"/>
      <c r="L65" s="622"/>
      <c r="M65" s="622"/>
      <c r="N65" s="622"/>
      <c r="O65" s="622"/>
      <c r="P65" s="622"/>
      <c r="Q65" s="622"/>
      <c r="R65" s="622"/>
      <c r="S65" s="622"/>
      <c r="T65" s="622"/>
      <c r="U65" s="622"/>
      <c r="V65" s="622"/>
      <c r="W65" s="622"/>
      <c r="X65" s="622"/>
      <c r="Y65" s="622"/>
      <c r="Z65" s="622"/>
    </row>
    <row r="66" spans="6:81" ht="12.75">
      <c r="F66" s="657" t="s">
        <v>792</v>
      </c>
      <c r="G66" s="669">
        <f>_xll.BTH($D$4,$F$67:$F$69,$D$5,$D$6,"MAE","BandPeriod=15","UpperBand=3","LowerBand=3","DSClose=PX_LAST","Dir=H","Dts=S","cols=22;rows=4")</f>
        <v>43550</v>
      </c>
      <c r="H66" s="669">
        <v>43551</v>
      </c>
      <c r="I66" s="669">
        <v>43552</v>
      </c>
      <c r="J66" s="669">
        <v>43553</v>
      </c>
      <c r="K66" s="669">
        <v>43556</v>
      </c>
      <c r="L66" s="669">
        <v>43557</v>
      </c>
      <c r="M66" s="669">
        <v>43558</v>
      </c>
      <c r="N66" s="669">
        <v>43559</v>
      </c>
      <c r="O66" s="669">
        <v>43560</v>
      </c>
      <c r="P66" s="669">
        <v>43563</v>
      </c>
      <c r="Q66" s="669">
        <v>43564</v>
      </c>
      <c r="R66" s="669">
        <v>43565</v>
      </c>
      <c r="S66" s="669">
        <v>43566</v>
      </c>
      <c r="T66" s="669">
        <v>43567</v>
      </c>
      <c r="U66" s="669">
        <v>43570</v>
      </c>
      <c r="V66" s="669">
        <v>43571</v>
      </c>
      <c r="W66" s="669">
        <v>43572</v>
      </c>
      <c r="X66" s="669">
        <v>43573</v>
      </c>
      <c r="Y66" s="669">
        <v>43577</v>
      </c>
      <c r="Z66" s="669">
        <v>43578</v>
      </c>
      <c r="AA66" s="694">
        <v>43579</v>
      </c>
      <c r="AB66" s="694">
        <v>43580</v>
      </c>
      <c r="AC66" s="694"/>
      <c r="AD66" s="694"/>
      <c r="AE66" s="694"/>
      <c r="AF66" s="694"/>
      <c r="AG66" s="694"/>
      <c r="AH66" s="694"/>
      <c r="AI66" s="694"/>
      <c r="AJ66" s="694"/>
      <c r="AK66" s="694"/>
      <c r="AL66" s="694"/>
      <c r="AM66" s="694"/>
      <c r="AN66" s="694"/>
      <c r="AO66" s="694"/>
      <c r="AP66" s="694"/>
      <c r="AQ66" s="694"/>
      <c r="AR66" s="694"/>
      <c r="AS66" s="694"/>
      <c r="AT66" s="694"/>
      <c r="AU66" s="694"/>
      <c r="AV66" s="694"/>
      <c r="AW66" s="694"/>
      <c r="AX66" s="694"/>
      <c r="AY66" s="694"/>
      <c r="AZ66" s="694"/>
      <c r="BA66" s="694"/>
      <c r="BB66" s="694"/>
      <c r="BC66" s="694"/>
      <c r="BD66" s="694"/>
      <c r="BE66" s="694"/>
      <c r="BF66" s="694"/>
      <c r="BG66" s="694"/>
      <c r="BH66" s="694"/>
      <c r="BI66" s="694"/>
      <c r="BJ66" s="694"/>
      <c r="BK66" s="694"/>
      <c r="BL66" s="694"/>
      <c r="BM66" s="694"/>
      <c r="BN66" s="694"/>
      <c r="BO66" s="694"/>
      <c r="BP66" s="694"/>
      <c r="BQ66" s="694"/>
      <c r="BR66" s="694"/>
      <c r="BS66" s="694"/>
      <c r="BT66" s="694"/>
      <c r="BU66" s="694"/>
      <c r="BV66" s="694"/>
      <c r="BW66" s="694"/>
      <c r="BX66" s="694"/>
      <c r="BY66" s="694"/>
      <c r="BZ66" s="694"/>
      <c r="CA66" s="694"/>
      <c r="CB66" s="694"/>
      <c r="CC66" s="694"/>
    </row>
    <row r="67" spans="6:81" ht="12.75">
      <c r="F67" s="657" t="s">
        <v>825</v>
      </c>
      <c r="G67" s="622">
        <v>192.82733333333331</v>
      </c>
      <c r="H67" s="622">
        <v>193.35133333333329</v>
      </c>
      <c r="I67" s="622">
        <v>193.95533333333333</v>
      </c>
      <c r="J67" s="622">
        <v>194.64133333333334</v>
      </c>
      <c r="K67" s="622">
        <v>195.1</v>
      </c>
      <c r="L67" s="622">
        <v>195.39133333333334</v>
      </c>
      <c r="M67" s="622">
        <v>195.59133333333332</v>
      </c>
      <c r="N67" s="622">
        <v>195.61533333333333</v>
      </c>
      <c r="O67" s="622">
        <v>195.69533333333331</v>
      </c>
      <c r="P67" s="622">
        <v>195.83933333333331</v>
      </c>
      <c r="Q67" s="622">
        <v>195.82933333333332</v>
      </c>
      <c r="R67" s="622">
        <v>195.76266666666666</v>
      </c>
      <c r="S67" s="622">
        <v>195.58466666666666</v>
      </c>
      <c r="T67" s="622">
        <v>195.46666666666667</v>
      </c>
      <c r="U67" s="622">
        <v>195.34999999999997</v>
      </c>
      <c r="V67" s="622">
        <v>194.88066666666663</v>
      </c>
      <c r="W67" s="622">
        <v>193.81666666666666</v>
      </c>
      <c r="X67" s="622">
        <v>192.75933333333333</v>
      </c>
      <c r="Y67" s="622">
        <v>191.73533333333336</v>
      </c>
      <c r="Z67" s="622">
        <v>191.12600000000003</v>
      </c>
      <c r="AA67">
        <v>190.45066666666668</v>
      </c>
      <c r="AB67">
        <v>189.92663333333331</v>
      </c>
    </row>
    <row r="68" spans="6:81" ht="12.75">
      <c r="F68" s="657" t="s">
        <v>826</v>
      </c>
      <c r="G68" s="622">
        <v>198.61215333333331</v>
      </c>
      <c r="H68" s="622">
        <v>199.1518733333333</v>
      </c>
      <c r="I68" s="622">
        <v>199.77399333333332</v>
      </c>
      <c r="J68" s="622">
        <v>200.48057333333333</v>
      </c>
      <c r="K68" s="622">
        <v>200.953</v>
      </c>
      <c r="L68" s="622">
        <v>201.25307333333333</v>
      </c>
      <c r="M68" s="622">
        <v>201.45907333333332</v>
      </c>
      <c r="N68" s="622">
        <v>201.48379333333332</v>
      </c>
      <c r="O68" s="622">
        <v>201.5661933333333</v>
      </c>
      <c r="P68" s="622">
        <v>201.71451333333331</v>
      </c>
      <c r="Q68" s="622">
        <v>201.70421333333331</v>
      </c>
      <c r="R68" s="622">
        <v>201.63554666666667</v>
      </c>
      <c r="S68" s="622">
        <v>201.45220666666665</v>
      </c>
      <c r="T68" s="622">
        <v>201.33066666666667</v>
      </c>
      <c r="U68" s="622">
        <v>201.21049999999997</v>
      </c>
      <c r="V68" s="622">
        <v>200.72708666666662</v>
      </c>
      <c r="W68" s="622">
        <v>199.63116666666667</v>
      </c>
      <c r="X68" s="622">
        <v>198.54211333333333</v>
      </c>
      <c r="Y68" s="622">
        <v>197.48739333333336</v>
      </c>
      <c r="Z68" s="622">
        <v>196.85978000000003</v>
      </c>
      <c r="AA68">
        <v>196.16418666666667</v>
      </c>
      <c r="AB68">
        <v>195.62443233333332</v>
      </c>
    </row>
    <row r="69" spans="6:81" ht="12.75">
      <c r="F69" s="657" t="s">
        <v>827</v>
      </c>
      <c r="G69" s="622">
        <v>187.04251333333332</v>
      </c>
      <c r="H69" s="622">
        <v>187.55079333333327</v>
      </c>
      <c r="I69" s="622">
        <v>188.13667333333333</v>
      </c>
      <c r="J69" s="622">
        <v>188.80209333333335</v>
      </c>
      <c r="K69" s="622">
        <v>189.24699999999999</v>
      </c>
      <c r="L69" s="622">
        <v>189.52959333333334</v>
      </c>
      <c r="M69" s="622">
        <v>189.72359333333333</v>
      </c>
      <c r="N69" s="622">
        <v>189.74687333333333</v>
      </c>
      <c r="O69" s="622">
        <v>189.82447333333332</v>
      </c>
      <c r="P69" s="622">
        <v>189.96415333333331</v>
      </c>
      <c r="Q69" s="622">
        <v>189.95445333333333</v>
      </c>
      <c r="R69" s="622">
        <v>189.88978666666665</v>
      </c>
      <c r="S69" s="622">
        <v>189.71712666666667</v>
      </c>
      <c r="T69" s="622">
        <v>189.60266666666666</v>
      </c>
      <c r="U69" s="622">
        <v>189.48949999999996</v>
      </c>
      <c r="V69" s="622">
        <v>189.03424666666663</v>
      </c>
      <c r="W69" s="622">
        <v>188.00216666666665</v>
      </c>
      <c r="X69" s="622">
        <v>186.97655333333333</v>
      </c>
      <c r="Y69" s="622">
        <v>185.98327333333336</v>
      </c>
      <c r="Z69" s="622">
        <v>185.39222000000004</v>
      </c>
      <c r="AA69">
        <v>184.73714666666669</v>
      </c>
      <c r="AB69">
        <v>184.22883433333331</v>
      </c>
    </row>
    <row r="70" spans="6:81" ht="12.75">
      <c r="F70" s="657"/>
      <c r="G70" s="622"/>
      <c r="H70" s="622"/>
      <c r="I70" s="622"/>
      <c r="J70" s="622"/>
      <c r="K70" s="622"/>
      <c r="L70" s="622"/>
      <c r="M70" s="622"/>
      <c r="N70" s="622"/>
      <c r="O70" s="622"/>
      <c r="P70" s="622"/>
      <c r="Q70" s="622"/>
      <c r="R70" s="622"/>
      <c r="S70" s="622"/>
      <c r="T70" s="622"/>
      <c r="U70" s="622"/>
      <c r="V70" s="622"/>
      <c r="W70" s="622"/>
      <c r="X70" s="622"/>
      <c r="Y70" s="622"/>
      <c r="Z70" s="622"/>
    </row>
    <row r="71" spans="6:81" ht="12.75">
      <c r="F71" s="657" t="s">
        <v>792</v>
      </c>
      <c r="G71" s="669">
        <f>_xll.BTH($D$4,$F$72:$F$74,$D$5,$D$6,"MAO","OscType=Difference","MAType1=Simple","MAPeriod1=6","MAType2=Simple","MAPeriod2=36","SigType=Simple","SigPeriod=9","DSClose1=PX_LAST","DSClose2=PX_LAST","Dir=H","Dts=S","cols=22;rows=4")</f>
        <v>43550</v>
      </c>
      <c r="H71" s="669">
        <v>43551</v>
      </c>
      <c r="I71" s="669">
        <v>43552</v>
      </c>
      <c r="J71" s="669">
        <v>43553</v>
      </c>
      <c r="K71" s="669">
        <v>43556</v>
      </c>
      <c r="L71" s="669">
        <v>43557</v>
      </c>
      <c r="M71" s="669">
        <v>43558</v>
      </c>
      <c r="N71" s="669">
        <v>43559</v>
      </c>
      <c r="O71" s="669">
        <v>43560</v>
      </c>
      <c r="P71" s="669">
        <v>43563</v>
      </c>
      <c r="Q71" s="669">
        <v>43564</v>
      </c>
      <c r="R71" s="669">
        <v>43565</v>
      </c>
      <c r="S71" s="669">
        <v>43566</v>
      </c>
      <c r="T71" s="669">
        <v>43567</v>
      </c>
      <c r="U71" s="669">
        <v>43570</v>
      </c>
      <c r="V71" s="669">
        <v>43571</v>
      </c>
      <c r="W71" s="669">
        <v>43572</v>
      </c>
      <c r="X71" s="669">
        <v>43573</v>
      </c>
      <c r="Y71" s="669">
        <v>43577</v>
      </c>
      <c r="Z71" s="669">
        <v>43578</v>
      </c>
      <c r="AA71" s="694">
        <v>43579</v>
      </c>
      <c r="AB71" s="694">
        <v>43580</v>
      </c>
      <c r="AC71" s="694"/>
      <c r="AD71" s="694"/>
      <c r="AE71" s="694"/>
      <c r="AF71" s="694"/>
      <c r="AG71" s="694"/>
      <c r="AH71" s="694"/>
      <c r="AI71" s="694"/>
      <c r="AJ71" s="694"/>
      <c r="AK71" s="694"/>
      <c r="AL71" s="694"/>
      <c r="AM71" s="694"/>
      <c r="AN71" s="694"/>
      <c r="AO71" s="694"/>
      <c r="AP71" s="694"/>
      <c r="AQ71" s="694"/>
      <c r="AR71" s="694"/>
      <c r="AS71" s="694"/>
      <c r="AT71" s="694"/>
      <c r="AU71" s="694"/>
      <c r="AV71" s="694"/>
      <c r="AW71" s="694"/>
      <c r="AX71" s="694"/>
      <c r="AY71" s="694"/>
      <c r="AZ71" s="694"/>
      <c r="BA71" s="694"/>
      <c r="BB71" s="694"/>
      <c r="BC71" s="694"/>
      <c r="BD71" s="694"/>
      <c r="BE71" s="694"/>
      <c r="BF71" s="694"/>
      <c r="BG71" s="694"/>
      <c r="BH71" s="694"/>
      <c r="BI71" s="694"/>
      <c r="BJ71" s="694"/>
      <c r="BK71" s="694"/>
      <c r="BL71" s="694"/>
      <c r="BM71" s="694"/>
      <c r="BN71" s="694"/>
      <c r="BO71" s="694"/>
      <c r="BP71" s="694"/>
      <c r="BQ71" s="694"/>
      <c r="BR71" s="694"/>
      <c r="BS71" s="694"/>
      <c r="BT71" s="694"/>
      <c r="BU71" s="694"/>
      <c r="BV71" s="694"/>
      <c r="BW71" s="694"/>
      <c r="BX71" s="694"/>
      <c r="BY71" s="694"/>
      <c r="BZ71" s="694"/>
      <c r="CA71" s="694"/>
      <c r="CB71" s="694"/>
      <c r="CC71" s="694"/>
    </row>
    <row r="72" spans="6:81" ht="12.75">
      <c r="F72" s="657" t="s">
        <v>828</v>
      </c>
      <c r="G72" s="622">
        <v>7.5461111111111165</v>
      </c>
      <c r="H72" s="622">
        <v>7.0300000000000011</v>
      </c>
      <c r="I72" s="622">
        <v>6.3941666666667345</v>
      </c>
      <c r="J72" s="622">
        <v>5.8469444444444889</v>
      </c>
      <c r="K72" s="622">
        <v>5.6972222222222513</v>
      </c>
      <c r="L72" s="622">
        <v>5.3497222222222263</v>
      </c>
      <c r="M72" s="622">
        <v>4.828888888888855</v>
      </c>
      <c r="N72" s="622">
        <v>4.1902777777777658</v>
      </c>
      <c r="O72" s="622">
        <v>3.7672222222221876</v>
      </c>
      <c r="P72" s="622">
        <v>3.1872222222222319</v>
      </c>
      <c r="Q72" s="622">
        <v>2.9116666666666902</v>
      </c>
      <c r="R72" s="622">
        <v>2.794722222222191</v>
      </c>
      <c r="S72" s="622">
        <v>2.6627777777777908</v>
      </c>
      <c r="T72" s="622">
        <v>2.3480555555555895</v>
      </c>
      <c r="U72" s="622">
        <v>1.9127777777777339</v>
      </c>
      <c r="V72" s="622">
        <v>0.75277777777773736</v>
      </c>
      <c r="W72" s="622">
        <v>-1.7300000000000182</v>
      </c>
      <c r="X72" s="622">
        <v>-4.1958333333333258</v>
      </c>
      <c r="Y72" s="622">
        <v>-6.2144444444444673</v>
      </c>
      <c r="Z72" s="622">
        <v>-7.0377777777777624</v>
      </c>
      <c r="AA72">
        <v>-8.2780555555555111</v>
      </c>
      <c r="AB72">
        <v>-8.5395138888889051</v>
      </c>
    </row>
    <row r="73" spans="6:81" ht="12.75">
      <c r="F73" s="657" t="s">
        <v>829</v>
      </c>
      <c r="G73" s="622">
        <v>7.7770679012345418</v>
      </c>
      <c r="H73" s="622">
        <v>7.7700617283950413</v>
      </c>
      <c r="I73" s="622">
        <v>7.6503703703703598</v>
      </c>
      <c r="J73" s="622">
        <v>7.4333950617283966</v>
      </c>
      <c r="K73" s="622">
        <v>7.1657098765432181</v>
      </c>
      <c r="L73" s="622">
        <v>6.8504629629629727</v>
      </c>
      <c r="M73" s="622">
        <v>6.4772530864197631</v>
      </c>
      <c r="N73" s="622">
        <v>6.0593518518518676</v>
      </c>
      <c r="O73" s="622">
        <v>5.6278395061728475</v>
      </c>
      <c r="P73" s="622">
        <v>5.143518518518527</v>
      </c>
      <c r="Q73" s="622">
        <v>4.6859259259259369</v>
      </c>
      <c r="R73" s="622">
        <v>4.2859876543209872</v>
      </c>
      <c r="S73" s="622">
        <v>3.9321913580246877</v>
      </c>
      <c r="T73" s="622">
        <v>3.5600617283950586</v>
      </c>
      <c r="U73" s="622">
        <v>3.1781790123456708</v>
      </c>
      <c r="V73" s="622">
        <v>2.7252777777777686</v>
      </c>
      <c r="W73" s="622">
        <v>2.0674691358024595</v>
      </c>
      <c r="X73" s="622">
        <v>1.1826851851851801</v>
      </c>
      <c r="Y73" s="622">
        <v>0.13805555555554683</v>
      </c>
      <c r="Z73" s="622">
        <v>-0.96743827160494789</v>
      </c>
      <c r="AA73">
        <v>-2.1977469135802483</v>
      </c>
      <c r="AB73">
        <v>-3.4424459876543256</v>
      </c>
    </row>
    <row r="74" spans="6:81" ht="12.75">
      <c r="F74" s="657" t="s">
        <v>830</v>
      </c>
      <c r="G74" s="622">
        <v>-0.23095679012342529</v>
      </c>
      <c r="H74" s="622">
        <v>-0.74006172839504014</v>
      </c>
      <c r="I74" s="622">
        <v>-1.2562037037036253</v>
      </c>
      <c r="J74" s="622">
        <v>-1.5864506172839077</v>
      </c>
      <c r="K74" s="622">
        <v>-1.4684876543209668</v>
      </c>
      <c r="L74" s="622">
        <v>-1.5007407407407465</v>
      </c>
      <c r="M74" s="622">
        <v>-1.648364197530908</v>
      </c>
      <c r="N74" s="622">
        <v>-1.8690740740741019</v>
      </c>
      <c r="O74" s="622">
        <v>-1.8606172839506598</v>
      </c>
      <c r="P74" s="622">
        <v>-1.9562962962962951</v>
      </c>
      <c r="Q74" s="622">
        <v>-1.7742592592592468</v>
      </c>
      <c r="R74" s="622">
        <v>-1.4912654320987961</v>
      </c>
      <c r="S74" s="622">
        <v>-1.2694135802468969</v>
      </c>
      <c r="T74" s="622">
        <v>-1.2120061728394691</v>
      </c>
      <c r="U74" s="622">
        <v>-1.2654012345679369</v>
      </c>
      <c r="V74" s="622">
        <v>-1.9725000000000312</v>
      </c>
      <c r="W74" s="622">
        <v>-3.7974691358024777</v>
      </c>
      <c r="X74" s="622">
        <v>-5.378518518518506</v>
      </c>
      <c r="Y74" s="622">
        <v>-6.3525000000000142</v>
      </c>
      <c r="Z74" s="622">
        <v>-6.0703395061728145</v>
      </c>
      <c r="AA74">
        <v>-6.0803086419752628</v>
      </c>
      <c r="AB74">
        <v>-5.0970679012345794</v>
      </c>
    </row>
    <row r="75" spans="6:81" ht="12.75">
      <c r="F75" s="657"/>
      <c r="G75" s="622"/>
      <c r="H75" s="622"/>
      <c r="I75" s="622"/>
      <c r="J75" s="622"/>
      <c r="K75" s="622"/>
      <c r="L75" s="622"/>
      <c r="M75" s="622"/>
      <c r="N75" s="622"/>
      <c r="O75" s="622"/>
      <c r="P75" s="622"/>
      <c r="Q75" s="622"/>
      <c r="R75" s="622"/>
      <c r="S75" s="622"/>
      <c r="T75" s="622"/>
      <c r="U75" s="622"/>
      <c r="V75" s="622"/>
      <c r="W75" s="622"/>
      <c r="X75" s="622"/>
      <c r="Y75" s="622"/>
      <c r="Z75" s="622"/>
    </row>
    <row r="76" spans="6:81" ht="12.75">
      <c r="F76" s="657" t="s">
        <v>792</v>
      </c>
      <c r="G76" s="669">
        <f>_xll.BTH($D$4,$F$77,$D$5,$D$6,"PTPS","StartFactor=0.02","AccelFactor=0.02","MaxFactor=0.2","DSHigh=PX_HIGH","DSLow=PX_LOW","Dir=H","Dts=S","cols=22;rows=2")</f>
        <v>43550</v>
      </c>
      <c r="H76" s="669">
        <v>43551</v>
      </c>
      <c r="I76" s="669">
        <v>43552</v>
      </c>
      <c r="J76" s="669">
        <v>43553</v>
      </c>
      <c r="K76" s="669">
        <v>43556</v>
      </c>
      <c r="L76" s="669">
        <v>43557</v>
      </c>
      <c r="M76" s="669">
        <v>43558</v>
      </c>
      <c r="N76" s="669">
        <v>43559</v>
      </c>
      <c r="O76" s="669">
        <v>43560</v>
      </c>
      <c r="P76" s="669">
        <v>43563</v>
      </c>
      <c r="Q76" s="669">
        <v>43564</v>
      </c>
      <c r="R76" s="669">
        <v>43565</v>
      </c>
      <c r="S76" s="669">
        <v>43566</v>
      </c>
      <c r="T76" s="669">
        <v>43567</v>
      </c>
      <c r="U76" s="669">
        <v>43570</v>
      </c>
      <c r="V76" s="669">
        <v>43571</v>
      </c>
      <c r="W76" s="669">
        <v>43572</v>
      </c>
      <c r="X76" s="669">
        <v>43573</v>
      </c>
      <c r="Y76" s="669">
        <v>43577</v>
      </c>
      <c r="Z76" s="669">
        <v>43578</v>
      </c>
      <c r="AA76" s="694">
        <v>43579</v>
      </c>
      <c r="AB76" s="694">
        <v>43580</v>
      </c>
      <c r="AC76" s="694"/>
      <c r="AD76" s="694"/>
      <c r="AE76" s="694"/>
      <c r="AF76" s="694"/>
      <c r="AG76" s="694"/>
      <c r="AH76" s="694"/>
      <c r="AI76" s="694"/>
      <c r="AJ76" s="694"/>
      <c r="AK76" s="694"/>
      <c r="AL76" s="694"/>
      <c r="AM76" s="694"/>
      <c r="AN76" s="694"/>
      <c r="AO76" s="694"/>
      <c r="AP76" s="694"/>
      <c r="AQ76" s="694"/>
      <c r="AR76" s="694"/>
      <c r="AS76" s="694"/>
      <c r="AT76" s="694"/>
      <c r="AU76" s="694"/>
      <c r="AV76" s="694"/>
      <c r="AW76" s="694"/>
      <c r="AX76" s="694"/>
      <c r="AY76" s="694"/>
      <c r="AZ76" s="694"/>
      <c r="BA76" s="694"/>
      <c r="BB76" s="694"/>
      <c r="BC76" s="694"/>
      <c r="BD76" s="694"/>
      <c r="BE76" s="694"/>
      <c r="BF76" s="694"/>
      <c r="BG76" s="694"/>
      <c r="BH76" s="694"/>
      <c r="BI76" s="694"/>
      <c r="BJ76" s="694"/>
      <c r="BK76" s="694"/>
      <c r="BL76" s="694"/>
      <c r="BM76" s="694"/>
      <c r="BN76" s="694"/>
      <c r="BO76" s="694"/>
      <c r="BP76" s="694"/>
      <c r="BQ76" s="694"/>
      <c r="BR76" s="694"/>
      <c r="BS76" s="694"/>
      <c r="BT76" s="694"/>
      <c r="BU76" s="694"/>
      <c r="BV76" s="694"/>
      <c r="BW76" s="694"/>
      <c r="BX76" s="694"/>
      <c r="BY76" s="694"/>
      <c r="BZ76" s="694"/>
      <c r="CA76" s="694"/>
      <c r="CB76" s="694"/>
      <c r="CC76" s="694"/>
    </row>
    <row r="77" spans="6:81" ht="12.75">
      <c r="F77" s="657" t="s">
        <v>831</v>
      </c>
      <c r="G77" s="622">
        <v>191.0148687602381</v>
      </c>
      <c r="H77" s="622">
        <v>191.78838188421429</v>
      </c>
      <c r="I77" s="622">
        <v>192.48454369579287</v>
      </c>
      <c r="J77" s="622">
        <v>193.11108932621357</v>
      </c>
      <c r="K77" s="622">
        <v>193.67498039359222</v>
      </c>
      <c r="L77" s="622">
        <v>194.41598274636115</v>
      </c>
      <c r="M77" s="622">
        <v>199.85</v>
      </c>
      <c r="N77" s="622">
        <v>199.73480000000001</v>
      </c>
      <c r="O77" s="622">
        <v>199.478208</v>
      </c>
      <c r="P77" s="622">
        <v>199.23187967999999</v>
      </c>
      <c r="Q77" s="622">
        <v>198.8453668992</v>
      </c>
      <c r="R77" s="622">
        <v>198.482044885248</v>
      </c>
      <c r="S77" s="622">
        <v>198.14052219213312</v>
      </c>
      <c r="T77" s="622">
        <v>197.83</v>
      </c>
      <c r="U77" s="622">
        <v>197.40520000000001</v>
      </c>
      <c r="V77" s="622">
        <v>196.90468000000001</v>
      </c>
      <c r="W77" s="622">
        <v>195.82291840000002</v>
      </c>
      <c r="X77" s="622">
        <v>194.87</v>
      </c>
      <c r="Y77" s="622">
        <v>191.6652</v>
      </c>
      <c r="Z77" s="622">
        <v>188.97316799999999</v>
      </c>
      <c r="AA77">
        <v>174.84</v>
      </c>
      <c r="AB77">
        <v>175.12100000000001</v>
      </c>
    </row>
    <row r="78" spans="6:81" ht="12.75">
      <c r="F78" s="657"/>
      <c r="G78" s="622"/>
      <c r="H78" s="622"/>
      <c r="I78" s="622"/>
      <c r="J78" s="622"/>
      <c r="K78" s="622"/>
      <c r="L78" s="622"/>
      <c r="M78" s="622"/>
      <c r="N78" s="622"/>
      <c r="O78" s="622"/>
      <c r="P78" s="622"/>
      <c r="Q78" s="622"/>
      <c r="R78" s="622"/>
      <c r="S78" s="622"/>
      <c r="T78" s="622"/>
      <c r="U78" s="622"/>
      <c r="V78" s="622"/>
      <c r="W78" s="622"/>
      <c r="X78" s="622"/>
      <c r="Y78" s="622"/>
      <c r="Z78" s="622"/>
    </row>
    <row r="79" spans="6:81" ht="12.75">
      <c r="F79" s="657" t="s">
        <v>792</v>
      </c>
      <c r="G79" s="669">
        <f>_xll.BTH($D$4,$F$80:$F$82,$D$5,$D$6,"MAXMIN","TAPeriod=20","Retracement=50","DSHigh=PX_HIGH","DSLow=PX_LOW","Dir=H","Dts=S","cols=22;rows=4")</f>
        <v>43550</v>
      </c>
      <c r="H79" s="669">
        <v>43551</v>
      </c>
      <c r="I79" s="669">
        <v>43552</v>
      </c>
      <c r="J79" s="669">
        <v>43553</v>
      </c>
      <c r="K79" s="669">
        <v>43556</v>
      </c>
      <c r="L79" s="669">
        <v>43557</v>
      </c>
      <c r="M79" s="669">
        <v>43558</v>
      </c>
      <c r="N79" s="669">
        <v>43559</v>
      </c>
      <c r="O79" s="669">
        <v>43560</v>
      </c>
      <c r="P79" s="669">
        <v>43563</v>
      </c>
      <c r="Q79" s="669">
        <v>43564</v>
      </c>
      <c r="R79" s="669">
        <v>43565</v>
      </c>
      <c r="S79" s="669">
        <v>43566</v>
      </c>
      <c r="T79" s="669">
        <v>43567</v>
      </c>
      <c r="U79" s="669">
        <v>43570</v>
      </c>
      <c r="V79" s="669">
        <v>43571</v>
      </c>
      <c r="W79" s="669">
        <v>43572</v>
      </c>
      <c r="X79" s="669">
        <v>43573</v>
      </c>
      <c r="Y79" s="669">
        <v>43577</v>
      </c>
      <c r="Z79" s="669">
        <v>43578</v>
      </c>
      <c r="AA79" s="694">
        <v>43579</v>
      </c>
      <c r="AB79" s="694">
        <v>43580</v>
      </c>
      <c r="AC79" s="694"/>
      <c r="AD79" s="694"/>
      <c r="AE79" s="694"/>
      <c r="AF79" s="694"/>
      <c r="AG79" s="694"/>
      <c r="AH79" s="694"/>
      <c r="AI79" s="694"/>
      <c r="AJ79" s="694"/>
      <c r="AK79" s="694"/>
      <c r="AL79" s="694"/>
      <c r="AM79" s="694"/>
      <c r="AN79" s="694"/>
      <c r="AO79" s="694"/>
      <c r="AP79" s="694"/>
      <c r="AQ79" s="694"/>
      <c r="AR79" s="694"/>
      <c r="AS79" s="694"/>
      <c r="AT79" s="694"/>
      <c r="AU79" s="694"/>
      <c r="AV79" s="694"/>
      <c r="AW79" s="694"/>
      <c r="AX79" s="694"/>
      <c r="AY79" s="694"/>
      <c r="AZ79" s="694"/>
      <c r="BA79" s="694"/>
      <c r="BB79" s="694"/>
      <c r="BC79" s="694"/>
      <c r="BD79" s="694"/>
      <c r="BE79" s="694"/>
      <c r="BF79" s="694"/>
      <c r="BG79" s="694"/>
      <c r="BH79" s="694"/>
      <c r="BI79" s="694"/>
      <c r="BJ79" s="694"/>
      <c r="BK79" s="694"/>
      <c r="BL79" s="694"/>
      <c r="BM79" s="694"/>
      <c r="BN79" s="694"/>
      <c r="BO79" s="694"/>
      <c r="BP79" s="694"/>
      <c r="BQ79" s="694"/>
      <c r="BR79" s="694"/>
      <c r="BS79" s="694"/>
      <c r="BT79" s="694"/>
      <c r="BU79" s="694"/>
      <c r="BV79" s="694"/>
      <c r="BW79" s="694"/>
      <c r="BX79" s="694"/>
      <c r="BY79" s="694"/>
      <c r="BZ79" s="694"/>
      <c r="CA79" s="694"/>
      <c r="CB79" s="694"/>
      <c r="CC79" s="694"/>
    </row>
    <row r="80" spans="6:81" ht="12.75">
      <c r="F80" s="657" t="s">
        <v>820</v>
      </c>
      <c r="G80" s="622">
        <v>184.33</v>
      </c>
      <c r="H80" s="622">
        <v>184.495</v>
      </c>
      <c r="I80" s="622">
        <v>184.495</v>
      </c>
      <c r="J80" s="622">
        <v>184.495</v>
      </c>
      <c r="K80" s="622">
        <v>184.495</v>
      </c>
      <c r="L80" s="622">
        <v>184.495</v>
      </c>
      <c r="M80" s="622">
        <v>184.495</v>
      </c>
      <c r="N80" s="622">
        <v>184.495</v>
      </c>
      <c r="O80" s="622">
        <v>187.26</v>
      </c>
      <c r="P80" s="622">
        <v>189.33</v>
      </c>
      <c r="Q80" s="622">
        <v>191.05</v>
      </c>
      <c r="R80" s="622">
        <v>191.12</v>
      </c>
      <c r="S80" s="622">
        <v>192.5</v>
      </c>
      <c r="T80" s="622">
        <v>192.5</v>
      </c>
      <c r="U80" s="622">
        <v>192.4</v>
      </c>
      <c r="V80" s="622">
        <v>187.89</v>
      </c>
      <c r="W80" s="622">
        <v>180</v>
      </c>
      <c r="X80" s="622">
        <v>174.84</v>
      </c>
      <c r="Y80" s="622">
        <v>174.84</v>
      </c>
      <c r="Z80" s="622">
        <v>174.84</v>
      </c>
      <c r="AA80">
        <v>174.84</v>
      </c>
      <c r="AB80">
        <v>174.84</v>
      </c>
    </row>
    <row r="81" spans="6:28" ht="12.75">
      <c r="F81" s="657" t="s">
        <v>821</v>
      </c>
      <c r="G81" s="622">
        <v>198.75</v>
      </c>
      <c r="H81" s="622">
        <v>198.75</v>
      </c>
      <c r="I81" s="622">
        <v>198.75</v>
      </c>
      <c r="J81" s="622">
        <v>198.75</v>
      </c>
      <c r="K81" s="622">
        <v>199.85</v>
      </c>
      <c r="L81" s="622">
        <v>199.85</v>
      </c>
      <c r="M81" s="622">
        <v>199.85</v>
      </c>
      <c r="N81" s="622">
        <v>199.85</v>
      </c>
      <c r="O81" s="622">
        <v>199.85</v>
      </c>
      <c r="P81" s="622">
        <v>199.85</v>
      </c>
      <c r="Q81" s="622">
        <v>199.85</v>
      </c>
      <c r="R81" s="622">
        <v>199.85</v>
      </c>
      <c r="S81" s="622">
        <v>199.85</v>
      </c>
      <c r="T81" s="622">
        <v>199.85</v>
      </c>
      <c r="U81" s="622">
        <v>199.85</v>
      </c>
      <c r="V81" s="622">
        <v>199.85</v>
      </c>
      <c r="W81" s="622">
        <v>199.85</v>
      </c>
      <c r="X81" s="622">
        <v>199.85</v>
      </c>
      <c r="Y81" s="622">
        <v>199.85</v>
      </c>
      <c r="Z81" s="622">
        <v>199.85</v>
      </c>
      <c r="AA81">
        <v>199.85</v>
      </c>
      <c r="AB81">
        <v>199.85</v>
      </c>
    </row>
    <row r="82" spans="6:28" ht="12.75">
      <c r="F82" s="657" t="s">
        <v>822</v>
      </c>
      <c r="G82" s="622">
        <v>191.54000000000002</v>
      </c>
      <c r="H82" s="622">
        <v>191.6225</v>
      </c>
      <c r="I82" s="622">
        <v>191.6225</v>
      </c>
      <c r="J82" s="622">
        <v>191.6225</v>
      </c>
      <c r="K82" s="622">
        <v>192.17250000000001</v>
      </c>
      <c r="L82" s="622">
        <v>192.17250000000001</v>
      </c>
      <c r="M82" s="622">
        <v>192.17250000000001</v>
      </c>
      <c r="N82" s="622">
        <v>192.17250000000001</v>
      </c>
      <c r="O82" s="622">
        <v>193.55500000000001</v>
      </c>
      <c r="P82" s="622">
        <v>194.59</v>
      </c>
      <c r="Q82" s="622">
        <v>195.45</v>
      </c>
      <c r="R82" s="622">
        <v>195.48500000000001</v>
      </c>
      <c r="S82" s="622">
        <v>196.17500000000001</v>
      </c>
      <c r="T82" s="622">
        <v>196.17500000000001</v>
      </c>
      <c r="U82" s="622">
        <v>196.125</v>
      </c>
      <c r="V82" s="622">
        <v>193.87</v>
      </c>
      <c r="W82" s="622">
        <v>189.92500000000001</v>
      </c>
      <c r="X82" s="622">
        <v>187.345</v>
      </c>
      <c r="Y82" s="622">
        <v>187.345</v>
      </c>
      <c r="Z82" s="622">
        <v>187.345</v>
      </c>
      <c r="AA82">
        <v>187.345</v>
      </c>
      <c r="AB82">
        <v>187.345</v>
      </c>
    </row>
    <row r="83" spans="6:28" ht="12.75">
      <c r="F83" s="657"/>
      <c r="G83" s="622"/>
      <c r="H83" s="622"/>
      <c r="I83" s="622"/>
      <c r="J83" s="622"/>
      <c r="K83" s="622"/>
      <c r="L83" s="622"/>
      <c r="M83" s="622"/>
      <c r="N83" s="622"/>
      <c r="O83" s="622"/>
      <c r="P83" s="622"/>
      <c r="Q83" s="622"/>
      <c r="R83" s="622"/>
      <c r="S83" s="622"/>
      <c r="T83" s="622"/>
      <c r="U83" s="622"/>
      <c r="V83" s="622"/>
      <c r="W83" s="622"/>
      <c r="X83" s="622"/>
      <c r="Y83" s="622"/>
      <c r="Z83" s="622"/>
    </row>
    <row r="84" spans="6:28" ht="12.75">
      <c r="F84" s="657" t="s">
        <v>792</v>
      </c>
      <c r="G84" s="669">
        <f>_xll.BDH("SYK US Equity","PX_OFFICIAL_CLOSE",$D$5,$D$6,"Dir=H","Dts=S","cols=21;rows=2")</f>
        <v>43550</v>
      </c>
      <c r="H84" s="669">
        <v>43551</v>
      </c>
      <c r="I84" s="669">
        <v>43552</v>
      </c>
      <c r="J84" s="669">
        <v>43553</v>
      </c>
      <c r="K84" s="669">
        <v>43556</v>
      </c>
      <c r="L84" s="669">
        <v>43557</v>
      </c>
      <c r="M84" s="669">
        <v>43558</v>
      </c>
      <c r="N84" s="669">
        <v>43559</v>
      </c>
      <c r="O84" s="669">
        <v>43560</v>
      </c>
      <c r="P84" s="669">
        <v>43563</v>
      </c>
      <c r="Q84" s="669">
        <v>43564</v>
      </c>
      <c r="R84" s="669">
        <v>43565</v>
      </c>
      <c r="S84" s="669">
        <v>43566</v>
      </c>
      <c r="T84" s="669">
        <v>43567</v>
      </c>
      <c r="U84" s="669">
        <v>43570</v>
      </c>
      <c r="V84" s="669">
        <v>43571</v>
      </c>
      <c r="W84" s="669">
        <v>43572</v>
      </c>
      <c r="X84" s="669">
        <v>43573</v>
      </c>
      <c r="Y84" s="669">
        <v>43577</v>
      </c>
      <c r="Z84" s="669">
        <v>43578</v>
      </c>
      <c r="AA84" s="694">
        <v>43579</v>
      </c>
      <c r="AB84" s="694"/>
    </row>
    <row r="85" spans="6:28" ht="12.75">
      <c r="F85" s="657" t="s">
        <v>835</v>
      </c>
      <c r="G85" s="622">
        <v>196.08</v>
      </c>
      <c r="H85" s="622">
        <v>196.2</v>
      </c>
      <c r="I85" s="622">
        <v>196.12</v>
      </c>
      <c r="J85" s="622">
        <v>197.52</v>
      </c>
      <c r="K85" s="622">
        <v>196.1</v>
      </c>
      <c r="L85" s="622">
        <v>195.17</v>
      </c>
      <c r="M85" s="622">
        <v>194.84</v>
      </c>
      <c r="N85" s="622">
        <v>193.71</v>
      </c>
      <c r="O85" s="622">
        <v>195.24</v>
      </c>
      <c r="P85" s="622">
        <v>195.74</v>
      </c>
      <c r="Q85" s="622">
        <v>195.97</v>
      </c>
      <c r="R85" s="622">
        <v>196.14</v>
      </c>
      <c r="S85" s="622">
        <v>195.33</v>
      </c>
      <c r="T85" s="622">
        <v>192.67</v>
      </c>
      <c r="U85" s="622">
        <v>193.42</v>
      </c>
      <c r="V85" s="622">
        <v>189.04</v>
      </c>
      <c r="W85" s="622">
        <v>180.24</v>
      </c>
      <c r="X85" s="622">
        <v>180.26</v>
      </c>
      <c r="Y85" s="622">
        <v>182.16</v>
      </c>
      <c r="Z85" s="622">
        <v>186.96</v>
      </c>
      <c r="AA85">
        <v>185.04</v>
      </c>
    </row>
    <row r="86" spans="6:28" ht="12.75">
      <c r="F86" s="657"/>
      <c r="G86" s="622"/>
      <c r="H86" s="622"/>
      <c r="I86" s="622"/>
      <c r="J86" s="622"/>
      <c r="K86" s="622"/>
      <c r="L86" s="622"/>
      <c r="M86" s="622"/>
      <c r="N86" s="622"/>
      <c r="O86" s="622"/>
      <c r="P86" s="622"/>
      <c r="Q86" s="622"/>
      <c r="R86" s="622"/>
      <c r="S86" s="622"/>
      <c r="T86" s="622"/>
      <c r="U86" s="622"/>
      <c r="V86" s="622"/>
      <c r="W86" s="622"/>
      <c r="X86" s="622"/>
      <c r="Y86" s="622"/>
      <c r="Z86" s="622"/>
    </row>
    <row r="87" spans="6:28" ht="12.75">
      <c r="F87" s="657" t="s">
        <v>792</v>
      </c>
      <c r="G87" s="669">
        <f>_xll.BTH($D$4,"SMAVG",$D$5,$D$6,"SMAVG","TAPeriod=200","DSClose=PX_LAST","Dir=H","Dts=S","cols=22;rows=2")</f>
        <v>43550</v>
      </c>
      <c r="H87" s="669">
        <v>43551</v>
      </c>
      <c r="I87" s="669">
        <v>43552</v>
      </c>
      <c r="J87" s="669">
        <v>43553</v>
      </c>
      <c r="K87" s="669">
        <v>43556</v>
      </c>
      <c r="L87" s="669">
        <v>43557</v>
      </c>
      <c r="M87" s="669">
        <v>43558</v>
      </c>
      <c r="N87" s="669">
        <v>43559</v>
      </c>
      <c r="O87" s="669">
        <v>43560</v>
      </c>
      <c r="P87" s="669">
        <v>43563</v>
      </c>
      <c r="Q87" s="669">
        <v>43564</v>
      </c>
      <c r="R87" s="669">
        <v>43565</v>
      </c>
      <c r="S87" s="669">
        <v>43566</v>
      </c>
      <c r="T87" s="669">
        <v>43567</v>
      </c>
      <c r="U87" s="669">
        <v>43570</v>
      </c>
      <c r="V87" s="669">
        <v>43571</v>
      </c>
      <c r="W87" s="669">
        <v>43572</v>
      </c>
      <c r="X87" s="669">
        <v>43573</v>
      </c>
      <c r="Y87" s="669">
        <v>43577</v>
      </c>
      <c r="Z87" s="694">
        <v>43578</v>
      </c>
      <c r="AA87" s="694">
        <v>43579</v>
      </c>
      <c r="AB87" s="694">
        <v>43580</v>
      </c>
    </row>
    <row r="88" spans="6:28" ht="12.75">
      <c r="F88" s="657" t="s">
        <v>811</v>
      </c>
      <c r="G88" s="622">
        <v>171.97730000000007</v>
      </c>
      <c r="H88" s="622">
        <v>172.06355000000002</v>
      </c>
      <c r="I88" s="622">
        <v>172.19525000000004</v>
      </c>
      <c r="J88" s="622">
        <v>172.37015000000002</v>
      </c>
      <c r="K88" s="622">
        <v>172.51765000000003</v>
      </c>
      <c r="L88" s="622">
        <v>172.64975000000001</v>
      </c>
      <c r="M88" s="622">
        <v>172.78204999999997</v>
      </c>
      <c r="N88" s="622">
        <v>172.89934999999997</v>
      </c>
      <c r="O88" s="622">
        <v>173.02689999999996</v>
      </c>
      <c r="P88" s="622">
        <v>173.15789999999993</v>
      </c>
      <c r="Q88" s="622">
        <v>173.28869999999995</v>
      </c>
      <c r="R88" s="622">
        <v>173.40939999999995</v>
      </c>
      <c r="S88" s="622">
        <v>173.53464999999997</v>
      </c>
      <c r="T88" s="622">
        <v>173.63674999999995</v>
      </c>
      <c r="U88" s="622">
        <v>173.75804999999997</v>
      </c>
      <c r="V88" s="622">
        <v>173.85839999999996</v>
      </c>
      <c r="W88" s="622">
        <v>173.91529999999995</v>
      </c>
      <c r="X88" s="622">
        <v>173.96680000000001</v>
      </c>
      <c r="Y88" s="622">
        <v>174.02864999999997</v>
      </c>
      <c r="Z88" s="622">
        <v>174.10679999999999</v>
      </c>
      <c r="AA88">
        <v>174.16645</v>
      </c>
      <c r="AB88">
        <v>174.23329750000002</v>
      </c>
    </row>
    <row r="89" spans="6:28" ht="12.75">
      <c r="F89" s="622"/>
      <c r="G89" s="622"/>
      <c r="H89" s="622"/>
      <c r="I89" s="622"/>
      <c r="J89" s="622"/>
      <c r="K89" s="622"/>
      <c r="L89" s="622"/>
      <c r="M89" s="622"/>
      <c r="N89" s="622"/>
      <c r="O89" s="622"/>
      <c r="P89" s="622"/>
      <c r="Q89" s="622"/>
      <c r="R89" s="622"/>
      <c r="S89" s="622"/>
      <c r="T89" s="622"/>
      <c r="U89" s="622"/>
      <c r="V89" s="622"/>
      <c r="W89" s="622"/>
      <c r="X89" s="622"/>
      <c r="Y89" s="622"/>
      <c r="Z89" s="622"/>
    </row>
    <row r="90" spans="6:28" ht="12.75">
      <c r="F90" s="622"/>
      <c r="G90" s="622"/>
      <c r="H90" s="622"/>
      <c r="I90" s="622"/>
      <c r="J90" s="622"/>
      <c r="K90" s="622"/>
      <c r="L90" s="622"/>
      <c r="M90" s="622"/>
      <c r="N90" s="622"/>
      <c r="O90" s="622"/>
      <c r="P90" s="622"/>
      <c r="Q90" s="622"/>
      <c r="R90" s="622"/>
      <c r="S90" s="622"/>
      <c r="T90" s="622"/>
      <c r="U90" s="622"/>
      <c r="V90" s="622"/>
      <c r="W90" s="622"/>
      <c r="X90" s="622"/>
      <c r="Y90" s="622"/>
      <c r="Z90" s="622"/>
    </row>
    <row r="91" spans="6:28" ht="12.75">
      <c r="F91" s="622"/>
      <c r="G91" s="622"/>
      <c r="H91" s="622"/>
      <c r="I91" s="622"/>
      <c r="J91" s="622"/>
      <c r="K91" s="622"/>
      <c r="L91" s="622"/>
      <c r="M91" s="622"/>
      <c r="N91" s="622"/>
      <c r="O91" s="622"/>
      <c r="P91" s="622"/>
      <c r="Q91" s="622"/>
      <c r="R91" s="622"/>
      <c r="S91" s="622"/>
      <c r="T91" s="622"/>
      <c r="U91" s="622"/>
      <c r="V91" s="622"/>
      <c r="W91" s="622"/>
      <c r="X91" s="622"/>
      <c r="Y91" s="622"/>
      <c r="Z91" s="622"/>
    </row>
    <row r="92" spans="6:28" ht="12.75">
      <c r="F92" s="622"/>
      <c r="G92" s="622"/>
      <c r="H92" s="622"/>
      <c r="I92" s="622"/>
      <c r="J92" s="622"/>
      <c r="K92" s="622"/>
      <c r="L92" s="622"/>
      <c r="M92" s="622"/>
      <c r="N92" s="622"/>
      <c r="O92" s="622"/>
      <c r="P92" s="622"/>
      <c r="Q92" s="622"/>
      <c r="R92" s="622"/>
      <c r="S92" s="622"/>
      <c r="T92" s="622"/>
      <c r="U92" s="622"/>
      <c r="V92" s="622"/>
      <c r="W92" s="622"/>
      <c r="X92" s="622"/>
      <c r="Y92" s="622"/>
      <c r="Z92" s="622"/>
    </row>
  </sheetData>
  <mergeCells count="1">
    <mergeCell ref="C3:D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elp">
    <tabColor rgb="FF00B050"/>
  </sheetPr>
  <dimension ref="B1:X129"/>
  <sheetViews>
    <sheetView showGridLines="0" showRowColHeaders="0" zoomScale="87" zoomScaleNormal="87" workbookViewId="0">
      <pane ySplit="5" topLeftCell="A6" activePane="bottomLeft" state="frozenSplit"/>
      <selection activeCell="S45" sqref="S45"/>
      <selection pane="bottomLeft" activeCell="A6" sqref="A6"/>
    </sheetView>
  </sheetViews>
  <sheetFormatPr defaultColWidth="9.140625" defaultRowHeight="11.25"/>
  <cols>
    <col min="1" max="1" width="1.7109375" style="3" customWidth="1"/>
    <col min="2" max="16384" width="9.140625" style="3"/>
  </cols>
  <sheetData>
    <row r="1" spans="2:24" ht="5.0999999999999996" customHeight="1"/>
    <row r="2" spans="2:24" ht="15" customHeight="1"/>
    <row r="3" spans="2:24" ht="15" customHeight="1"/>
    <row r="4" spans="2:24" ht="15" customHeight="1"/>
    <row r="5" spans="2:24" ht="5.0999999999999996" customHeight="1"/>
    <row r="6" spans="2:24" ht="15" customHeight="1">
      <c r="B6" s="796"/>
      <c r="C6" s="791"/>
      <c r="D6" s="793"/>
      <c r="E6" s="791"/>
      <c r="F6" s="791"/>
      <c r="G6" s="791"/>
      <c r="H6" s="791"/>
      <c r="I6" s="791"/>
      <c r="J6" s="791"/>
      <c r="K6" s="791"/>
      <c r="L6" s="791"/>
      <c r="M6" s="791"/>
      <c r="N6" s="791"/>
      <c r="O6" s="791"/>
      <c r="P6" s="791"/>
      <c r="Q6" s="791"/>
      <c r="R6" s="791"/>
      <c r="S6" s="797"/>
      <c r="T6" s="791"/>
      <c r="U6" s="792"/>
      <c r="V6" s="791"/>
      <c r="W6" s="791"/>
      <c r="X6" s="791"/>
    </row>
    <row r="7" spans="2:24" ht="15" customHeight="1">
      <c r="B7" s="791"/>
      <c r="C7" s="791"/>
      <c r="D7" s="791"/>
      <c r="E7" s="791"/>
      <c r="F7" s="791"/>
      <c r="G7" s="791"/>
      <c r="H7" s="791"/>
      <c r="I7" s="791"/>
      <c r="J7" s="791"/>
      <c r="K7" s="791"/>
      <c r="L7" s="791"/>
      <c r="M7" s="791"/>
      <c r="N7" s="791"/>
      <c r="O7" s="791"/>
      <c r="P7" s="791"/>
      <c r="Q7" s="791"/>
      <c r="R7" s="791"/>
      <c r="S7" s="791"/>
      <c r="T7" s="791"/>
      <c r="U7" s="791"/>
      <c r="V7" s="791"/>
      <c r="W7" s="791"/>
      <c r="X7" s="791"/>
    </row>
    <row r="8" spans="2:24" ht="15" customHeight="1">
      <c r="B8" s="791"/>
      <c r="C8" s="791"/>
      <c r="D8" s="791"/>
      <c r="E8" s="791"/>
      <c r="F8" s="791"/>
      <c r="G8" s="791"/>
      <c r="H8" s="791"/>
      <c r="I8" s="791"/>
      <c r="J8" s="791"/>
      <c r="K8" s="791"/>
      <c r="L8" s="791"/>
      <c r="M8" s="791"/>
      <c r="N8" s="791"/>
      <c r="O8" s="791"/>
      <c r="P8" s="791"/>
      <c r="Q8" s="791"/>
      <c r="R8" s="791"/>
      <c r="S8" s="791"/>
      <c r="T8" s="791"/>
      <c r="U8" s="791"/>
      <c r="V8" s="791"/>
      <c r="W8" s="791"/>
      <c r="X8" s="791"/>
    </row>
    <row r="9" spans="2:24" ht="15" customHeight="1">
      <c r="B9" s="791"/>
      <c r="C9" s="791"/>
      <c r="D9" s="791"/>
      <c r="E9" s="791"/>
      <c r="F9" s="791"/>
      <c r="G9" s="791"/>
      <c r="H9" s="791"/>
      <c r="I9" s="791"/>
      <c r="J9" s="791"/>
      <c r="K9" s="791"/>
      <c r="L9" s="791"/>
      <c r="M9" s="791"/>
      <c r="N9" s="791"/>
      <c r="O9" s="791"/>
      <c r="P9" s="791"/>
      <c r="Q9" s="791"/>
      <c r="R9" s="791"/>
      <c r="S9" s="791"/>
      <c r="T9" s="791"/>
      <c r="U9" s="791"/>
      <c r="V9" s="791"/>
      <c r="W9" s="791"/>
      <c r="X9" s="791"/>
    </row>
    <row r="10" spans="2:24" ht="15" customHeight="1">
      <c r="B10" s="792"/>
      <c r="C10" s="791"/>
      <c r="D10" s="795" t="s">
        <v>361</v>
      </c>
      <c r="E10" s="795"/>
      <c r="F10" s="795"/>
      <c r="G10" s="795"/>
      <c r="H10" s="795"/>
      <c r="I10" s="795"/>
      <c r="J10" s="795"/>
      <c r="K10" s="795"/>
      <c r="L10" s="795"/>
      <c r="M10" s="795"/>
      <c r="N10" s="795"/>
      <c r="O10" s="795"/>
      <c r="P10" s="795"/>
      <c r="Q10" s="795"/>
      <c r="R10" s="795"/>
      <c r="S10" s="794"/>
      <c r="T10" s="791"/>
      <c r="U10" s="791"/>
      <c r="V10" s="791"/>
      <c r="W10" s="791"/>
      <c r="X10" s="791"/>
    </row>
    <row r="11" spans="2:24" ht="15" customHeight="1">
      <c r="B11" s="791"/>
      <c r="C11" s="791"/>
      <c r="D11" s="795"/>
      <c r="E11" s="795"/>
      <c r="F11" s="795"/>
      <c r="G11" s="795"/>
      <c r="H11" s="795"/>
      <c r="I11" s="795"/>
      <c r="J11" s="795"/>
      <c r="K11" s="795"/>
      <c r="L11" s="795"/>
      <c r="M11" s="795"/>
      <c r="N11" s="795"/>
      <c r="O11" s="795"/>
      <c r="P11" s="795"/>
      <c r="Q11" s="795"/>
      <c r="R11" s="795"/>
      <c r="S11" s="791"/>
      <c r="T11" s="791"/>
      <c r="U11" s="791"/>
      <c r="V11" s="791"/>
      <c r="W11" s="791"/>
      <c r="X11" s="791"/>
    </row>
    <row r="12" spans="2:24" ht="15" customHeight="1">
      <c r="B12" s="791"/>
      <c r="C12" s="791"/>
      <c r="D12" s="795"/>
      <c r="E12" s="795"/>
      <c r="F12" s="795"/>
      <c r="G12" s="795"/>
      <c r="H12" s="795"/>
      <c r="I12" s="795"/>
      <c r="J12" s="795"/>
      <c r="K12" s="795"/>
      <c r="L12" s="795"/>
      <c r="M12" s="795"/>
      <c r="N12" s="795"/>
      <c r="O12" s="795"/>
      <c r="P12" s="795"/>
      <c r="Q12" s="795"/>
      <c r="R12" s="795"/>
      <c r="S12" s="791"/>
      <c r="T12" s="791"/>
      <c r="U12" s="791"/>
      <c r="V12" s="791"/>
      <c r="W12" s="791"/>
      <c r="X12" s="791"/>
    </row>
    <row r="13" spans="2:24" ht="15" customHeight="1">
      <c r="B13" s="791"/>
      <c r="C13" s="791"/>
      <c r="D13" s="795"/>
      <c r="E13" s="795"/>
      <c r="F13" s="795"/>
      <c r="G13" s="795"/>
      <c r="H13" s="795"/>
      <c r="I13" s="795"/>
      <c r="J13" s="795"/>
      <c r="K13" s="795"/>
      <c r="L13" s="795"/>
      <c r="M13" s="795"/>
      <c r="N13" s="795"/>
      <c r="O13" s="795"/>
      <c r="P13" s="795"/>
      <c r="Q13" s="795"/>
      <c r="R13" s="795"/>
      <c r="S13" s="791"/>
      <c r="T13" s="791"/>
      <c r="U13" s="791"/>
      <c r="V13" s="791"/>
      <c r="W13" s="791"/>
      <c r="X13" s="791"/>
    </row>
    <row r="14" spans="2:24" ht="15" customHeight="1">
      <c r="B14" s="791"/>
      <c r="C14" s="791"/>
      <c r="D14" s="282"/>
      <c r="E14" s="282"/>
      <c r="F14" s="282"/>
      <c r="G14" s="282"/>
      <c r="H14" s="282"/>
      <c r="I14" s="282"/>
      <c r="J14" s="282"/>
      <c r="K14" s="282"/>
      <c r="L14" s="282"/>
      <c r="M14" s="282"/>
      <c r="N14" s="282"/>
      <c r="O14" s="282"/>
      <c r="P14" s="282"/>
      <c r="Q14" s="282"/>
      <c r="R14" s="282"/>
      <c r="S14" s="791"/>
      <c r="T14" s="791"/>
      <c r="U14" s="791"/>
      <c r="V14" s="791"/>
      <c r="W14" s="791"/>
      <c r="X14" s="791"/>
    </row>
    <row r="15" spans="2:24" ht="15" customHeight="1">
      <c r="B15" s="791"/>
      <c r="C15" s="791"/>
      <c r="D15" s="282"/>
      <c r="E15" s="282"/>
      <c r="F15" s="282"/>
      <c r="G15" s="282"/>
      <c r="H15" s="282"/>
      <c r="I15" s="282"/>
      <c r="J15" s="282"/>
      <c r="K15" s="282"/>
      <c r="L15" s="282"/>
      <c r="M15" s="282"/>
      <c r="N15" s="282"/>
      <c r="O15" s="282"/>
      <c r="P15" s="282"/>
      <c r="Q15" s="282"/>
      <c r="R15" s="282"/>
      <c r="S15" s="791"/>
      <c r="T15" s="791"/>
      <c r="U15" s="791"/>
      <c r="V15" s="791"/>
      <c r="W15" s="791"/>
      <c r="X15" s="791"/>
    </row>
    <row r="16" spans="2:24" ht="15" customHeight="1">
      <c r="B16" s="791"/>
      <c r="C16" s="791"/>
      <c r="D16" s="281"/>
      <c r="E16" s="281"/>
      <c r="F16" s="281"/>
      <c r="G16" s="281"/>
      <c r="H16" s="281"/>
      <c r="I16" s="281"/>
      <c r="J16" s="281"/>
      <c r="K16" s="281"/>
      <c r="L16" s="281"/>
      <c r="M16" s="281"/>
      <c r="N16" s="281"/>
      <c r="O16" s="281"/>
      <c r="P16" s="281"/>
      <c r="Q16" s="281"/>
      <c r="R16" s="281"/>
      <c r="S16" s="791"/>
      <c r="T16" s="791"/>
      <c r="U16" s="791"/>
      <c r="V16" s="791"/>
      <c r="W16" s="791"/>
      <c r="X16" s="791"/>
    </row>
    <row r="17" spans="2:24" ht="15" customHeight="1">
      <c r="B17" s="791"/>
      <c r="C17" s="791"/>
      <c r="S17" s="791"/>
      <c r="T17" s="791"/>
      <c r="U17" s="791"/>
      <c r="V17" s="791"/>
      <c r="W17" s="791"/>
      <c r="X17" s="791"/>
    </row>
    <row r="18" spans="2:24" ht="15" customHeight="1">
      <c r="B18" s="791"/>
      <c r="C18" s="791"/>
      <c r="S18" s="791"/>
      <c r="T18" s="791"/>
      <c r="U18" s="791"/>
      <c r="V18" s="791"/>
      <c r="W18" s="791"/>
      <c r="X18" s="791"/>
    </row>
    <row r="19" spans="2:24" ht="15" customHeight="1">
      <c r="B19" s="791"/>
      <c r="C19" s="791"/>
      <c r="S19" s="791"/>
      <c r="T19" s="791"/>
      <c r="U19" s="791"/>
      <c r="V19" s="791"/>
      <c r="W19" s="791"/>
      <c r="X19" s="791"/>
    </row>
    <row r="20" spans="2:24" ht="15" customHeight="1">
      <c r="B20" s="791"/>
      <c r="C20" s="791"/>
      <c r="S20" s="791"/>
      <c r="T20" s="791"/>
      <c r="U20" s="791"/>
      <c r="V20" s="791"/>
      <c r="W20" s="791"/>
      <c r="X20" s="791"/>
    </row>
    <row r="21" spans="2:24" ht="15" customHeight="1">
      <c r="B21" s="791"/>
      <c r="C21" s="791"/>
      <c r="S21" s="791"/>
      <c r="T21" s="791"/>
      <c r="U21" s="791"/>
      <c r="V21" s="791"/>
      <c r="W21" s="791"/>
      <c r="X21" s="791"/>
    </row>
    <row r="22" spans="2:24" ht="15" customHeight="1">
      <c r="B22" s="791"/>
      <c r="C22" s="791"/>
      <c r="S22" s="791"/>
      <c r="T22" s="791"/>
      <c r="U22" s="791"/>
      <c r="V22" s="791"/>
      <c r="W22" s="791"/>
      <c r="X22" s="791"/>
    </row>
    <row r="23" spans="2:24" ht="15" customHeight="1">
      <c r="B23" s="791"/>
      <c r="C23" s="791"/>
      <c r="S23" s="791"/>
      <c r="T23" s="791"/>
      <c r="U23" s="791"/>
      <c r="V23" s="791"/>
      <c r="W23" s="791"/>
      <c r="X23" s="791"/>
    </row>
    <row r="24" spans="2:24" ht="15" customHeight="1">
      <c r="B24" s="791"/>
      <c r="C24" s="791"/>
      <c r="S24" s="791"/>
      <c r="T24" s="791"/>
      <c r="U24" s="791"/>
      <c r="V24" s="791"/>
      <c r="W24" s="791"/>
      <c r="X24" s="791"/>
    </row>
    <row r="25" spans="2:24" ht="15" customHeight="1">
      <c r="B25" s="791"/>
      <c r="C25" s="791"/>
      <c r="S25" s="791"/>
      <c r="T25" s="791"/>
      <c r="U25" s="791"/>
      <c r="V25" s="791"/>
      <c r="W25" s="791"/>
      <c r="X25" s="791"/>
    </row>
    <row r="26" spans="2:24" ht="15" customHeight="1">
      <c r="B26" s="791"/>
      <c r="C26" s="791"/>
      <c r="S26" s="791"/>
      <c r="T26" s="791"/>
      <c r="U26" s="791"/>
      <c r="V26" s="791"/>
      <c r="W26" s="791"/>
      <c r="X26" s="791"/>
    </row>
    <row r="27" spans="2:24" ht="15" customHeight="1">
      <c r="B27" s="791"/>
      <c r="C27" s="791"/>
      <c r="S27" s="791"/>
      <c r="T27" s="791"/>
      <c r="U27" s="791"/>
      <c r="V27" s="791"/>
      <c r="W27" s="791"/>
      <c r="X27" s="791"/>
    </row>
    <row r="28" spans="2:24" ht="15" customHeight="1">
      <c r="B28" s="791"/>
      <c r="C28" s="791"/>
      <c r="S28" s="791"/>
      <c r="T28" s="791"/>
      <c r="U28" s="791"/>
      <c r="V28" s="791"/>
      <c r="W28" s="791"/>
      <c r="X28" s="791"/>
    </row>
    <row r="29" spans="2:24" ht="15" customHeight="1">
      <c r="B29" s="791"/>
      <c r="C29" s="791"/>
      <c r="S29" s="791"/>
      <c r="T29" s="791"/>
      <c r="U29" s="791"/>
      <c r="V29" s="791"/>
      <c r="W29" s="791"/>
      <c r="X29" s="791"/>
    </row>
    <row r="30" spans="2:24" ht="15" customHeight="1">
      <c r="B30" s="791"/>
      <c r="C30" s="791"/>
      <c r="S30" s="791"/>
      <c r="T30" s="791"/>
      <c r="U30" s="791"/>
      <c r="V30" s="791"/>
      <c r="W30" s="791"/>
      <c r="X30" s="791"/>
    </row>
    <row r="31" spans="2:24" ht="15" customHeight="1">
      <c r="B31" s="791"/>
      <c r="C31" s="791"/>
      <c r="S31" s="791"/>
      <c r="T31" s="791"/>
      <c r="U31" s="791"/>
      <c r="V31" s="791"/>
      <c r="W31" s="791"/>
      <c r="X31" s="791"/>
    </row>
    <row r="32" spans="2:24" ht="15" customHeight="1">
      <c r="B32" s="791"/>
      <c r="C32" s="791"/>
      <c r="S32" s="791"/>
      <c r="T32" s="791"/>
      <c r="U32" s="791"/>
      <c r="V32" s="791"/>
      <c r="W32" s="791"/>
      <c r="X32" s="791"/>
    </row>
    <row r="33" spans="2:24" ht="15" customHeight="1">
      <c r="B33" s="791"/>
      <c r="C33" s="791"/>
      <c r="S33" s="791"/>
      <c r="T33" s="791"/>
      <c r="U33" s="791"/>
      <c r="V33" s="791"/>
      <c r="W33" s="791"/>
      <c r="X33" s="791"/>
    </row>
    <row r="34" spans="2:24" ht="15" customHeight="1">
      <c r="B34" s="791"/>
      <c r="C34" s="791"/>
      <c r="S34" s="791"/>
      <c r="T34" s="791"/>
      <c r="U34" s="791"/>
      <c r="V34" s="791"/>
      <c r="W34" s="791"/>
      <c r="X34" s="791"/>
    </row>
    <row r="35" spans="2:24" ht="15" customHeight="1">
      <c r="B35" s="791"/>
      <c r="C35" s="791"/>
      <c r="S35" s="791"/>
      <c r="T35" s="791"/>
      <c r="U35" s="791"/>
      <c r="V35" s="791"/>
      <c r="W35" s="791"/>
      <c r="X35" s="791"/>
    </row>
    <row r="36" spans="2:24" ht="15" customHeight="1">
      <c r="B36" s="791"/>
      <c r="C36" s="791"/>
      <c r="S36" s="791"/>
      <c r="T36" s="791"/>
      <c r="U36" s="791"/>
      <c r="V36" s="791"/>
      <c r="W36" s="791"/>
      <c r="X36" s="791"/>
    </row>
    <row r="37" spans="2:24" ht="15" customHeight="1">
      <c r="B37" s="791"/>
      <c r="C37" s="791"/>
      <c r="S37" s="791"/>
      <c r="T37" s="791"/>
      <c r="U37" s="791"/>
      <c r="V37" s="791"/>
      <c r="W37" s="791"/>
      <c r="X37" s="791"/>
    </row>
    <row r="38" spans="2:24" ht="15" customHeight="1">
      <c r="B38" s="791"/>
      <c r="C38" s="791"/>
      <c r="S38" s="791"/>
      <c r="T38" s="791"/>
      <c r="U38" s="791"/>
      <c r="V38" s="791"/>
      <c r="W38" s="791"/>
      <c r="X38" s="791"/>
    </row>
    <row r="39" spans="2:24" ht="15" customHeight="1">
      <c r="B39" s="791"/>
      <c r="C39" s="791"/>
      <c r="S39" s="791"/>
      <c r="T39" s="791"/>
      <c r="U39" s="791"/>
      <c r="V39" s="791"/>
      <c r="W39" s="791"/>
      <c r="X39" s="791"/>
    </row>
    <row r="40" spans="2:24" ht="15" customHeight="1">
      <c r="B40" s="791"/>
      <c r="C40" s="791"/>
      <c r="S40" s="791"/>
      <c r="T40" s="791"/>
      <c r="U40" s="791"/>
      <c r="V40" s="791"/>
      <c r="W40" s="791"/>
      <c r="X40" s="791"/>
    </row>
    <row r="41" spans="2:24" ht="15" customHeight="1">
      <c r="B41" s="791"/>
      <c r="C41" s="791"/>
      <c r="S41" s="791"/>
      <c r="T41" s="791"/>
      <c r="U41" s="791"/>
      <c r="V41" s="791"/>
      <c r="W41" s="791"/>
      <c r="X41" s="791"/>
    </row>
    <row r="42" spans="2:24" ht="15" customHeight="1">
      <c r="B42" s="791"/>
      <c r="C42" s="791"/>
      <c r="S42" s="791"/>
      <c r="T42" s="791"/>
      <c r="U42" s="791"/>
      <c r="V42" s="791"/>
      <c r="W42" s="791"/>
      <c r="X42" s="791"/>
    </row>
    <row r="43" spans="2:24" ht="15" customHeight="1">
      <c r="B43" s="791"/>
      <c r="C43" s="791"/>
      <c r="S43" s="791"/>
      <c r="T43" s="791"/>
      <c r="U43" s="791"/>
      <c r="V43" s="791"/>
      <c r="W43" s="791"/>
      <c r="X43" s="791"/>
    </row>
    <row r="44" spans="2:24" ht="15" customHeight="1">
      <c r="B44" s="791"/>
      <c r="C44" s="791"/>
      <c r="S44" s="791"/>
      <c r="T44" s="791"/>
      <c r="U44" s="791"/>
      <c r="V44" s="791"/>
      <c r="W44" s="791"/>
      <c r="X44" s="791"/>
    </row>
    <row r="45" spans="2:24" ht="15" customHeight="1">
      <c r="B45" s="791"/>
      <c r="C45" s="791"/>
      <c r="S45" s="791"/>
      <c r="T45" s="791"/>
      <c r="U45" s="791"/>
      <c r="V45" s="791"/>
      <c r="W45" s="791"/>
      <c r="X45" s="791"/>
    </row>
    <row r="46" spans="2:24" ht="15" customHeight="1">
      <c r="B46" s="791"/>
      <c r="C46" s="791"/>
      <c r="S46" s="791"/>
      <c r="T46" s="791"/>
      <c r="U46" s="791"/>
      <c r="V46" s="791"/>
      <c r="W46" s="791"/>
      <c r="X46" s="791"/>
    </row>
    <row r="47" spans="2:24" ht="15" customHeight="1">
      <c r="B47" s="791"/>
      <c r="C47" s="791"/>
      <c r="S47" s="791"/>
      <c r="T47" s="791"/>
      <c r="U47" s="791"/>
      <c r="V47" s="791"/>
      <c r="W47" s="791"/>
      <c r="X47" s="791"/>
    </row>
    <row r="48" spans="2:24" ht="15" customHeight="1">
      <c r="B48" s="791"/>
      <c r="C48" s="791"/>
      <c r="S48" s="791"/>
      <c r="T48" s="791"/>
      <c r="U48" s="791"/>
      <c r="V48" s="791"/>
      <c r="W48" s="791"/>
      <c r="X48" s="791"/>
    </row>
    <row r="49" spans="2:24" ht="15" customHeight="1">
      <c r="B49" s="791"/>
      <c r="C49" s="791"/>
      <c r="S49" s="791"/>
      <c r="T49" s="791"/>
      <c r="U49" s="791"/>
      <c r="V49" s="791"/>
      <c r="W49" s="791"/>
      <c r="X49" s="791"/>
    </row>
    <row r="50" spans="2:24" ht="15" customHeight="1">
      <c r="B50" s="791"/>
      <c r="C50" s="791"/>
      <c r="S50" s="791"/>
      <c r="T50" s="791"/>
      <c r="U50" s="791"/>
      <c r="V50" s="791"/>
      <c r="W50" s="791"/>
      <c r="X50" s="791"/>
    </row>
    <row r="51" spans="2:24" ht="15" customHeight="1">
      <c r="B51" s="799"/>
      <c r="C51" s="791"/>
      <c r="D51" s="798"/>
      <c r="E51" s="791"/>
      <c r="F51" s="791"/>
      <c r="G51" s="791"/>
      <c r="H51" s="791"/>
      <c r="I51" s="791"/>
      <c r="J51" s="791"/>
      <c r="K51" s="791"/>
      <c r="L51" s="791"/>
      <c r="M51" s="791"/>
      <c r="N51" s="791"/>
      <c r="O51" s="791"/>
      <c r="P51" s="791"/>
      <c r="Q51" s="791"/>
      <c r="R51" s="791"/>
      <c r="S51" s="800"/>
      <c r="T51" s="791"/>
      <c r="U51" s="791"/>
      <c r="V51" s="791"/>
      <c r="W51" s="791"/>
      <c r="X51" s="791"/>
    </row>
    <row r="52" spans="2:24" ht="15" customHeight="1">
      <c r="B52" s="791"/>
      <c r="C52" s="791"/>
      <c r="D52" s="791"/>
      <c r="E52" s="791"/>
      <c r="F52" s="791"/>
      <c r="G52" s="791"/>
      <c r="H52" s="791"/>
      <c r="I52" s="791"/>
      <c r="J52" s="791"/>
      <c r="K52" s="791"/>
      <c r="L52" s="791"/>
      <c r="M52" s="791"/>
      <c r="N52" s="791"/>
      <c r="O52" s="791"/>
      <c r="P52" s="791"/>
      <c r="Q52" s="791"/>
      <c r="R52" s="791"/>
      <c r="S52" s="791"/>
      <c r="T52" s="791"/>
      <c r="U52" s="791"/>
      <c r="V52" s="791"/>
      <c r="W52" s="791"/>
      <c r="X52" s="791"/>
    </row>
    <row r="53" spans="2:24" ht="15" customHeight="1">
      <c r="B53" s="791"/>
      <c r="C53" s="791"/>
      <c r="D53" s="791"/>
      <c r="E53" s="791"/>
      <c r="F53" s="791"/>
      <c r="G53" s="791"/>
      <c r="H53" s="791"/>
      <c r="I53" s="791"/>
      <c r="J53" s="791"/>
      <c r="K53" s="791"/>
      <c r="L53" s="791"/>
      <c r="M53" s="791"/>
      <c r="N53" s="791"/>
      <c r="O53" s="791"/>
      <c r="P53" s="791"/>
      <c r="Q53" s="791"/>
      <c r="R53" s="791"/>
      <c r="S53" s="791"/>
      <c r="T53" s="791"/>
      <c r="U53" s="791"/>
      <c r="V53" s="791"/>
      <c r="W53" s="791"/>
      <c r="X53" s="791"/>
    </row>
    <row r="54" spans="2:24" ht="15" customHeight="1">
      <c r="B54" s="791"/>
      <c r="C54" s="791"/>
      <c r="D54" s="791"/>
      <c r="E54" s="791"/>
      <c r="F54" s="791"/>
      <c r="G54" s="791"/>
      <c r="H54" s="791"/>
      <c r="I54" s="791"/>
      <c r="J54" s="791"/>
      <c r="K54" s="791"/>
      <c r="L54" s="791"/>
      <c r="M54" s="791"/>
      <c r="N54" s="791"/>
      <c r="O54" s="791"/>
      <c r="P54" s="791"/>
      <c r="Q54" s="791"/>
      <c r="R54" s="791"/>
      <c r="S54" s="791"/>
      <c r="T54" s="791"/>
      <c r="U54" s="791"/>
      <c r="V54" s="791"/>
      <c r="W54" s="791"/>
      <c r="X54" s="791"/>
    </row>
    <row r="55" spans="2:24" ht="15" customHeight="1">
      <c r="B55" s="793"/>
      <c r="C55" s="791"/>
      <c r="D55" s="791"/>
      <c r="E55" s="791"/>
      <c r="F55" s="791"/>
      <c r="G55" s="791"/>
      <c r="H55" s="791"/>
      <c r="I55" s="791"/>
      <c r="J55" s="791"/>
      <c r="K55" s="791"/>
      <c r="L55" s="791"/>
      <c r="M55" s="791"/>
      <c r="N55" s="791"/>
      <c r="O55" s="791"/>
      <c r="P55" s="791"/>
      <c r="Q55" s="791"/>
      <c r="R55" s="791"/>
      <c r="S55" s="791"/>
      <c r="T55" s="791"/>
      <c r="U55" s="790"/>
      <c r="V55" s="791"/>
      <c r="W55" s="791"/>
      <c r="X55" s="791"/>
    </row>
    <row r="56" spans="2:24" ht="15" customHeight="1">
      <c r="B56" s="791"/>
      <c r="C56" s="791"/>
      <c r="D56" s="791"/>
      <c r="E56" s="791"/>
      <c r="F56" s="791"/>
      <c r="G56" s="791"/>
      <c r="H56" s="791"/>
      <c r="I56" s="791"/>
      <c r="J56" s="791"/>
      <c r="K56" s="791"/>
      <c r="L56" s="791"/>
      <c r="M56" s="791"/>
      <c r="N56" s="791"/>
      <c r="O56" s="791"/>
      <c r="P56" s="791"/>
      <c r="Q56" s="791"/>
      <c r="R56" s="791"/>
      <c r="S56" s="791"/>
      <c r="T56" s="791"/>
      <c r="U56" s="791"/>
      <c r="V56" s="791"/>
      <c r="W56" s="791"/>
      <c r="X56" s="791"/>
    </row>
    <row r="57" spans="2:24" ht="15" customHeight="1">
      <c r="B57" s="791"/>
      <c r="C57" s="791"/>
      <c r="D57" s="791"/>
      <c r="E57" s="791"/>
      <c r="F57" s="791"/>
      <c r="G57" s="791"/>
      <c r="H57" s="791"/>
      <c r="I57" s="791"/>
      <c r="J57" s="791"/>
      <c r="K57" s="791"/>
      <c r="L57" s="791"/>
      <c r="M57" s="791"/>
      <c r="N57" s="791"/>
      <c r="O57" s="791"/>
      <c r="P57" s="791"/>
      <c r="Q57" s="791"/>
      <c r="R57" s="791"/>
      <c r="S57" s="791"/>
      <c r="T57" s="791"/>
      <c r="U57" s="791"/>
      <c r="V57" s="791"/>
      <c r="W57" s="791"/>
      <c r="X57" s="791"/>
    </row>
    <row r="58" spans="2:24" ht="15" customHeight="1">
      <c r="B58" s="791"/>
      <c r="C58" s="791"/>
      <c r="D58" s="791"/>
      <c r="E58" s="791"/>
      <c r="F58" s="791"/>
      <c r="G58" s="791"/>
      <c r="H58" s="791"/>
      <c r="I58" s="791"/>
      <c r="J58" s="791"/>
      <c r="K58" s="791"/>
      <c r="L58" s="791"/>
      <c r="M58" s="791"/>
      <c r="N58" s="791"/>
      <c r="O58" s="791"/>
      <c r="P58" s="791"/>
      <c r="Q58" s="791"/>
      <c r="R58" s="791"/>
      <c r="S58" s="791"/>
      <c r="T58" s="791"/>
      <c r="U58" s="791"/>
      <c r="V58" s="791"/>
      <c r="W58" s="791"/>
      <c r="X58" s="791"/>
    </row>
    <row r="59" spans="2:24" ht="15" customHeight="1">
      <c r="B59" s="791"/>
      <c r="C59" s="791"/>
      <c r="D59" s="791"/>
      <c r="E59" s="791"/>
      <c r="F59" s="791"/>
      <c r="G59" s="791"/>
      <c r="H59" s="791"/>
      <c r="I59" s="791"/>
      <c r="J59" s="791"/>
      <c r="K59" s="791"/>
      <c r="L59" s="791"/>
      <c r="M59" s="791"/>
      <c r="N59" s="791"/>
      <c r="O59" s="791"/>
      <c r="P59" s="791"/>
      <c r="Q59" s="791"/>
      <c r="R59" s="791"/>
      <c r="S59" s="791"/>
      <c r="T59" s="791"/>
      <c r="U59" s="791"/>
      <c r="V59" s="791"/>
      <c r="W59" s="791"/>
      <c r="X59" s="791"/>
    </row>
    <row r="60" spans="2:24" ht="15" customHeight="1">
      <c r="B60" s="791"/>
      <c r="C60" s="791"/>
      <c r="D60" s="791"/>
      <c r="E60" s="791"/>
      <c r="F60" s="791"/>
      <c r="G60" s="791"/>
      <c r="H60" s="791"/>
      <c r="I60" s="791"/>
      <c r="J60" s="791"/>
      <c r="K60" s="791"/>
      <c r="L60" s="791"/>
      <c r="M60" s="791"/>
      <c r="N60" s="791"/>
      <c r="O60" s="791"/>
      <c r="P60" s="791"/>
      <c r="Q60" s="791"/>
      <c r="R60" s="791"/>
      <c r="S60" s="791"/>
      <c r="T60" s="791"/>
      <c r="U60" s="791"/>
      <c r="V60" s="791"/>
      <c r="W60" s="791"/>
      <c r="X60" s="791"/>
    </row>
    <row r="61" spans="2:24" ht="15" customHeight="1">
      <c r="B61" s="791"/>
      <c r="C61" s="791"/>
      <c r="D61" s="791"/>
      <c r="E61" s="791"/>
      <c r="F61" s="791"/>
      <c r="G61" s="791"/>
      <c r="H61" s="791"/>
      <c r="I61" s="791"/>
      <c r="J61" s="791"/>
      <c r="K61" s="791"/>
      <c r="L61" s="791"/>
      <c r="M61" s="791"/>
      <c r="N61" s="791"/>
      <c r="O61" s="791"/>
      <c r="P61" s="791"/>
      <c r="Q61" s="791"/>
      <c r="R61" s="791"/>
      <c r="S61" s="791"/>
      <c r="T61" s="791"/>
      <c r="U61" s="791"/>
      <c r="V61" s="791"/>
      <c r="W61" s="791"/>
      <c r="X61" s="791"/>
    </row>
    <row r="62" spans="2:24" ht="15" customHeight="1">
      <c r="B62" s="791"/>
      <c r="C62" s="791"/>
      <c r="D62" s="791"/>
      <c r="E62" s="791"/>
      <c r="F62" s="791"/>
      <c r="G62" s="791"/>
      <c r="H62" s="791"/>
      <c r="I62" s="791"/>
      <c r="J62" s="791"/>
      <c r="K62" s="791"/>
      <c r="L62" s="791"/>
      <c r="M62" s="791"/>
      <c r="N62" s="791"/>
      <c r="O62" s="791"/>
      <c r="P62" s="791"/>
      <c r="Q62" s="791"/>
      <c r="R62" s="791"/>
      <c r="S62" s="791"/>
      <c r="T62" s="791"/>
      <c r="U62" s="791"/>
      <c r="V62" s="791"/>
      <c r="W62" s="791"/>
      <c r="X62" s="791"/>
    </row>
    <row r="63" spans="2:24" ht="15" customHeight="1">
      <c r="B63" s="791"/>
      <c r="C63" s="791"/>
      <c r="D63" s="791"/>
      <c r="E63" s="791"/>
      <c r="F63" s="791"/>
      <c r="G63" s="791"/>
      <c r="H63" s="791"/>
      <c r="I63" s="791"/>
      <c r="J63" s="791"/>
      <c r="K63" s="791"/>
      <c r="L63" s="791"/>
      <c r="M63" s="791"/>
      <c r="N63" s="791"/>
      <c r="O63" s="791"/>
      <c r="P63" s="791"/>
      <c r="Q63" s="791"/>
      <c r="R63" s="791"/>
      <c r="S63" s="791"/>
      <c r="T63" s="791"/>
      <c r="U63" s="791"/>
      <c r="V63" s="791"/>
      <c r="W63" s="791"/>
      <c r="X63" s="791"/>
    </row>
    <row r="64" spans="2:2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sheetData>
  <mergeCells count="12">
    <mergeCell ref="U55:X63"/>
    <mergeCell ref="U6:X54"/>
    <mergeCell ref="B55:T63"/>
    <mergeCell ref="B10:C50"/>
    <mergeCell ref="S10:T50"/>
    <mergeCell ref="D10:R13"/>
    <mergeCell ref="D6:R9"/>
    <mergeCell ref="B6:C9"/>
    <mergeCell ref="S6:T9"/>
    <mergeCell ref="D51:R54"/>
    <mergeCell ref="B51:C54"/>
    <mergeCell ref="S51:T54"/>
  </mergeCells>
  <phoneticPr fontId="119"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Key Stats</vt:lpstr>
      <vt:lpstr>Income Statement</vt:lpstr>
      <vt:lpstr>Balance Sheet</vt:lpstr>
      <vt:lpstr>Cash Flow</vt:lpstr>
      <vt:lpstr>Multiples</vt:lpstr>
      <vt:lpstr>Ratios</vt:lpstr>
      <vt:lpstr>Capital Structure Summary</vt:lpstr>
      <vt:lpstr>Segments</vt:lpstr>
      <vt:lpstr>Supplemental</vt:lpstr>
      <vt:lpstr>Public Comparables</vt:lpstr>
      <vt:lpstr>Precedent Transactions</vt:lpstr>
      <vt:lpstr>Leveraged Buyout</vt:lpstr>
      <vt:lpstr>Discounted Cash Flow Valuation</vt:lpstr>
      <vt:lpstr>Multi-Stage GGM</vt:lpstr>
      <vt:lpstr>Football Field Analysis</vt:lpstr>
      <vt:lpstr>Technical Analysis Dashboard</vt:lpstr>
      <vt:lpstr>Technical Analysis Data</vt:lpstr>
      <vt:lpstr>Help</vt:lpstr>
      <vt:lpstr>'Balance Sheet'!Print_Area</vt:lpstr>
      <vt:lpstr>'Capital Structure Summary'!Print_Area</vt:lpstr>
      <vt:lpstr>'Cash Flow'!Print_Area</vt:lpstr>
      <vt:lpstr>'Income Statement'!Print_Area</vt:lpstr>
      <vt:lpstr>'Key Stats'!Print_Area</vt:lpstr>
      <vt:lpstr>Multiples!Print_Area</vt:lpstr>
      <vt:lpstr>Ratios!Print_Area</vt:lpstr>
      <vt:lpstr>Segments!Print_Area</vt:lpstr>
      <vt:lpstr>Supplemental!Print_Area</vt:lpstr>
      <vt:lpstr>Tick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Gala, Devin</dc:creator>
  <cp:lastModifiedBy>Miami University User</cp:lastModifiedBy>
  <cp:lastPrinted>2012-08-10T14:46:55Z</cp:lastPrinted>
  <dcterms:created xsi:type="dcterms:W3CDTF">2004-07-20T21:40:42Z</dcterms:created>
  <dcterms:modified xsi:type="dcterms:W3CDTF">2019-04-25T15:25:06Z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7.5.1.2616 (http://officewriter.softartisans.com)</vt:lpwstr>
  </property>
  <property fmtid="{D5CDD505-2E9C-101B-9397-08002B2CF9AE}" pid="3" name="SpreadsheetBuilder_1">
    <vt:lpwstr>eyIwIjoiSGlzdG9yeSIsIjEiOjEsIjIiOjAsIjMiOjAsIjQiOjAsIjUiOjEsIjYiOjEsIjciOjAsIjgiOjAsIjkiOjEsIjEwIjowLCIxMSI6MCwiMTIiOjB9</vt:lpwstr>
  </property>
  <property fmtid="{D5CDD505-2E9C-101B-9397-08002B2CF9AE}" pid="4" name="SpreadsheetBuilder_2">
    <vt:lpwstr>eyIwIjoiSGlzdG9yeSIsIjEiOjEsIjIiOjAsIjMiOjAsIjQiOjAsIjUiOjEsIjYiOjEsIjciOjAsIjgiOjAsIjkiOjEsIjEwIjowLCIxMSI6MCwiMTIiOjB9</vt:lpwstr>
  </property>
  <property fmtid="{D5CDD505-2E9C-101B-9397-08002B2CF9AE}" pid="5" name="SpreadsheetBuilder_3">
    <vt:lpwstr>eyIwIjoiSGlzdG9yeSIsIjEiOjEsIjIiOjAsIjMiOjAsIjQiOjAsIjUiOjAsIjYiOjAsIjciOjAsIjgiOjEsIjkiOjAsIjEwIjowLCIxMSI6MCwiMTIiOjB9</vt:lpwstr>
  </property>
  <property fmtid="{D5CDD505-2E9C-101B-9397-08002B2CF9AE}" pid="6" name="SpreadsheetBuilder_4">
    <vt:lpwstr>eyIwIjoiSGlzdG9yeSIsIjEiOjEsIjIiOjAsIjMiOjAsIjQiOjAsIjUiOjEsIjYiOjEsIjciOjAsIjgiOjAsIjkiOjEsIjEwIjowLCIxMSI6MCwiMTIiOjB9</vt:lpwstr>
  </property>
  <property fmtid="{D5CDD505-2E9C-101B-9397-08002B2CF9AE}" pid="7" name="SpreadsheetBuilder_5">
    <vt:lpwstr>eyIwIjoiQW5hbHlzaXNIaXN0b3JpY2FsIiwiMSI6MSwiMiI6MCwiMyI6MCwiNCI6MCwiNSI6MCwiNiI6MCwiNyI6MSwiOCI6MCwiOSI6MSwiMTAiOjEsIjExIjowLCIxMiI6MX0=</vt:lpwstr>
  </property>
  <property fmtid="{D5CDD505-2E9C-101B-9397-08002B2CF9AE}" pid="8" name="SpreadsheetBuilder_6">
    <vt:lpwstr>eyIwIjoiQW5hbHlzaXNIaXN0b3JpY2FsIiwiMSI6MSwiMiI6MCwiMyI6MCwiNCI6MCwiNSI6MCwiNiI6MCwiNyI6MSwiOCI6MCwiOSI6MSwiMTAiOjEsIjExIjowLCIxMiI6MX0=</vt:lpwstr>
  </property>
  <property fmtid="{D5CDD505-2E9C-101B-9397-08002B2CF9AE}" pid="9" name="SpreadsheetBuilder_7">
    <vt:lpwstr>eyIwIjoiQW5hbHlzaXNIaXN0b3JpY2FsIiwiMSI6MSwiMiI6MCwiMyI6MCwiNCI6MCwiNSI6MCwiNiI6MCwiNyI6MSwiOCI6MCwiOSI6MSwiMTAiOjEsIjExIjowLCIxMiI6MX0=</vt:lpwstr>
  </property>
  <property fmtid="{D5CDD505-2E9C-101B-9397-08002B2CF9AE}" pid="10" name="SpreadsheetBuilder_8">
    <vt:lpwstr>eyIwIjoiSGlzdG9yeSIsIjEiOjEsIjIiOjAsIjMiOjAsIjQiOjAsIjUiOjEsIjYiOjEsIjciOjEsIjgiOjAsIjkiOjEsIjEwIjowLCIxMSI6MCwiMTIiOjB9</vt:lpwstr>
  </property>
  <property fmtid="{D5CDD505-2E9C-101B-9397-08002B2CF9AE}" pid="11" name="SpreadsheetBuilder_9">
    <vt:lpwstr>eyIwIjoiQW5hbHlzaXNIaXN0b3JpY2FsIiwiMSI6MSwiMiI6MSwiMyI6MCwiNCI6MCwiNSI6MCwiNiI6MCwiNyI6MSwiOCI6MCwiOSI6MSwiMTAiOjAsIjExIjowLCIxMiI6MH0=</vt:lpwstr>
  </property>
</Properties>
</file>